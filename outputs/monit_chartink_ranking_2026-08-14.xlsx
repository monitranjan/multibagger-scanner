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Universe'!$A$1:$J$404</definedName>
    <definedName name="_xlnm._FilterDatabase" localSheetId="3" hidden="1">'Confluence Overlap'!$A$1:$K$97</definedName>
    <definedName name="_xlnm._FilterDatabase" localSheetId="4" hidden="1">'Monit Non Financial'!$A$1:$CE$371</definedName>
    <definedName name="_xlnm._FilterDatabase" localSheetId="5" hidden="1">'Monit Banks NBFC'!$A$1:$CA$34</definedName>
    <definedName name="_xlnm._FilterDatabase" localSheetId="6" hidden="1">'Scanner Non Financial'!$A$1:$CJ$23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14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3" customWidth="1" min="2" max="2"/>
    <col width="21" customWidth="1" min="3" max="3"/>
    <col width="38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600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85</v>
      </c>
      <c r="G6" s="19" t="n">
        <v>49695.52</v>
      </c>
      <c r="H6" s="18" t="inlineStr">
        <is>
          <t>Potential Leader</t>
        </is>
      </c>
      <c r="J6" s="18" t="inlineStr">
        <is>
          <t>co-working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492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67</v>
      </c>
      <c r="G7" s="19" t="n">
        <v>2864.71</v>
      </c>
      <c r="H7" s="18" t="inlineStr">
        <is>
          <t>Potential Leader</t>
        </is>
      </c>
      <c r="J7" s="18" t="inlineStr">
        <is>
          <t>power &amp; utilities</t>
        </is>
      </c>
      <c r="K7" s="16" t="n">
        <v>17</v>
      </c>
      <c r="L7" s="16" t="n">
        <v>13</v>
      </c>
      <c r="M7" s="20" t="inlineStr">
        <is>
          <t>30.8%</t>
        </is>
      </c>
    </row>
    <row r="8">
      <c r="A8" s="16" t="n">
        <v>3</v>
      </c>
      <c r="B8" s="17" t="n">
        <v>486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66</v>
      </c>
      <c r="G8" s="19" t="n">
        <v>100038.02</v>
      </c>
      <c r="H8" s="18" t="inlineStr">
        <is>
          <t>Potential Leader</t>
        </is>
      </c>
      <c r="J8" s="18" t="inlineStr">
        <is>
          <t>aerospace &amp; defence</t>
        </is>
      </c>
      <c r="K8" s="16" t="n">
        <v>64</v>
      </c>
      <c r="L8" s="16" t="n">
        <v>52</v>
      </c>
      <c r="M8" s="20" t="inlineStr">
        <is>
          <t>23.1%</t>
        </is>
      </c>
    </row>
    <row r="9">
      <c r="A9" s="16" t="n">
        <v>4</v>
      </c>
      <c r="B9" s="17" t="n">
        <v>420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55</v>
      </c>
      <c r="G9" s="19" t="n">
        <v>5156.22</v>
      </c>
      <c r="H9" s="18" t="inlineStr">
        <is>
          <t>Potential Leader</t>
        </is>
      </c>
      <c r="J9" s="18" t="inlineStr">
        <is>
          <t>healthcare</t>
        </is>
      </c>
      <c r="K9" s="16" t="n">
        <v>248</v>
      </c>
      <c r="L9" s="16" t="n">
        <v>211</v>
      </c>
      <c r="M9" s="20" t="inlineStr">
        <is>
          <t>17.5%</t>
        </is>
      </c>
    </row>
    <row r="10">
      <c r="A10" s="16" t="n">
        <v>5</v>
      </c>
      <c r="B10" s="17" t="n">
        <v>414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54</v>
      </c>
      <c r="G10" s="19" t="n">
        <v>39648.67</v>
      </c>
      <c r="H10" s="18" t="inlineStr">
        <is>
          <t>Potential Leader</t>
        </is>
      </c>
      <c r="J10" s="18" t="inlineStr">
        <is>
          <t>industrials</t>
        </is>
      </c>
      <c r="K10" s="16" t="n">
        <v>301</v>
      </c>
      <c r="L10" s="16" t="n">
        <v>259</v>
      </c>
      <c r="M10" s="20" t="inlineStr">
        <is>
          <t>16.2%</t>
        </is>
      </c>
    </row>
    <row r="11">
      <c r="A11" s="16" t="n">
        <v>6</v>
      </c>
      <c r="B11" s="17" t="n">
        <v>354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44</v>
      </c>
      <c r="G11" s="19" t="n">
        <v>5592.85</v>
      </c>
      <c r="H11" s="18" t="inlineStr">
        <is>
          <t>Potential Leader</t>
        </is>
      </c>
      <c r="J11" s="18" t="inlineStr">
        <is>
          <t>chemicals</t>
        </is>
      </c>
      <c r="K11" s="16" t="n">
        <v>169</v>
      </c>
      <c r="L11" s="16" t="n">
        <v>153</v>
      </c>
      <c r="M11" s="20" t="inlineStr">
        <is>
          <t>10.5%</t>
        </is>
      </c>
    </row>
    <row r="12">
      <c r="A12" s="16" t="n">
        <v>7</v>
      </c>
      <c r="B12" s="17" t="n">
        <v>336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41</v>
      </c>
      <c r="G12" s="19" t="n">
        <v>568.4299999999999</v>
      </c>
      <c r="H12" s="18" t="inlineStr">
        <is>
          <t>Potential Leader</t>
        </is>
      </c>
      <c r="J12" s="18" t="inlineStr">
        <is>
          <t>building materials</t>
        </is>
      </c>
      <c r="K12" s="16" t="n">
        <v>77</v>
      </c>
      <c r="L12" s="16" t="n">
        <v>72</v>
      </c>
      <c r="M12" s="20" t="inlineStr">
        <is>
          <t>6.9%</t>
        </is>
      </c>
    </row>
    <row r="13">
      <c r="A13" s="16" t="n">
        <v>8</v>
      </c>
      <c r="B13" s="17" t="n">
        <v>306</v>
      </c>
      <c r="C13" s="17" t="inlineStr">
        <is>
          <t>SSWL</t>
        </is>
      </c>
      <c r="D13" s="18" t="inlineStr">
        <is>
          <t>Steel Strips Wheels Limited</t>
        </is>
      </c>
      <c r="E13" s="18" t="inlineStr">
        <is>
          <t>auto</t>
        </is>
      </c>
      <c r="F13" s="16" t="n">
        <v>36</v>
      </c>
      <c r="G13" s="19" t="n">
        <v>4881.24</v>
      </c>
      <c r="H13" s="18" t="inlineStr">
        <is>
          <t>Potential Leader</t>
        </is>
      </c>
      <c r="J13" s="18" t="inlineStr">
        <is>
          <t>fmcg</t>
        </is>
      </c>
      <c r="K13" s="16" t="n">
        <v>126</v>
      </c>
      <c r="L13" s="16" t="n">
        <v>125</v>
      </c>
      <c r="M13" s="20" t="inlineStr">
        <is>
          <t>0.8%</t>
        </is>
      </c>
    </row>
    <row r="14">
      <c r="A14" s="16" t="n">
        <v>9</v>
      </c>
      <c r="B14" s="17" t="n">
        <v>288</v>
      </c>
      <c r="C14" s="17" t="inlineStr">
        <is>
          <t>ADOR</t>
        </is>
      </c>
      <c r="D14" s="18" t="inlineStr">
        <is>
          <t>Ador Welding Ltd</t>
        </is>
      </c>
      <c r="E14" s="18" t="inlineStr">
        <is>
          <t>industrials</t>
        </is>
      </c>
      <c r="F14" s="16" t="n">
        <v>33</v>
      </c>
      <c r="G14" s="19" t="n">
        <v>2610.94</v>
      </c>
      <c r="H14" s="18" t="inlineStr">
        <is>
          <t>Potential Leader</t>
        </is>
      </c>
      <c r="J14" s="18" t="inlineStr">
        <is>
          <t>telecom</t>
        </is>
      </c>
      <c r="K14" s="16" t="n">
        <v>10</v>
      </c>
      <c r="L14" s="16" t="n">
        <v>10</v>
      </c>
      <c r="M14" s="20" t="inlineStr">
        <is>
          <t>0.0%</t>
        </is>
      </c>
    </row>
    <row r="15">
      <c r="A15" s="16" t="n">
        <v>10</v>
      </c>
      <c r="B15" s="17" t="n">
        <v>288</v>
      </c>
      <c r="C15" s="17" t="inlineStr">
        <is>
          <t>CYIENTDLM</t>
        </is>
      </c>
      <c r="D15" s="18" t="inlineStr">
        <is>
          <t>Cyient DLM Ltd</t>
        </is>
      </c>
      <c r="E15" s="18" t="inlineStr">
        <is>
          <t>aerospace &amp; defence</t>
        </is>
      </c>
      <c r="F15" s="16" t="n">
        <v>33</v>
      </c>
      <c r="G15" s="19" t="n">
        <v>5780.3</v>
      </c>
      <c r="H15" s="18" t="inlineStr">
        <is>
          <t>Potential Leader</t>
        </is>
      </c>
      <c r="J15" s="18" t="inlineStr">
        <is>
          <t>realty</t>
        </is>
      </c>
      <c r="K15" s="16" t="n">
        <v>67</v>
      </c>
      <c r="L15" s="16" t="n">
        <v>68</v>
      </c>
      <c r="M15" s="21" t="inlineStr">
        <is>
          <t>-1.5%</t>
        </is>
      </c>
    </row>
    <row r="16">
      <c r="A16" s="16" t="n">
        <v>11</v>
      </c>
      <c r="B16" s="17" t="n">
        <v>288</v>
      </c>
      <c r="C16" s="17" t="inlineStr">
        <is>
          <t>IRISDOREME</t>
        </is>
      </c>
      <c r="D16" s="18" t="inlineStr">
        <is>
          <t>Iris Clothings Ltd</t>
        </is>
      </c>
      <c r="E16" s="18" t="inlineStr">
        <is>
          <t>consumer discretionary</t>
        </is>
      </c>
      <c r="F16" s="16" t="n">
        <v>33</v>
      </c>
      <c r="G16" s="19" t="n">
        <v>1094.6</v>
      </c>
      <c r="H16" s="18" t="inlineStr">
        <is>
          <t>Potential Leader</t>
        </is>
      </c>
      <c r="J16" s="18" t="inlineStr">
        <is>
          <t>consumer discretionary</t>
        </is>
      </c>
      <c r="K16" s="16" t="n">
        <v>138</v>
      </c>
      <c r="L16" s="16" t="n">
        <v>148</v>
      </c>
      <c r="M16" s="21" t="inlineStr">
        <is>
          <t>-6.8%</t>
        </is>
      </c>
    </row>
    <row r="17">
      <c r="A17" s="16" t="n">
        <v>12</v>
      </c>
      <c r="B17" s="17" t="n">
        <v>288</v>
      </c>
      <c r="C17" s="17" t="inlineStr">
        <is>
          <t>RADICO</t>
        </is>
      </c>
      <c r="D17" s="18" t="inlineStr">
        <is>
          <t>Radico Khaitan Limited</t>
        </is>
      </c>
      <c r="E17" s="18" t="inlineStr">
        <is>
          <t>fmcg</t>
        </is>
      </c>
      <c r="F17" s="16" t="n">
        <v>33</v>
      </c>
      <c r="G17" s="19" t="n">
        <v>62615.58</v>
      </c>
      <c r="H17" s="18" t="inlineStr">
        <is>
          <t>Potential Leader</t>
        </is>
      </c>
      <c r="J17" s="18" t="inlineStr">
        <is>
          <t>energy</t>
        </is>
      </c>
      <c r="K17" s="16" t="n">
        <v>57</v>
      </c>
      <c r="L17" s="16" t="n">
        <v>62</v>
      </c>
      <c r="M17" s="21" t="inlineStr">
        <is>
          <t>-8.1%</t>
        </is>
      </c>
    </row>
    <row r="18">
      <c r="A18" s="16" t="n">
        <v>13</v>
      </c>
      <c r="B18" s="17" t="n">
        <v>282</v>
      </c>
      <c r="C18" s="17" t="inlineStr">
        <is>
          <t>KAPSTON</t>
        </is>
      </c>
      <c r="D18" s="18" t="inlineStr">
        <is>
          <t>Kapston Services Ltd</t>
        </is>
      </c>
      <c r="E18" s="18" t="inlineStr">
        <is>
          <t>miscellaneous</t>
        </is>
      </c>
      <c r="F18" s="16" t="n">
        <v>32</v>
      </c>
      <c r="G18" s="19" t="n">
        <v>1780.59</v>
      </c>
      <c r="H18" s="18" t="inlineStr">
        <is>
          <t>Potential Leader</t>
        </is>
      </c>
      <c r="J18" s="18" t="inlineStr">
        <is>
          <t>plastic products</t>
        </is>
      </c>
      <c r="K18" s="16" t="n">
        <v>26</v>
      </c>
      <c r="L18" s="16" t="n">
        <v>29</v>
      </c>
      <c r="M18" s="21" t="inlineStr">
        <is>
          <t>-10.3%</t>
        </is>
      </c>
    </row>
    <row r="19">
      <c r="A19" s="16" t="n">
        <v>14</v>
      </c>
      <c r="B19" s="17" t="n">
        <v>282</v>
      </c>
      <c r="C19" s="17" t="inlineStr">
        <is>
          <t>SETL</t>
        </is>
      </c>
      <c r="D19" s="18" t="inlineStr">
        <is>
          <t>Standard Enginnering Technology Ltd</t>
        </is>
      </c>
      <c r="E19" s="18" t="inlineStr">
        <is>
          <t>industrials</t>
        </is>
      </c>
      <c r="F19" s="16" t="n">
        <v>32</v>
      </c>
      <c r="G19" s="19" t="n">
        <v>5937.87</v>
      </c>
      <c r="H19" s="18" t="inlineStr">
        <is>
          <t>Potential Leader</t>
        </is>
      </c>
      <c r="J19" s="18" t="inlineStr">
        <is>
          <t>i.t</t>
        </is>
      </c>
      <c r="K19" s="16" t="n">
        <v>112</v>
      </c>
      <c r="L19" s="16" t="n">
        <v>125</v>
      </c>
      <c r="M19" s="21" t="inlineStr">
        <is>
          <t>-10.4%</t>
        </is>
      </c>
    </row>
    <row r="20">
      <c r="A20" s="16" t="n">
        <v>15</v>
      </c>
      <c r="B20" s="17" t="n">
        <v>270</v>
      </c>
      <c r="C20" s="17" t="inlineStr">
        <is>
          <t>HAPPYFORGE</t>
        </is>
      </c>
      <c r="D20" s="18" t="inlineStr">
        <is>
          <t>Happy Forgings Ltd</t>
        </is>
      </c>
      <c r="E20" s="18" t="inlineStr">
        <is>
          <t>industrials</t>
        </is>
      </c>
      <c r="F20" s="16" t="n">
        <v>30</v>
      </c>
      <c r="G20" s="19" t="n">
        <v>18947.47</v>
      </c>
      <c r="H20" s="18" t="inlineStr">
        <is>
          <t>Potential Leader</t>
        </is>
      </c>
      <c r="J20" s="18" t="inlineStr">
        <is>
          <t>auto</t>
        </is>
      </c>
      <c r="K20" s="16" t="n">
        <v>205</v>
      </c>
      <c r="L20" s="16" t="n">
        <v>233</v>
      </c>
      <c r="M20" s="21" t="inlineStr">
        <is>
          <t>-12.0%</t>
        </is>
      </c>
    </row>
    <row r="21">
      <c r="A21" s="16" t="n">
        <v>16</v>
      </c>
      <c r="B21" s="17" t="n">
        <v>261</v>
      </c>
      <c r="C21" s="17" t="inlineStr">
        <is>
          <t>SONACOMS</t>
        </is>
      </c>
      <c r="D21" s="18" t="inlineStr">
        <is>
          <t>Sona BLW Precision Forgings Ltd</t>
        </is>
      </c>
      <c r="E21" s="18" t="inlineStr">
        <is>
          <t>auto</t>
        </is>
      </c>
      <c r="F21" s="16" t="n">
        <v>29</v>
      </c>
      <c r="G21" s="19" t="n">
        <v>49756.57</v>
      </c>
      <c r="H21" s="18" t="inlineStr">
        <is>
          <t>Potential Leader</t>
        </is>
      </c>
    </row>
    <row r="22">
      <c r="A22" s="16" t="n">
        <v>17</v>
      </c>
      <c r="B22" s="17" t="n">
        <v>255</v>
      </c>
      <c r="C22" s="17" t="inlineStr">
        <is>
          <t>AETHER</t>
        </is>
      </c>
      <c r="D22" s="18" t="inlineStr">
        <is>
          <t>Aether Industries Ltd</t>
        </is>
      </c>
      <c r="E22" s="18" t="inlineStr">
        <is>
          <t>chemicals</t>
        </is>
      </c>
      <c r="F22" s="16" t="n">
        <v>28</v>
      </c>
      <c r="G22" s="19" t="n">
        <v>20969.91</v>
      </c>
      <c r="H22" s="18" t="inlineStr">
        <is>
          <t>Potential Leader</t>
        </is>
      </c>
    </row>
    <row r="23">
      <c r="A23" s="16" t="n">
        <v>18</v>
      </c>
      <c r="B23" s="17" t="n">
        <v>237</v>
      </c>
      <c r="C23" s="17" t="inlineStr">
        <is>
          <t>DIACABS</t>
        </is>
      </c>
      <c r="D23" s="18" t="inlineStr">
        <is>
          <t>Diamond Power Infrastructure Ltd</t>
        </is>
      </c>
      <c r="E23" s="18" t="inlineStr">
        <is>
          <t>industrials</t>
        </is>
      </c>
      <c r="F23" s="16" t="n">
        <v>25</v>
      </c>
      <c r="G23" s="19" t="n">
        <v>19366.19</v>
      </c>
      <c r="H23" s="18" t="inlineStr">
        <is>
          <t>Potential Leader</t>
        </is>
      </c>
    </row>
    <row r="24">
      <c r="A24" s="16" t="n">
        <v>19</v>
      </c>
      <c r="B24" s="17" t="n">
        <v>225</v>
      </c>
      <c r="C24" s="17" t="inlineStr">
        <is>
          <t>SUNDRMFAST</t>
        </is>
      </c>
      <c r="D24" s="18" t="inlineStr">
        <is>
          <t>Sundram Fasteners Limited</t>
        </is>
      </c>
      <c r="E24" s="18" t="inlineStr">
        <is>
          <t>auto</t>
        </is>
      </c>
      <c r="F24" s="16" t="n">
        <v>25</v>
      </c>
      <c r="G24" s="19" t="n">
        <v>25824.78</v>
      </c>
      <c r="H24" s="18" t="inlineStr">
        <is>
          <t>Potential Leader</t>
        </is>
      </c>
    </row>
    <row r="25">
      <c r="A25" s="16" t="n">
        <v>20</v>
      </c>
      <c r="B25" s="17" t="n">
        <v>204</v>
      </c>
      <c r="C25" s="17" t="inlineStr">
        <is>
          <t>TITAN</t>
        </is>
      </c>
      <c r="D25" s="18" t="inlineStr">
        <is>
          <t>Titan Company Limited</t>
        </is>
      </c>
      <c r="E25" s="18" t="inlineStr">
        <is>
          <t>consumer discretionary</t>
        </is>
      </c>
      <c r="F25" s="16" t="n">
        <v>21</v>
      </c>
      <c r="G25" s="19" t="n">
        <v>449548.28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DOLPHIN</t>
        </is>
      </c>
      <c r="B30" s="18" t="inlineStr">
        <is>
          <t>Dolphin Offshore Enterprises (India) Ltd</t>
        </is>
      </c>
      <c r="C30" s="18" t="inlineStr">
        <is>
          <t>energy</t>
        </is>
      </c>
      <c r="D30" s="16" t="n">
        <v>10</v>
      </c>
      <c r="E30" s="16" t="n">
        <v>0</v>
      </c>
      <c r="F30" s="19" t="n">
        <v>1939.82</v>
      </c>
      <c r="J30" s="17" t="inlineStr">
        <is>
          <t>SCPL</t>
        </is>
      </c>
      <c r="K30" s="18" t="inlineStr">
        <is>
          <t>fmcg</t>
        </is>
      </c>
      <c r="L30" s="19" t="n">
        <v>295</v>
      </c>
      <c r="M30" s="19" t="n">
        <v>659.61</v>
      </c>
      <c r="N30" s="16" t="n">
        <v>27</v>
      </c>
    </row>
    <row r="31">
      <c r="A31" s="17" t="inlineStr">
        <is>
          <t>ANTHEM</t>
        </is>
      </c>
      <c r="B31" s="18" t="inlineStr">
        <is>
          <t>Anthem Biosciences Ltd</t>
        </is>
      </c>
      <c r="C31" s="18" t="inlineStr">
        <is>
          <t>healthcare</t>
        </is>
      </c>
      <c r="D31" s="16" t="n">
        <v>10</v>
      </c>
      <c r="E31" s="16" t="n">
        <v>2</v>
      </c>
      <c r="F31" s="19" t="n">
        <v>49290.53</v>
      </c>
      <c r="J31" s="17" t="inlineStr">
        <is>
          <t>KTKBANK</t>
        </is>
      </c>
      <c r="K31" s="18" t="inlineStr">
        <is>
          <t>bank</t>
        </is>
      </c>
      <c r="L31" s="19" t="n">
        <v>295</v>
      </c>
      <c r="M31" s="19" t="n">
        <v>11828.31</v>
      </c>
      <c r="N31" s="16" t="n">
        <v>24</v>
      </c>
    </row>
    <row r="32">
      <c r="A32" s="17" t="inlineStr">
        <is>
          <t>APLAPOLLO</t>
        </is>
      </c>
      <c r="B32" s="18" t="inlineStr">
        <is>
          <t>Apl Apollo Tubes Limited</t>
        </is>
      </c>
      <c r="C32" s="18" t="inlineStr">
        <is>
          <t>industrials</t>
        </is>
      </c>
      <c r="D32" s="16" t="n">
        <v>10</v>
      </c>
      <c r="E32" s="16" t="n">
        <v>1</v>
      </c>
      <c r="F32" s="19" t="n">
        <v>57317.02</v>
      </c>
      <c r="J32" s="17" t="inlineStr">
        <is>
          <t>SANGHVIMOV</t>
        </is>
      </c>
      <c r="K32" s="18" t="inlineStr">
        <is>
          <t>miscellaneous</t>
        </is>
      </c>
      <c r="L32" s="19" t="n">
        <v>293</v>
      </c>
      <c r="M32" s="19" t="n">
        <v>4300.23</v>
      </c>
      <c r="N32" s="16" t="n">
        <v>22</v>
      </c>
    </row>
    <row r="33">
      <c r="A33" s="17" t="inlineStr">
        <is>
          <t>THEJO</t>
        </is>
      </c>
      <c r="B33" s="18" t="inlineStr">
        <is>
          <t>Thejo Engineering Ltd</t>
        </is>
      </c>
      <c r="C33" s="18" t="inlineStr">
        <is>
          <t>industrials</t>
        </is>
      </c>
      <c r="D33" s="16" t="n">
        <v>10</v>
      </c>
      <c r="E33" s="16" t="n">
        <v>1</v>
      </c>
      <c r="F33" s="19" t="n">
        <v>2248.25</v>
      </c>
      <c r="J33" s="17" t="inlineStr">
        <is>
          <t>PIXTRANS</t>
        </is>
      </c>
      <c r="K33" s="18" t="inlineStr">
        <is>
          <t>fmcg</t>
        </is>
      </c>
      <c r="L33" s="19" t="n">
        <v>292</v>
      </c>
      <c r="M33" s="19" t="n">
        <v>2623.67</v>
      </c>
      <c r="N33" s="16" t="n">
        <v>18</v>
      </c>
    </row>
    <row r="34">
      <c r="A34" s="17" t="inlineStr">
        <is>
          <t>SMLMAH</t>
        </is>
      </c>
      <c r="B34" s="18" t="inlineStr">
        <is>
          <t>SML Mahindra Ltd</t>
        </is>
      </c>
      <c r="C34" s="18" t="inlineStr">
        <is>
          <t>auto</t>
        </is>
      </c>
      <c r="D34" s="16" t="n">
        <v>10</v>
      </c>
      <c r="E34" s="16" t="n">
        <v>2</v>
      </c>
      <c r="F34" s="19" t="n">
        <v>7484.74</v>
      </c>
      <c r="J34" s="17" t="inlineStr">
        <is>
          <t>IOLCP</t>
        </is>
      </c>
      <c r="K34" s="18" t="inlineStr">
        <is>
          <t>healthcare</t>
        </is>
      </c>
      <c r="L34" s="19" t="n">
        <v>290</v>
      </c>
      <c r="M34" s="19" t="n">
        <v>4873.14</v>
      </c>
      <c r="N34" s="16" t="n">
        <v>17</v>
      </c>
    </row>
    <row r="35">
      <c r="A35" s="17" t="inlineStr">
        <is>
          <t>UTTAMSUGAR</t>
        </is>
      </c>
      <c r="B35" s="18" t="inlineStr">
        <is>
          <t>Uttam Sugar Mills Limited</t>
        </is>
      </c>
      <c r="C35" s="18" t="inlineStr">
        <is>
          <t>fmcg</t>
        </is>
      </c>
      <c r="D35" s="16" t="n">
        <v>10</v>
      </c>
      <c r="E35" s="16" t="n">
        <v>0</v>
      </c>
      <c r="F35" s="19" t="n">
        <v>1010.62</v>
      </c>
      <c r="J35" s="17" t="inlineStr">
        <is>
          <t>SUVEN</t>
        </is>
      </c>
      <c r="K35" s="18" t="inlineStr">
        <is>
          <t>healthcare</t>
        </is>
      </c>
      <c r="L35" s="19" t="n">
        <v>290</v>
      </c>
      <c r="M35" s="19" t="n">
        <v>630.66</v>
      </c>
      <c r="N35" s="16" t="n">
        <v>15</v>
      </c>
    </row>
    <row r="36">
      <c r="A36" s="17" t="inlineStr">
        <is>
          <t>UEL</t>
        </is>
      </c>
      <c r="B36" s="18" t="inlineStr">
        <is>
          <t>Ujaas Energy Ltd</t>
        </is>
      </c>
      <c r="C36" s="18" t="inlineStr">
        <is>
          <t>power &amp; utilities</t>
        </is>
      </c>
      <c r="D36" s="16" t="n">
        <v>10</v>
      </c>
      <c r="E36" s="16" t="n">
        <v>0</v>
      </c>
      <c r="F36" s="19" t="n">
        <v>3288.26</v>
      </c>
      <c r="J36" s="17" t="inlineStr">
        <is>
          <t>VINDHYATEL</t>
        </is>
      </c>
      <c r="K36" s="18" t="inlineStr">
        <is>
          <t>realty</t>
        </is>
      </c>
      <c r="L36" s="19" t="n">
        <v>288</v>
      </c>
      <c r="M36" s="19" t="n">
        <v>2915.79</v>
      </c>
      <c r="N36" s="16" t="n">
        <v>18</v>
      </c>
    </row>
    <row r="37">
      <c r="A37" s="17" t="inlineStr">
        <is>
          <t>SHALPAINTS</t>
        </is>
      </c>
      <c r="B37" s="18" t="inlineStr">
        <is>
          <t>Shalimar Paints Limited</t>
        </is>
      </c>
      <c r="C37" s="18" t="inlineStr">
        <is>
          <t>building materials</t>
        </is>
      </c>
      <c r="D37" s="16" t="n">
        <v>10</v>
      </c>
      <c r="E37" s="16" t="n">
        <v>0</v>
      </c>
      <c r="F37" s="19" t="n">
        <v>728.62</v>
      </c>
      <c r="J37" s="17" t="inlineStr">
        <is>
          <t>FCL</t>
        </is>
      </c>
      <c r="K37" s="18" t="inlineStr">
        <is>
          <t>chemicals</t>
        </is>
      </c>
      <c r="L37" s="19" t="n">
        <v>288</v>
      </c>
      <c r="M37" s="19" t="n">
        <v>4851.31</v>
      </c>
      <c r="N37" s="16" t="n">
        <v>17</v>
      </c>
    </row>
    <row r="38">
      <c r="A38" s="17" t="inlineStr">
        <is>
          <t>KOTHARIPET</t>
        </is>
      </c>
      <c r="B38" s="18" t="inlineStr">
        <is>
          <t>Kothari Petrochemicals Limited</t>
        </is>
      </c>
      <c r="C38" s="18" t="inlineStr">
        <is>
          <t>energy</t>
        </is>
      </c>
      <c r="D38" s="16" t="n">
        <v>10</v>
      </c>
      <c r="E38" s="16" t="n">
        <v>1</v>
      </c>
      <c r="F38" s="19" t="n">
        <v>880.64</v>
      </c>
      <c r="J38" s="17" t="inlineStr">
        <is>
          <t>CHEMBONDCH</t>
        </is>
      </c>
      <c r="K38" s="18" t="inlineStr">
        <is>
          <t>chemicals</t>
        </is>
      </c>
      <c r="L38" s="19" t="n">
        <v>288</v>
      </c>
      <c r="M38" s="19" t="n">
        <v>732.45</v>
      </c>
      <c r="N38" s="16" t="n">
        <v>5</v>
      </c>
    </row>
    <row r="39">
      <c r="A39" s="17" t="inlineStr">
        <is>
          <t>LTFOODS</t>
        </is>
      </c>
      <c r="B39" s="18" t="inlineStr">
        <is>
          <t>L T Foods Ltd</t>
        </is>
      </c>
      <c r="C39" s="18" t="inlineStr">
        <is>
          <t>fmcg</t>
        </is>
      </c>
      <c r="D39" s="16" t="n">
        <v>10</v>
      </c>
      <c r="E39" s="16" t="n">
        <v>1</v>
      </c>
      <c r="F39" s="19" t="n">
        <v>14548.16</v>
      </c>
      <c r="J39" s="17" t="inlineStr">
        <is>
          <t>VADILALIND</t>
        </is>
      </c>
      <c r="K39" s="18" t="inlineStr">
        <is>
          <t>fmcg</t>
        </is>
      </c>
      <c r="L39" s="19" t="n">
        <v>287</v>
      </c>
      <c r="M39" s="19" t="n">
        <v>5592.85</v>
      </c>
      <c r="N39" s="16" t="n">
        <v>30</v>
      </c>
    </row>
    <row r="40">
      <c r="A40" s="17" t="inlineStr">
        <is>
          <t>CEATLTD</t>
        </is>
      </c>
      <c r="B40" s="18" t="inlineStr">
        <is>
          <t>Ceat Limited</t>
        </is>
      </c>
      <c r="C40" s="18" t="inlineStr">
        <is>
          <t>auto</t>
        </is>
      </c>
      <c r="D40" s="16" t="n">
        <v>9</v>
      </c>
      <c r="E40" s="16" t="n">
        <v>1</v>
      </c>
      <c r="F40" s="19" t="n">
        <v>14952.38</v>
      </c>
      <c r="J40" s="17" t="inlineStr">
        <is>
          <t>UJJIVANSFB</t>
        </is>
      </c>
      <c r="K40" s="18" t="inlineStr">
        <is>
          <t>bank</t>
        </is>
      </c>
      <c r="L40" s="19" t="n">
        <v>287</v>
      </c>
      <c r="M40" s="19" t="n">
        <v>13848.28</v>
      </c>
      <c r="N40" s="16" t="n">
        <v>25</v>
      </c>
    </row>
    <row r="41">
      <c r="A41" s="17" t="inlineStr">
        <is>
          <t>BALKRISIND</t>
        </is>
      </c>
      <c r="B41" s="18" t="inlineStr">
        <is>
          <t>Balkrishna Industries Limited</t>
        </is>
      </c>
      <c r="C41" s="18" t="inlineStr">
        <is>
          <t>Consumer Cyclical</t>
        </is>
      </c>
      <c r="D41" s="16" t="n">
        <v>9</v>
      </c>
      <c r="E41" s="16" t="n">
        <v>2</v>
      </c>
      <c r="F41" s="19" t="n">
        <v>45692.45</v>
      </c>
      <c r="J41" s="17" t="inlineStr">
        <is>
          <t>RPTECH</t>
        </is>
      </c>
      <c r="K41" s="18" t="inlineStr">
        <is>
          <t>Technology</t>
        </is>
      </c>
      <c r="L41" s="19" t="n">
        <v>287</v>
      </c>
      <c r="M41" s="19" t="n">
        <v>5496.36</v>
      </c>
      <c r="N41" s="16" t="n">
        <v>29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128.4</v>
      </c>
      <c r="D47" s="28" t="n">
        <v>285</v>
      </c>
      <c r="E47" s="17" t="inlineStr">
        <is>
          <t>AXISOL</t>
        </is>
      </c>
      <c r="F47" s="18" t="inlineStr">
        <is>
          <t>Axis Solutions Limited</t>
        </is>
      </c>
      <c r="G47" s="18" t="inlineStr">
        <is>
          <t>Industrials</t>
        </is>
      </c>
      <c r="H47" s="19" t="n">
        <v>2666.86</v>
      </c>
    </row>
    <row r="48">
      <c r="A48" s="16" t="n">
        <v>2</v>
      </c>
      <c r="B48" s="27" t="n">
        <v>99</v>
      </c>
      <c r="C48" s="28" t="n">
        <v>71.01000000000001</v>
      </c>
      <c r="D48" s="28" t="n">
        <v>253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13021.23</v>
      </c>
    </row>
    <row r="49">
      <c r="A49" s="16" t="n">
        <v>3</v>
      </c>
      <c r="B49" s="27" t="n">
        <v>98</v>
      </c>
      <c r="C49" s="28" t="n">
        <v>59.9</v>
      </c>
      <c r="D49" s="28" t="n">
        <v>260</v>
      </c>
      <c r="E49" s="17" t="inlineStr">
        <is>
          <t>YASHO</t>
        </is>
      </c>
      <c r="F49" s="18" t="inlineStr">
        <is>
          <t>Yasho Industries Ltd</t>
        </is>
      </c>
      <c r="G49" s="18" t="inlineStr">
        <is>
          <t>chemicals</t>
        </is>
      </c>
      <c r="H49" s="19" t="n">
        <v>5156.22</v>
      </c>
    </row>
    <row r="50">
      <c r="A50" s="16" t="n">
        <v>4</v>
      </c>
      <c r="B50" s="27" t="n">
        <v>98</v>
      </c>
      <c r="C50" s="28" t="n">
        <v>57.24</v>
      </c>
      <c r="D50" s="28" t="n">
        <v>277</v>
      </c>
      <c r="E50" s="17" t="inlineStr">
        <is>
          <t>INDSWFTLAB</t>
        </is>
      </c>
      <c r="F50" s="18" t="inlineStr">
        <is>
          <t>Ind-swift Laboratories Limited</t>
        </is>
      </c>
      <c r="G50" s="18" t="inlineStr">
        <is>
          <t>healthcare</t>
        </is>
      </c>
      <c r="H50" s="19" t="n">
        <v>2579.54</v>
      </c>
    </row>
    <row r="51">
      <c r="A51" s="16" t="n">
        <v>5</v>
      </c>
      <c r="B51" s="27" t="n">
        <v>98</v>
      </c>
      <c r="C51" s="28" t="n">
        <v>55.09</v>
      </c>
      <c r="D51" s="28" t="n">
        <v>280</v>
      </c>
      <c r="E51" s="17" t="inlineStr">
        <is>
          <t>E2E</t>
        </is>
      </c>
      <c r="F51" s="18" t="inlineStr">
        <is>
          <t>E2E Networks Ltd</t>
        </is>
      </c>
      <c r="G51" s="18" t="inlineStr">
        <is>
          <t>i.t</t>
        </is>
      </c>
      <c r="H51" s="19" t="n">
        <v>13053.37</v>
      </c>
    </row>
    <row r="52">
      <c r="A52" s="16" t="n">
        <v>6</v>
      </c>
      <c r="B52" s="27" t="n">
        <v>97</v>
      </c>
      <c r="C52" s="28" t="n">
        <v>53.61</v>
      </c>
      <c r="D52" s="28" t="n">
        <v>268</v>
      </c>
      <c r="E52" s="17" t="inlineStr">
        <is>
          <t>UFBL</t>
        </is>
      </c>
      <c r="F52" s="18" t="inlineStr">
        <is>
          <t>United Foodbrands Ltd</t>
        </is>
      </c>
      <c r="G52" s="18" t="inlineStr">
        <is>
          <t>consumer discretionary</t>
        </is>
      </c>
      <c r="H52" s="19" t="n">
        <v>2992.06</v>
      </c>
    </row>
    <row r="53">
      <c r="A53" s="16" t="n">
        <v>7</v>
      </c>
      <c r="B53" s="27" t="n">
        <v>97</v>
      </c>
      <c r="C53" s="28" t="n">
        <v>53.35</v>
      </c>
      <c r="D53" s="28" t="n">
        <v>275</v>
      </c>
      <c r="E53" s="17" t="inlineStr">
        <is>
          <t>VENUSREM</t>
        </is>
      </c>
      <c r="F53" s="18" t="inlineStr">
        <is>
          <t>Venus Remedies Limited</t>
        </is>
      </c>
      <c r="G53" s="18" t="inlineStr">
        <is>
          <t>healthcare</t>
        </is>
      </c>
      <c r="H53" s="19" t="n">
        <v>2311.55</v>
      </c>
    </row>
    <row r="54">
      <c r="A54" s="16" t="n">
        <v>8</v>
      </c>
      <c r="B54" s="27" t="n">
        <v>97</v>
      </c>
      <c r="C54" s="28" t="n">
        <v>51.98</v>
      </c>
      <c r="D54" s="28" t="n">
        <v>277</v>
      </c>
      <c r="E54" s="17" t="inlineStr">
        <is>
          <t>KPL</t>
        </is>
      </c>
      <c r="F54" s="18" t="inlineStr">
        <is>
          <t>Kwality Pharmaceuticals Limited</t>
        </is>
      </c>
      <c r="G54" s="18" t="inlineStr">
        <is>
          <t>Healthcare</t>
        </is>
      </c>
      <c r="H54" s="19" t="n">
        <v>3574.34</v>
      </c>
    </row>
    <row r="55">
      <c r="A55" s="16" t="n">
        <v>9</v>
      </c>
      <c r="B55" s="27" t="n">
        <v>96</v>
      </c>
      <c r="C55" s="28" t="n">
        <v>51.07</v>
      </c>
      <c r="D55" s="28" t="n">
        <v>273</v>
      </c>
      <c r="E55" s="17" t="inlineStr">
        <is>
          <t>HITECHCORP</t>
        </is>
      </c>
      <c r="F55" s="18" t="inlineStr">
        <is>
          <t>Hitech Corporation</t>
        </is>
      </c>
      <c r="G55" s="18" t="inlineStr">
        <is>
          <t>industrials</t>
        </is>
      </c>
      <c r="H55" s="19" t="n">
        <v>568.4299999999999</v>
      </c>
    </row>
    <row r="56">
      <c r="A56" s="16" t="n">
        <v>10</v>
      </c>
      <c r="B56" s="27" t="n">
        <v>96</v>
      </c>
      <c r="C56" s="28" t="n">
        <v>49.14</v>
      </c>
      <c r="D56" s="28" t="n">
        <v>235</v>
      </c>
      <c r="E56" s="17" t="inlineStr">
        <is>
          <t>SVRL</t>
        </is>
      </c>
      <c r="F56" s="18" t="inlineStr">
        <is>
          <t>Shri Venkatesh Refineries Limited</t>
        </is>
      </c>
      <c r="G56" s="18" t="inlineStr">
        <is>
          <t>Consumer Defensive</t>
        </is>
      </c>
      <c r="H56" s="19" t="n">
        <v>1218.55</v>
      </c>
    </row>
    <row r="57">
      <c r="A57" s="16" t="n">
        <v>11</v>
      </c>
      <c r="B57" s="27" t="n">
        <v>96</v>
      </c>
      <c r="C57" s="28" t="n">
        <v>46.54</v>
      </c>
      <c r="D57" s="28" t="n">
        <v>275</v>
      </c>
      <c r="E57" s="17" t="inlineStr">
        <is>
          <t>BLISSGVS</t>
        </is>
      </c>
      <c r="F57" s="18" t="inlineStr">
        <is>
          <t>Bliss Gvs Pharma Limited</t>
        </is>
      </c>
      <c r="G57" s="18" t="inlineStr">
        <is>
          <t>healthcare</t>
        </is>
      </c>
      <c r="H57" s="19" t="n">
        <v>5451.29</v>
      </c>
    </row>
    <row r="58">
      <c r="A58" s="16" t="n">
        <v>12</v>
      </c>
      <c r="B58" s="27" t="n">
        <v>95</v>
      </c>
      <c r="C58" s="28" t="n">
        <v>45.64</v>
      </c>
      <c r="D58" s="28" t="n">
        <v>275</v>
      </c>
      <c r="E58" s="17" t="inlineStr">
        <is>
          <t>MODISONLTD</t>
        </is>
      </c>
      <c r="F58" s="18" t="inlineStr">
        <is>
          <t>Modison Ltd</t>
        </is>
      </c>
      <c r="G58" s="18" t="inlineStr">
        <is>
          <t>industrials</t>
        </is>
      </c>
      <c r="H58" s="19" t="n">
        <v>1048.14</v>
      </c>
    </row>
    <row r="59">
      <c r="A59" s="16" t="n">
        <v>13</v>
      </c>
      <c r="B59" s="27" t="n">
        <v>95</v>
      </c>
      <c r="C59" s="28" t="n">
        <v>44.83</v>
      </c>
      <c r="D59" s="28" t="n">
        <v>260</v>
      </c>
      <c r="E59" s="17" t="inlineStr">
        <is>
          <t>BAFNAPH</t>
        </is>
      </c>
      <c r="F59" s="18" t="inlineStr">
        <is>
          <t>Bafna Pharmaceuticals Ltd</t>
        </is>
      </c>
      <c r="G59" s="18" t="inlineStr">
        <is>
          <t>healthcare</t>
        </is>
      </c>
      <c r="H59" s="19" t="n">
        <v>622.04</v>
      </c>
    </row>
    <row r="60">
      <c r="A60" s="16" t="n">
        <v>14</v>
      </c>
      <c r="B60" s="29" t="n">
        <v>94</v>
      </c>
      <c r="C60" s="28" t="n">
        <v>42.38</v>
      </c>
      <c r="D60" s="28" t="n">
        <v>273</v>
      </c>
      <c r="E60" s="17" t="inlineStr">
        <is>
          <t>NRL</t>
        </is>
      </c>
      <c r="F60" s="18" t="inlineStr">
        <is>
          <t>Nupur Recyclers Ltd</t>
        </is>
      </c>
      <c r="G60" s="18" t="inlineStr">
        <is>
          <t>services</t>
        </is>
      </c>
      <c r="H60" s="19" t="n">
        <v>808.11</v>
      </c>
    </row>
    <row r="61">
      <c r="A61" s="16" t="n">
        <v>15</v>
      </c>
      <c r="B61" s="29" t="n">
        <v>94</v>
      </c>
      <c r="C61" s="28" t="n">
        <v>41.29</v>
      </c>
      <c r="D61" s="28" t="n">
        <v>268</v>
      </c>
      <c r="E61" s="17" t="inlineStr">
        <is>
          <t>MTARTECH</t>
        </is>
      </c>
      <c r="F61" s="18" t="inlineStr">
        <is>
          <t>MTAR Technologies Ltd</t>
        </is>
      </c>
      <c r="G61" s="18" t="inlineStr">
        <is>
          <t>aerospace &amp; defence</t>
        </is>
      </c>
      <c r="H61" s="19" t="n">
        <v>22251.49</v>
      </c>
    </row>
    <row r="62">
      <c r="A62" s="16" t="n">
        <v>16</v>
      </c>
      <c r="B62" s="29" t="n">
        <v>94</v>
      </c>
      <c r="C62" s="28" t="n">
        <v>40.16</v>
      </c>
      <c r="D62" s="28" t="n">
        <v>270</v>
      </c>
      <c r="E62" s="17" t="inlineStr">
        <is>
          <t>SKYGOLD</t>
        </is>
      </c>
      <c r="F62" s="18" t="inlineStr">
        <is>
          <t>Sky Gold Ltd</t>
        </is>
      </c>
      <c r="G62" s="18" t="inlineStr">
        <is>
          <t>consumer discretionary</t>
        </is>
      </c>
      <c r="H62" s="19" t="n">
        <v>11986.46</v>
      </c>
    </row>
    <row r="63">
      <c r="A63" s="16" t="n">
        <v>17</v>
      </c>
      <c r="B63" s="29" t="n">
        <v>93</v>
      </c>
      <c r="C63" s="28" t="n">
        <v>39.23</v>
      </c>
      <c r="D63" s="28" t="n">
        <v>248</v>
      </c>
      <c r="E63" s="17" t="inlineStr">
        <is>
          <t>KAPSTON</t>
        </is>
      </c>
      <c r="F63" s="18" t="inlineStr">
        <is>
          <t>Kapston Services Ltd</t>
        </is>
      </c>
      <c r="G63" s="18" t="inlineStr">
        <is>
          <t>miscellaneous</t>
        </is>
      </c>
      <c r="H63" s="19" t="n">
        <v>1780.59</v>
      </c>
    </row>
    <row r="64">
      <c r="A64" s="16" t="n">
        <v>18</v>
      </c>
      <c r="B64" s="29" t="n">
        <v>93</v>
      </c>
      <c r="C64" s="28" t="n">
        <v>38.98</v>
      </c>
      <c r="D64" s="28" t="n">
        <v>287</v>
      </c>
      <c r="E64" s="17" t="inlineStr">
        <is>
          <t>RPTECH</t>
        </is>
      </c>
      <c r="F64" s="18" t="inlineStr">
        <is>
          <t>Rashi Peripherals Limited</t>
        </is>
      </c>
      <c r="G64" s="18" t="inlineStr">
        <is>
          <t>Technology</t>
        </is>
      </c>
      <c r="H64" s="19" t="n">
        <v>5496.36</v>
      </c>
    </row>
    <row r="65">
      <c r="A65" s="16" t="n">
        <v>19</v>
      </c>
      <c r="B65" s="29" t="n">
        <v>93</v>
      </c>
      <c r="C65" s="28" t="n">
        <v>38.76</v>
      </c>
      <c r="D65" s="28" t="n">
        <v>277</v>
      </c>
      <c r="E65" s="17" t="inlineStr">
        <is>
          <t>CNL</t>
        </is>
      </c>
      <c r="F65" s="18" t="inlineStr">
        <is>
          <t>Creative Newtech Limited</t>
        </is>
      </c>
      <c r="G65" s="18" t="inlineStr">
        <is>
          <t>Technology</t>
        </is>
      </c>
      <c r="H65" s="19" t="n">
        <v>1866.57</v>
      </c>
    </row>
    <row r="66">
      <c r="A66" s="16" t="n">
        <v>20</v>
      </c>
      <c r="B66" s="29" t="n">
        <v>92</v>
      </c>
      <c r="C66" s="28" t="n">
        <v>38.75</v>
      </c>
      <c r="D66" s="28" t="n">
        <v>262</v>
      </c>
      <c r="E66" s="17" t="inlineStr">
        <is>
          <t>MOREPENLAB</t>
        </is>
      </c>
      <c r="F66" s="18" t="inlineStr">
        <is>
          <t>Morepen Laboratories Limited</t>
        </is>
      </c>
      <c r="G66" s="18" t="inlineStr">
        <is>
          <t>healthcare</t>
        </is>
      </c>
      <c r="H66" s="19" t="n">
        <v>4432.4</v>
      </c>
    </row>
    <row r="67">
      <c r="A67" s="16" t="n">
        <v>21</v>
      </c>
      <c r="B67" s="29" t="n">
        <v>92</v>
      </c>
      <c r="C67" s="28" t="n">
        <v>37.94</v>
      </c>
      <c r="D67" s="28" t="n">
        <v>250</v>
      </c>
      <c r="E67" s="17" t="inlineStr">
        <is>
          <t>COMSYN</t>
        </is>
      </c>
      <c r="F67" s="18" t="inlineStr">
        <is>
          <t>Commercial Syn Bags Ltd</t>
        </is>
      </c>
      <c r="G67" s="18" t="inlineStr">
        <is>
          <t>industrials</t>
        </is>
      </c>
      <c r="H67" s="19" t="n">
        <v>1140.23</v>
      </c>
    </row>
    <row r="68">
      <c r="A68" s="16" t="n">
        <v>22</v>
      </c>
      <c r="B68" s="29" t="n">
        <v>92</v>
      </c>
      <c r="C68" s="28" t="n">
        <v>36.56</v>
      </c>
      <c r="D68" s="28" t="n">
        <v>238</v>
      </c>
      <c r="E68" s="17" t="inlineStr">
        <is>
          <t>MARINE</t>
        </is>
      </c>
      <c r="F68" s="18" t="inlineStr">
        <is>
          <t>Marine Electricals (India) Ltd</t>
        </is>
      </c>
      <c r="G68" s="18" t="inlineStr">
        <is>
          <t>industrials</t>
        </is>
      </c>
      <c r="H68" s="19" t="n">
        <v>5194.74</v>
      </c>
    </row>
    <row r="69">
      <c r="A69" s="16" t="n">
        <v>23</v>
      </c>
      <c r="B69" s="29" t="n">
        <v>91</v>
      </c>
      <c r="C69" s="28" t="n">
        <v>36.35</v>
      </c>
      <c r="D69" s="28" t="n">
        <v>285</v>
      </c>
      <c r="E69" s="17" t="inlineStr">
        <is>
          <t>PARAS</t>
        </is>
      </c>
      <c r="F69" s="18" t="inlineStr">
        <is>
          <t>Paras Defence and Space Technologies Ltd</t>
        </is>
      </c>
      <c r="G69" s="18" t="inlineStr">
        <is>
          <t>aerospace &amp; defence</t>
        </is>
      </c>
      <c r="H69" s="19" t="n">
        <v>10816.43</v>
      </c>
    </row>
    <row r="70">
      <c r="A70" s="16" t="n">
        <v>24</v>
      </c>
      <c r="B70" s="29" t="n">
        <v>91</v>
      </c>
      <c r="C70" s="28" t="n">
        <v>35.93</v>
      </c>
      <c r="D70" s="28" t="n">
        <v>255</v>
      </c>
      <c r="E70" s="17" t="inlineStr">
        <is>
          <t>KMEW</t>
        </is>
      </c>
      <c r="F70" s="18" t="inlineStr">
        <is>
          <t>Knowledge Marine &amp; Engineering Works Ltd</t>
        </is>
      </c>
      <c r="G70" s="18" t="inlineStr">
        <is>
          <t>transportation</t>
        </is>
      </c>
      <c r="H70" s="19" t="n">
        <v>6623.86</v>
      </c>
    </row>
    <row r="71">
      <c r="A71" s="16" t="n">
        <v>25</v>
      </c>
      <c r="B71" s="29" t="n">
        <v>91</v>
      </c>
      <c r="C71" s="28" t="n">
        <v>33.19</v>
      </c>
      <c r="D71" s="28" t="n">
        <v>283</v>
      </c>
      <c r="E71" s="17" t="inlineStr">
        <is>
          <t>FILATEX</t>
        </is>
      </c>
      <c r="F71" s="18" t="inlineStr">
        <is>
          <t>Filatex India Limited</t>
        </is>
      </c>
      <c r="G71" s="18" t="inlineStr">
        <is>
          <t>textiles</t>
        </is>
      </c>
      <c r="H71" s="19" t="n">
        <v>3654.16</v>
      </c>
    </row>
    <row r="72">
      <c r="A72" s="16" t="n">
        <v>26</v>
      </c>
      <c r="B72" s="29" t="n">
        <v>90</v>
      </c>
      <c r="C72" s="28" t="n">
        <v>32.44</v>
      </c>
      <c r="D72" s="28" t="n">
        <v>282</v>
      </c>
      <c r="E72" s="17" t="inlineStr">
        <is>
          <t>NGLFINE</t>
        </is>
      </c>
      <c r="F72" s="18" t="inlineStr">
        <is>
          <t>NGL Fine Chem Ltd</t>
        </is>
      </c>
      <c r="G72" s="18" t="inlineStr">
        <is>
          <t>healthcare</t>
        </is>
      </c>
      <c r="H72" s="19" t="n">
        <v>2122.46</v>
      </c>
    </row>
    <row r="73">
      <c r="A73" s="16" t="n">
        <v>27</v>
      </c>
      <c r="B73" s="29" t="n">
        <v>90</v>
      </c>
      <c r="C73" s="28" t="n">
        <v>31.96</v>
      </c>
      <c r="D73" s="28" t="n">
        <v>272</v>
      </c>
      <c r="E73" s="17" t="inlineStr">
        <is>
          <t>SHILPAMED</t>
        </is>
      </c>
      <c r="F73" s="18" t="inlineStr">
        <is>
          <t>Shilpa Medicare Limited</t>
        </is>
      </c>
      <c r="G73" s="18" t="inlineStr">
        <is>
          <t>healthcare</t>
        </is>
      </c>
      <c r="H73" s="19" t="n">
        <v>15784.43</v>
      </c>
    </row>
    <row r="74">
      <c r="A74" s="16" t="n">
        <v>28</v>
      </c>
      <c r="B74" s="29" t="n">
        <v>90</v>
      </c>
      <c r="C74" s="28" t="n">
        <v>31.57</v>
      </c>
      <c r="D74" s="28" t="n">
        <v>0</v>
      </c>
      <c r="E74" s="17" t="inlineStr">
        <is>
          <t>KSHINTL</t>
        </is>
      </c>
      <c r="F74" s="18" t="inlineStr">
        <is>
          <t>KSHINTL</t>
        </is>
      </c>
      <c r="G74" s="18" t="inlineStr">
        <is>
          <t>Industrials</t>
        </is>
      </c>
      <c r="H74" s="19" t="n">
        <v>6969.35</v>
      </c>
    </row>
    <row r="75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GALAXYSURF</t>
        </is>
      </c>
      <c r="B2" s="31" t="inlineStr">
        <is>
          <t>Galaxy Surfactants Ltd</t>
        </is>
      </c>
      <c r="C2" s="31" t="inlineStr">
        <is>
          <t>chemicals</t>
        </is>
      </c>
      <c r="D2" s="31" t="inlineStr">
        <is>
          <t>chemicals</t>
        </is>
      </c>
      <c r="E2" s="31" t="inlineStr">
        <is>
          <t>midcap</t>
        </is>
      </c>
      <c r="F2" s="31" t="n">
        <v>7411.46</v>
      </c>
      <c r="G2" s="31" t="n">
        <v>2508.4</v>
      </c>
      <c r="H2" s="31" t="n">
        <v>20</v>
      </c>
      <c r="I2" s="31" t="n">
        <v>632653</v>
      </c>
      <c r="J2" s="31" t="inlineStr">
        <is>
          <t>540935</t>
        </is>
      </c>
    </row>
    <row r="3">
      <c r="A3" s="31" t="inlineStr">
        <is>
          <t>APEX</t>
        </is>
      </c>
      <c r="B3" s="31" t="inlineStr">
        <is>
          <t>Apex Frozen Foods Ltd</t>
        </is>
      </c>
      <c r="C3" s="31" t="inlineStr">
        <is>
          <t>fmcg</t>
        </is>
      </c>
      <c r="D3" s="31" t="inlineStr">
        <is>
          <t>aquaculture</t>
        </is>
      </c>
      <c r="E3" s="31" t="inlineStr">
        <is>
          <t>smallcap</t>
        </is>
      </c>
      <c r="F3" s="31" t="n">
        <v>1149.06</v>
      </c>
      <c r="G3" s="31" t="n">
        <v>426.35</v>
      </c>
      <c r="H3" s="31" t="n">
        <v>15.95</v>
      </c>
      <c r="I3" s="31" t="n">
        <v>9316207</v>
      </c>
      <c r="J3" s="31" t="inlineStr">
        <is>
          <t>540692</t>
        </is>
      </c>
    </row>
    <row r="4">
      <c r="A4" s="31" t="inlineStr">
        <is>
          <t>TARSONS</t>
        </is>
      </c>
      <c r="B4" s="31" t="inlineStr">
        <is>
          <t>Tarsons Products Ltd</t>
        </is>
      </c>
      <c r="C4" s="31" t="inlineStr">
        <is>
          <t>healthcare</t>
        </is>
      </c>
      <c r="D4" s="31" t="inlineStr">
        <is>
          <t>miscellaneous</t>
        </is>
      </c>
      <c r="E4" s="31" t="inlineStr">
        <is>
          <t>smallcap</t>
        </is>
      </c>
      <c r="F4" s="31" t="n">
        <v>1663.76</v>
      </c>
      <c r="G4" s="31" t="n">
        <v>360.3</v>
      </c>
      <c r="H4" s="31" t="n">
        <v>15.22</v>
      </c>
      <c r="I4" s="31" t="n">
        <v>9830522</v>
      </c>
      <c r="J4" s="31" t="inlineStr">
        <is>
          <t>543399</t>
        </is>
      </c>
    </row>
    <row r="5">
      <c r="A5" s="31" t="inlineStr">
        <is>
          <t>MOTISONS</t>
        </is>
      </c>
      <c r="B5" s="31" t="inlineStr">
        <is>
          <t>Motisons Jewellers Ltd</t>
        </is>
      </c>
      <c r="C5" s="31" t="inlineStr">
        <is>
          <t>consumer discretionary</t>
        </is>
      </c>
      <c r="D5" s="31" t="inlineStr">
        <is>
          <t>diamond cutting / jewellery</t>
        </is>
      </c>
      <c r="E5" s="31" t="inlineStr">
        <is>
          <t>smallcap</t>
        </is>
      </c>
      <c r="F5" s="31" t="n">
        <v>1663.03</v>
      </c>
      <c r="G5" s="31" t="n">
        <v>16.75</v>
      </c>
      <c r="H5" s="31" t="n">
        <v>14.57</v>
      </c>
      <c r="I5" s="31" t="n">
        <v>410441404</v>
      </c>
      <c r="J5" s="31" t="inlineStr">
        <is>
          <t>544053</t>
        </is>
      </c>
    </row>
    <row r="6">
      <c r="A6" s="31" t="inlineStr">
        <is>
          <t>AVTNPL</t>
        </is>
      </c>
      <c r="B6" s="31" t="inlineStr">
        <is>
          <t>Avt Natural Products Limited</t>
        </is>
      </c>
      <c r="C6" s="31" t="inlineStr">
        <is>
          <t>fmcg</t>
        </is>
      </c>
      <c r="D6" s="31" t="inlineStr">
        <is>
          <t>solvent extraction</t>
        </is>
      </c>
      <c r="E6" s="31" t="inlineStr">
        <is>
          <t>smallcap</t>
        </is>
      </c>
      <c r="F6" s="31" t="n">
        <v>1085.94</v>
      </c>
      <c r="G6" s="31" t="n">
        <v>81.25</v>
      </c>
      <c r="H6" s="31" t="n">
        <v>13.94</v>
      </c>
      <c r="I6" s="31" t="n">
        <v>2546524</v>
      </c>
      <c r="J6" s="31" t="inlineStr">
        <is>
          <t>519105</t>
        </is>
      </c>
    </row>
    <row r="7">
      <c r="A7" s="31" t="inlineStr">
        <is>
          <t>TVSSRICHAK</t>
        </is>
      </c>
      <c r="B7" s="31" t="inlineStr">
        <is>
          <t>Tvs Srichakra Limited</t>
        </is>
      </c>
      <c r="C7" s="31" t="inlineStr">
        <is>
          <t>auto</t>
        </is>
      </c>
      <c r="D7" s="31" t="inlineStr">
        <is>
          <t>tyres</t>
        </is>
      </c>
      <c r="E7" s="31" t="inlineStr">
        <is>
          <t>smallcap</t>
        </is>
      </c>
      <c r="F7" s="31" t="n">
        <v>3058.91</v>
      </c>
      <c r="G7" s="31" t="n">
        <v>4478.1</v>
      </c>
      <c r="H7" s="31" t="n">
        <v>12.1</v>
      </c>
      <c r="I7" s="31" t="n">
        <v>711409</v>
      </c>
      <c r="J7" s="31" t="inlineStr">
        <is>
          <t>509243</t>
        </is>
      </c>
    </row>
    <row r="8">
      <c r="A8" s="31" t="inlineStr">
        <is>
          <t>RGL</t>
        </is>
      </c>
      <c r="B8" s="31" t="inlineStr">
        <is>
          <t>Renaissance Global Ltd</t>
        </is>
      </c>
      <c r="C8" s="31" t="inlineStr">
        <is>
          <t>consumer discretionary</t>
        </is>
      </c>
      <c r="D8" s="31" t="inlineStr">
        <is>
          <t>diamond cutting / jewellery</t>
        </is>
      </c>
      <c r="E8" s="31" t="inlineStr">
        <is>
          <t>smallcap</t>
        </is>
      </c>
      <c r="F8" s="31" t="n">
        <v>1193.29</v>
      </c>
      <c r="G8" s="31" t="n">
        <v>123.03</v>
      </c>
      <c r="H8" s="31" t="n">
        <v>10.7</v>
      </c>
      <c r="I8" s="31" t="n">
        <v>5685158</v>
      </c>
      <c r="J8" s="31" t="inlineStr">
        <is>
          <t>532923</t>
        </is>
      </c>
    </row>
    <row r="9">
      <c r="A9" s="31" t="inlineStr">
        <is>
          <t>TASTYBITE</t>
        </is>
      </c>
      <c r="B9" s="31" t="inlineStr">
        <is>
          <t>Tasty Bite Eatables Ltd</t>
        </is>
      </c>
      <c r="C9" s="31" t="inlineStr">
        <is>
          <t>fmcg</t>
        </is>
      </c>
      <c r="D9" s="31" t="inlineStr">
        <is>
          <t>food - processing - indian</t>
        </is>
      </c>
      <c r="E9" s="31" t="inlineStr">
        <is>
          <t>smallcap</t>
        </is>
      </c>
      <c r="F9" s="31" t="n">
        <v>2332.62</v>
      </c>
      <c r="G9" s="31" t="n">
        <v>10030</v>
      </c>
      <c r="H9" s="31" t="n">
        <v>10.34</v>
      </c>
      <c r="I9" s="31" t="n">
        <v>226724</v>
      </c>
      <c r="J9" s="31" t="inlineStr">
        <is>
          <t>519091</t>
        </is>
      </c>
    </row>
    <row r="10">
      <c r="A10" s="31" t="inlineStr">
        <is>
          <t>MARKSANS</t>
        </is>
      </c>
      <c r="B10" s="31" t="inlineStr">
        <is>
          <t>Marksans Pharma Limited</t>
        </is>
      </c>
      <c r="C10" s="31" t="inlineStr">
        <is>
          <t>healthcare</t>
        </is>
      </c>
      <c r="D10" s="31" t="inlineStr">
        <is>
          <t>pharmaceuticals - indian - formulations</t>
        </is>
      </c>
      <c r="E10" s="31" t="inlineStr">
        <is>
          <t>midcap</t>
        </is>
      </c>
      <c r="F10" s="31" t="n">
        <v>13748.99</v>
      </c>
      <c r="G10" s="31" t="n">
        <v>333</v>
      </c>
      <c r="H10" s="31" t="n">
        <v>9.76</v>
      </c>
      <c r="I10" s="31" t="n">
        <v>20243407</v>
      </c>
      <c r="J10" s="31" t="inlineStr">
        <is>
          <t>524404</t>
        </is>
      </c>
    </row>
    <row r="11">
      <c r="A11" s="31" t="inlineStr">
        <is>
          <t>DREDGECORP</t>
        </is>
      </c>
      <c r="B11" s="31" t="inlineStr">
        <is>
          <t>Dredging Corporation Of India Limited</t>
        </is>
      </c>
      <c r="C11" s="31" t="inlineStr">
        <is>
          <t>miscellaneous</t>
        </is>
      </c>
      <c r="D11" s="31" t="inlineStr">
        <is>
          <t>miscellaneous</t>
        </is>
      </c>
      <c r="E11" s="31" t="inlineStr">
        <is>
          <t>smallcap</t>
        </is>
      </c>
      <c r="F11" s="31" t="n">
        <v>2980.32</v>
      </c>
      <c r="G11" s="31" t="n">
        <v>1166.4</v>
      </c>
      <c r="H11" s="31" t="n">
        <v>9.58</v>
      </c>
      <c r="I11" s="31" t="n">
        <v>1436038</v>
      </c>
      <c r="J11" s="31" t="inlineStr">
        <is>
          <t>523618</t>
        </is>
      </c>
    </row>
    <row r="12">
      <c r="A12" s="31" t="inlineStr">
        <is>
          <t>VSSL</t>
        </is>
      </c>
      <c r="B12" s="31" t="inlineStr">
        <is>
          <t>Vardhman Special Steels Limited</t>
        </is>
      </c>
      <c r="C12" s="31" t="inlineStr">
        <is>
          <t>metals &amp; mining</t>
        </is>
      </c>
      <c r="D12" s="31" t="inlineStr">
        <is>
          <t>steel - medium / small</t>
        </is>
      </c>
      <c r="E12" s="31" t="inlineStr">
        <is>
          <t>smallcap</t>
        </is>
      </c>
      <c r="F12" s="31" t="n">
        <v>3163.07</v>
      </c>
      <c r="G12" s="31" t="n">
        <v>353.35</v>
      </c>
      <c r="H12" s="31" t="n">
        <v>8.01</v>
      </c>
      <c r="I12" s="31" t="n">
        <v>784944</v>
      </c>
      <c r="J12" s="31" t="inlineStr">
        <is>
          <t>534392</t>
        </is>
      </c>
    </row>
    <row r="13">
      <c r="A13" s="31" t="inlineStr">
        <is>
          <t>MANORAMA</t>
        </is>
      </c>
      <c r="B13" s="31" t="inlineStr">
        <is>
          <t>Manorama Industries Ltd</t>
        </is>
      </c>
      <c r="C13" s="31" t="inlineStr">
        <is>
          <t>fmcg</t>
        </is>
      </c>
      <c r="D13" s="31" t="inlineStr">
        <is>
          <t>food - processing - indian</t>
        </is>
      </c>
      <c r="E13" s="31" t="inlineStr">
        <is>
          <t>midcap</t>
        </is>
      </c>
      <c r="F13" s="31" t="n">
        <v>9637.549999999999</v>
      </c>
      <c r="G13" s="31" t="n">
        <v>1737.1</v>
      </c>
      <c r="H13" s="31" t="n">
        <v>7.62</v>
      </c>
      <c r="I13" s="31" t="n">
        <v>7298442</v>
      </c>
      <c r="J13" s="31" t="inlineStr">
        <is>
          <t>541974</t>
        </is>
      </c>
    </row>
    <row r="14">
      <c r="A14" s="31" t="inlineStr">
        <is>
          <t>ARIES</t>
        </is>
      </c>
      <c r="B14" s="31" t="inlineStr">
        <is>
          <t>Aries Agro Limited</t>
        </is>
      </c>
      <c r="C14" s="31" t="inlineStr">
        <is>
          <t>chemicals</t>
        </is>
      </c>
      <c r="D14" s="31" t="inlineStr">
        <is>
          <t>fertilizers</t>
        </is>
      </c>
      <c r="E14" s="31" t="inlineStr">
        <is>
          <t>smallcap</t>
        </is>
      </c>
      <c r="F14" s="31" t="n">
        <v>502.1</v>
      </c>
      <c r="G14" s="31" t="n">
        <v>413.5</v>
      </c>
      <c r="H14" s="31" t="n">
        <v>7.1</v>
      </c>
      <c r="I14" s="31" t="n">
        <v>220076</v>
      </c>
      <c r="J14" s="31" t="inlineStr">
        <is>
          <t>532935</t>
        </is>
      </c>
    </row>
    <row r="15">
      <c r="A15" s="31" t="inlineStr">
        <is>
          <t>TIIL</t>
        </is>
      </c>
      <c r="B15" s="31" t="inlineStr">
        <is>
          <t>Technocraft Industries (india) Limited</t>
        </is>
      </c>
      <c r="C15" s="31" t="inlineStr">
        <is>
          <t>metals &amp; mining</t>
        </is>
      </c>
      <c r="D15" s="31" t="inlineStr">
        <is>
          <t>steel - medium / small</t>
        </is>
      </c>
      <c r="E15" s="31" t="inlineStr">
        <is>
          <t>midcap</t>
        </is>
      </c>
      <c r="F15" s="31" t="n">
        <v>6547</v>
      </c>
      <c r="G15" s="31" t="n">
        <v>3088.7</v>
      </c>
      <c r="H15" s="31" t="n">
        <v>6.96</v>
      </c>
      <c r="I15" s="31" t="n">
        <v>697944</v>
      </c>
      <c r="J15" s="31" t="inlineStr">
        <is>
          <t>532804</t>
        </is>
      </c>
    </row>
    <row r="16">
      <c r="A16" s="31" t="inlineStr">
        <is>
          <t>KABRAEXTRU</t>
        </is>
      </c>
      <c r="B16" s="31" t="inlineStr">
        <is>
          <t>Kabra Extrusion Technik Limited</t>
        </is>
      </c>
      <c r="C16" s="31" t="inlineStr">
        <is>
          <t>industrials</t>
        </is>
      </c>
      <c r="D16" s="31" t="inlineStr">
        <is>
          <t>engineering</t>
        </is>
      </c>
      <c r="E16" s="31" t="inlineStr">
        <is>
          <t>smallcap</t>
        </is>
      </c>
      <c r="F16" s="31" t="n">
        <v>1693.73</v>
      </c>
      <c r="G16" s="31" t="n">
        <v>517.4</v>
      </c>
      <c r="H16" s="31" t="n">
        <v>6.83</v>
      </c>
      <c r="I16" s="31" t="n">
        <v>485598</v>
      </c>
      <c r="J16" s="31" t="inlineStr">
        <is>
          <t>524109</t>
        </is>
      </c>
    </row>
    <row r="17">
      <c r="A17" s="31" t="inlineStr">
        <is>
          <t>SHANTIGOLD</t>
        </is>
      </c>
      <c r="B17" s="31" t="inlineStr">
        <is>
          <t>Shanti Gold International Ltd</t>
        </is>
      </c>
      <c r="C17" s="31" t="inlineStr">
        <is>
          <t>consumer discretionary</t>
        </is>
      </c>
      <c r="D17" s="31" t="inlineStr">
        <is>
          <t>diamond cutting / jewellery</t>
        </is>
      </c>
      <c r="E17" s="31" t="inlineStr">
        <is>
          <t>smallcap</t>
        </is>
      </c>
      <c r="F17" s="31" t="n">
        <v>1671.91</v>
      </c>
      <c r="G17" s="31" t="n">
        <v>247.66</v>
      </c>
      <c r="H17" s="31" t="n">
        <v>6.8</v>
      </c>
      <c r="I17" s="31" t="n">
        <v>8748136</v>
      </c>
      <c r="J17" s="31" t="inlineStr">
        <is>
          <t>544459</t>
        </is>
      </c>
    </row>
    <row r="18">
      <c r="A18" s="31" t="inlineStr">
        <is>
          <t>UNIMECH</t>
        </is>
      </c>
      <c r="B18" s="31" t="inlineStr">
        <is>
          <t>Unimech Aerospace and Manufacturing Ltd</t>
        </is>
      </c>
      <c r="C18" s="31" t="inlineStr">
        <is>
          <t>aerospace &amp; defence</t>
        </is>
      </c>
      <c r="D18" s="31" t="inlineStr">
        <is>
          <t>engineering</t>
        </is>
      </c>
      <c r="E18" s="31" t="inlineStr">
        <is>
          <t>midcap</t>
        </is>
      </c>
      <c r="F18" s="31" t="n">
        <v>7256.77</v>
      </c>
      <c r="G18" s="31" t="n">
        <v>1522.6</v>
      </c>
      <c r="H18" s="31" t="n">
        <v>6.71</v>
      </c>
      <c r="I18" s="31" t="n">
        <v>668970</v>
      </c>
      <c r="J18" s="31" t="inlineStr">
        <is>
          <t>544322</t>
        </is>
      </c>
    </row>
    <row r="19">
      <c r="A19" s="31" t="inlineStr">
        <is>
          <t>DIVGIITTS</t>
        </is>
      </c>
      <c r="B19" s="31" t="inlineStr">
        <is>
          <t>Divgi Torqtransfer Systems Ltd</t>
        </is>
      </c>
      <c r="C19" s="31" t="inlineStr">
        <is>
          <t>auto</t>
        </is>
      </c>
      <c r="D19" s="31" t="inlineStr">
        <is>
          <t>auto ancillaries</t>
        </is>
      </c>
      <c r="E19" s="31" t="inlineStr">
        <is>
          <t>smallcap</t>
        </is>
      </c>
      <c r="F19" s="31" t="n">
        <v>3730.35</v>
      </c>
      <c r="G19" s="31" t="n">
        <v>1301.05</v>
      </c>
      <c r="H19" s="31" t="n">
        <v>6.67</v>
      </c>
      <c r="I19" s="31" t="n">
        <v>598493</v>
      </c>
      <c r="J19" s="31" t="inlineStr">
        <is>
          <t>543812</t>
        </is>
      </c>
    </row>
    <row r="20">
      <c r="A20" s="31" t="inlineStr">
        <is>
          <t>EIMCOELECO</t>
        </is>
      </c>
      <c r="B20" s="31" t="inlineStr">
        <is>
          <t>Eimco Elecon (india) Limited</t>
        </is>
      </c>
      <c r="C20" s="31" t="inlineStr">
        <is>
          <t>industrials</t>
        </is>
      </c>
      <c r="D20" s="31" t="inlineStr">
        <is>
          <t>engineering</t>
        </is>
      </c>
      <c r="E20" s="31" t="inlineStr">
        <is>
          <t>smallcap</t>
        </is>
      </c>
      <c r="F20" s="31" t="n">
        <v>1092.47</v>
      </c>
      <c r="G20" s="31" t="n">
        <v>2018</v>
      </c>
      <c r="H20" s="31" t="n">
        <v>6.55</v>
      </c>
      <c r="I20" s="31" t="n">
        <v>179465</v>
      </c>
      <c r="J20" s="31" t="inlineStr">
        <is>
          <t>523708</t>
        </is>
      </c>
    </row>
    <row r="21">
      <c r="A21" s="31" t="inlineStr">
        <is>
          <t>ELGIEQUIP</t>
        </is>
      </c>
      <c r="B21" s="31" t="inlineStr">
        <is>
          <t>Elgi Equipments Limited</t>
        </is>
      </c>
      <c r="C21" s="31" t="inlineStr">
        <is>
          <t>industrials</t>
        </is>
      </c>
      <c r="D21" s="31" t="inlineStr">
        <is>
          <t>compressors / drilling equipment</t>
        </is>
      </c>
      <c r="E21" s="31" t="inlineStr">
        <is>
          <t>midcap</t>
        </is>
      </c>
      <c r="F21" s="31" t="n">
        <v>18271.39</v>
      </c>
      <c r="G21" s="31" t="n">
        <v>609.5</v>
      </c>
      <c r="H21" s="31" t="n">
        <v>5.72</v>
      </c>
      <c r="I21" s="31" t="n">
        <v>6010479</v>
      </c>
      <c r="J21" s="31" t="inlineStr">
        <is>
          <t>522074</t>
        </is>
      </c>
    </row>
    <row r="22">
      <c r="A22" s="31" t="inlineStr">
        <is>
          <t>SJS</t>
        </is>
      </c>
      <c r="B22" s="31" t="inlineStr">
        <is>
          <t>S J S Enterprises Ltd</t>
        </is>
      </c>
      <c r="C22" s="31" t="inlineStr">
        <is>
          <t>auto</t>
        </is>
      </c>
      <c r="D22" s="31" t="inlineStr">
        <is>
          <t>plastics products</t>
        </is>
      </c>
      <c r="E22" s="31" t="inlineStr">
        <is>
          <t>midcap</t>
        </is>
      </c>
      <c r="F22" s="31" t="n">
        <v>7697.24</v>
      </c>
      <c r="G22" s="31" t="n">
        <v>2532.5</v>
      </c>
      <c r="H22" s="31" t="n">
        <v>5.3</v>
      </c>
      <c r="I22" s="31" t="n">
        <v>459532</v>
      </c>
      <c r="J22" s="31" t="inlineStr">
        <is>
          <t>543387</t>
        </is>
      </c>
    </row>
    <row r="23">
      <c r="A23" s="31" t="inlineStr">
        <is>
          <t>KRN</t>
        </is>
      </c>
      <c r="B23" s="31" t="inlineStr">
        <is>
          <t>KRN Heat Exchanger and Refrigeration Ltd</t>
        </is>
      </c>
      <c r="C23" s="31" t="inlineStr">
        <is>
          <t>industrials</t>
        </is>
      </c>
      <c r="D23" s="31" t="inlineStr">
        <is>
          <t>engineering</t>
        </is>
      </c>
      <c r="E23" s="31" t="inlineStr">
        <is>
          <t>midcap</t>
        </is>
      </c>
      <c r="F23" s="31" t="n">
        <v>9153.709999999999</v>
      </c>
      <c r="G23" s="31" t="n">
        <v>1468.3</v>
      </c>
      <c r="H23" s="31" t="n">
        <v>5</v>
      </c>
      <c r="I23" s="31" t="n">
        <v>407623</v>
      </c>
      <c r="J23" s="31" t="inlineStr">
        <is>
          <t>544263</t>
        </is>
      </c>
    </row>
    <row r="24">
      <c r="A24" s="31" t="inlineStr">
        <is>
          <t>MODISONLTD</t>
        </is>
      </c>
      <c r="B24" s="31" t="inlineStr">
        <is>
          <t>Modison Ltd</t>
        </is>
      </c>
      <c r="C24" s="31" t="inlineStr">
        <is>
          <t>industrials</t>
        </is>
      </c>
      <c r="D24" s="31" t="inlineStr">
        <is>
          <t>electric equipment</t>
        </is>
      </c>
      <c r="E24" s="31" t="inlineStr">
        <is>
          <t>smallcap</t>
        </is>
      </c>
      <c r="F24" s="31" t="n">
        <v>1048.14</v>
      </c>
      <c r="G24" s="31" t="n">
        <v>339.15</v>
      </c>
      <c r="H24" s="31" t="n">
        <v>5</v>
      </c>
      <c r="I24" s="31" t="n">
        <v>51778</v>
      </c>
      <c r="J24" s="31" t="inlineStr">
        <is>
          <t>506261</t>
        </is>
      </c>
    </row>
    <row r="25">
      <c r="A25" s="31" t="inlineStr">
        <is>
          <t>UNIVASTU</t>
        </is>
      </c>
      <c r="B25" s="31" t="inlineStr">
        <is>
          <t>Univastu India Ltd</t>
        </is>
      </c>
      <c r="C25" s="31" t="inlineStr">
        <is>
          <t>realty</t>
        </is>
      </c>
      <c r="D25" s="31" t="inlineStr">
        <is>
          <t>construction</t>
        </is>
      </c>
      <c r="E25" s="31" t="inlineStr">
        <is>
          <t>smallcap</t>
        </is>
      </c>
      <c r="F25" s="31" t="n">
        <v>578.34</v>
      </c>
      <c r="G25" s="31" t="n">
        <v>160.69</v>
      </c>
      <c r="H25" s="31" t="n">
        <v>5</v>
      </c>
      <c r="I25" s="31" t="n">
        <v>185012</v>
      </c>
      <c r="J25" s="31" t="inlineStr">
        <is>
          <t>538442</t>
        </is>
      </c>
    </row>
    <row r="26">
      <c r="A26" s="31" t="inlineStr">
        <is>
          <t>E2E</t>
        </is>
      </c>
      <c r="B26" s="31" t="inlineStr">
        <is>
          <t>E2E Networks Ltd</t>
        </is>
      </c>
      <c r="C26" s="31" t="inlineStr">
        <is>
          <t>i.t</t>
        </is>
      </c>
      <c r="D26" s="31" t="inlineStr">
        <is>
          <t>computers - software - medium / small</t>
        </is>
      </c>
      <c r="E26" s="31" t="inlineStr">
        <is>
          <t>midcap</t>
        </is>
      </c>
      <c r="F26" s="31" t="n">
        <v>13053.37</v>
      </c>
      <c r="G26" s="31" t="n">
        <v>666.75</v>
      </c>
      <c r="H26" s="31" t="n">
        <v>5</v>
      </c>
      <c r="I26" s="31" t="n">
        <v>1171587</v>
      </c>
      <c r="J26" s="31" t="inlineStr">
        <is>
          <t>535080</t>
        </is>
      </c>
    </row>
    <row r="27">
      <c r="A27" s="31" t="inlineStr">
        <is>
          <t>SHALPAINTS</t>
        </is>
      </c>
      <c r="B27" s="31" t="inlineStr">
        <is>
          <t>Shalimar Paints Limited</t>
        </is>
      </c>
      <c r="C27" s="31" t="inlineStr">
        <is>
          <t>building materials</t>
        </is>
      </c>
      <c r="D27" s="31" t="inlineStr">
        <is>
          <t>paints / varnishes</t>
        </is>
      </c>
      <c r="E27" s="31" t="inlineStr">
        <is>
          <t>smallcap</t>
        </is>
      </c>
      <c r="F27" s="31" t="n">
        <v>728.62</v>
      </c>
      <c r="G27" s="31" t="n">
        <v>91.39</v>
      </c>
      <c r="H27" s="31" t="n">
        <v>5</v>
      </c>
      <c r="I27" s="31" t="n">
        <v>202435</v>
      </c>
      <c r="J27" s="31" t="inlineStr">
        <is>
          <t>509874</t>
        </is>
      </c>
    </row>
    <row r="28">
      <c r="A28" s="31" t="inlineStr">
        <is>
          <t>PANACHE</t>
        </is>
      </c>
      <c r="B28" s="31" t="inlineStr">
        <is>
          <t>Panache Digilife Ltd</t>
        </is>
      </c>
      <c r="C28" s="31" t="inlineStr">
        <is>
          <t>i.t</t>
        </is>
      </c>
      <c r="D28" s="31" t="inlineStr">
        <is>
          <t>computers - hardware</t>
        </is>
      </c>
      <c r="E28" s="31" t="inlineStr">
        <is>
          <t>smallcap</t>
        </is>
      </c>
      <c r="F28" s="31" t="n">
        <v>800.38</v>
      </c>
      <c r="G28" s="31" t="n">
        <v>524.75</v>
      </c>
      <c r="H28" s="31" t="n">
        <v>4.99</v>
      </c>
      <c r="I28" s="31" t="n">
        <v>20144</v>
      </c>
      <c r="J28" s="31" t="inlineStr">
        <is>
          <t>538424</t>
        </is>
      </c>
    </row>
    <row r="29">
      <c r="A29" s="31" t="inlineStr">
        <is>
          <t>STYLEBAAZA</t>
        </is>
      </c>
      <c r="B29" s="31" t="inlineStr">
        <is>
          <t>Baazar Style Retail Ltd</t>
        </is>
      </c>
      <c r="C29" s="31" t="inlineStr">
        <is>
          <t>consumer discretionary</t>
        </is>
      </c>
      <c r="D29" s="31" t="inlineStr">
        <is>
          <t>trading</t>
        </is>
      </c>
      <c r="E29" s="31" t="inlineStr">
        <is>
          <t>smallcap</t>
        </is>
      </c>
      <c r="F29" s="31" t="n">
        <v>2648.12</v>
      </c>
      <c r="G29" s="31" t="n">
        <v>365.25</v>
      </c>
      <c r="H29" s="31" t="n">
        <v>4.99</v>
      </c>
      <c r="I29" s="31" t="n">
        <v>2040177</v>
      </c>
      <c r="J29" s="31" t="inlineStr">
        <is>
          <t>544243</t>
        </is>
      </c>
    </row>
    <row r="30">
      <c r="A30" s="31" t="inlineStr">
        <is>
          <t>GAYAPROJ</t>
        </is>
      </c>
      <c r="B30" s="31" t="inlineStr">
        <is>
          <t>Gayatri Projects Limited</t>
        </is>
      </c>
      <c r="C30" s="31" t="inlineStr">
        <is>
          <t>realty</t>
        </is>
      </c>
      <c r="D30" s="31" t="inlineStr">
        <is>
          <t>construction</t>
        </is>
      </c>
      <c r="E30" s="31" t="inlineStr">
        <is>
          <t>smallcap</t>
        </is>
      </c>
      <c r="F30" s="31" t="n">
        <v>936.03</v>
      </c>
      <c r="G30" s="31" t="n">
        <v>21.16</v>
      </c>
      <c r="H30" s="31" t="n">
        <v>4.96</v>
      </c>
      <c r="I30" s="31" t="n">
        <v>589925</v>
      </c>
      <c r="J30" s="31" t="inlineStr">
        <is>
          <t>532767</t>
        </is>
      </c>
    </row>
    <row r="31">
      <c r="A31" s="31" t="inlineStr">
        <is>
          <t>HONASA</t>
        </is>
      </c>
      <c r="B31" s="31" t="inlineStr">
        <is>
          <t>Honasa Consumer Ltd</t>
        </is>
      </c>
      <c r="C31" s="31" t="inlineStr">
        <is>
          <t>services</t>
        </is>
      </c>
      <c r="D31" s="31" t="inlineStr">
        <is>
          <t>trading</t>
        </is>
      </c>
      <c r="E31" s="31" t="inlineStr">
        <is>
          <t>midcap</t>
        </is>
      </c>
      <c r="F31" s="31" t="n">
        <v>15631.23</v>
      </c>
      <c r="G31" s="31" t="n">
        <v>502.8</v>
      </c>
      <c r="H31" s="31" t="n">
        <v>4.87</v>
      </c>
      <c r="I31" s="31" t="n">
        <v>22425106</v>
      </c>
      <c r="J31" s="31" t="inlineStr">
        <is>
          <t>544014</t>
        </is>
      </c>
    </row>
    <row r="32">
      <c r="A32" s="31" t="inlineStr">
        <is>
          <t>SUVEN</t>
        </is>
      </c>
      <c r="B32" s="31" t="inlineStr">
        <is>
          <t>Suven Life Sciences Limited</t>
        </is>
      </c>
      <c r="C32" s="31" t="inlineStr">
        <is>
          <t>healthcare</t>
        </is>
      </c>
      <c r="D32" s="31" t="inlineStr">
        <is>
          <t>miscellaneous</t>
        </is>
      </c>
      <c r="E32" s="31" t="inlineStr">
        <is>
          <t>smallcap</t>
        </is>
      </c>
      <c r="F32" s="31" t="n">
        <v>630.66</v>
      </c>
      <c r="G32" s="31" t="n">
        <v>342.35</v>
      </c>
      <c r="H32" s="31" t="n">
        <v>4.87</v>
      </c>
      <c r="I32" s="31" t="n">
        <v>598705</v>
      </c>
      <c r="J32" s="31" t="inlineStr">
        <is>
          <t>530239</t>
        </is>
      </c>
    </row>
    <row r="33">
      <c r="A33" s="31" t="inlineStr">
        <is>
          <t>UNIVPHOTO</t>
        </is>
      </c>
      <c r="B33" s="31" t="inlineStr">
        <is>
          <t>Universus Photo Imagings Ltd</t>
        </is>
      </c>
      <c r="C33" s="31" t="inlineStr">
        <is>
          <t>consumer discretionary</t>
        </is>
      </c>
      <c r="D33" s="31" t="inlineStr">
        <is>
          <t>photographic and allied products</t>
        </is>
      </c>
      <c r="E33" s="31" t="inlineStr">
        <is>
          <t>smallcap</t>
        </is>
      </c>
      <c r="F33" s="31" t="n">
        <v>501.14</v>
      </c>
      <c r="G33" s="31" t="n">
        <v>480</v>
      </c>
      <c r="H33" s="31" t="n">
        <v>4.85</v>
      </c>
      <c r="I33" s="31" t="n">
        <v>1078</v>
      </c>
      <c r="J33" s="31" t="inlineStr">
        <is>
          <t>542933</t>
        </is>
      </c>
    </row>
    <row r="34">
      <c r="A34" s="31" t="inlineStr">
        <is>
          <t>BHAGCHEM</t>
        </is>
      </c>
      <c r="B34" s="31" t="inlineStr">
        <is>
          <t>Bhagiradha Chemicals &amp; Industries Ltd</t>
        </is>
      </c>
      <c r="C34" s="31" t="inlineStr">
        <is>
          <t>chemicals</t>
        </is>
      </c>
      <c r="D34" s="31" t="inlineStr">
        <is>
          <t>pesticides / agrochemicals - indian</t>
        </is>
      </c>
      <c r="E34" s="31" t="inlineStr">
        <is>
          <t>smallcap</t>
        </is>
      </c>
      <c r="F34" s="31" t="n">
        <v>3581.46</v>
      </c>
      <c r="G34" s="31" t="n">
        <v>289.5</v>
      </c>
      <c r="H34" s="31" t="n">
        <v>4.82</v>
      </c>
      <c r="I34" s="31" t="n">
        <v>74103</v>
      </c>
      <c r="J34" s="31" t="inlineStr">
        <is>
          <t>531719</t>
        </is>
      </c>
    </row>
    <row r="35">
      <c r="A35" s="31" t="inlineStr">
        <is>
          <t>ARROWGREEN</t>
        </is>
      </c>
      <c r="B35" s="31" t="inlineStr">
        <is>
          <t>Arrow Greentech Limited</t>
        </is>
      </c>
      <c r="C35" s="31" t="inlineStr">
        <is>
          <t>plastic products</t>
        </is>
      </c>
      <c r="D35" s="31" t="inlineStr">
        <is>
          <t>plastics products</t>
        </is>
      </c>
      <c r="E35" s="31" t="inlineStr">
        <is>
          <t>smallcap</t>
        </is>
      </c>
      <c r="F35" s="31" t="n">
        <v>1180.63</v>
      </c>
      <c r="G35" s="31" t="n">
        <v>820</v>
      </c>
      <c r="H35" s="31" t="n">
        <v>4.79</v>
      </c>
      <c r="I35" s="31" t="n">
        <v>121485</v>
      </c>
      <c r="J35" s="31" t="inlineStr">
        <is>
          <t>516064</t>
        </is>
      </c>
    </row>
    <row r="36">
      <c r="A36" s="31" t="inlineStr">
        <is>
          <t>DOLPHIN</t>
        </is>
      </c>
      <c r="B36" s="31" t="inlineStr">
        <is>
          <t>Dolphin Offshore Enterprises (India) Ltd</t>
        </is>
      </c>
      <c r="C36" s="31" t="inlineStr">
        <is>
          <t>energy</t>
        </is>
      </c>
      <c r="D36" s="31" t="inlineStr">
        <is>
          <t>oil drilling / allied services</t>
        </is>
      </c>
      <c r="E36" s="31" t="inlineStr">
        <is>
          <t>smallcap</t>
        </is>
      </c>
      <c r="F36" s="31" t="n">
        <v>1939.82</v>
      </c>
      <c r="G36" s="31" t="n">
        <v>508.1</v>
      </c>
      <c r="H36" s="31" t="n">
        <v>4.78</v>
      </c>
      <c r="I36" s="31" t="n">
        <v>56787</v>
      </c>
      <c r="J36" s="31" t="inlineStr">
        <is>
          <t>522261</t>
        </is>
      </c>
    </row>
    <row r="37">
      <c r="A37" s="31" t="inlineStr">
        <is>
          <t>DPABHUSHAN</t>
        </is>
      </c>
      <c r="B37" s="31" t="inlineStr">
        <is>
          <t>D.P. Abhushan Ltd</t>
        </is>
      </c>
      <c r="C37" s="31" t="inlineStr">
        <is>
          <t>consumer discretionary</t>
        </is>
      </c>
      <c r="D37" s="31" t="inlineStr">
        <is>
          <t>diamond cutting / jewellery</t>
        </is>
      </c>
      <c r="E37" s="31" t="inlineStr">
        <is>
          <t>smallcap</t>
        </is>
      </c>
      <c r="F37" s="31" t="n">
        <v>3116.24</v>
      </c>
      <c r="G37" s="31" t="n">
        <v>1429.3</v>
      </c>
      <c r="H37" s="31" t="n">
        <v>4.7</v>
      </c>
      <c r="I37" s="31" t="n">
        <v>35776</v>
      </c>
      <c r="J37" s="31" t="inlineStr">
        <is>
          <t>535026</t>
        </is>
      </c>
    </row>
    <row r="38">
      <c r="A38" s="31" t="inlineStr">
        <is>
          <t>PRIMO</t>
        </is>
      </c>
      <c r="B38" s="31" t="inlineStr">
        <is>
          <t>Primo Chemicals Ltd</t>
        </is>
      </c>
      <c r="C38" s="31" t="inlineStr">
        <is>
          <t>chemicals</t>
        </is>
      </c>
      <c r="D38" s="31" t="inlineStr">
        <is>
          <t>chlor alkali / soda ash</t>
        </is>
      </c>
      <c r="E38" s="31" t="inlineStr">
        <is>
          <t>smallcap</t>
        </is>
      </c>
      <c r="F38" s="31" t="n">
        <v>593.01</v>
      </c>
      <c r="G38" s="31" t="n">
        <v>25.62</v>
      </c>
      <c r="H38" s="31" t="n">
        <v>4.7</v>
      </c>
      <c r="I38" s="31" t="n">
        <v>1300998</v>
      </c>
      <c r="J38" s="31" t="inlineStr">
        <is>
          <t>506852</t>
        </is>
      </c>
    </row>
    <row r="39">
      <c r="A39" s="31" t="inlineStr">
        <is>
          <t>RATNAVEER</t>
        </is>
      </c>
      <c r="B39" s="31" t="inlineStr">
        <is>
          <t>Ratnaveer Precision Engineering Ltd</t>
        </is>
      </c>
      <c r="C39" s="31" t="inlineStr">
        <is>
          <t>metals &amp; mining</t>
        </is>
      </c>
      <c r="D39" s="31" t="inlineStr">
        <is>
          <t>steel - medium / small</t>
        </is>
      </c>
      <c r="E39" s="31" t="inlineStr">
        <is>
          <t>smallcap</t>
        </is>
      </c>
      <c r="F39" s="31" t="n">
        <v>1571.39</v>
      </c>
      <c r="G39" s="31" t="n">
        <v>230.16</v>
      </c>
      <c r="H39" s="31" t="n">
        <v>4.62</v>
      </c>
      <c r="I39" s="31" t="n">
        <v>21537789</v>
      </c>
      <c r="J39" s="31" t="inlineStr">
        <is>
          <t>543978</t>
        </is>
      </c>
    </row>
    <row r="40">
      <c r="A40" s="31" t="inlineStr">
        <is>
          <t>IDEA</t>
        </is>
      </c>
      <c r="B40" s="31" t="inlineStr">
        <is>
          <t>Vodafone Idea Ltd</t>
        </is>
      </c>
      <c r="C40" s="31" t="inlineStr">
        <is>
          <t>telecom-service</t>
        </is>
      </c>
      <c r="D40" s="31" t="inlineStr">
        <is>
          <t>telecommunications - service provider</t>
        </is>
      </c>
      <c r="E40" s="31" t="inlineStr">
        <is>
          <t>largecap</t>
        </is>
      </c>
      <c r="F40" s="31" t="n">
        <v>146371.44</v>
      </c>
      <c r="G40" s="31" t="n">
        <v>14.11</v>
      </c>
      <c r="H40" s="31" t="n">
        <v>4.44</v>
      </c>
      <c r="I40" s="31" t="n">
        <v>1553930055</v>
      </c>
      <c r="J40" s="31" t="inlineStr">
        <is>
          <t>532822</t>
        </is>
      </c>
    </row>
    <row r="41">
      <c r="A41" s="31" t="inlineStr">
        <is>
          <t>ASAHIINDIA</t>
        </is>
      </c>
      <c r="B41" s="31" t="inlineStr">
        <is>
          <t>Asahi India Glass Limited</t>
        </is>
      </c>
      <c r="C41" s="31" t="inlineStr">
        <is>
          <t>building materials</t>
        </is>
      </c>
      <c r="D41" s="31" t="inlineStr">
        <is>
          <t>glass &amp; glass products</t>
        </is>
      </c>
      <c r="E41" s="31" t="inlineStr">
        <is>
          <t>largecap</t>
        </is>
      </c>
      <c r="F41" s="31" t="n">
        <v>22968.94</v>
      </c>
      <c r="G41" s="31" t="n">
        <v>939.2</v>
      </c>
      <c r="H41" s="31" t="n">
        <v>4.24</v>
      </c>
      <c r="I41" s="31" t="n">
        <v>643817</v>
      </c>
      <c r="J41" s="31" t="inlineStr">
        <is>
          <t>515030</t>
        </is>
      </c>
    </row>
    <row r="42">
      <c r="A42" s="31" t="inlineStr">
        <is>
          <t>STEL</t>
        </is>
      </c>
      <c r="B42" s="31" t="inlineStr">
        <is>
          <t>Stel Holdings Limited</t>
        </is>
      </c>
      <c r="C42" s="31" t="inlineStr">
        <is>
          <t>financials</t>
        </is>
      </c>
      <c r="D42" s="31" t="inlineStr">
        <is>
          <t>finance &amp; investments</t>
        </is>
      </c>
      <c r="E42" s="31" t="inlineStr">
        <is>
          <t>smallcap</t>
        </is>
      </c>
      <c r="F42" s="31" t="n">
        <v>1034.24</v>
      </c>
      <c r="G42" s="31" t="n">
        <v>583.9</v>
      </c>
      <c r="H42" s="31" t="n">
        <v>4.19</v>
      </c>
      <c r="I42" s="31" t="n">
        <v>5634</v>
      </c>
      <c r="J42" s="31" t="n"/>
    </row>
    <row r="43">
      <c r="A43" s="31" t="inlineStr">
        <is>
          <t>HAPPYFORGE</t>
        </is>
      </c>
      <c r="B43" s="31" t="inlineStr">
        <is>
          <t>Happy Forgings Ltd</t>
        </is>
      </c>
      <c r="C43" s="31" t="inlineStr">
        <is>
          <t>industrials</t>
        </is>
      </c>
      <c r="D43" s="31" t="inlineStr">
        <is>
          <t>castings &amp; forgings</t>
        </is>
      </c>
      <c r="E43" s="31" t="inlineStr">
        <is>
          <t>midcap</t>
        </is>
      </c>
      <c r="F43" s="31" t="n">
        <v>18947.47</v>
      </c>
      <c r="G43" s="31" t="n">
        <v>2089.6</v>
      </c>
      <c r="H43" s="31" t="n">
        <v>4.08</v>
      </c>
      <c r="I43" s="31" t="n">
        <v>214369</v>
      </c>
      <c r="J43" s="31" t="inlineStr">
        <is>
          <t>544057</t>
        </is>
      </c>
    </row>
    <row r="44">
      <c r="A44" s="31" t="inlineStr">
        <is>
          <t>MOREPENLAB</t>
        </is>
      </c>
      <c r="B44" s="31" t="inlineStr">
        <is>
          <t>Morepen Laboratories Limited</t>
        </is>
      </c>
      <c r="C44" s="31" t="inlineStr">
        <is>
          <t>healthcare</t>
        </is>
      </c>
      <c r="D44" s="31" t="inlineStr">
        <is>
          <t>pharmaceuticals - indian - bulk drugs &amp; formln</t>
        </is>
      </c>
      <c r="E44" s="31" t="inlineStr">
        <is>
          <t>smallcap</t>
        </is>
      </c>
      <c r="F44" s="31" t="n">
        <v>4432.4</v>
      </c>
      <c r="G44" s="31" t="n">
        <v>84.19</v>
      </c>
      <c r="H44" s="31" t="n">
        <v>4.08</v>
      </c>
      <c r="I44" s="31" t="n">
        <v>40157885</v>
      </c>
      <c r="J44" s="31" t="inlineStr">
        <is>
          <t>500288</t>
        </is>
      </c>
    </row>
    <row r="45">
      <c r="A45" s="31" t="inlineStr">
        <is>
          <t>FCL</t>
        </is>
      </c>
      <c r="B45" s="31" t="inlineStr">
        <is>
          <t>Fineotex Chemical Limited</t>
        </is>
      </c>
      <c r="C45" s="31" t="inlineStr">
        <is>
          <t>chemicals</t>
        </is>
      </c>
      <c r="D45" s="31" t="inlineStr">
        <is>
          <t>chemicals</t>
        </is>
      </c>
      <c r="E45" s="31" t="inlineStr">
        <is>
          <t>smallcap</t>
        </is>
      </c>
      <c r="F45" s="31" t="n">
        <v>4851.31</v>
      </c>
      <c r="G45" s="31" t="n">
        <v>43.36</v>
      </c>
      <c r="H45" s="31" t="n">
        <v>4.08</v>
      </c>
      <c r="I45" s="31" t="n">
        <v>9166313</v>
      </c>
      <c r="J45" s="31" t="inlineStr">
        <is>
          <t>533333</t>
        </is>
      </c>
    </row>
    <row r="46">
      <c r="A46" s="31" t="inlineStr">
        <is>
          <t>AYMSYNTEX</t>
        </is>
      </c>
      <c r="B46" s="31" t="inlineStr">
        <is>
          <t>Aym Syntex Limited</t>
        </is>
      </c>
      <c r="C46" s="31" t="inlineStr">
        <is>
          <t>textiles</t>
        </is>
      </c>
      <c r="D46" s="31" t="inlineStr">
        <is>
          <t>textiles - processing</t>
        </is>
      </c>
      <c r="E46" s="31" t="inlineStr">
        <is>
          <t>smallcap</t>
        </is>
      </c>
      <c r="F46" s="31" t="n">
        <v>1506.24</v>
      </c>
      <c r="G46" s="31" t="n">
        <v>266.8</v>
      </c>
      <c r="H46" s="31" t="n">
        <v>4.04</v>
      </c>
      <c r="I46" s="31" t="n">
        <v>110188</v>
      </c>
      <c r="J46" s="31" t="inlineStr">
        <is>
          <t>508933</t>
        </is>
      </c>
    </row>
    <row r="47">
      <c r="A47" s="31" t="inlineStr">
        <is>
          <t>SUMICHEM</t>
        </is>
      </c>
      <c r="B47" s="31" t="inlineStr">
        <is>
          <t>Sumitomo Chemical India Ltd</t>
        </is>
      </c>
      <c r="C47" s="31" t="inlineStr">
        <is>
          <t>chemicals</t>
        </is>
      </c>
      <c r="D47" s="31" t="inlineStr">
        <is>
          <t>pesticides / agrochemicals - indian</t>
        </is>
      </c>
      <c r="E47" s="31" t="inlineStr">
        <is>
          <t>largecap</t>
        </is>
      </c>
      <c r="F47" s="31" t="n">
        <v>27103.61</v>
      </c>
      <c r="G47" s="31" t="n">
        <v>564.95</v>
      </c>
      <c r="H47" s="31" t="n">
        <v>4.04</v>
      </c>
      <c r="I47" s="31" t="n">
        <v>487672</v>
      </c>
      <c r="J47" s="31" t="inlineStr">
        <is>
          <t>542920</t>
        </is>
      </c>
    </row>
    <row r="48">
      <c r="A48" s="31" t="inlineStr">
        <is>
          <t>MANINDS</t>
        </is>
      </c>
      <c r="B48" s="31" t="inlineStr">
        <is>
          <t>Man Industries (india) Limited</t>
        </is>
      </c>
      <c r="C48" s="31" t="inlineStr">
        <is>
          <t>metals &amp; mining</t>
        </is>
      </c>
      <c r="D48" s="31" t="inlineStr">
        <is>
          <t>steel - medium / small</t>
        </is>
      </c>
      <c r="E48" s="31" t="inlineStr">
        <is>
          <t>smallcap</t>
        </is>
      </c>
      <c r="F48" s="31" t="n">
        <v>4321.68</v>
      </c>
      <c r="G48" s="31" t="n">
        <v>599.45</v>
      </c>
      <c r="H48" s="31" t="n">
        <v>4.04</v>
      </c>
      <c r="I48" s="31" t="n">
        <v>1277039</v>
      </c>
      <c r="J48" s="31" t="inlineStr">
        <is>
          <t>513269</t>
        </is>
      </c>
    </row>
    <row r="49">
      <c r="A49" s="31" t="inlineStr">
        <is>
          <t>SCPL</t>
        </is>
      </c>
      <c r="B49" s="31" t="inlineStr">
        <is>
          <t>Sheetal Cool Products Ltd</t>
        </is>
      </c>
      <c r="C49" s="31" t="inlineStr">
        <is>
          <t>fmcg</t>
        </is>
      </c>
      <c r="D49" s="31" t="inlineStr">
        <is>
          <t>food - processing - indian</t>
        </is>
      </c>
      <c r="E49" s="31" t="inlineStr">
        <is>
          <t>smallcap</t>
        </is>
      </c>
      <c r="F49" s="31" t="n">
        <v>659.61</v>
      </c>
      <c r="G49" s="31" t="n">
        <v>653.05</v>
      </c>
      <c r="H49" s="31" t="n">
        <v>3.96</v>
      </c>
      <c r="I49" s="31" t="n">
        <v>113398</v>
      </c>
      <c r="J49" s="31" t="inlineStr">
        <is>
          <t>540757</t>
        </is>
      </c>
    </row>
    <row r="50">
      <c r="A50" s="31" t="inlineStr">
        <is>
          <t>GANESHBE</t>
        </is>
      </c>
      <c r="B50" s="31" t="inlineStr">
        <is>
          <t>Ganesh Benzoplast Ltd</t>
        </is>
      </c>
      <c r="C50" s="31" t="inlineStr">
        <is>
          <t>miscellaneous</t>
        </is>
      </c>
      <c r="D50" s="31" t="inlineStr">
        <is>
          <t>miscellaneous</t>
        </is>
      </c>
      <c r="E50" s="31" t="inlineStr">
        <is>
          <t>smallcap</t>
        </is>
      </c>
      <c r="F50" s="31" t="n">
        <v>817.3</v>
      </c>
      <c r="G50" s="31" t="n">
        <v>118</v>
      </c>
      <c r="H50" s="31" t="n">
        <v>3.94</v>
      </c>
      <c r="I50" s="31" t="n">
        <v>104225</v>
      </c>
      <c r="J50" s="31" t="inlineStr">
        <is>
          <t>500153</t>
        </is>
      </c>
    </row>
    <row r="51">
      <c r="A51" s="31" t="inlineStr">
        <is>
          <t>NRAIL</t>
        </is>
      </c>
      <c r="B51" s="31" t="inlineStr">
        <is>
          <t>N R Agarwal Industries Ltd</t>
        </is>
      </c>
      <c r="C51" s="31" t="inlineStr">
        <is>
          <t>building materials</t>
        </is>
      </c>
      <c r="D51" s="31" t="inlineStr">
        <is>
          <t>paper</t>
        </is>
      </c>
      <c r="E51" s="31" t="inlineStr">
        <is>
          <t>smallcap</t>
        </is>
      </c>
      <c r="F51" s="31" t="n">
        <v>859.21</v>
      </c>
      <c r="G51" s="31" t="n">
        <v>524</v>
      </c>
      <c r="H51" s="31" t="n">
        <v>3.79</v>
      </c>
      <c r="I51" s="31" t="n">
        <v>11295</v>
      </c>
      <c r="J51" s="31" t="inlineStr">
        <is>
          <t>516082</t>
        </is>
      </c>
    </row>
    <row r="52">
      <c r="A52" s="31" t="inlineStr">
        <is>
          <t>SANSERA</t>
        </is>
      </c>
      <c r="B52" s="31" t="inlineStr">
        <is>
          <t>Sansera Engineering Ltd</t>
        </is>
      </c>
      <c r="C52" s="31" t="inlineStr">
        <is>
          <t>auto</t>
        </is>
      </c>
      <c r="D52" s="31" t="inlineStr">
        <is>
          <t>auto ancillaries</t>
        </is>
      </c>
      <c r="E52" s="31" t="inlineStr">
        <is>
          <t>largecap</t>
        </is>
      </c>
      <c r="F52" s="31" t="n">
        <v>23625.99</v>
      </c>
      <c r="G52" s="31" t="n">
        <v>3924.6</v>
      </c>
      <c r="H52" s="31" t="n">
        <v>3.66</v>
      </c>
      <c r="I52" s="31" t="n">
        <v>688026</v>
      </c>
      <c r="J52" s="31" t="inlineStr">
        <is>
          <t>543358</t>
        </is>
      </c>
    </row>
    <row r="53">
      <c r="A53" s="31" t="inlineStr">
        <is>
          <t>UGARSUGAR</t>
        </is>
      </c>
      <c r="B53" s="31" t="inlineStr">
        <is>
          <t>The Ugar Sugar Works Limited</t>
        </is>
      </c>
      <c r="C53" s="31" t="inlineStr">
        <is>
          <t>fmcg</t>
        </is>
      </c>
      <c r="D53" s="31" t="inlineStr">
        <is>
          <t>sugar</t>
        </is>
      </c>
      <c r="E53" s="31" t="inlineStr">
        <is>
          <t>smallcap</t>
        </is>
      </c>
      <c r="F53" s="31" t="n">
        <v>523.01</v>
      </c>
      <c r="G53" s="31" t="n">
        <v>48.19</v>
      </c>
      <c r="H53" s="31" t="n">
        <v>3.66</v>
      </c>
      <c r="I53" s="31" t="n">
        <v>1339458</v>
      </c>
      <c r="J53" s="31" t="inlineStr">
        <is>
          <t>530363</t>
        </is>
      </c>
    </row>
    <row r="54">
      <c r="A54" s="31" t="inlineStr">
        <is>
          <t>OFSS</t>
        </is>
      </c>
      <c r="B54" s="31" t="inlineStr">
        <is>
          <t>Oracle Financial Services Software Limited</t>
        </is>
      </c>
      <c r="C54" s="31" t="inlineStr">
        <is>
          <t>i.t</t>
        </is>
      </c>
      <c r="D54" s="31" t="inlineStr">
        <is>
          <t>computers - software - large</t>
        </is>
      </c>
      <c r="E54" s="31" t="inlineStr">
        <is>
          <t>largecap</t>
        </is>
      </c>
      <c r="F54" s="31" t="n">
        <v>99436.38</v>
      </c>
      <c r="G54" s="31" t="n">
        <v>11828</v>
      </c>
      <c r="H54" s="31" t="n">
        <v>3.57</v>
      </c>
      <c r="I54" s="31" t="n">
        <v>515259</v>
      </c>
      <c r="J54" s="31" t="inlineStr">
        <is>
          <t>532466</t>
        </is>
      </c>
    </row>
    <row r="55">
      <c r="A55" s="31" t="inlineStr">
        <is>
          <t>BHARTIHEXA</t>
        </is>
      </c>
      <c r="B55" s="31" t="inlineStr">
        <is>
          <t>Bharti Hexacom Ltd</t>
        </is>
      </c>
      <c r="C55" s="31" t="inlineStr">
        <is>
          <t>telecom-service</t>
        </is>
      </c>
      <c r="D55" s="31" t="inlineStr">
        <is>
          <t>telecommunications - service provider</t>
        </is>
      </c>
      <c r="E55" s="31" t="inlineStr">
        <is>
          <t>largecap</t>
        </is>
      </c>
      <c r="F55" s="31" t="n">
        <v>78275</v>
      </c>
      <c r="G55" s="31" t="n">
        <v>1621.1</v>
      </c>
      <c r="H55" s="31" t="n">
        <v>3.55</v>
      </c>
      <c r="I55" s="31" t="n">
        <v>349991</v>
      </c>
      <c r="J55" s="31" t="inlineStr">
        <is>
          <t>544162</t>
        </is>
      </c>
    </row>
    <row r="56">
      <c r="A56" s="31" t="inlineStr">
        <is>
          <t>PRICOLLTD</t>
        </is>
      </c>
      <c r="B56" s="31" t="inlineStr">
        <is>
          <t>Pricol Ltd.</t>
        </is>
      </c>
      <c r="C56" s="31" t="inlineStr">
        <is>
          <t>auto</t>
        </is>
      </c>
      <c r="D56" s="31" t="inlineStr">
        <is>
          <t>auto ancillaries</t>
        </is>
      </c>
      <c r="E56" s="31" t="inlineStr">
        <is>
          <t>midcap</t>
        </is>
      </c>
      <c r="F56" s="31" t="n">
        <v>9323.93</v>
      </c>
      <c r="G56" s="31" t="n">
        <v>792.05</v>
      </c>
      <c r="H56" s="31" t="n">
        <v>3.54</v>
      </c>
      <c r="I56" s="31" t="n">
        <v>543868</v>
      </c>
      <c r="J56" s="31" t="inlineStr">
        <is>
          <t>540293</t>
        </is>
      </c>
    </row>
    <row r="57">
      <c r="A57" s="31" t="inlineStr">
        <is>
          <t>KROSS</t>
        </is>
      </c>
      <c r="B57" s="31" t="inlineStr">
        <is>
          <t>Kross Ltd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smallcap</t>
        </is>
      </c>
      <c r="F57" s="31" t="n">
        <v>1309.86</v>
      </c>
      <c r="G57" s="31" t="n">
        <v>210.2</v>
      </c>
      <c r="H57" s="31" t="n">
        <v>3.52</v>
      </c>
      <c r="I57" s="31" t="n">
        <v>826367</v>
      </c>
      <c r="J57" s="31" t="inlineStr">
        <is>
          <t>544253</t>
        </is>
      </c>
    </row>
    <row r="58">
      <c r="A58" s="31" t="inlineStr">
        <is>
          <t>DYNAMATECH</t>
        </is>
      </c>
      <c r="B58" s="31" t="inlineStr">
        <is>
          <t>Dynamatic Technologies Limited</t>
        </is>
      </c>
      <c r="C58" s="31" t="inlineStr">
        <is>
          <t>industrials</t>
        </is>
      </c>
      <c r="D58" s="31" t="inlineStr">
        <is>
          <t>engineering</t>
        </is>
      </c>
      <c r="E58" s="31" t="inlineStr">
        <is>
          <t>midcap</t>
        </is>
      </c>
      <c r="F58" s="31" t="n">
        <v>7341.55</v>
      </c>
      <c r="G58" s="31" t="n">
        <v>11188</v>
      </c>
      <c r="H58" s="31" t="n">
        <v>3.5</v>
      </c>
      <c r="I58" s="31" t="n">
        <v>25182</v>
      </c>
      <c r="J58" s="31" t="inlineStr">
        <is>
          <t>505242</t>
        </is>
      </c>
    </row>
    <row r="59">
      <c r="A59" s="31" t="inlineStr">
        <is>
          <t>GANESHHOU</t>
        </is>
      </c>
      <c r="B59" s="31" t="inlineStr">
        <is>
          <t>Ganesh Housing Ltd</t>
        </is>
      </c>
      <c r="C59" s="31" t="inlineStr">
        <is>
          <t>realty</t>
        </is>
      </c>
      <c r="D59" s="31" t="inlineStr">
        <is>
          <t>construction</t>
        </is>
      </c>
      <c r="E59" s="31" t="inlineStr">
        <is>
          <t>midcap</t>
        </is>
      </c>
      <c r="F59" s="31" t="n">
        <v>6811.06</v>
      </c>
      <c r="G59" s="31" t="n">
        <v>845</v>
      </c>
      <c r="H59" s="31" t="n">
        <v>3.45</v>
      </c>
      <c r="I59" s="31" t="n">
        <v>64379</v>
      </c>
      <c r="J59" s="31" t="inlineStr">
        <is>
          <t>526367</t>
        </is>
      </c>
    </row>
    <row r="60">
      <c r="A60" s="31" t="inlineStr">
        <is>
          <t>GNFC</t>
        </is>
      </c>
      <c r="B60" s="31" t="inlineStr">
        <is>
          <t>Gujarat Narmada Valley Fertilizers And Chemicals Limited</t>
        </is>
      </c>
      <c r="C60" s="31" t="inlineStr">
        <is>
          <t>chemicals</t>
        </is>
      </c>
      <c r="D60" s="31" t="inlineStr">
        <is>
          <t>chemicals</t>
        </is>
      </c>
      <c r="E60" s="31" t="inlineStr">
        <is>
          <t>midcap</t>
        </is>
      </c>
      <c r="F60" s="31" t="n">
        <v>8087.62</v>
      </c>
      <c r="G60" s="31" t="n">
        <v>568.95</v>
      </c>
      <c r="H60" s="31" t="n">
        <v>3.37</v>
      </c>
      <c r="I60" s="31" t="n">
        <v>908144</v>
      </c>
      <c r="J60" s="31" t="inlineStr">
        <is>
          <t>500670</t>
        </is>
      </c>
    </row>
    <row r="61">
      <c r="A61" s="31" t="inlineStr">
        <is>
          <t>INDOTECH</t>
        </is>
      </c>
      <c r="B61" s="31" t="inlineStr">
        <is>
          <t>Indo Tech Transformers Limited</t>
        </is>
      </c>
      <c r="C61" s="31" t="inlineStr">
        <is>
          <t>industrials</t>
        </is>
      </c>
      <c r="D61" s="31" t="inlineStr">
        <is>
          <t>electric equipment</t>
        </is>
      </c>
      <c r="E61" s="31" t="inlineStr">
        <is>
          <t>smallcap</t>
        </is>
      </c>
      <c r="F61" s="31" t="n">
        <v>3658.8</v>
      </c>
      <c r="G61" s="31" t="n">
        <v>3558.1</v>
      </c>
      <c r="H61" s="31" t="n">
        <v>3.28</v>
      </c>
      <c r="I61" s="31" t="n">
        <v>23021</v>
      </c>
      <c r="J61" s="31" t="inlineStr">
        <is>
          <t>532717</t>
        </is>
      </c>
    </row>
    <row r="62">
      <c r="A62" s="31" t="inlineStr">
        <is>
          <t>RPEL</t>
        </is>
      </c>
      <c r="B62" s="31" t="inlineStr">
        <is>
          <t>Raghav Productivity Enhancers Ltd</t>
        </is>
      </c>
      <c r="C62" s="31" t="inlineStr">
        <is>
          <t>building materials</t>
        </is>
      </c>
      <c r="D62" s="31" t="inlineStr">
        <is>
          <t>refractories / intermediates</t>
        </is>
      </c>
      <c r="E62" s="31" t="inlineStr">
        <is>
          <t>midcap</t>
        </is>
      </c>
      <c r="F62" s="31" t="n">
        <v>6377.64</v>
      </c>
      <c r="G62" s="31" t="n">
        <v>1433.9</v>
      </c>
      <c r="H62" s="31" t="n">
        <v>3.25</v>
      </c>
      <c r="I62" s="31" t="n">
        <v>243416</v>
      </c>
      <c r="J62" s="31" t="inlineStr">
        <is>
          <t>539837</t>
        </is>
      </c>
    </row>
    <row r="63">
      <c r="A63" s="31" t="inlineStr">
        <is>
          <t>SBCL</t>
        </is>
      </c>
      <c r="B63" s="31" t="inlineStr">
        <is>
          <t>Shivalik Bimetal Controls Ltd</t>
        </is>
      </c>
      <c r="C63" s="31" t="inlineStr">
        <is>
          <t>metals &amp; mining</t>
        </is>
      </c>
      <c r="D63" s="31" t="inlineStr">
        <is>
          <t>mining / minerals / metals</t>
        </is>
      </c>
      <c r="E63" s="31" t="inlineStr">
        <is>
          <t>midcap</t>
        </is>
      </c>
      <c r="F63" s="31" t="n">
        <v>5810.25</v>
      </c>
      <c r="G63" s="31" t="n">
        <v>1040.1</v>
      </c>
      <c r="H63" s="31" t="n">
        <v>3.12</v>
      </c>
      <c r="I63" s="31" t="n">
        <v>270334</v>
      </c>
      <c r="J63" s="31" t="inlineStr">
        <is>
          <t>513097</t>
        </is>
      </c>
    </row>
    <row r="64">
      <c r="A64" s="31" t="inlineStr">
        <is>
          <t>NEOGEN</t>
        </is>
      </c>
      <c r="B64" s="31" t="inlineStr">
        <is>
          <t>Neogen Chemicals Ltd</t>
        </is>
      </c>
      <c r="C64" s="31" t="inlineStr">
        <is>
          <t>chemicals</t>
        </is>
      </c>
      <c r="D64" s="31" t="inlineStr">
        <is>
          <t>chemicals</t>
        </is>
      </c>
      <c r="E64" s="31" t="inlineStr">
        <is>
          <t>midcap</t>
        </is>
      </c>
      <c r="F64" s="31" t="n">
        <v>5856.67</v>
      </c>
      <c r="G64" s="31" t="n">
        <v>2204.9</v>
      </c>
      <c r="H64" s="31" t="n">
        <v>3.09</v>
      </c>
      <c r="I64" s="31" t="n">
        <v>176489</v>
      </c>
      <c r="J64" s="31" t="inlineStr">
        <is>
          <t>542665</t>
        </is>
      </c>
    </row>
    <row r="65">
      <c r="A65" s="31" t="inlineStr">
        <is>
          <t>ADOR</t>
        </is>
      </c>
      <c r="B65" s="31" t="inlineStr">
        <is>
          <t>Ador Welding Ltd</t>
        </is>
      </c>
      <c r="C65" s="31" t="inlineStr">
        <is>
          <t>industrials</t>
        </is>
      </c>
      <c r="D65" s="31" t="inlineStr">
        <is>
          <t>electrodes - welding equipment</t>
        </is>
      </c>
      <c r="E65" s="31" t="inlineStr">
        <is>
          <t>smallcap</t>
        </is>
      </c>
      <c r="F65" s="31" t="n">
        <v>2610.94</v>
      </c>
      <c r="G65" s="31" t="n">
        <v>1546.1</v>
      </c>
      <c r="H65" s="31" t="n">
        <v>3.05</v>
      </c>
      <c r="I65" s="31" t="n">
        <v>74207</v>
      </c>
      <c r="J65" s="31" t="inlineStr">
        <is>
          <t>517041</t>
        </is>
      </c>
    </row>
    <row r="66">
      <c r="A66" s="31" t="inlineStr">
        <is>
          <t>VENUSREM</t>
        </is>
      </c>
      <c r="B66" s="31" t="inlineStr">
        <is>
          <t>Venus Remedies Limited</t>
        </is>
      </c>
      <c r="C66" s="31" t="inlineStr">
        <is>
          <t>healthcare</t>
        </is>
      </c>
      <c r="D66" s="31" t="inlineStr">
        <is>
          <t>pharmaceuticals - indian - formulations</t>
        </is>
      </c>
      <c r="E66" s="31" t="inlineStr">
        <is>
          <t>smallcap</t>
        </is>
      </c>
      <c r="F66" s="31" t="n">
        <v>2311.55</v>
      </c>
      <c r="G66" s="31" t="n">
        <v>1782.1</v>
      </c>
      <c r="H66" s="31" t="n">
        <v>3.05</v>
      </c>
      <c r="I66" s="31" t="n">
        <v>61821</v>
      </c>
      <c r="J66" s="31" t="inlineStr">
        <is>
          <t>526953</t>
        </is>
      </c>
    </row>
    <row r="67">
      <c r="A67" s="31" t="inlineStr">
        <is>
          <t>THYROCARE</t>
        </is>
      </c>
      <c r="B67" s="31" t="inlineStr">
        <is>
          <t>Thyrocare Technologies Limited</t>
        </is>
      </c>
      <c r="C67" s="31" t="inlineStr">
        <is>
          <t>healthcare</t>
        </is>
      </c>
      <c r="D67" s="31" t="inlineStr">
        <is>
          <t>healthcare</t>
        </is>
      </c>
      <c r="E67" s="31" t="inlineStr">
        <is>
          <t>midcap</t>
        </is>
      </c>
      <c r="F67" s="31" t="n">
        <v>9645.42</v>
      </c>
      <c r="G67" s="31" t="n">
        <v>624.05</v>
      </c>
      <c r="H67" s="31" t="n">
        <v>2.98</v>
      </c>
      <c r="I67" s="31" t="n">
        <v>1262247</v>
      </c>
      <c r="J67" s="31" t="inlineStr">
        <is>
          <t>539871</t>
        </is>
      </c>
    </row>
    <row r="68">
      <c r="A68" s="31" t="inlineStr">
        <is>
          <t>MONARCH</t>
        </is>
      </c>
      <c r="B68" s="31" t="inlineStr">
        <is>
          <t>Monarch Networth Capital Ltd</t>
        </is>
      </c>
      <c r="C68" s="31" t="inlineStr">
        <is>
          <t>financials</t>
        </is>
      </c>
      <c r="D68" s="31" t="inlineStr">
        <is>
          <t>finance &amp; investments</t>
        </is>
      </c>
      <c r="E68" s="31" t="inlineStr">
        <is>
          <t>smallcap</t>
        </is>
      </c>
      <c r="F68" s="31" t="n">
        <v>3008.56</v>
      </c>
      <c r="G68" s="31" t="n">
        <v>390.6</v>
      </c>
      <c r="H68" s="31" t="n">
        <v>2.97</v>
      </c>
      <c r="I68" s="31" t="n">
        <v>874758</v>
      </c>
      <c r="J68" s="31" t="inlineStr">
        <is>
          <t>511551</t>
        </is>
      </c>
    </row>
    <row r="69">
      <c r="A69" s="31" t="inlineStr">
        <is>
          <t>ARVIND</t>
        </is>
      </c>
      <c r="B69" s="31" t="inlineStr">
        <is>
          <t>Arvind Limited</t>
        </is>
      </c>
      <c r="C69" s="31" t="inlineStr">
        <is>
          <t>textiles</t>
        </is>
      </c>
      <c r="D69" s="31" t="inlineStr">
        <is>
          <t>textiles - cotton/blended</t>
        </is>
      </c>
      <c r="E69" s="31" t="inlineStr">
        <is>
          <t>midcap</t>
        </is>
      </c>
      <c r="F69" s="31" t="n">
        <v>15115.94</v>
      </c>
      <c r="G69" s="31" t="n">
        <v>571.85</v>
      </c>
      <c r="H69" s="31" t="n">
        <v>2.92</v>
      </c>
      <c r="I69" s="31" t="n">
        <v>1283356</v>
      </c>
      <c r="J69" s="31" t="inlineStr">
        <is>
          <t>500101</t>
        </is>
      </c>
    </row>
    <row r="70">
      <c r="A70" s="31" t="inlineStr">
        <is>
          <t>AETHER</t>
        </is>
      </c>
      <c r="B70" s="31" t="inlineStr">
        <is>
          <t>Aether Industries Ltd</t>
        </is>
      </c>
      <c r="C70" s="31" t="inlineStr">
        <is>
          <t>chemicals</t>
        </is>
      </c>
      <c r="D70" s="31" t="inlineStr">
        <is>
          <t>chemicals</t>
        </is>
      </c>
      <c r="E70" s="31" t="inlineStr">
        <is>
          <t>largecap</t>
        </is>
      </c>
      <c r="F70" s="31" t="n">
        <v>20969.91</v>
      </c>
      <c r="G70" s="31" t="n">
        <v>1625.1</v>
      </c>
      <c r="H70" s="31" t="n">
        <v>2.85</v>
      </c>
      <c r="I70" s="31" t="n">
        <v>262061</v>
      </c>
      <c r="J70" s="31" t="inlineStr">
        <is>
          <t>543534</t>
        </is>
      </c>
    </row>
    <row r="71">
      <c r="A71" s="31" t="inlineStr">
        <is>
          <t>PREMIERPOL</t>
        </is>
      </c>
      <c r="B71" s="31" t="inlineStr">
        <is>
          <t>Premier Polyfilm Limited</t>
        </is>
      </c>
      <c r="C71" s="31" t="inlineStr">
        <is>
          <t>plastic products</t>
        </is>
      </c>
      <c r="D71" s="31" t="inlineStr">
        <is>
          <t>plastics products</t>
        </is>
      </c>
      <c r="E71" s="31" t="inlineStr">
        <is>
          <t>smallcap</t>
        </is>
      </c>
      <c r="F71" s="31" t="n">
        <v>759.17</v>
      </c>
      <c r="G71" s="31" t="n">
        <v>74.5</v>
      </c>
      <c r="H71" s="31" t="n">
        <v>2.79</v>
      </c>
      <c r="I71" s="31" t="n">
        <v>122816</v>
      </c>
      <c r="J71" s="31" t="inlineStr">
        <is>
          <t>514354</t>
        </is>
      </c>
    </row>
    <row r="72">
      <c r="A72" s="31" t="inlineStr">
        <is>
          <t>COSMOFIRST</t>
        </is>
      </c>
      <c r="B72" s="31" t="inlineStr">
        <is>
          <t>Cosmo First Ltd</t>
        </is>
      </c>
      <c r="C72" s="31" t="inlineStr">
        <is>
          <t>industrials</t>
        </is>
      </c>
      <c r="D72" s="31" t="inlineStr">
        <is>
          <t>packaging</t>
        </is>
      </c>
      <c r="E72" s="31" t="inlineStr">
        <is>
          <t>smallcap</t>
        </is>
      </c>
      <c r="F72" s="31" t="n">
        <v>2397.39</v>
      </c>
      <c r="G72" s="31" t="n">
        <v>938.35</v>
      </c>
      <c r="H72" s="31" t="n">
        <v>2.74</v>
      </c>
      <c r="I72" s="31" t="n">
        <v>153451</v>
      </c>
      <c r="J72" s="31" t="inlineStr">
        <is>
          <t>508814</t>
        </is>
      </c>
    </row>
    <row r="73">
      <c r="A73" s="31" t="inlineStr">
        <is>
          <t>BHARTIARTL</t>
        </is>
      </c>
      <c r="B73" s="31" t="inlineStr">
        <is>
          <t>Bharti Airtel Limited</t>
        </is>
      </c>
      <c r="C73" s="31" t="inlineStr">
        <is>
          <t>telecom-service</t>
        </is>
      </c>
      <c r="D73" s="31" t="inlineStr">
        <is>
          <t>telecommunications - service provider</t>
        </is>
      </c>
      <c r="E73" s="31" t="inlineStr">
        <is>
          <t>largecap</t>
        </is>
      </c>
      <c r="F73" s="31" t="n">
        <v>1210222.23</v>
      </c>
      <c r="G73" s="31" t="n">
        <v>1992.1</v>
      </c>
      <c r="H73" s="31" t="n">
        <v>2.73</v>
      </c>
      <c r="I73" s="31" t="n">
        <v>24207022</v>
      </c>
      <c r="J73" s="31" t="inlineStr">
        <is>
          <t>532454</t>
        </is>
      </c>
    </row>
    <row r="74">
      <c r="A74" s="31" t="inlineStr">
        <is>
          <t>TI</t>
        </is>
      </c>
      <c r="B74" s="31" t="inlineStr">
        <is>
          <t>Tilaknagar Industries Limited</t>
        </is>
      </c>
      <c r="C74" s="31" t="inlineStr">
        <is>
          <t>fmcg</t>
        </is>
      </c>
      <c r="D74" s="31" t="inlineStr">
        <is>
          <t>breweries &amp; distilleries</t>
        </is>
      </c>
      <c r="E74" s="31" t="inlineStr">
        <is>
          <t>midcap</t>
        </is>
      </c>
      <c r="F74" s="31" t="n">
        <v>13702.63</v>
      </c>
      <c r="G74" s="31" t="n">
        <v>568.75</v>
      </c>
      <c r="H74" s="31" t="n">
        <v>2.72</v>
      </c>
      <c r="I74" s="31" t="n">
        <v>3914329</v>
      </c>
      <c r="J74" s="31" t="inlineStr">
        <is>
          <t>507205</t>
        </is>
      </c>
    </row>
    <row r="75">
      <c r="A75" s="31" t="inlineStr">
        <is>
          <t>KOVAI</t>
        </is>
      </c>
      <c r="B75" s="31" t="inlineStr">
        <is>
          <t>Kovai Medical Center &amp; Hospital Ltd</t>
        </is>
      </c>
      <c r="C75" s="31" t="inlineStr">
        <is>
          <t>healthcare</t>
        </is>
      </c>
      <c r="D75" s="31" t="inlineStr">
        <is>
          <t>healthcare</t>
        </is>
      </c>
      <c r="E75" s="31" t="inlineStr">
        <is>
          <t>midcap</t>
        </is>
      </c>
      <c r="F75" s="31" t="n">
        <v>6446.63</v>
      </c>
      <c r="G75" s="31" t="n">
        <v>6049</v>
      </c>
      <c r="H75" s="31" t="n">
        <v>2.67</v>
      </c>
      <c r="I75" s="31" t="n">
        <v>7286</v>
      </c>
      <c r="J75" s="31" t="inlineStr">
        <is>
          <t>523323</t>
        </is>
      </c>
    </row>
    <row r="76">
      <c r="A76" s="31" t="inlineStr">
        <is>
          <t>PARAS</t>
        </is>
      </c>
      <c r="B76" s="31" t="inlineStr">
        <is>
          <t>Paras Defence and Space Technologies Ltd</t>
        </is>
      </c>
      <c r="C76" s="31" t="inlineStr">
        <is>
          <t>aerospace &amp; defence</t>
        </is>
      </c>
      <c r="D76" s="31" t="inlineStr">
        <is>
          <t>engineering</t>
        </is>
      </c>
      <c r="E76" s="31" t="inlineStr">
        <is>
          <t>midcap</t>
        </is>
      </c>
      <c r="F76" s="31" t="n">
        <v>10816.43</v>
      </c>
      <c r="G76" s="31" t="n">
        <v>1377.5</v>
      </c>
      <c r="H76" s="31" t="n">
        <v>2.63</v>
      </c>
      <c r="I76" s="31" t="n">
        <v>2826601</v>
      </c>
      <c r="J76" s="31" t="inlineStr">
        <is>
          <t>543367</t>
        </is>
      </c>
    </row>
    <row r="77">
      <c r="A77" s="31" t="inlineStr">
        <is>
          <t>LLOYDSENGG</t>
        </is>
      </c>
      <c r="B77" s="31" t="inlineStr">
        <is>
          <t>Lloyds Engineering Works Ltd</t>
        </is>
      </c>
      <c r="C77" s="31" t="inlineStr">
        <is>
          <t>industrials</t>
        </is>
      </c>
      <c r="D77" s="31" t="inlineStr">
        <is>
          <t>engineering</t>
        </is>
      </c>
      <c r="E77" s="31" t="inlineStr">
        <is>
          <t>midcap</t>
        </is>
      </c>
      <c r="F77" s="31" t="n">
        <v>13492.9</v>
      </c>
      <c r="G77" s="31" t="n">
        <v>93.53</v>
      </c>
      <c r="H77" s="31" t="n">
        <v>2.61</v>
      </c>
      <c r="I77" s="31" t="n">
        <v>8315614</v>
      </c>
      <c r="J77" s="31" t="inlineStr">
        <is>
          <t>539992</t>
        </is>
      </c>
    </row>
    <row r="78">
      <c r="A78" s="31" t="inlineStr">
        <is>
          <t>AEROFLEX</t>
        </is>
      </c>
      <c r="B78" s="31" t="inlineStr">
        <is>
          <t>Aeroflex Industries Ltd</t>
        </is>
      </c>
      <c r="C78" s="31" t="inlineStr">
        <is>
          <t>metals &amp; mining</t>
        </is>
      </c>
      <c r="D78" s="31" t="inlineStr">
        <is>
          <t>steel - medium / small</t>
        </is>
      </c>
      <c r="E78" s="31" t="inlineStr">
        <is>
          <t>midcap</t>
        </is>
      </c>
      <c r="F78" s="31" t="n">
        <v>5931.73</v>
      </c>
      <c r="G78" s="31" t="n">
        <v>459.85</v>
      </c>
      <c r="H78" s="31" t="n">
        <v>2.59</v>
      </c>
      <c r="I78" s="31" t="n">
        <v>1134930</v>
      </c>
      <c r="J78" s="31" t="inlineStr">
        <is>
          <t>543972</t>
        </is>
      </c>
    </row>
    <row r="79">
      <c r="A79" s="31" t="inlineStr">
        <is>
          <t>MAHASTEEL</t>
        </is>
      </c>
      <c r="B79" s="31" t="inlineStr">
        <is>
          <t>Mahamaya Steel Industries Limited</t>
        </is>
      </c>
      <c r="C79" s="31" t="inlineStr">
        <is>
          <t>metals &amp; mining</t>
        </is>
      </c>
      <c r="D79" s="31" t="inlineStr">
        <is>
          <t>steel - medium / small</t>
        </is>
      </c>
      <c r="E79" s="31" t="inlineStr">
        <is>
          <t>smallcap</t>
        </is>
      </c>
      <c r="F79" s="31" t="n">
        <v>1690.61</v>
      </c>
      <c r="G79" s="31" t="n">
        <v>1055</v>
      </c>
      <c r="H79" s="31" t="n">
        <v>2.56</v>
      </c>
      <c r="I79" s="31" t="n">
        <v>5753</v>
      </c>
      <c r="J79" s="31" t="inlineStr">
        <is>
          <t>513554</t>
        </is>
      </c>
    </row>
    <row r="80">
      <c r="A80" s="31" t="inlineStr">
        <is>
          <t>INDSWFTLAB</t>
        </is>
      </c>
      <c r="B80" s="31" t="inlineStr">
        <is>
          <t>Ind-swift Laboratories Limited</t>
        </is>
      </c>
      <c r="C80" s="31" t="inlineStr">
        <is>
          <t>healthcare</t>
        </is>
      </c>
      <c r="D80" s="31" t="inlineStr">
        <is>
          <t>pharmaceuticals - indian - bulk drugs &amp; formln</t>
        </is>
      </c>
      <c r="E80" s="31" t="inlineStr">
        <is>
          <t>smallcap</t>
        </is>
      </c>
      <c r="F80" s="31" t="n">
        <v>2579.54</v>
      </c>
      <c r="G80" s="31" t="n">
        <v>304.18</v>
      </c>
      <c r="H80" s="31" t="n">
        <v>2.55</v>
      </c>
      <c r="I80" s="31" t="n">
        <v>618959</v>
      </c>
      <c r="J80" s="31" t="inlineStr">
        <is>
          <t>532305</t>
        </is>
      </c>
    </row>
    <row r="81">
      <c r="A81" s="31" t="inlineStr">
        <is>
          <t>SOTL</t>
        </is>
      </c>
      <c r="B81" s="31" t="inlineStr">
        <is>
          <t>Savita Oil Technologies Limited</t>
        </is>
      </c>
      <c r="C81" s="31" t="inlineStr">
        <is>
          <t>energy</t>
        </is>
      </c>
      <c r="D81" s="31" t="inlineStr">
        <is>
          <t>petrochemicals</t>
        </is>
      </c>
      <c r="E81" s="31" t="inlineStr">
        <is>
          <t>smallcap</t>
        </is>
      </c>
      <c r="F81" s="31" t="n">
        <v>4675.13</v>
      </c>
      <c r="G81" s="31" t="n">
        <v>699.15</v>
      </c>
      <c r="H81" s="31" t="n">
        <v>2.53</v>
      </c>
      <c r="I81" s="31" t="n">
        <v>302022</v>
      </c>
      <c r="J81" s="31" t="inlineStr">
        <is>
          <t>524667</t>
        </is>
      </c>
    </row>
    <row r="82">
      <c r="A82" s="31" t="inlineStr">
        <is>
          <t>AVADHSUGAR</t>
        </is>
      </c>
      <c r="B82" s="31" t="inlineStr">
        <is>
          <t>Avadh Sugar &amp; Energy</t>
        </is>
      </c>
      <c r="C82" s="31" t="inlineStr">
        <is>
          <t>fmcg</t>
        </is>
      </c>
      <c r="D82" s="31" t="inlineStr">
        <is>
          <t>sugar</t>
        </is>
      </c>
      <c r="E82" s="31" t="inlineStr">
        <is>
          <t>smallcap</t>
        </is>
      </c>
      <c r="F82" s="31" t="n">
        <v>1275.57</v>
      </c>
      <c r="G82" s="31" t="n">
        <v>653.15</v>
      </c>
      <c r="H82" s="31" t="n">
        <v>2.5</v>
      </c>
      <c r="I82" s="31" t="n">
        <v>118094</v>
      </c>
      <c r="J82" s="31" t="inlineStr">
        <is>
          <t>540649</t>
        </is>
      </c>
    </row>
    <row r="83">
      <c r="A83" s="31" t="inlineStr">
        <is>
          <t>GLOBAL</t>
        </is>
      </c>
      <c r="B83" s="31" t="inlineStr">
        <is>
          <t>Global Education Ltd</t>
        </is>
      </c>
      <c r="C83" s="31" t="inlineStr">
        <is>
          <t>services</t>
        </is>
      </c>
      <c r="D83" s="31" t="inlineStr">
        <is>
          <t>miscellaneous</t>
        </is>
      </c>
      <c r="E83" s="31" t="inlineStr">
        <is>
          <t>smallcap</t>
        </is>
      </c>
      <c r="F83" s="31" t="n">
        <v>521.64</v>
      </c>
      <c r="G83" s="31" t="n">
        <v>105</v>
      </c>
      <c r="H83" s="31" t="n">
        <v>2.46</v>
      </c>
      <c r="I83" s="31" t="n">
        <v>118917</v>
      </c>
      <c r="J83" s="31" t="inlineStr">
        <is>
          <t>538406</t>
        </is>
      </c>
    </row>
    <row r="84">
      <c r="A84" s="31" t="inlineStr">
        <is>
          <t>KPRMILL</t>
        </is>
      </c>
      <c r="B84" s="31" t="inlineStr">
        <is>
          <t>K.p.r. Mill Limited</t>
        </is>
      </c>
      <c r="C84" s="31" t="inlineStr">
        <is>
          <t>consumer discretionary</t>
        </is>
      </c>
      <c r="D84" s="31" t="inlineStr">
        <is>
          <t>textiles - products</t>
        </is>
      </c>
      <c r="E84" s="31" t="inlineStr">
        <is>
          <t>largecap</t>
        </is>
      </c>
      <c r="F84" s="31" t="n">
        <v>37076.56</v>
      </c>
      <c r="G84" s="31" t="n">
        <v>1110</v>
      </c>
      <c r="H84" s="31" t="n">
        <v>2.33</v>
      </c>
      <c r="I84" s="31" t="n">
        <v>171192</v>
      </c>
      <c r="J84" s="31" t="inlineStr">
        <is>
          <t>532889</t>
        </is>
      </c>
    </row>
    <row r="85">
      <c r="A85" s="31" t="inlineStr">
        <is>
          <t>MPSLTD</t>
        </is>
      </c>
      <c r="B85" s="31" t="inlineStr">
        <is>
          <t>Mps Limited</t>
        </is>
      </c>
      <c r="C85" s="31" t="inlineStr">
        <is>
          <t>i.t</t>
        </is>
      </c>
      <c r="D85" s="31" t="inlineStr">
        <is>
          <t>computers - software - medium / small</t>
        </is>
      </c>
      <c r="E85" s="31" t="inlineStr">
        <is>
          <t>smallcap</t>
        </is>
      </c>
      <c r="F85" s="31" t="n">
        <v>4715.22</v>
      </c>
      <c r="G85" s="31" t="n">
        <v>2816</v>
      </c>
      <c r="H85" s="31" t="n">
        <v>2.16</v>
      </c>
      <c r="I85" s="31" t="n">
        <v>20963</v>
      </c>
      <c r="J85" s="31" t="inlineStr">
        <is>
          <t>532440</t>
        </is>
      </c>
    </row>
    <row r="86">
      <c r="A86" s="31" t="inlineStr">
        <is>
          <t>FOSECOIND</t>
        </is>
      </c>
      <c r="B86" s="31" t="inlineStr">
        <is>
          <t>Foseco India Limited</t>
        </is>
      </c>
      <c r="C86" s="31" t="inlineStr">
        <is>
          <t>chemicals</t>
        </is>
      </c>
      <c r="D86" s="31" t="inlineStr">
        <is>
          <t>chemicals</t>
        </is>
      </c>
      <c r="E86" s="31" t="inlineStr">
        <is>
          <t>smallcap</t>
        </is>
      </c>
      <c r="F86" s="31" t="n">
        <v>4173.76</v>
      </c>
      <c r="G86" s="31" t="n">
        <v>5655</v>
      </c>
      <c r="H86" s="31" t="n">
        <v>2.12</v>
      </c>
      <c r="I86" s="31" t="n">
        <v>41930</v>
      </c>
      <c r="J86" s="31" t="inlineStr">
        <is>
          <t>500150</t>
        </is>
      </c>
    </row>
    <row r="87">
      <c r="A87" s="31" t="inlineStr">
        <is>
          <t>HEG</t>
        </is>
      </c>
      <c r="B87" s="31" t="inlineStr">
        <is>
          <t>Heg Limited</t>
        </is>
      </c>
      <c r="C87" s="31" t="inlineStr">
        <is>
          <t>industrials</t>
        </is>
      </c>
      <c r="D87" s="31" t="inlineStr">
        <is>
          <t>electrodes - graphites</t>
        </is>
      </c>
      <c r="E87" s="31" t="inlineStr">
        <is>
          <t>midcap</t>
        </is>
      </c>
      <c r="F87" s="31" t="n">
        <v>13257.56</v>
      </c>
      <c r="G87" s="31" t="n">
        <v>701</v>
      </c>
      <c r="H87" s="31" t="n">
        <v>2.04</v>
      </c>
      <c r="I87" s="31" t="n">
        <v>3739359</v>
      </c>
      <c r="J87" s="31" t="inlineStr">
        <is>
          <t>509631</t>
        </is>
      </c>
    </row>
    <row r="88">
      <c r="A88" s="31" t="inlineStr">
        <is>
          <t>PLASTIBLEN</t>
        </is>
      </c>
      <c r="B88" s="31" t="inlineStr">
        <is>
          <t>Plastiblends India Limited</t>
        </is>
      </c>
      <c r="C88" s="31" t="inlineStr">
        <is>
          <t>chemicals</t>
        </is>
      </c>
      <c r="D88" s="31" t="inlineStr">
        <is>
          <t>chemicals</t>
        </is>
      </c>
      <c r="E88" s="31" t="inlineStr">
        <is>
          <t>smallcap</t>
        </is>
      </c>
      <c r="F88" s="31" t="n">
        <v>509.47</v>
      </c>
      <c r="G88" s="31" t="n">
        <v>199.99</v>
      </c>
      <c r="H88" s="31" t="n">
        <v>2.02</v>
      </c>
      <c r="I88" s="31" t="n">
        <v>44466</v>
      </c>
      <c r="J88" s="31" t="inlineStr">
        <is>
          <t>523648</t>
        </is>
      </c>
    </row>
    <row r="89">
      <c r="A89" s="31" t="inlineStr">
        <is>
          <t>COMSYN</t>
        </is>
      </c>
      <c r="B89" s="31" t="inlineStr">
        <is>
          <t>Commercial Syn Bags Ltd</t>
        </is>
      </c>
      <c r="C89" s="31" t="inlineStr">
        <is>
          <t>industrials</t>
        </is>
      </c>
      <c r="D89" s="31" t="inlineStr">
        <is>
          <t>packaging</t>
        </is>
      </c>
      <c r="E89" s="31" t="inlineStr">
        <is>
          <t>smallcap</t>
        </is>
      </c>
      <c r="F89" s="31" t="n">
        <v>1140.23</v>
      </c>
      <c r="G89" s="31" t="n">
        <v>288.33</v>
      </c>
      <c r="H89" s="31" t="n">
        <v>2.01</v>
      </c>
      <c r="I89" s="31" t="n">
        <v>398994</v>
      </c>
      <c r="J89" s="31" t="inlineStr">
        <is>
          <t>539986</t>
        </is>
      </c>
    </row>
    <row r="90">
      <c r="A90" s="31" t="inlineStr">
        <is>
          <t>SVLL</t>
        </is>
      </c>
      <c r="B90" s="31" t="inlineStr">
        <is>
          <t>Shree Vasu Logistics Ltd</t>
        </is>
      </c>
      <c r="C90" s="31" t="inlineStr">
        <is>
          <t>transportation</t>
        </is>
      </c>
      <c r="D90" s="31" t="inlineStr">
        <is>
          <t>miscellaneous</t>
        </is>
      </c>
      <c r="E90" s="31" t="inlineStr">
        <is>
          <t>smallcap</t>
        </is>
      </c>
      <c r="F90" s="31" t="n">
        <v>871.62</v>
      </c>
      <c r="G90" s="31" t="n">
        <v>758.35</v>
      </c>
      <c r="H90" s="31" t="n">
        <v>2</v>
      </c>
      <c r="I90" s="31" t="n">
        <v>1263</v>
      </c>
      <c r="J90" s="31" t="inlineStr">
        <is>
          <t>535084</t>
        </is>
      </c>
    </row>
    <row r="91">
      <c r="A91" s="31" t="inlineStr">
        <is>
          <t>AZAD</t>
        </is>
      </c>
      <c r="B91" s="31" t="inlineStr">
        <is>
          <t>Azad Engineering Ltd</t>
        </is>
      </c>
      <c r="C91" s="31" t="inlineStr">
        <is>
          <t>aerospace &amp; defence</t>
        </is>
      </c>
      <c r="D91" s="31" t="inlineStr">
        <is>
          <t>engineering</t>
        </is>
      </c>
      <c r="E91" s="31" t="inlineStr">
        <is>
          <t>midcap</t>
        </is>
      </c>
      <c r="F91" s="31" t="n">
        <v>17211.68</v>
      </c>
      <c r="G91" s="31" t="n">
        <v>2717.8</v>
      </c>
      <c r="H91" s="31" t="n">
        <v>1.98</v>
      </c>
      <c r="I91" s="31" t="n">
        <v>621810</v>
      </c>
      <c r="J91" s="31" t="inlineStr">
        <is>
          <t>544061</t>
        </is>
      </c>
    </row>
    <row r="92">
      <c r="A92" s="31" t="inlineStr">
        <is>
          <t>LMW</t>
        </is>
      </c>
      <c r="B92" s="31" t="inlineStr">
        <is>
          <t>LMW Ltd</t>
        </is>
      </c>
      <c r="C92" s="31" t="inlineStr">
        <is>
          <t>industrials</t>
        </is>
      </c>
      <c r="D92" s="31" t="inlineStr">
        <is>
          <t>textile machinery</t>
        </is>
      </c>
      <c r="E92" s="31" t="inlineStr">
        <is>
          <t>largecap</t>
        </is>
      </c>
      <c r="F92" s="31" t="n">
        <v>20027.42</v>
      </c>
      <c r="G92" s="31" t="n">
        <v>19100</v>
      </c>
      <c r="H92" s="31" t="n">
        <v>1.88</v>
      </c>
      <c r="I92" s="31" t="n">
        <v>11969</v>
      </c>
      <c r="J92" s="31" t="inlineStr">
        <is>
          <t>500252</t>
        </is>
      </c>
    </row>
    <row r="93">
      <c r="A93" s="31" t="inlineStr">
        <is>
          <t>TFCILTD</t>
        </is>
      </c>
      <c r="B93" s="31" t="inlineStr">
        <is>
          <t>Tourism Finance Corporation Of India Limited</t>
        </is>
      </c>
      <c r="C93" s="31" t="inlineStr">
        <is>
          <t>financials</t>
        </is>
      </c>
      <c r="D93" s="31" t="inlineStr">
        <is>
          <t>finance - term-lending institutions</t>
        </is>
      </c>
      <c r="E93" s="31" t="inlineStr">
        <is>
          <t>midcap</t>
        </is>
      </c>
      <c r="F93" s="31" t="n">
        <v>5338.59</v>
      </c>
      <c r="G93" s="31" t="n">
        <v>117.44</v>
      </c>
      <c r="H93" s="31" t="n">
        <v>1.85</v>
      </c>
      <c r="I93" s="31" t="n">
        <v>10567271</v>
      </c>
      <c r="J93" s="31" t="inlineStr">
        <is>
          <t>526650</t>
        </is>
      </c>
    </row>
    <row r="94">
      <c r="A94" s="31" t="inlineStr">
        <is>
          <t>SHILPAMED</t>
        </is>
      </c>
      <c r="B94" s="31" t="inlineStr">
        <is>
          <t>Shilpa Medicare Limited</t>
        </is>
      </c>
      <c r="C94" s="31" t="inlineStr">
        <is>
          <t>healthcare</t>
        </is>
      </c>
      <c r="D94" s="31" t="inlineStr">
        <is>
          <t>pharmaceuticals - indian - formulations</t>
        </is>
      </c>
      <c r="E94" s="31" t="inlineStr">
        <is>
          <t>midcap</t>
        </is>
      </c>
      <c r="F94" s="31" t="n">
        <v>15784.43</v>
      </c>
      <c r="G94" s="31" t="n">
        <v>822</v>
      </c>
      <c r="H94" s="31" t="n">
        <v>1.85</v>
      </c>
      <c r="I94" s="31" t="n">
        <v>1036742</v>
      </c>
      <c r="J94" s="31" t="inlineStr">
        <is>
          <t>530549</t>
        </is>
      </c>
    </row>
    <row r="95">
      <c r="A95" s="31" t="inlineStr">
        <is>
          <t>CESC</t>
        </is>
      </c>
      <c r="B95" s="31" t="inlineStr">
        <is>
          <t>Cesc Limited</t>
        </is>
      </c>
      <c r="C95" s="31" t="inlineStr">
        <is>
          <t>power &amp; utilities</t>
        </is>
      </c>
      <c r="D95" s="31" t="inlineStr">
        <is>
          <t>power generation and supply</t>
        </is>
      </c>
      <c r="E95" s="31" t="inlineStr">
        <is>
          <t>largecap</t>
        </is>
      </c>
      <c r="F95" s="31" t="n">
        <v>21849.38</v>
      </c>
      <c r="G95" s="31" t="n">
        <v>167.83</v>
      </c>
      <c r="H95" s="31" t="n">
        <v>1.82</v>
      </c>
      <c r="I95" s="31" t="n">
        <v>5557236</v>
      </c>
      <c r="J95" s="31" t="inlineStr">
        <is>
          <t>500084</t>
        </is>
      </c>
    </row>
    <row r="96">
      <c r="A96" s="31" t="inlineStr">
        <is>
          <t>SOFTTECH</t>
        </is>
      </c>
      <c r="B96" s="31" t="inlineStr">
        <is>
          <t>Softtech Engineers Ltd</t>
        </is>
      </c>
      <c r="C96" s="31" t="inlineStr">
        <is>
          <t>i.t</t>
        </is>
      </c>
      <c r="D96" s="31" t="inlineStr">
        <is>
          <t>computers - software - medium / small</t>
        </is>
      </c>
      <c r="E96" s="31" t="inlineStr">
        <is>
          <t>smallcap</t>
        </is>
      </c>
      <c r="F96" s="31" t="n">
        <v>585.9400000000001</v>
      </c>
      <c r="G96" s="31" t="n">
        <v>430.95</v>
      </c>
      <c r="H96" s="31" t="n">
        <v>1.81</v>
      </c>
      <c r="I96" s="31" t="n">
        <v>1340</v>
      </c>
      <c r="J96" s="31" t="inlineStr">
        <is>
          <t>535078</t>
        </is>
      </c>
    </row>
    <row r="97">
      <c r="A97" s="31" t="inlineStr">
        <is>
          <t>UJJIVANSFB</t>
        </is>
      </c>
      <c r="B97" s="31" t="inlineStr">
        <is>
          <t>Ujjivan Small Finance Bank Ltd</t>
        </is>
      </c>
      <c r="C97" s="31" t="inlineStr">
        <is>
          <t>bank</t>
        </is>
      </c>
      <c r="D97" s="31" t="inlineStr">
        <is>
          <t>banks - private sector</t>
        </is>
      </c>
      <c r="E97" s="31" t="inlineStr">
        <is>
          <t>midcap</t>
        </is>
      </c>
      <c r="F97" s="31" t="n">
        <v>13848.28</v>
      </c>
      <c r="G97" s="31" t="n">
        <v>72.47</v>
      </c>
      <c r="H97" s="31" t="n">
        <v>1.8</v>
      </c>
      <c r="I97" s="31" t="n">
        <v>16653738</v>
      </c>
      <c r="J97" s="31" t="inlineStr">
        <is>
          <t>542904</t>
        </is>
      </c>
    </row>
    <row r="98">
      <c r="A98" s="31" t="inlineStr">
        <is>
          <t>TBOTEK</t>
        </is>
      </c>
      <c r="B98" s="31" t="inlineStr">
        <is>
          <t>TBO Tek Ltd</t>
        </is>
      </c>
      <c r="C98" s="31" t="inlineStr">
        <is>
          <t>i.t</t>
        </is>
      </c>
      <c r="D98" s="31" t="inlineStr">
        <is>
          <t>travel agencies</t>
        </is>
      </c>
      <c r="E98" s="31" t="inlineStr">
        <is>
          <t>midcap</t>
        </is>
      </c>
      <c r="F98" s="31" t="n">
        <v>17427.25</v>
      </c>
      <c r="G98" s="31" t="n">
        <v>1633.3</v>
      </c>
      <c r="H98" s="31" t="n">
        <v>1.77</v>
      </c>
      <c r="I98" s="31" t="n">
        <v>224149</v>
      </c>
      <c r="J98" s="31" t="inlineStr">
        <is>
          <t>544174</t>
        </is>
      </c>
    </row>
    <row r="99">
      <c r="A99" s="31" t="inlineStr">
        <is>
          <t>ANTHEM</t>
        </is>
      </c>
      <c r="B99" s="31" t="inlineStr">
        <is>
          <t>Anthem Biosciences Ltd</t>
        </is>
      </c>
      <c r="C99" s="31" t="inlineStr">
        <is>
          <t>healthcare</t>
        </is>
      </c>
      <c r="D99" s="31" t="inlineStr">
        <is>
          <t>pharmaceuticals - indian - bulk drugs &amp; formln</t>
        </is>
      </c>
      <c r="E99" s="31" t="inlineStr">
        <is>
          <t>largecap</t>
        </is>
      </c>
      <c r="F99" s="31" t="n">
        <v>49290.53</v>
      </c>
      <c r="G99" s="31" t="n">
        <v>890.1</v>
      </c>
      <c r="H99" s="31" t="n">
        <v>1.74</v>
      </c>
      <c r="I99" s="31" t="n">
        <v>390266</v>
      </c>
      <c r="J99" s="31" t="inlineStr">
        <is>
          <t>544449</t>
        </is>
      </c>
    </row>
    <row r="100">
      <c r="A100" s="31" t="inlineStr">
        <is>
          <t>DBOL</t>
        </is>
      </c>
      <c r="B100" s="31" t="inlineStr">
        <is>
          <t>Dhampur Bio Organics Ltd</t>
        </is>
      </c>
      <c r="C100" s="31" t="inlineStr">
        <is>
          <t>fmcg</t>
        </is>
      </c>
      <c r="D100" s="31" t="inlineStr">
        <is>
          <t>sugar</t>
        </is>
      </c>
      <c r="E100" s="31" t="inlineStr">
        <is>
          <t>smallcap</t>
        </is>
      </c>
      <c r="F100" s="31" t="n">
        <v>781.78</v>
      </c>
      <c r="G100" s="31" t="n">
        <v>119.8</v>
      </c>
      <c r="H100" s="31" t="n">
        <v>1.73</v>
      </c>
      <c r="I100" s="31" t="n">
        <v>331662</v>
      </c>
      <c r="J100" s="31" t="inlineStr">
        <is>
          <t>543593</t>
        </is>
      </c>
    </row>
    <row r="101">
      <c r="A101" s="31" t="inlineStr">
        <is>
          <t>HAL</t>
        </is>
      </c>
      <c r="B101" s="31" t="inlineStr">
        <is>
          <t>Hindustan Aeronautics Ltd</t>
        </is>
      </c>
      <c r="C101" s="31" t="inlineStr">
        <is>
          <t>aerospace &amp; defence</t>
        </is>
      </c>
      <c r="D101" s="31" t="inlineStr">
        <is>
          <t>engineering</t>
        </is>
      </c>
      <c r="E101" s="31" t="inlineStr">
        <is>
          <t>largecap</t>
        </is>
      </c>
      <c r="F101" s="31" t="n">
        <v>330709.24</v>
      </c>
      <c r="G101" s="31" t="n">
        <v>5029.9</v>
      </c>
      <c r="H101" s="31" t="n">
        <v>1.72</v>
      </c>
      <c r="I101" s="31" t="n">
        <v>3037755</v>
      </c>
      <c r="J101" s="31" t="inlineStr">
        <is>
          <t>541154</t>
        </is>
      </c>
    </row>
    <row r="102">
      <c r="A102" s="31" t="inlineStr">
        <is>
          <t>HATSUN</t>
        </is>
      </c>
      <c r="B102" s="31" t="inlineStr">
        <is>
          <t>Hatsun Agro Product Limited</t>
        </is>
      </c>
      <c r="C102" s="31" t="inlineStr">
        <is>
          <t>fmcg</t>
        </is>
      </c>
      <c r="D102" s="31" t="inlineStr">
        <is>
          <t>food - processing - indian</t>
        </is>
      </c>
      <c r="E102" s="31" t="inlineStr">
        <is>
          <t>largecap</t>
        </is>
      </c>
      <c r="F102" s="31" t="n">
        <v>21471.82</v>
      </c>
      <c r="G102" s="31" t="n">
        <v>980</v>
      </c>
      <c r="H102" s="31" t="n">
        <v>1.67</v>
      </c>
      <c r="I102" s="31" t="n">
        <v>82073</v>
      </c>
      <c r="J102" s="31" t="inlineStr">
        <is>
          <t>531531</t>
        </is>
      </c>
    </row>
    <row r="103">
      <c r="A103" s="31" t="inlineStr">
        <is>
          <t>BDL</t>
        </is>
      </c>
      <c r="B103" s="31" t="inlineStr">
        <is>
          <t>Bharat Dynamics Ltd</t>
        </is>
      </c>
      <c r="C103" s="31" t="inlineStr">
        <is>
          <t>aerospace &amp; defence</t>
        </is>
      </c>
      <c r="D103" s="31" t="inlineStr">
        <is>
          <t>engineering</t>
        </is>
      </c>
      <c r="E103" s="31" t="inlineStr">
        <is>
          <t>largecap</t>
        </is>
      </c>
      <c r="F103" s="31" t="n">
        <v>50420.67</v>
      </c>
      <c r="G103" s="31" t="n">
        <v>1398</v>
      </c>
      <c r="H103" s="31" t="n">
        <v>1.64</v>
      </c>
      <c r="I103" s="31" t="n">
        <v>16885944</v>
      </c>
      <c r="J103" s="31" t="inlineStr">
        <is>
          <t>541143</t>
        </is>
      </c>
    </row>
    <row r="104">
      <c r="A104" s="31" t="inlineStr">
        <is>
          <t>INDIGOPNTS</t>
        </is>
      </c>
      <c r="B104" s="31" t="inlineStr">
        <is>
          <t>Indigo Paints Ltd</t>
        </is>
      </c>
      <c r="C104" s="31" t="inlineStr">
        <is>
          <t>building materials</t>
        </is>
      </c>
      <c r="D104" s="31" t="inlineStr">
        <is>
          <t>paints / varnishes</t>
        </is>
      </c>
      <c r="E104" s="31" t="inlineStr">
        <is>
          <t>midcap</t>
        </is>
      </c>
      <c r="F104" s="31" t="n">
        <v>5389.26</v>
      </c>
      <c r="G104" s="31" t="n">
        <v>1148.7</v>
      </c>
      <c r="H104" s="31" t="n">
        <v>1.62</v>
      </c>
      <c r="I104" s="31" t="n">
        <v>2405565</v>
      </c>
      <c r="J104" s="31" t="inlineStr">
        <is>
          <t>543258</t>
        </is>
      </c>
    </row>
    <row r="105">
      <c r="A105" s="31" t="inlineStr">
        <is>
          <t>AJANTPHARM</t>
        </is>
      </c>
      <c r="B105" s="31" t="inlineStr">
        <is>
          <t>Ajanta Pharma Limited</t>
        </is>
      </c>
      <c r="C105" s="31" t="inlineStr">
        <is>
          <t>healthcare</t>
        </is>
      </c>
      <c r="D105" s="31" t="inlineStr">
        <is>
          <t>pharmaceuticals - indian - formulations</t>
        </is>
      </c>
      <c r="E105" s="31" t="inlineStr">
        <is>
          <t>largecap</t>
        </is>
      </c>
      <c r="F105" s="31" t="n">
        <v>45159.23</v>
      </c>
      <c r="G105" s="31" t="n">
        <v>3672.8</v>
      </c>
      <c r="H105" s="31" t="n">
        <v>1.61</v>
      </c>
      <c r="I105" s="31" t="n">
        <v>95494</v>
      </c>
      <c r="J105" s="31" t="inlineStr">
        <is>
          <t>532331</t>
        </is>
      </c>
    </row>
    <row r="106">
      <c r="A106" s="31" t="inlineStr">
        <is>
          <t>GAEL</t>
        </is>
      </c>
      <c r="B106" s="31" t="inlineStr">
        <is>
          <t>Gujarat Ambuja Exports Limited</t>
        </is>
      </c>
      <c r="C106" s="31" t="inlineStr">
        <is>
          <t>fmcg</t>
        </is>
      </c>
      <c r="D106" s="31" t="inlineStr">
        <is>
          <t>miscellaneous</t>
        </is>
      </c>
      <c r="E106" s="31" t="inlineStr">
        <is>
          <t>midcap</t>
        </is>
      </c>
      <c r="F106" s="31" t="n">
        <v>7805.66</v>
      </c>
      <c r="G106" s="31" t="n">
        <v>172.81</v>
      </c>
      <c r="H106" s="31" t="n">
        <v>1.55</v>
      </c>
      <c r="I106" s="31" t="n">
        <v>1307854</v>
      </c>
      <c r="J106" s="31" t="inlineStr">
        <is>
          <t>524226</t>
        </is>
      </c>
    </row>
    <row r="107">
      <c r="A107" s="31" t="inlineStr">
        <is>
          <t>ROSSTECH</t>
        </is>
      </c>
      <c r="B107" s="31" t="inlineStr">
        <is>
          <t>Rossell Techsys Ltd</t>
        </is>
      </c>
      <c r="C107" s="31" t="inlineStr">
        <is>
          <t>aerospace &amp; defence</t>
        </is>
      </c>
      <c r="D107" s="31" t="inlineStr">
        <is>
          <t>engineering</t>
        </is>
      </c>
      <c r="E107" s="31" t="inlineStr">
        <is>
          <t>smallcap</t>
        </is>
      </c>
      <c r="F107" s="31" t="n">
        <v>3985.08</v>
      </c>
      <c r="G107" s="31" t="n">
        <v>1073.45</v>
      </c>
      <c r="H107" s="31" t="n">
        <v>1.54</v>
      </c>
      <c r="I107" s="31" t="n">
        <v>156621</v>
      </c>
      <c r="J107" s="31" t="inlineStr">
        <is>
          <t>544294</t>
        </is>
      </c>
    </row>
    <row r="108">
      <c r="A108" s="31" t="inlineStr">
        <is>
          <t>LUMAXTECH</t>
        </is>
      </c>
      <c r="B108" s="31" t="inlineStr">
        <is>
          <t>Lumax Auto Technologies Limited</t>
        </is>
      </c>
      <c r="C108" s="31" t="inlineStr">
        <is>
          <t>auto</t>
        </is>
      </c>
      <c r="D108" s="31" t="inlineStr">
        <is>
          <t>auto ancillaries</t>
        </is>
      </c>
      <c r="E108" s="31" t="inlineStr">
        <is>
          <t>midcap</t>
        </is>
      </c>
      <c r="F108" s="31" t="n">
        <v>13546.34</v>
      </c>
      <c r="G108" s="31" t="n">
        <v>2018</v>
      </c>
      <c r="H108" s="31" t="n">
        <v>1.53</v>
      </c>
      <c r="I108" s="31" t="n">
        <v>261553</v>
      </c>
      <c r="J108" s="31" t="inlineStr">
        <is>
          <t>532796</t>
        </is>
      </c>
    </row>
    <row r="109">
      <c r="A109" s="31" t="inlineStr">
        <is>
          <t>NRL</t>
        </is>
      </c>
      <c r="B109" s="31" t="inlineStr">
        <is>
          <t>Nupur Recyclers Ltd</t>
        </is>
      </c>
      <c r="C109" s="31" t="inlineStr">
        <is>
          <t>services</t>
        </is>
      </c>
      <c r="D109" s="31" t="inlineStr">
        <is>
          <t>trading</t>
        </is>
      </c>
      <c r="E109" s="31" t="inlineStr">
        <is>
          <t>smallcap</t>
        </is>
      </c>
      <c r="F109" s="31" t="n">
        <v>808.11</v>
      </c>
      <c r="G109" s="31" t="n">
        <v>117</v>
      </c>
      <c r="H109" s="31" t="n">
        <v>1.52</v>
      </c>
      <c r="I109" s="31" t="n">
        <v>46219</v>
      </c>
      <c r="J109" s="31" t="inlineStr">
        <is>
          <t>535413</t>
        </is>
      </c>
    </row>
    <row r="110">
      <c r="A110" s="31" t="inlineStr">
        <is>
          <t>SARDAEN</t>
        </is>
      </c>
      <c r="B110" s="31" t="inlineStr">
        <is>
          <t>Sarda Energy &amp; Minerals Limited</t>
        </is>
      </c>
      <c r="C110" s="31" t="inlineStr">
        <is>
          <t>metals &amp; mining</t>
        </is>
      </c>
      <c r="D110" s="31" t="inlineStr">
        <is>
          <t>steel - medium / small</t>
        </is>
      </c>
      <c r="E110" s="31" t="inlineStr">
        <is>
          <t>midcap</t>
        </is>
      </c>
      <c r="F110" s="31" t="n">
        <v>18440.11</v>
      </c>
      <c r="G110" s="31" t="n">
        <v>531.15</v>
      </c>
      <c r="H110" s="31" t="n">
        <v>1.5</v>
      </c>
      <c r="I110" s="31" t="n">
        <v>1572146</v>
      </c>
      <c r="J110" s="31" t="inlineStr">
        <is>
          <t>504614</t>
        </is>
      </c>
    </row>
    <row r="111">
      <c r="A111" s="31" t="inlineStr">
        <is>
          <t>SILVERTUC</t>
        </is>
      </c>
      <c r="B111" s="31" t="inlineStr">
        <is>
          <t>Silver Touch Technologies Ltd</t>
        </is>
      </c>
      <c r="C111" s="31" t="inlineStr">
        <is>
          <t>i.t</t>
        </is>
      </c>
      <c r="D111" s="31" t="inlineStr">
        <is>
          <t>computers - software - medium / small</t>
        </is>
      </c>
      <c r="E111" s="31" t="inlineStr">
        <is>
          <t>smallcap</t>
        </is>
      </c>
      <c r="F111" s="31" t="n">
        <v>2616.34</v>
      </c>
      <c r="G111" s="31" t="n">
        <v>209.29</v>
      </c>
      <c r="H111" s="31" t="n">
        <v>1.44</v>
      </c>
      <c r="I111" s="31" t="n">
        <v>593952</v>
      </c>
      <c r="J111" s="31" t="inlineStr">
        <is>
          <t>535031</t>
        </is>
      </c>
    </row>
    <row r="112">
      <c r="A112" s="31" t="inlineStr">
        <is>
          <t>SEAMECLTD</t>
        </is>
      </c>
      <c r="B112" s="31" t="inlineStr">
        <is>
          <t>Seamec Limited</t>
        </is>
      </c>
      <c r="C112" s="31" t="inlineStr">
        <is>
          <t>miscellaneous</t>
        </is>
      </c>
      <c r="D112" s="31" t="inlineStr">
        <is>
          <t>miscellaneous</t>
        </is>
      </c>
      <c r="E112" s="31" t="inlineStr">
        <is>
          <t>smallcap</t>
        </is>
      </c>
      <c r="F112" s="31" t="n">
        <v>3895.87</v>
      </c>
      <c r="G112" s="31" t="n">
        <v>1554</v>
      </c>
      <c r="H112" s="31" t="n">
        <v>1.42</v>
      </c>
      <c r="I112" s="31" t="n">
        <v>140966</v>
      </c>
      <c r="J112" s="31" t="inlineStr">
        <is>
          <t>526807</t>
        </is>
      </c>
    </row>
    <row r="113">
      <c r="A113" s="31" t="inlineStr">
        <is>
          <t>JSWDULUX</t>
        </is>
      </c>
      <c r="B113" s="31" t="inlineStr">
        <is>
          <t>JSW Dulux Ltd</t>
        </is>
      </c>
      <c r="C113" s="31" t="inlineStr">
        <is>
          <t>building materials</t>
        </is>
      </c>
      <c r="D113" s="31" t="inlineStr">
        <is>
          <t>paints / varnishes</t>
        </is>
      </c>
      <c r="E113" s="31" t="inlineStr">
        <is>
          <t>midcap</t>
        </is>
      </c>
      <c r="F113" s="31" t="n">
        <v>14224.52</v>
      </c>
      <c r="G113" s="31" t="n">
        <v>3167.4</v>
      </c>
      <c r="H113" s="31" t="n">
        <v>1.41</v>
      </c>
      <c r="I113" s="31" t="n">
        <v>11795</v>
      </c>
      <c r="J113" s="31" t="inlineStr">
        <is>
          <t>500710</t>
        </is>
      </c>
    </row>
    <row r="114">
      <c r="A114" s="31" t="inlineStr">
        <is>
          <t>NGLFINE</t>
        </is>
      </c>
      <c r="B114" s="31" t="inlineStr">
        <is>
          <t>NGL Fine Chem Ltd</t>
        </is>
      </c>
      <c r="C114" s="31" t="inlineStr">
        <is>
          <t>healthcare</t>
        </is>
      </c>
      <c r="D114" s="31" t="inlineStr">
        <is>
          <t>pharmaceuticals - indian - bulk drugs</t>
        </is>
      </c>
      <c r="E114" s="31" t="inlineStr">
        <is>
          <t>smallcap</t>
        </is>
      </c>
      <c r="F114" s="31" t="n">
        <v>2122.46</v>
      </c>
      <c r="G114" s="31" t="n">
        <v>3484</v>
      </c>
      <c r="H114" s="31" t="n">
        <v>1.41</v>
      </c>
      <c r="I114" s="31" t="n">
        <v>3643</v>
      </c>
      <c r="J114" s="31" t="inlineStr">
        <is>
          <t>524774</t>
        </is>
      </c>
    </row>
    <row r="115">
      <c r="A115" s="31" t="inlineStr">
        <is>
          <t>ZENTEC</t>
        </is>
      </c>
      <c r="B115" s="31" t="inlineStr">
        <is>
          <t>Zen Technologies Limited</t>
        </is>
      </c>
      <c r="C115" s="31" t="inlineStr">
        <is>
          <t>aerospace &amp; defence</t>
        </is>
      </c>
      <c r="D115" s="31" t="inlineStr">
        <is>
          <t>miscellaneous</t>
        </is>
      </c>
      <c r="E115" s="31" t="inlineStr">
        <is>
          <t>midcap</t>
        </is>
      </c>
      <c r="F115" s="31" t="n">
        <v>16539.39</v>
      </c>
      <c r="G115" s="31" t="n">
        <v>1857.2</v>
      </c>
      <c r="H115" s="31" t="n">
        <v>1.39</v>
      </c>
      <c r="I115" s="31" t="n">
        <v>410907</v>
      </c>
      <c r="J115" s="31" t="inlineStr">
        <is>
          <t>533339</t>
        </is>
      </c>
    </row>
    <row r="116">
      <c r="A116" s="31" t="inlineStr">
        <is>
          <t>UNITDSPR</t>
        </is>
      </c>
      <c r="B116" s="31" t="inlineStr">
        <is>
          <t>United Spirits Ltd</t>
        </is>
      </c>
      <c r="C116" s="31" t="inlineStr">
        <is>
          <t>fmcg</t>
        </is>
      </c>
      <c r="D116" s="31" t="inlineStr">
        <is>
          <t>breweries &amp; distilleries</t>
        </is>
      </c>
      <c r="E116" s="31" t="inlineStr">
        <is>
          <t>largecap</t>
        </is>
      </c>
      <c r="F116" s="31" t="n">
        <v>110193.65</v>
      </c>
      <c r="G116" s="31" t="n">
        <v>1536</v>
      </c>
      <c r="H116" s="31" t="n">
        <v>1.39</v>
      </c>
      <c r="I116" s="31" t="n">
        <v>1190421</v>
      </c>
      <c r="J116" s="31" t="inlineStr">
        <is>
          <t>532432</t>
        </is>
      </c>
    </row>
    <row r="117">
      <c r="A117" s="31" t="inlineStr">
        <is>
          <t>QUESS</t>
        </is>
      </c>
      <c r="B117" s="31" t="inlineStr">
        <is>
          <t>Quess Corp Limited</t>
        </is>
      </c>
      <c r="C117" s="31" t="inlineStr">
        <is>
          <t>miscellaneous</t>
        </is>
      </c>
      <c r="D117" s="31" t="inlineStr">
        <is>
          <t>diversified - large</t>
        </is>
      </c>
      <c r="E117" s="31" t="inlineStr">
        <is>
          <t>smallcap</t>
        </is>
      </c>
      <c r="F117" s="31" t="n">
        <v>4976.67</v>
      </c>
      <c r="G117" s="31" t="n">
        <v>337.8</v>
      </c>
      <c r="H117" s="31" t="n">
        <v>1.38</v>
      </c>
      <c r="I117" s="31" t="n">
        <v>444685</v>
      </c>
      <c r="J117" s="31" t="inlineStr">
        <is>
          <t>539978</t>
        </is>
      </c>
    </row>
    <row r="118">
      <c r="A118" s="31" t="inlineStr">
        <is>
          <t>SREEL</t>
        </is>
      </c>
      <c r="B118" s="31" t="inlineStr">
        <is>
          <t>Sreeleathers Limited</t>
        </is>
      </c>
      <c r="C118" s="31" t="inlineStr">
        <is>
          <t>consumer discretionary</t>
        </is>
      </c>
      <c r="D118" s="31" t="inlineStr">
        <is>
          <t>trading</t>
        </is>
      </c>
      <c r="E118" s="31" t="inlineStr">
        <is>
          <t>smallcap</t>
        </is>
      </c>
      <c r="F118" s="31" t="n">
        <v>555.16</v>
      </c>
      <c r="G118" s="31" t="n">
        <v>243.01</v>
      </c>
      <c r="H118" s="31" t="n">
        <v>1.36</v>
      </c>
      <c r="I118" s="31" t="n">
        <v>11383</v>
      </c>
      <c r="J118" s="31" t="inlineStr">
        <is>
          <t>535601</t>
        </is>
      </c>
    </row>
    <row r="119">
      <c r="A119" s="31" t="inlineStr">
        <is>
          <t>BLISSGVS</t>
        </is>
      </c>
      <c r="B119" s="31" t="inlineStr">
        <is>
          <t>Bliss Gvs Pharma Limited</t>
        </is>
      </c>
      <c r="C119" s="31" t="inlineStr">
        <is>
          <t>healthcare</t>
        </is>
      </c>
      <c r="D119" s="31" t="inlineStr">
        <is>
          <t>pharmaceuticals - indian - formulations</t>
        </is>
      </c>
      <c r="E119" s="31" t="inlineStr">
        <is>
          <t>midcap</t>
        </is>
      </c>
      <c r="F119" s="31" t="n">
        <v>5451.29</v>
      </c>
      <c r="G119" s="31" t="n">
        <v>520.95</v>
      </c>
      <c r="H119" s="31" t="n">
        <v>1.35</v>
      </c>
      <c r="I119" s="31" t="n">
        <v>390435</v>
      </c>
      <c r="J119" s="31" t="inlineStr">
        <is>
          <t>506197</t>
        </is>
      </c>
    </row>
    <row r="120">
      <c r="A120" s="31" t="inlineStr">
        <is>
          <t>STYLAMIND</t>
        </is>
      </c>
      <c r="B120" s="31" t="inlineStr">
        <is>
          <t>Stylam Industries Ltd</t>
        </is>
      </c>
      <c r="C120" s="31" t="inlineStr">
        <is>
          <t>building materials</t>
        </is>
      </c>
      <c r="D120" s="31" t="inlineStr">
        <is>
          <t>miscellaneous</t>
        </is>
      </c>
      <c r="E120" s="31" t="inlineStr">
        <is>
          <t>midcap</t>
        </is>
      </c>
      <c r="F120" s="31" t="n">
        <v>6094.01</v>
      </c>
      <c r="G120" s="31" t="n">
        <v>3643.7</v>
      </c>
      <c r="H120" s="31" t="n">
        <v>1.33</v>
      </c>
      <c r="I120" s="31" t="n">
        <v>89719</v>
      </c>
      <c r="J120" s="31" t="inlineStr">
        <is>
          <t>526951</t>
        </is>
      </c>
    </row>
    <row r="121">
      <c r="A121" s="31" t="inlineStr">
        <is>
          <t>MUKKA</t>
        </is>
      </c>
      <c r="B121" s="31" t="inlineStr">
        <is>
          <t>Mukka Proteins Ltd</t>
        </is>
      </c>
      <c r="C121" s="31" t="inlineStr">
        <is>
          <t>fmcg</t>
        </is>
      </c>
      <c r="D121" s="31" t="inlineStr">
        <is>
          <t>food - processing - indian</t>
        </is>
      </c>
      <c r="E121" s="31" t="inlineStr">
        <is>
          <t>smallcap</t>
        </is>
      </c>
      <c r="F121" s="31" t="n">
        <v>784.8</v>
      </c>
      <c r="G121" s="31" t="n">
        <v>26.5</v>
      </c>
      <c r="H121" s="31" t="n">
        <v>1.3</v>
      </c>
      <c r="I121" s="31" t="n">
        <v>920331</v>
      </c>
      <c r="J121" s="31" t="inlineStr">
        <is>
          <t>544135</t>
        </is>
      </c>
    </row>
    <row r="122">
      <c r="A122" s="31" t="inlineStr">
        <is>
          <t>ENGINERSIN</t>
        </is>
      </c>
      <c r="B122" s="31" t="inlineStr">
        <is>
          <t>Engineers India Limited</t>
        </is>
      </c>
      <c r="C122" s="31" t="inlineStr">
        <is>
          <t>realty</t>
        </is>
      </c>
      <c r="D122" s="31" t="inlineStr">
        <is>
          <t>engineering - turnkey services</t>
        </is>
      </c>
      <c r="E122" s="31" t="inlineStr">
        <is>
          <t>midcap</t>
        </is>
      </c>
      <c r="F122" s="31" t="n">
        <v>13521.62</v>
      </c>
      <c r="G122" s="31" t="n">
        <v>243.68</v>
      </c>
      <c r="H122" s="31" t="n">
        <v>1.29</v>
      </c>
      <c r="I122" s="31" t="n">
        <v>7323273</v>
      </c>
      <c r="J122" s="31" t="inlineStr">
        <is>
          <t>532178</t>
        </is>
      </c>
    </row>
    <row r="123">
      <c r="A123" s="31" t="inlineStr">
        <is>
          <t>THEJO</t>
        </is>
      </c>
      <c r="B123" s="31" t="inlineStr">
        <is>
          <t>Thejo Engineering Ltd</t>
        </is>
      </c>
      <c r="C123" s="31" t="inlineStr">
        <is>
          <t>industrials</t>
        </is>
      </c>
      <c r="D123" s="31" t="inlineStr">
        <is>
          <t>engineering</t>
        </is>
      </c>
      <c r="E123" s="31" t="inlineStr">
        <is>
          <t>smallcap</t>
        </is>
      </c>
      <c r="F123" s="31" t="n">
        <v>2248.25</v>
      </c>
      <c r="G123" s="31" t="n">
        <v>2099</v>
      </c>
      <c r="H123" s="31" t="n">
        <v>1.27</v>
      </c>
      <c r="I123" s="31" t="n">
        <v>4614</v>
      </c>
      <c r="J123" s="31" t="inlineStr">
        <is>
          <t>500492</t>
        </is>
      </c>
    </row>
    <row r="124">
      <c r="A124" s="31" t="inlineStr">
        <is>
          <t>SUBEXLTD</t>
        </is>
      </c>
      <c r="B124" s="31" t="inlineStr">
        <is>
          <t>Subex Ltd</t>
        </is>
      </c>
      <c r="C124" s="31" t="inlineStr">
        <is>
          <t>i.t</t>
        </is>
      </c>
      <c r="D124" s="31" t="inlineStr">
        <is>
          <t>computers - software - medium / small</t>
        </is>
      </c>
      <c r="E124" s="31" t="inlineStr">
        <is>
          <t>smallcap</t>
        </is>
      </c>
      <c r="F124" s="31" t="n">
        <v>771.63</v>
      </c>
      <c r="G124" s="31" t="n">
        <v>13.9</v>
      </c>
      <c r="H124" s="31" t="n">
        <v>1.24</v>
      </c>
      <c r="I124" s="31" t="n">
        <v>489675</v>
      </c>
      <c r="J124" s="31" t="inlineStr">
        <is>
          <t>532348</t>
        </is>
      </c>
    </row>
    <row r="125">
      <c r="A125" s="31" t="inlineStr">
        <is>
          <t>POLYPLEX</t>
        </is>
      </c>
      <c r="B125" s="31" t="inlineStr">
        <is>
          <t>Polyplex Corporation Limited</t>
        </is>
      </c>
      <c r="C125" s="31" t="inlineStr">
        <is>
          <t>industrials</t>
        </is>
      </c>
      <c r="D125" s="31" t="inlineStr">
        <is>
          <t>packaging</t>
        </is>
      </c>
      <c r="E125" s="31" t="inlineStr">
        <is>
          <t>smallcap</t>
        </is>
      </c>
      <c r="F125" s="31" t="n">
        <v>3664.13</v>
      </c>
      <c r="G125" s="31" t="n">
        <v>1181.5</v>
      </c>
      <c r="H125" s="31" t="n">
        <v>1.23</v>
      </c>
      <c r="I125" s="31" t="n">
        <v>116995</v>
      </c>
      <c r="J125" s="31" t="inlineStr">
        <is>
          <t>524051</t>
        </is>
      </c>
    </row>
    <row r="126">
      <c r="A126" s="31" t="inlineStr">
        <is>
          <t>ANDHRSUGAR</t>
        </is>
      </c>
      <c r="B126" s="31" t="inlineStr">
        <is>
          <t>The Andhra Sugars Limited</t>
        </is>
      </c>
      <c r="C126" s="31" t="inlineStr">
        <is>
          <t>chemicals</t>
        </is>
      </c>
      <c r="D126" s="31" t="inlineStr">
        <is>
          <t>chlor alkali / soda ash</t>
        </is>
      </c>
      <c r="E126" s="31" t="inlineStr">
        <is>
          <t>smallcap</t>
        </is>
      </c>
      <c r="F126" s="31" t="n">
        <v>1361.18</v>
      </c>
      <c r="G126" s="31" t="n">
        <v>101.62</v>
      </c>
      <c r="H126" s="31" t="n">
        <v>1.18</v>
      </c>
      <c r="I126" s="31" t="n">
        <v>601583</v>
      </c>
      <c r="J126" s="31" t="inlineStr">
        <is>
          <t>590062</t>
        </is>
      </c>
    </row>
    <row r="127">
      <c r="A127" s="31" t="inlineStr">
        <is>
          <t>PETRONET</t>
        </is>
      </c>
      <c r="B127" s="31" t="inlineStr">
        <is>
          <t>Petronet Lng Limited</t>
        </is>
      </c>
      <c r="C127" s="31" t="inlineStr">
        <is>
          <t>energy</t>
        </is>
      </c>
      <c r="D127" s="31" t="inlineStr">
        <is>
          <t>miscellaneous</t>
        </is>
      </c>
      <c r="E127" s="31" t="inlineStr">
        <is>
          <t>largecap</t>
        </is>
      </c>
      <c r="F127" s="31" t="n">
        <v>41895</v>
      </c>
      <c r="G127" s="31" t="n">
        <v>282.6</v>
      </c>
      <c r="H127" s="31" t="n">
        <v>1.18</v>
      </c>
      <c r="I127" s="31" t="n">
        <v>9325642</v>
      </c>
      <c r="J127" s="31" t="inlineStr">
        <is>
          <t>532522</t>
        </is>
      </c>
    </row>
    <row r="128">
      <c r="A128" s="31" t="inlineStr">
        <is>
          <t>SURAKSHA</t>
        </is>
      </c>
      <c r="B128" s="31" t="inlineStr">
        <is>
          <t>Suraksha Diagnostic Ltd</t>
        </is>
      </c>
      <c r="C128" s="31" t="inlineStr">
        <is>
          <t>healthcare</t>
        </is>
      </c>
      <c r="D128" s="31" t="inlineStr">
        <is>
          <t>healthcare</t>
        </is>
      </c>
      <c r="E128" s="31" t="inlineStr">
        <is>
          <t>smallcap</t>
        </is>
      </c>
      <c r="F128" s="31" t="n">
        <v>1585.6</v>
      </c>
      <c r="G128" s="31" t="n">
        <v>308</v>
      </c>
      <c r="H128" s="31" t="n">
        <v>1.17</v>
      </c>
      <c r="I128" s="31" t="n">
        <v>288553</v>
      </c>
      <c r="J128" s="31" t="inlineStr">
        <is>
          <t>544293</t>
        </is>
      </c>
    </row>
    <row r="129">
      <c r="A129" s="31" t="inlineStr">
        <is>
          <t>JSFB</t>
        </is>
      </c>
      <c r="B129" s="31" t="inlineStr">
        <is>
          <t>Jana Small Finance Bank Ltd</t>
        </is>
      </c>
      <c r="C129" s="31" t="inlineStr">
        <is>
          <t>bank</t>
        </is>
      </c>
      <c r="D129" s="31" t="inlineStr">
        <is>
          <t>banks - private sector</t>
        </is>
      </c>
      <c r="E129" s="31" t="inlineStr">
        <is>
          <t>midcap</t>
        </is>
      </c>
      <c r="F129" s="31" t="n">
        <v>6016.55</v>
      </c>
      <c r="G129" s="31" t="n">
        <v>577.75</v>
      </c>
      <c r="H129" s="31" t="n">
        <v>1.16</v>
      </c>
      <c r="I129" s="31" t="n">
        <v>454213</v>
      </c>
      <c r="J129" s="31" t="n"/>
    </row>
    <row r="130">
      <c r="A130" s="31" t="inlineStr">
        <is>
          <t>BHARATSE</t>
        </is>
      </c>
      <c r="B130" s="31" t="inlineStr">
        <is>
          <t>Bharat Seats Ltd</t>
        </is>
      </c>
      <c r="C130" s="31" t="inlineStr">
        <is>
          <t>auto</t>
        </is>
      </c>
      <c r="D130" s="31" t="inlineStr">
        <is>
          <t>auto ancillaries</t>
        </is>
      </c>
      <c r="E130" s="31" t="inlineStr">
        <is>
          <t>smallcap</t>
        </is>
      </c>
      <c r="F130" s="31" t="n">
        <v>1540.17</v>
      </c>
      <c r="G130" s="31" t="n">
        <v>248.05</v>
      </c>
      <c r="H130" s="31" t="n">
        <v>1.14</v>
      </c>
      <c r="I130" s="31" t="n">
        <v>421295</v>
      </c>
      <c r="J130" s="31" t="inlineStr">
        <is>
          <t>523229</t>
        </is>
      </c>
    </row>
    <row r="131">
      <c r="A131" s="31" t="inlineStr">
        <is>
          <t>BEPL</t>
        </is>
      </c>
      <c r="B131" s="31" t="inlineStr">
        <is>
          <t>Bhansali Engineering Polymers Limited</t>
        </is>
      </c>
      <c r="C131" s="31" t="inlineStr">
        <is>
          <t>energy</t>
        </is>
      </c>
      <c r="D131" s="31" t="inlineStr">
        <is>
          <t>petrochemicals</t>
        </is>
      </c>
      <c r="E131" s="31" t="inlineStr">
        <is>
          <t>smallcap</t>
        </is>
      </c>
      <c r="F131" s="31" t="n">
        <v>3043.54</v>
      </c>
      <c r="G131" s="31" t="n">
        <v>123.69</v>
      </c>
      <c r="H131" s="31" t="n">
        <v>1.14</v>
      </c>
      <c r="I131" s="31" t="n">
        <v>742789</v>
      </c>
      <c r="J131" s="31" t="inlineStr">
        <is>
          <t>500052</t>
        </is>
      </c>
    </row>
    <row r="132">
      <c r="A132" s="31" t="inlineStr">
        <is>
          <t>YUKEN</t>
        </is>
      </c>
      <c r="B132" s="31" t="inlineStr">
        <is>
          <t>Yuken India Ltd</t>
        </is>
      </c>
      <c r="C132" s="31" t="inlineStr">
        <is>
          <t>industrials</t>
        </is>
      </c>
      <c r="D132" s="31" t="inlineStr">
        <is>
          <t>engineering</t>
        </is>
      </c>
      <c r="E132" s="31" t="inlineStr">
        <is>
          <t>smallcap</t>
        </is>
      </c>
      <c r="F132" s="31" t="n">
        <v>1148.73</v>
      </c>
      <c r="G132" s="31" t="n">
        <v>855.3</v>
      </c>
      <c r="H132" s="31" t="n">
        <v>1.14</v>
      </c>
      <c r="I132" s="31" t="n">
        <v>7732</v>
      </c>
      <c r="J132" s="31" t="inlineStr">
        <is>
          <t>522108</t>
        </is>
      </c>
    </row>
    <row r="133">
      <c r="A133" s="31" t="inlineStr">
        <is>
          <t>ORCHPHARMA</t>
        </is>
      </c>
      <c r="B133" s="31" t="inlineStr">
        <is>
          <t>Orchid Pharma Ltd</t>
        </is>
      </c>
      <c r="C133" s="31" t="inlineStr">
        <is>
          <t>healthcare</t>
        </is>
      </c>
      <c r="D133" s="31" t="inlineStr">
        <is>
          <t>pharmaceuticals - indian - bulk drugs &amp; formln</t>
        </is>
      </c>
      <c r="E133" s="31" t="inlineStr">
        <is>
          <t>midcap</t>
        </is>
      </c>
      <c r="F133" s="31" t="n">
        <v>5243.85</v>
      </c>
      <c r="G133" s="31" t="n">
        <v>1045.65</v>
      </c>
      <c r="H133" s="31" t="n">
        <v>1.14</v>
      </c>
      <c r="I133" s="31" t="n">
        <v>64474</v>
      </c>
      <c r="J133" s="31" t="inlineStr">
        <is>
          <t>524372</t>
        </is>
      </c>
    </row>
    <row r="134">
      <c r="A134" s="31" t="inlineStr">
        <is>
          <t>TTKHLTCARE</t>
        </is>
      </c>
      <c r="B134" s="31" t="inlineStr">
        <is>
          <t>Ttk Healthcare Limited</t>
        </is>
      </c>
      <c r="C134" s="31" t="inlineStr">
        <is>
          <t>miscellaneous</t>
        </is>
      </c>
      <c r="D134" s="31" t="inlineStr">
        <is>
          <t>diversified - medium / small</t>
        </is>
      </c>
      <c r="E134" s="31" t="inlineStr">
        <is>
          <t>smallcap</t>
        </is>
      </c>
      <c r="F134" s="31" t="n">
        <v>1609.59</v>
      </c>
      <c r="G134" s="31" t="n">
        <v>1152</v>
      </c>
      <c r="H134" s="31" t="n">
        <v>1.13</v>
      </c>
      <c r="I134" s="31" t="n">
        <v>28739</v>
      </c>
      <c r="J134" s="31" t="inlineStr">
        <is>
          <t>507747</t>
        </is>
      </c>
    </row>
    <row r="135">
      <c r="A135" s="31" t="inlineStr">
        <is>
          <t>ACE</t>
        </is>
      </c>
      <c r="B135" s="31" t="inlineStr">
        <is>
          <t>Action Construction Equipment Limited</t>
        </is>
      </c>
      <c r="C135" s="31" t="inlineStr">
        <is>
          <t>industrials</t>
        </is>
      </c>
      <c r="D135" s="31" t="inlineStr">
        <is>
          <t>engineering</t>
        </is>
      </c>
      <c r="E135" s="31" t="inlineStr">
        <is>
          <t>midcap</t>
        </is>
      </c>
      <c r="F135" s="31" t="n">
        <v>12840.74</v>
      </c>
      <c r="G135" s="31" t="n">
        <v>1090.5</v>
      </c>
      <c r="H135" s="31" t="n">
        <v>1.13</v>
      </c>
      <c r="I135" s="31" t="n">
        <v>153417</v>
      </c>
      <c r="J135" s="31" t="inlineStr">
        <is>
          <t>532762</t>
        </is>
      </c>
    </row>
    <row r="136">
      <c r="A136" s="31" t="inlineStr">
        <is>
          <t>MINDACORP</t>
        </is>
      </c>
      <c r="B136" s="31" t="inlineStr">
        <is>
          <t>Minda Corporation Limited</t>
        </is>
      </c>
      <c r="C136" s="31" t="inlineStr">
        <is>
          <t>auto</t>
        </is>
      </c>
      <c r="D136" s="31" t="inlineStr">
        <is>
          <t>auto ancillaries</t>
        </is>
      </c>
      <c r="E136" s="31" t="inlineStr">
        <is>
          <t>midcap</t>
        </is>
      </c>
      <c r="F136" s="31" t="n">
        <v>17023.65</v>
      </c>
      <c r="G136" s="31" t="n">
        <v>720.05</v>
      </c>
      <c r="H136" s="31" t="n">
        <v>1.12</v>
      </c>
      <c r="I136" s="31" t="n">
        <v>4747307</v>
      </c>
      <c r="J136" s="31" t="inlineStr">
        <is>
          <t>538962</t>
        </is>
      </c>
    </row>
    <row r="137">
      <c r="A137" s="31" t="inlineStr">
        <is>
          <t>GRPLTD</t>
        </is>
      </c>
      <c r="B137" s="31" t="inlineStr">
        <is>
          <t>Grp Limited</t>
        </is>
      </c>
      <c r="C137" s="31" t="inlineStr">
        <is>
          <t>fmcg</t>
        </is>
      </c>
      <c r="D137" s="31" t="inlineStr">
        <is>
          <t>miscellaneous</t>
        </is>
      </c>
      <c r="E137" s="31" t="inlineStr">
        <is>
          <t>smallcap</t>
        </is>
      </c>
      <c r="F137" s="31" t="n">
        <v>1062.77</v>
      </c>
      <c r="G137" s="31" t="n">
        <v>2015</v>
      </c>
      <c r="H137" s="31" t="n">
        <v>1.12</v>
      </c>
      <c r="I137" s="31" t="n">
        <v>2169</v>
      </c>
      <c r="J137" s="31" t="inlineStr">
        <is>
          <t>509152</t>
        </is>
      </c>
    </row>
    <row r="138">
      <c r="A138" s="31" t="inlineStr">
        <is>
          <t>PERSISTENT</t>
        </is>
      </c>
      <c r="B138" s="31" t="inlineStr">
        <is>
          <t>Persistent Systems Limited</t>
        </is>
      </c>
      <c r="C138" s="31" t="inlineStr">
        <is>
          <t>i.t</t>
        </is>
      </c>
      <c r="D138" s="31" t="inlineStr">
        <is>
          <t>computers - software - large</t>
        </is>
      </c>
      <c r="E138" s="31" t="inlineStr">
        <is>
          <t>largecap</t>
        </is>
      </c>
      <c r="F138" s="31" t="n">
        <v>87125.33</v>
      </c>
      <c r="G138" s="31" t="n">
        <v>5580</v>
      </c>
      <c r="H138" s="31" t="n">
        <v>1.03</v>
      </c>
      <c r="I138" s="31" t="n">
        <v>1252188</v>
      </c>
      <c r="J138" s="31" t="inlineStr">
        <is>
          <t>533179</t>
        </is>
      </c>
    </row>
    <row r="139">
      <c r="A139" s="31" t="inlineStr">
        <is>
          <t>SMCGLOBAL</t>
        </is>
      </c>
      <c r="B139" s="31" t="inlineStr">
        <is>
          <t>SMC Global Securities Ltd</t>
        </is>
      </c>
      <c r="C139" s="31" t="inlineStr">
        <is>
          <t>financials</t>
        </is>
      </c>
      <c r="D139" s="31" t="inlineStr">
        <is>
          <t>finance &amp; investments</t>
        </is>
      </c>
      <c r="E139" s="31" t="inlineStr">
        <is>
          <t>smallcap</t>
        </is>
      </c>
      <c r="F139" s="31" t="n">
        <v>1655.73</v>
      </c>
      <c r="G139" s="31" t="n">
        <v>79.84999999999999</v>
      </c>
      <c r="H139" s="31" t="n">
        <v>0.99</v>
      </c>
      <c r="I139" s="31" t="n">
        <v>636461</v>
      </c>
      <c r="J139" s="31" t="inlineStr">
        <is>
          <t>543263</t>
        </is>
      </c>
    </row>
    <row r="140">
      <c r="A140" s="31" t="inlineStr">
        <is>
          <t>MUNJALAU</t>
        </is>
      </c>
      <c r="B140" s="31" t="inlineStr">
        <is>
          <t>Munjal Auto Industries Limited</t>
        </is>
      </c>
      <c r="C140" s="31" t="inlineStr">
        <is>
          <t>auto</t>
        </is>
      </c>
      <c r="D140" s="31" t="inlineStr">
        <is>
          <t>auto ancillaries</t>
        </is>
      </c>
      <c r="E140" s="31" t="inlineStr">
        <is>
          <t>smallcap</t>
        </is>
      </c>
      <c r="F140" s="31" t="n">
        <v>1193.7</v>
      </c>
      <c r="G140" s="31" t="n">
        <v>120.53</v>
      </c>
      <c r="H140" s="31" t="n">
        <v>0.97</v>
      </c>
      <c r="I140" s="31" t="n">
        <v>24017645</v>
      </c>
      <c r="J140" s="31" t="inlineStr">
        <is>
          <t>520059</t>
        </is>
      </c>
    </row>
    <row r="141">
      <c r="A141" s="31" t="inlineStr">
        <is>
          <t>POWERINDIA</t>
        </is>
      </c>
      <c r="B141" s="31" t="inlineStr">
        <is>
          <t>Hitachi Energy India Ltd</t>
        </is>
      </c>
      <c r="C141" s="31" t="inlineStr">
        <is>
          <t>industrials</t>
        </is>
      </c>
      <c r="D141" s="31" t="inlineStr">
        <is>
          <t>electric equipment</t>
        </is>
      </c>
      <c r="E141" s="31" t="inlineStr">
        <is>
          <t>largecap</t>
        </is>
      </c>
      <c r="F141" s="31" t="n">
        <v>157607.88</v>
      </c>
      <c r="G141" s="31" t="n">
        <v>35700</v>
      </c>
      <c r="H141" s="31" t="n">
        <v>0.96</v>
      </c>
      <c r="I141" s="31" t="n">
        <v>226542</v>
      </c>
      <c r="J141" s="31" t="inlineStr">
        <is>
          <t>543187</t>
        </is>
      </c>
    </row>
    <row r="142">
      <c r="A142" s="31" t="inlineStr">
        <is>
          <t>LODHA</t>
        </is>
      </c>
      <c r="B142" s="31" t="inlineStr">
        <is>
          <t>Lodha Developers Ltd</t>
        </is>
      </c>
      <c r="C142" s="31" t="inlineStr">
        <is>
          <t>realty</t>
        </is>
      </c>
      <c r="D142" s="31" t="inlineStr">
        <is>
          <t>construction</t>
        </is>
      </c>
      <c r="E142" s="31" t="inlineStr">
        <is>
          <t>largecap</t>
        </is>
      </c>
      <c r="F142" s="31" t="n">
        <v>123118.41</v>
      </c>
      <c r="G142" s="31" t="n">
        <v>1243.9</v>
      </c>
      <c r="H142" s="31" t="n">
        <v>0.9399999999999999</v>
      </c>
      <c r="I142" s="31" t="n">
        <v>2276719</v>
      </c>
      <c r="J142" s="31" t="inlineStr">
        <is>
          <t>543287</t>
        </is>
      </c>
    </row>
    <row r="143">
      <c r="A143" s="31" t="inlineStr">
        <is>
          <t>KAPSTON</t>
        </is>
      </c>
      <c r="B143" s="31" t="inlineStr">
        <is>
          <t>Kapston Services Ltd</t>
        </is>
      </c>
      <c r="C143" s="31" t="inlineStr">
        <is>
          <t>miscellaneous</t>
        </is>
      </c>
      <c r="D143" s="31" t="inlineStr">
        <is>
          <t>miscellaneous</t>
        </is>
      </c>
      <c r="E143" s="31" t="inlineStr">
        <is>
          <t>smallcap</t>
        </is>
      </c>
      <c r="F143" s="31" t="n">
        <v>1780.59</v>
      </c>
      <c r="G143" s="31" t="n">
        <v>590.5</v>
      </c>
      <c r="H143" s="31" t="n">
        <v>0.92</v>
      </c>
      <c r="I143" s="31" t="n">
        <v>56503</v>
      </c>
      <c r="J143" s="31" t="inlineStr">
        <is>
          <t>535064</t>
        </is>
      </c>
    </row>
    <row r="144">
      <c r="A144" s="31" t="inlineStr">
        <is>
          <t>APLAPOLLO</t>
        </is>
      </c>
      <c r="B144" s="31" t="inlineStr">
        <is>
          <t>Apl Apollo Tubes Limited</t>
        </is>
      </c>
      <c r="C144" s="31" t="inlineStr">
        <is>
          <t>industrials</t>
        </is>
      </c>
      <c r="D144" s="31" t="inlineStr">
        <is>
          <t>steel - large</t>
        </is>
      </c>
      <c r="E144" s="31" t="inlineStr">
        <is>
          <t>largecap</t>
        </is>
      </c>
      <c r="F144" s="31" t="n">
        <v>57317.02</v>
      </c>
      <c r="G144" s="31" t="n">
        <v>2083.3</v>
      </c>
      <c r="H144" s="31" t="n">
        <v>0.92</v>
      </c>
      <c r="I144" s="31" t="n">
        <v>1161018</v>
      </c>
      <c r="J144" s="31" t="inlineStr">
        <is>
          <t>533758</t>
        </is>
      </c>
    </row>
    <row r="145">
      <c r="A145" s="31" t="inlineStr">
        <is>
          <t>ALIVUS</t>
        </is>
      </c>
      <c r="B145" s="31" t="inlineStr">
        <is>
          <t>Alivus Life Sciences Ltd</t>
        </is>
      </c>
      <c r="C145" s="31" t="inlineStr">
        <is>
          <t>healthcare</t>
        </is>
      </c>
      <c r="D145" s="31" t="inlineStr">
        <is>
          <t>pharmaceuticals - indian - bulk drugs &amp; formln</t>
        </is>
      </c>
      <c r="E145" s="31" t="inlineStr">
        <is>
          <t>midcap</t>
        </is>
      </c>
      <c r="F145" s="31" t="n">
        <v>16871.34</v>
      </c>
      <c r="G145" s="31" t="n">
        <v>1386.7</v>
      </c>
      <c r="H145" s="31" t="n">
        <v>0.88</v>
      </c>
      <c r="I145" s="31" t="n">
        <v>83207</v>
      </c>
      <c r="J145" s="31" t="inlineStr">
        <is>
          <t>543322</t>
        </is>
      </c>
    </row>
    <row r="146">
      <c r="A146" s="31" t="inlineStr">
        <is>
          <t>MEDANTA</t>
        </is>
      </c>
      <c r="B146" s="31" t="inlineStr">
        <is>
          <t>Global Health Ltd</t>
        </is>
      </c>
      <c r="C146" s="31" t="inlineStr">
        <is>
          <t>healthcare</t>
        </is>
      </c>
      <c r="D146" s="31" t="inlineStr">
        <is>
          <t>healthcare</t>
        </is>
      </c>
      <c r="E146" s="31" t="inlineStr">
        <is>
          <t>largecap</t>
        </is>
      </c>
      <c r="F146" s="31" t="n">
        <v>37921.68</v>
      </c>
      <c r="G146" s="31" t="n">
        <v>1422.6</v>
      </c>
      <c r="H146" s="31" t="n">
        <v>0.87</v>
      </c>
      <c r="I146" s="31" t="n">
        <v>296265</v>
      </c>
      <c r="J146" s="31" t="inlineStr">
        <is>
          <t>543654</t>
        </is>
      </c>
    </row>
    <row r="147">
      <c r="A147" s="31" t="inlineStr">
        <is>
          <t>KRISHIVAL</t>
        </is>
      </c>
      <c r="B147" s="31" t="inlineStr">
        <is>
          <t>Empyrean Cashews Ltd</t>
        </is>
      </c>
      <c r="C147" s="31" t="inlineStr">
        <is>
          <t>fmcg</t>
        </is>
      </c>
      <c r="D147" s="31" t="inlineStr">
        <is>
          <t>food - processing - indian</t>
        </is>
      </c>
      <c r="E147" s="31" t="inlineStr">
        <is>
          <t>smallcap</t>
        </is>
      </c>
      <c r="F147" s="31" t="n">
        <v>1040.25</v>
      </c>
      <c r="G147" s="31" t="n">
        <v>409.4</v>
      </c>
      <c r="H147" s="31" t="n">
        <v>0.86</v>
      </c>
      <c r="I147" s="31" t="n">
        <v>12851</v>
      </c>
      <c r="J147" s="31" t="inlineStr">
        <is>
          <t>535442</t>
        </is>
      </c>
    </row>
    <row r="148">
      <c r="A148" s="31" t="inlineStr">
        <is>
          <t>IRISDOREME</t>
        </is>
      </c>
      <c r="B148" s="31" t="inlineStr">
        <is>
          <t>Iris Clothings Ltd</t>
        </is>
      </c>
      <c r="C148" s="31" t="inlineStr">
        <is>
          <t>consumer discretionary</t>
        </is>
      </c>
      <c r="D148" s="31" t="inlineStr">
        <is>
          <t>textiles - products</t>
        </is>
      </c>
      <c r="E148" s="31" t="inlineStr">
        <is>
          <t>smallcap</t>
        </is>
      </c>
      <c r="F148" s="31" t="n">
        <v>1094.6</v>
      </c>
      <c r="G148" s="31" t="n">
        <v>58</v>
      </c>
      <c r="H148" s="31" t="n">
        <v>0.85</v>
      </c>
      <c r="I148" s="31" t="n">
        <v>760696</v>
      </c>
      <c r="J148" s="31" t="inlineStr">
        <is>
          <t>535123</t>
        </is>
      </c>
    </row>
    <row r="149">
      <c r="A149" s="31" t="inlineStr">
        <is>
          <t>AARTISURF</t>
        </is>
      </c>
      <c r="B149" s="31" t="inlineStr">
        <is>
          <t>Aarti Surfactants Ltd</t>
        </is>
      </c>
      <c r="C149" s="31" t="inlineStr">
        <is>
          <t>chemicals</t>
        </is>
      </c>
      <c r="D149" s="31" t="inlineStr">
        <is>
          <t>chemicals</t>
        </is>
      </c>
      <c r="E149" s="31" t="inlineStr">
        <is>
          <t>smallcap</t>
        </is>
      </c>
      <c r="F149" s="31" t="n">
        <v>547.09</v>
      </c>
      <c r="G149" s="31" t="n">
        <v>651.3</v>
      </c>
      <c r="H149" s="31" t="n">
        <v>0.84</v>
      </c>
      <c r="I149" s="31" t="n">
        <v>103714</v>
      </c>
      <c r="J149" s="31" t="inlineStr">
        <is>
          <t>543210</t>
        </is>
      </c>
    </row>
    <row r="150">
      <c r="A150" s="31" t="inlineStr">
        <is>
          <t>SSWL</t>
        </is>
      </c>
      <c r="B150" s="31" t="inlineStr">
        <is>
          <t>Steel Strips Wheels Limited</t>
        </is>
      </c>
      <c r="C150" s="31" t="inlineStr">
        <is>
          <t>auto</t>
        </is>
      </c>
      <c r="D150" s="31" t="inlineStr">
        <is>
          <t>auto ancillaries</t>
        </is>
      </c>
      <c r="E150" s="31" t="inlineStr">
        <is>
          <t>smallcap</t>
        </is>
      </c>
      <c r="F150" s="31" t="n">
        <v>4881.24</v>
      </c>
      <c r="G150" s="31" t="n">
        <v>313.1</v>
      </c>
      <c r="H150" s="31" t="n">
        <v>0.82</v>
      </c>
      <c r="I150" s="31" t="n">
        <v>369561</v>
      </c>
      <c r="J150" s="31" t="inlineStr">
        <is>
          <t>513262</t>
        </is>
      </c>
    </row>
    <row r="151">
      <c r="A151" s="31" t="inlineStr">
        <is>
          <t>WSTCSTPAPR</t>
        </is>
      </c>
      <c r="B151" s="31" t="inlineStr">
        <is>
          <t>West Coast Paper Mills Limited</t>
        </is>
      </c>
      <c r="C151" s="31" t="inlineStr">
        <is>
          <t>building materials</t>
        </is>
      </c>
      <c r="D151" s="31" t="inlineStr">
        <is>
          <t>paper</t>
        </is>
      </c>
      <c r="E151" s="31" t="inlineStr">
        <is>
          <t>smallcap</t>
        </is>
      </c>
      <c r="F151" s="31" t="n">
        <v>4003.22</v>
      </c>
      <c r="G151" s="31" t="n">
        <v>611</v>
      </c>
      <c r="H151" s="31" t="n">
        <v>0.8100000000000001</v>
      </c>
      <c r="I151" s="31" t="n">
        <v>192343</v>
      </c>
      <c r="J151" s="31" t="inlineStr">
        <is>
          <t>500444</t>
        </is>
      </c>
    </row>
    <row r="152">
      <c r="A152" s="31" t="inlineStr">
        <is>
          <t>MAMATA</t>
        </is>
      </c>
      <c r="B152" s="31" t="inlineStr">
        <is>
          <t>Mamata Machinery Ltd</t>
        </is>
      </c>
      <c r="C152" s="31" t="inlineStr">
        <is>
          <t>industrials</t>
        </is>
      </c>
      <c r="D152" s="31" t="inlineStr">
        <is>
          <t>engineering</t>
        </is>
      </c>
      <c r="E152" s="31" t="inlineStr">
        <is>
          <t>smallcap</t>
        </is>
      </c>
      <c r="F152" s="31" t="n">
        <v>1047.31</v>
      </c>
      <c r="G152" s="31" t="n">
        <v>429</v>
      </c>
      <c r="H152" s="31" t="n">
        <v>0.8</v>
      </c>
      <c r="I152" s="31" t="n">
        <v>95165</v>
      </c>
      <c r="J152" s="31" t="inlineStr">
        <is>
          <t>544318</t>
        </is>
      </c>
    </row>
    <row r="153">
      <c r="A153" s="31" t="inlineStr">
        <is>
          <t>GLAXO</t>
        </is>
      </c>
      <c r="B153" s="31" t="inlineStr">
        <is>
          <t>Glaxosmithkline Pharmaceuticals Limited</t>
        </is>
      </c>
      <c r="C153" s="31" t="inlineStr">
        <is>
          <t>healthcare</t>
        </is>
      </c>
      <c r="D153" s="31" t="inlineStr">
        <is>
          <t>pharmaceuticals - multinational</t>
        </is>
      </c>
      <c r="E153" s="31" t="inlineStr">
        <is>
          <t>largecap</t>
        </is>
      </c>
      <c r="F153" s="31" t="n">
        <v>45192.45</v>
      </c>
      <c r="G153" s="31" t="n">
        <v>2688.8</v>
      </c>
      <c r="H153" s="31" t="n">
        <v>0.79</v>
      </c>
      <c r="I153" s="31" t="n">
        <v>94952</v>
      </c>
      <c r="J153" s="31" t="inlineStr">
        <is>
          <t>500660</t>
        </is>
      </c>
    </row>
    <row r="154">
      <c r="A154" s="31" t="inlineStr">
        <is>
          <t>RAMRAT</t>
        </is>
      </c>
      <c r="B154" s="31" t="inlineStr">
        <is>
          <t>Ram Ratna Wires Ltd</t>
        </is>
      </c>
      <c r="C154" s="31" t="inlineStr">
        <is>
          <t>metals &amp; mining</t>
        </is>
      </c>
      <c r="D154" s="31" t="inlineStr">
        <is>
          <t>mining / minerals / metals</t>
        </is>
      </c>
      <c r="E154" s="31" t="inlineStr">
        <is>
          <t>smallcap</t>
        </is>
      </c>
      <c r="F154" s="31" t="n">
        <v>4400.01</v>
      </c>
      <c r="G154" s="31" t="n">
        <v>475.05</v>
      </c>
      <c r="H154" s="31" t="n">
        <v>0.79</v>
      </c>
      <c r="I154" s="31" t="n">
        <v>138081</v>
      </c>
      <c r="J154" s="31" t="inlineStr">
        <is>
          <t>522281</t>
        </is>
      </c>
    </row>
    <row r="155">
      <c r="A155" s="31" t="inlineStr">
        <is>
          <t>KMEW</t>
        </is>
      </c>
      <c r="B155" s="31" t="inlineStr">
        <is>
          <t>Knowledge Marine &amp; Engineering Works Ltd</t>
        </is>
      </c>
      <c r="C155" s="31" t="inlineStr">
        <is>
          <t>transportation</t>
        </is>
      </c>
      <c r="D155" s="31" t="inlineStr">
        <is>
          <t>miscellaneous</t>
        </is>
      </c>
      <c r="E155" s="31" t="inlineStr">
        <is>
          <t>midcap</t>
        </is>
      </c>
      <c r="F155" s="31" t="n">
        <v>6623.86</v>
      </c>
      <c r="G155" s="31" t="n">
        <v>2730.8</v>
      </c>
      <c r="H155" s="31" t="n">
        <v>0.78</v>
      </c>
      <c r="I155" s="31" t="n">
        <v>159236</v>
      </c>
      <c r="J155" s="31" t="inlineStr">
        <is>
          <t>543273</t>
        </is>
      </c>
    </row>
    <row r="156">
      <c r="A156" s="31" t="inlineStr">
        <is>
          <t>OMAXE</t>
        </is>
      </c>
      <c r="B156" s="31" t="inlineStr">
        <is>
          <t>Omaxe Limited</t>
        </is>
      </c>
      <c r="C156" s="31" t="inlineStr">
        <is>
          <t>realty</t>
        </is>
      </c>
      <c r="D156" s="31" t="inlineStr">
        <is>
          <t>construction</t>
        </is>
      </c>
      <c r="E156" s="31" t="inlineStr">
        <is>
          <t>smallcap</t>
        </is>
      </c>
      <c r="F156" s="31" t="n">
        <v>1799.19</v>
      </c>
      <c r="G156" s="31" t="n">
        <v>99.14</v>
      </c>
      <c r="H156" s="31" t="n">
        <v>0.78</v>
      </c>
      <c r="I156" s="31" t="n">
        <v>18269195</v>
      </c>
      <c r="J156" s="31" t="inlineStr">
        <is>
          <t>532880</t>
        </is>
      </c>
    </row>
    <row r="157">
      <c r="A157" s="31" t="inlineStr">
        <is>
          <t>KRISHANA</t>
        </is>
      </c>
      <c r="B157" s="31" t="inlineStr">
        <is>
          <t>Krishana Phoschem Ltd</t>
        </is>
      </c>
      <c r="C157" s="31" t="inlineStr">
        <is>
          <t>chemicals</t>
        </is>
      </c>
      <c r="D157" s="31" t="inlineStr">
        <is>
          <t>fertilizers</t>
        </is>
      </c>
      <c r="E157" s="31" t="inlineStr">
        <is>
          <t>smallcap</t>
        </is>
      </c>
      <c r="F157" s="31" t="n">
        <v>1168.17</v>
      </c>
      <c r="G157" s="31" t="n">
        <v>190.4</v>
      </c>
      <c r="H157" s="31" t="n">
        <v>0.77</v>
      </c>
      <c r="I157" s="31" t="n">
        <v>806599</v>
      </c>
      <c r="J157" s="31" t="inlineStr">
        <is>
          <t>538405</t>
        </is>
      </c>
    </row>
    <row r="158">
      <c r="A158" s="31" t="inlineStr">
        <is>
          <t>GNA</t>
        </is>
      </c>
      <c r="B158" s="31" t="inlineStr">
        <is>
          <t>Gna Axles Limited</t>
        </is>
      </c>
      <c r="C158" s="31" t="inlineStr">
        <is>
          <t>auto</t>
        </is>
      </c>
      <c r="D158" s="31" t="inlineStr">
        <is>
          <t>auto ancillaries</t>
        </is>
      </c>
      <c r="E158" s="31" t="inlineStr">
        <is>
          <t>smallcap</t>
        </is>
      </c>
      <c r="F158" s="31" t="n">
        <v>2312.47</v>
      </c>
      <c r="G158" s="31" t="n">
        <v>542.7</v>
      </c>
      <c r="H158" s="31" t="n">
        <v>0.75</v>
      </c>
      <c r="I158" s="31" t="n">
        <v>283278</v>
      </c>
      <c r="J158" s="31" t="inlineStr">
        <is>
          <t>540124</t>
        </is>
      </c>
    </row>
    <row r="159">
      <c r="A159" s="31" t="inlineStr">
        <is>
          <t>BOSCHLTD</t>
        </is>
      </c>
      <c r="B159" s="31" t="inlineStr">
        <is>
          <t>Bosch Limited</t>
        </is>
      </c>
      <c r="C159" s="31" t="inlineStr">
        <is>
          <t>auto</t>
        </is>
      </c>
      <c r="D159" s="31" t="inlineStr">
        <is>
          <t>auto ancillaries</t>
        </is>
      </c>
      <c r="E159" s="31" t="inlineStr">
        <is>
          <t>largecap</t>
        </is>
      </c>
      <c r="F159" s="31" t="n">
        <v>137894.27</v>
      </c>
      <c r="G159" s="31" t="n">
        <v>47100</v>
      </c>
      <c r="H159" s="31" t="n">
        <v>0.75</v>
      </c>
      <c r="I159" s="31" t="n">
        <v>66782</v>
      </c>
      <c r="J159" s="31" t="inlineStr">
        <is>
          <t>500530</t>
        </is>
      </c>
    </row>
    <row r="160">
      <c r="A160" s="31" t="inlineStr">
        <is>
          <t>RBA</t>
        </is>
      </c>
      <c r="B160" s="31" t="inlineStr">
        <is>
          <t>Restaurant Brands Asia Ltd</t>
        </is>
      </c>
      <c r="C160" s="31" t="inlineStr">
        <is>
          <t>consumer discretionary</t>
        </is>
      </c>
      <c r="D160" s="31" t="inlineStr">
        <is>
          <t>hotels</t>
        </is>
      </c>
      <c r="E160" s="31" t="inlineStr">
        <is>
          <t>midcap</t>
        </is>
      </c>
      <c r="F160" s="31" t="n">
        <v>6999.76</v>
      </c>
      <c r="G160" s="31" t="n">
        <v>99.08</v>
      </c>
      <c r="H160" s="31" t="n">
        <v>0.74</v>
      </c>
      <c r="I160" s="31" t="n">
        <v>12304317</v>
      </c>
      <c r="J160" s="31" t="inlineStr">
        <is>
          <t>543248</t>
        </is>
      </c>
    </row>
    <row r="161">
      <c r="A161" s="31" t="inlineStr">
        <is>
          <t>GRINDWELL</t>
        </is>
      </c>
      <c r="B161" s="31" t="inlineStr">
        <is>
          <t>Grindwell Norton Limited</t>
        </is>
      </c>
      <c r="C161" s="31" t="inlineStr">
        <is>
          <t>industrials</t>
        </is>
      </c>
      <c r="D161" s="31" t="inlineStr">
        <is>
          <t>abrasives and grinding wheels</t>
        </is>
      </c>
      <c r="E161" s="31" t="inlineStr">
        <is>
          <t>largecap</t>
        </is>
      </c>
      <c r="F161" s="31" t="n">
        <v>23763.83</v>
      </c>
      <c r="G161" s="31" t="n">
        <v>2162</v>
      </c>
      <c r="H161" s="31" t="n">
        <v>0.73</v>
      </c>
      <c r="I161" s="31" t="n">
        <v>53403</v>
      </c>
      <c r="J161" s="31" t="inlineStr">
        <is>
          <t>506076</t>
        </is>
      </c>
    </row>
    <row r="162">
      <c r="A162" s="31" t="inlineStr">
        <is>
          <t>VARROC</t>
        </is>
      </c>
      <c r="B162" s="31" t="inlineStr">
        <is>
          <t>Varroc Engineering Ltd</t>
        </is>
      </c>
      <c r="C162" s="31" t="inlineStr">
        <is>
          <t>auto</t>
        </is>
      </c>
      <c r="D162" s="31" t="inlineStr">
        <is>
          <t>auto ancillaries</t>
        </is>
      </c>
      <c r="E162" s="31" t="inlineStr">
        <is>
          <t>midcap</t>
        </is>
      </c>
      <c r="F162" s="31" t="n">
        <v>12863.85</v>
      </c>
      <c r="G162" s="31" t="n">
        <v>847.9</v>
      </c>
      <c r="H162" s="31" t="n">
        <v>0.71</v>
      </c>
      <c r="I162" s="31" t="n">
        <v>385330</v>
      </c>
      <c r="J162" s="31" t="inlineStr">
        <is>
          <t>541578</t>
        </is>
      </c>
    </row>
    <row r="163">
      <c r="A163" s="31" t="inlineStr">
        <is>
          <t>MANAKSTEEL</t>
        </is>
      </c>
      <c r="B163" s="31" t="inlineStr">
        <is>
          <t>Manaksia Steels Limited</t>
        </is>
      </c>
      <c r="C163" s="31" t="inlineStr">
        <is>
          <t>metals &amp; mining</t>
        </is>
      </c>
      <c r="D163" s="31" t="inlineStr">
        <is>
          <t>steel - medium / small</t>
        </is>
      </c>
      <c r="E163" s="31" t="inlineStr">
        <is>
          <t>smallcap</t>
        </is>
      </c>
      <c r="F163" s="31" t="n">
        <v>559.79</v>
      </c>
      <c r="G163" s="31" t="n">
        <v>86</v>
      </c>
      <c r="H163" s="31" t="n">
        <v>0.68</v>
      </c>
      <c r="I163" s="31" t="n">
        <v>40175</v>
      </c>
      <c r="J163" s="31" t="inlineStr">
        <is>
          <t>539044</t>
        </is>
      </c>
    </row>
    <row r="164">
      <c r="A164" s="31" t="inlineStr">
        <is>
          <t>SOMANYCERA</t>
        </is>
      </c>
      <c r="B164" s="31" t="inlineStr">
        <is>
          <t>Somany Ceramics Limited</t>
        </is>
      </c>
      <c r="C164" s="31" t="inlineStr">
        <is>
          <t>building materials</t>
        </is>
      </c>
      <c r="D164" s="31" t="inlineStr">
        <is>
          <t>ceramics - tiles / sanitaryware</t>
        </is>
      </c>
      <c r="E164" s="31" t="inlineStr">
        <is>
          <t>smallcap</t>
        </is>
      </c>
      <c r="F164" s="31" t="n">
        <v>2129.18</v>
      </c>
      <c r="G164" s="31" t="n">
        <v>522.65</v>
      </c>
      <c r="H164" s="31" t="n">
        <v>0.67</v>
      </c>
      <c r="I164" s="31" t="n">
        <v>515695</v>
      </c>
      <c r="J164" s="31" t="inlineStr">
        <is>
          <t>531548</t>
        </is>
      </c>
    </row>
    <row r="165">
      <c r="A165" s="31" t="inlineStr">
        <is>
          <t>MANALIPETC</t>
        </is>
      </c>
      <c r="B165" s="31" t="inlineStr">
        <is>
          <t>Manali Petrochemicals Limited</t>
        </is>
      </c>
      <c r="C165" s="31" t="inlineStr">
        <is>
          <t>energy</t>
        </is>
      </c>
      <c r="D165" s="31" t="inlineStr">
        <is>
          <t>petrochemicals</t>
        </is>
      </c>
      <c r="E165" s="31" t="inlineStr">
        <is>
          <t>smallcap</t>
        </is>
      </c>
      <c r="F165" s="31" t="n">
        <v>1183.87</v>
      </c>
      <c r="G165" s="31" t="n">
        <v>69.27</v>
      </c>
      <c r="H165" s="31" t="n">
        <v>0.64</v>
      </c>
      <c r="I165" s="31" t="n">
        <v>4377026</v>
      </c>
      <c r="J165" s="31" t="inlineStr">
        <is>
          <t>500268</t>
        </is>
      </c>
    </row>
    <row r="166">
      <c r="A166" s="31" t="inlineStr">
        <is>
          <t>DIAMONDYD</t>
        </is>
      </c>
      <c r="B166" s="31" t="inlineStr">
        <is>
          <t>Prataap Snacks Ltd</t>
        </is>
      </c>
      <c r="C166" s="31" t="inlineStr">
        <is>
          <t>fmcg</t>
        </is>
      </c>
      <c r="D166" s="31" t="inlineStr">
        <is>
          <t>food - processing - indian</t>
        </is>
      </c>
      <c r="E166" s="31" t="inlineStr">
        <is>
          <t>smallcap</t>
        </is>
      </c>
      <c r="F166" s="31" t="n">
        <v>2831.48</v>
      </c>
      <c r="G166" s="31" t="n">
        <v>1191.4</v>
      </c>
      <c r="H166" s="31" t="n">
        <v>0.61</v>
      </c>
      <c r="I166" s="31" t="n">
        <v>19266</v>
      </c>
      <c r="J166" s="31" t="inlineStr">
        <is>
          <t>540724</t>
        </is>
      </c>
    </row>
    <row r="167">
      <c r="A167" s="31" t="inlineStr">
        <is>
          <t>GEOJITFSL</t>
        </is>
      </c>
      <c r="B167" s="31" t="inlineStr">
        <is>
          <t>Geojit Financial Services Ltd</t>
        </is>
      </c>
      <c r="C167" s="31" t="inlineStr">
        <is>
          <t>financials</t>
        </is>
      </c>
      <c r="D167" s="31" t="inlineStr">
        <is>
          <t>finance &amp; investments</t>
        </is>
      </c>
      <c r="E167" s="31" t="inlineStr">
        <is>
          <t>smallcap</t>
        </is>
      </c>
      <c r="F167" s="31" t="n">
        <v>2230.19</v>
      </c>
      <c r="G167" s="31" t="n">
        <v>80.38</v>
      </c>
      <c r="H167" s="31" t="n">
        <v>0.6</v>
      </c>
      <c r="I167" s="31" t="n">
        <v>407474</v>
      </c>
      <c r="J167" s="31" t="inlineStr">
        <is>
          <t>532285</t>
        </is>
      </c>
    </row>
    <row r="168">
      <c r="A168" s="31" t="inlineStr">
        <is>
          <t>MAXESTATES</t>
        </is>
      </c>
      <c r="B168" s="31" t="inlineStr">
        <is>
          <t>Max Estates Ltd</t>
        </is>
      </c>
      <c r="C168" s="31" t="inlineStr">
        <is>
          <t>realty</t>
        </is>
      </c>
      <c r="D168" s="31" t="inlineStr">
        <is>
          <t>construction</t>
        </is>
      </c>
      <c r="E168" s="31" t="inlineStr">
        <is>
          <t>midcap</t>
        </is>
      </c>
      <c r="F168" s="31" t="n">
        <v>7186.52</v>
      </c>
      <c r="G168" s="31" t="n">
        <v>442</v>
      </c>
      <c r="H168" s="31" t="n">
        <v>0.5600000000000001</v>
      </c>
      <c r="I168" s="31" t="n">
        <v>95881</v>
      </c>
      <c r="J168" s="31" t="inlineStr">
        <is>
          <t>544008</t>
        </is>
      </c>
    </row>
    <row r="169">
      <c r="A169" s="31" t="inlineStr">
        <is>
          <t>JSL</t>
        </is>
      </c>
      <c r="B169" s="31" t="inlineStr">
        <is>
          <t>Jindal Stainless Limited</t>
        </is>
      </c>
      <c r="C169" s="31" t="inlineStr">
        <is>
          <t>metals &amp; mining</t>
        </is>
      </c>
      <c r="D169" s="31" t="inlineStr">
        <is>
          <t>steel - large</t>
        </is>
      </c>
      <c r="E169" s="31" t="inlineStr">
        <is>
          <t>largecap</t>
        </is>
      </c>
      <c r="F169" s="31" t="n">
        <v>60627.82</v>
      </c>
      <c r="G169" s="31" t="n">
        <v>739.45</v>
      </c>
      <c r="H169" s="31" t="n">
        <v>0.55</v>
      </c>
      <c r="I169" s="31" t="n">
        <v>273090</v>
      </c>
      <c r="J169" s="31" t="inlineStr">
        <is>
          <t>532508</t>
        </is>
      </c>
    </row>
    <row r="170">
      <c r="A170" s="31" t="inlineStr">
        <is>
          <t>AVALON</t>
        </is>
      </c>
      <c r="B170" s="31" t="inlineStr">
        <is>
          <t>Avalon Technologies Ltd</t>
        </is>
      </c>
      <c r="C170" s="31" t="inlineStr">
        <is>
          <t>consumer discretionary</t>
        </is>
      </c>
      <c r="D170" s="31" t="inlineStr">
        <is>
          <t>electronics - components</t>
        </is>
      </c>
      <c r="E170" s="31" t="inlineStr">
        <is>
          <t>midcap</t>
        </is>
      </c>
      <c r="F170" s="31" t="n">
        <v>12897.34</v>
      </c>
      <c r="G170" s="31" t="n">
        <v>1940.8</v>
      </c>
      <c r="H170" s="31" t="n">
        <v>0.54</v>
      </c>
      <c r="I170" s="31" t="n">
        <v>177135</v>
      </c>
      <c r="J170" s="31" t="inlineStr">
        <is>
          <t>543896</t>
        </is>
      </c>
    </row>
    <row r="171">
      <c r="A171" s="31" t="inlineStr">
        <is>
          <t>MOTHERSON</t>
        </is>
      </c>
      <c r="B171" s="31" t="inlineStr">
        <is>
          <t>Samvardhana Motherson International Ltd</t>
        </is>
      </c>
      <c r="C171" s="31" t="inlineStr">
        <is>
          <t>auto</t>
        </is>
      </c>
      <c r="D171" s="31" t="inlineStr">
        <is>
          <t>auto ancillaries</t>
        </is>
      </c>
      <c r="E171" s="31" t="inlineStr">
        <is>
          <t>largecap</t>
        </is>
      </c>
      <c r="F171" s="31" t="n">
        <v>176681.37</v>
      </c>
      <c r="G171" s="31" t="n">
        <v>168.3</v>
      </c>
      <c r="H171" s="31" t="n">
        <v>0.54</v>
      </c>
      <c r="I171" s="31" t="n">
        <v>20639081</v>
      </c>
      <c r="J171" s="31" t="inlineStr">
        <is>
          <t>517334</t>
        </is>
      </c>
    </row>
    <row r="172">
      <c r="A172" s="31" t="inlineStr">
        <is>
          <t>SUPRAJIT</t>
        </is>
      </c>
      <c r="B172" s="31" t="inlineStr">
        <is>
          <t>Suprajit Engineering Limited</t>
        </is>
      </c>
      <c r="C172" s="31" t="inlineStr">
        <is>
          <t>auto</t>
        </is>
      </c>
      <c r="D172" s="31" t="inlineStr">
        <is>
          <t>auto ancillaries</t>
        </is>
      </c>
      <c r="E172" s="31" t="inlineStr">
        <is>
          <t>midcap</t>
        </is>
      </c>
      <c r="F172" s="31" t="n">
        <v>7189.83</v>
      </c>
      <c r="G172" s="31" t="n">
        <v>527</v>
      </c>
      <c r="H172" s="31" t="n">
        <v>0.54</v>
      </c>
      <c r="I172" s="31" t="n">
        <v>130968</v>
      </c>
      <c r="J172" s="31" t="inlineStr">
        <is>
          <t>532509</t>
        </is>
      </c>
    </row>
    <row r="173">
      <c r="A173" s="31" t="inlineStr">
        <is>
          <t>NEULANDLAB</t>
        </is>
      </c>
      <c r="B173" s="31" t="inlineStr">
        <is>
          <t>Neuland Laboratories Limited</t>
        </is>
      </c>
      <c r="C173" s="31" t="inlineStr">
        <is>
          <t>healthcare</t>
        </is>
      </c>
      <c r="D173" s="31" t="inlineStr">
        <is>
          <t>pharmaceuticals - indian - bulk drugs</t>
        </is>
      </c>
      <c r="E173" s="31" t="inlineStr">
        <is>
          <t>largecap</t>
        </is>
      </c>
      <c r="F173" s="31" t="n">
        <v>29774.32</v>
      </c>
      <c r="G173" s="31" t="n">
        <v>23330</v>
      </c>
      <c r="H173" s="31" t="n">
        <v>0.53</v>
      </c>
      <c r="I173" s="31" t="n">
        <v>83749</v>
      </c>
      <c r="J173" s="31" t="inlineStr">
        <is>
          <t>524558</t>
        </is>
      </c>
    </row>
    <row r="174">
      <c r="A174" s="31" t="inlineStr">
        <is>
          <t>KECL</t>
        </is>
      </c>
      <c r="B174" s="31" t="inlineStr">
        <is>
          <t>Kirloskar Electric Company Limited</t>
        </is>
      </c>
      <c r="C174" s="31" t="inlineStr">
        <is>
          <t>industrials</t>
        </is>
      </c>
      <c r="D174" s="31" t="inlineStr">
        <is>
          <t>electric equipment</t>
        </is>
      </c>
      <c r="E174" s="31" t="inlineStr">
        <is>
          <t>smallcap</t>
        </is>
      </c>
      <c r="F174" s="31" t="n">
        <v>948.39</v>
      </c>
      <c r="G174" s="31" t="n">
        <v>143.56</v>
      </c>
      <c r="H174" s="31" t="n">
        <v>0.53</v>
      </c>
      <c r="I174" s="31" t="n">
        <v>373367</v>
      </c>
      <c r="J174" s="31" t="inlineStr">
        <is>
          <t>533193</t>
        </is>
      </c>
    </row>
    <row r="175">
      <c r="A175" s="31" t="inlineStr">
        <is>
          <t>FLUOROCHEM</t>
        </is>
      </c>
      <c r="B175" s="31" t="inlineStr">
        <is>
          <t>Gujarat Fluorochemicals Ltd</t>
        </is>
      </c>
      <c r="C175" s="31" t="inlineStr">
        <is>
          <t>chemicals</t>
        </is>
      </c>
      <c r="D175" s="31" t="inlineStr">
        <is>
          <t>chemicals</t>
        </is>
      </c>
      <c r="E175" s="31" t="inlineStr">
        <is>
          <t>largecap</t>
        </is>
      </c>
      <c r="F175" s="31" t="n">
        <v>51790.98</v>
      </c>
      <c r="G175" s="31" t="n">
        <v>4737.8</v>
      </c>
      <c r="H175" s="31" t="n">
        <v>0.49</v>
      </c>
      <c r="I175" s="31" t="n">
        <v>476420</v>
      </c>
      <c r="J175" s="31" t="inlineStr">
        <is>
          <t>542812</t>
        </is>
      </c>
    </row>
    <row r="176">
      <c r="A176" s="31" t="inlineStr">
        <is>
          <t>UNIONBANK</t>
        </is>
      </c>
      <c r="B176" s="31" t="inlineStr">
        <is>
          <t>Union Bank Of India Ltd</t>
        </is>
      </c>
      <c r="C176" s="31" t="inlineStr">
        <is>
          <t>bank</t>
        </is>
      </c>
      <c r="D176" s="31" t="inlineStr">
        <is>
          <t>banks - public sector</t>
        </is>
      </c>
      <c r="E176" s="31" t="inlineStr">
        <is>
          <t>largecap</t>
        </is>
      </c>
      <c r="F176" s="31" t="n">
        <v>142366.74</v>
      </c>
      <c r="G176" s="31" t="n">
        <v>187.38</v>
      </c>
      <c r="H176" s="31" t="n">
        <v>0.47</v>
      </c>
      <c r="I176" s="31" t="n">
        <v>34129403</v>
      </c>
      <c r="J176" s="31" t="inlineStr">
        <is>
          <t>532477</t>
        </is>
      </c>
    </row>
    <row r="177">
      <c r="A177" s="31" t="inlineStr">
        <is>
          <t>ANANTRAJ</t>
        </is>
      </c>
      <c r="B177" s="31" t="inlineStr">
        <is>
          <t>Anant Raj Limited</t>
        </is>
      </c>
      <c r="C177" s="31" t="inlineStr">
        <is>
          <t>realty</t>
        </is>
      </c>
      <c r="D177" s="31" t="inlineStr">
        <is>
          <t>construction</t>
        </is>
      </c>
      <c r="E177" s="31" t="inlineStr">
        <is>
          <t>largecap</t>
        </is>
      </c>
      <c r="F177" s="31" t="n">
        <v>22566.08</v>
      </c>
      <c r="G177" s="31" t="n">
        <v>629.95</v>
      </c>
      <c r="H177" s="31" t="n">
        <v>0.46</v>
      </c>
      <c r="I177" s="31" t="n">
        <v>1472651</v>
      </c>
      <c r="J177" s="31" t="inlineStr">
        <is>
          <t>515055</t>
        </is>
      </c>
    </row>
    <row r="178">
      <c r="A178" s="31" t="inlineStr">
        <is>
          <t>TATVA</t>
        </is>
      </c>
      <c r="B178" s="31" t="inlineStr">
        <is>
          <t>Tatva Chintan Pharma Chem Ltd</t>
        </is>
      </c>
      <c r="C178" s="31" t="inlineStr">
        <is>
          <t>chemicals</t>
        </is>
      </c>
      <c r="D178" s="31" t="inlineStr">
        <is>
          <t>chemicals</t>
        </is>
      </c>
      <c r="E178" s="31" t="inlineStr">
        <is>
          <t>smallcap</t>
        </is>
      </c>
      <c r="F178" s="31" t="n">
        <v>3999.11</v>
      </c>
      <c r="G178" s="31" t="n">
        <v>1717.3</v>
      </c>
      <c r="H178" s="31" t="n">
        <v>0.45</v>
      </c>
      <c r="I178" s="31" t="n">
        <v>34277</v>
      </c>
      <c r="J178" s="31" t="inlineStr">
        <is>
          <t>543321</t>
        </is>
      </c>
    </row>
    <row r="179">
      <c r="A179" s="31" t="inlineStr">
        <is>
          <t>DEEPINDS</t>
        </is>
      </c>
      <c r="B179" s="31" t="inlineStr">
        <is>
          <t>Deep Industries Ltd</t>
        </is>
      </c>
      <c r="C179" s="31" t="inlineStr">
        <is>
          <t>energy</t>
        </is>
      </c>
      <c r="D179" s="31" t="inlineStr">
        <is>
          <t>oil drilling / allied services</t>
        </is>
      </c>
      <c r="E179" s="31" t="inlineStr">
        <is>
          <t>smallcap</t>
        </is>
      </c>
      <c r="F179" s="31" t="n">
        <v>4261.76</v>
      </c>
      <c r="G179" s="31" t="n">
        <v>668.7</v>
      </c>
      <c r="H179" s="31" t="n">
        <v>0.42</v>
      </c>
      <c r="I179" s="31" t="n">
        <v>180972</v>
      </c>
      <c r="J179" s="31" t="inlineStr">
        <is>
          <t>543288</t>
        </is>
      </c>
    </row>
    <row r="180">
      <c r="A180" s="31" t="inlineStr">
        <is>
          <t>BHEL</t>
        </is>
      </c>
      <c r="B180" s="31" t="inlineStr">
        <is>
          <t>Bharat Heavy Electricals Limited</t>
        </is>
      </c>
      <c r="C180" s="31" t="inlineStr">
        <is>
          <t>industrials</t>
        </is>
      </c>
      <c r="D180" s="31" t="inlineStr">
        <is>
          <t>electric equipment</t>
        </is>
      </c>
      <c r="E180" s="31" t="inlineStr">
        <is>
          <t>largecap</t>
        </is>
      </c>
      <c r="F180" s="31" t="n">
        <v>146246.66</v>
      </c>
      <c r="G180" s="31" t="n">
        <v>421.7</v>
      </c>
      <c r="H180" s="31" t="n">
        <v>0.4</v>
      </c>
      <c r="I180" s="31" t="n">
        <v>22626132</v>
      </c>
      <c r="J180" s="31" t="inlineStr">
        <is>
          <t>500103</t>
        </is>
      </c>
    </row>
    <row r="181">
      <c r="A181" s="31" t="inlineStr">
        <is>
          <t>HSCL</t>
        </is>
      </c>
      <c r="B181" s="31" t="inlineStr">
        <is>
          <t>Himadri Speciality Chemical Limited</t>
        </is>
      </c>
      <c r="C181" s="31" t="inlineStr">
        <is>
          <t>chemicals</t>
        </is>
      </c>
      <c r="D181" s="31" t="inlineStr">
        <is>
          <t>chemicals</t>
        </is>
      </c>
      <c r="E181" s="31" t="inlineStr">
        <is>
          <t>largecap</t>
        </is>
      </c>
      <c r="F181" s="31" t="n">
        <v>39260.9</v>
      </c>
      <c r="G181" s="31" t="n">
        <v>781.05</v>
      </c>
      <c r="H181" s="31" t="n">
        <v>0.37</v>
      </c>
      <c r="I181" s="31" t="n">
        <v>3403020</v>
      </c>
      <c r="J181" s="31" t="inlineStr">
        <is>
          <t>500184</t>
        </is>
      </c>
    </row>
    <row r="182">
      <c r="A182" s="31" t="inlineStr">
        <is>
          <t>IFCI</t>
        </is>
      </c>
      <c r="B182" s="31" t="inlineStr">
        <is>
          <t>Ifci Limited</t>
        </is>
      </c>
      <c r="C182" s="31" t="inlineStr">
        <is>
          <t>financials</t>
        </is>
      </c>
      <c r="D182" s="31" t="inlineStr">
        <is>
          <t>finance - term-lending institutions</t>
        </is>
      </c>
      <c r="E182" s="31" t="inlineStr">
        <is>
          <t>largecap</t>
        </is>
      </c>
      <c r="F182" s="31" t="n">
        <v>20654.61</v>
      </c>
      <c r="G182" s="31" t="n">
        <v>76.94</v>
      </c>
      <c r="H182" s="31" t="n">
        <v>0.37</v>
      </c>
      <c r="I182" s="31" t="n">
        <v>14123948</v>
      </c>
      <c r="J182" s="31" t="inlineStr">
        <is>
          <t>500106</t>
        </is>
      </c>
    </row>
    <row r="183">
      <c r="A183" s="31" t="inlineStr">
        <is>
          <t>BELRISE</t>
        </is>
      </c>
      <c r="B183" s="31" t="inlineStr">
        <is>
          <t>Belrise Industries Ltd</t>
        </is>
      </c>
      <c r="C183" s="31" t="inlineStr">
        <is>
          <t>auto</t>
        </is>
      </c>
      <c r="D183" s="31" t="inlineStr">
        <is>
          <t>auto ancillaries</t>
        </is>
      </c>
      <c r="E183" s="31" t="inlineStr">
        <is>
          <t>largecap</t>
        </is>
      </c>
      <c r="F183" s="31" t="n">
        <v>24606.28</v>
      </c>
      <c r="G183" s="31" t="n">
        <v>255.35</v>
      </c>
      <c r="H183" s="31" t="n">
        <v>0.37</v>
      </c>
      <c r="I183" s="31" t="n">
        <v>5212387</v>
      </c>
      <c r="J183" s="31" t="n"/>
    </row>
    <row r="184">
      <c r="A184" s="31" t="inlineStr">
        <is>
          <t>MAZDOCK</t>
        </is>
      </c>
      <c r="B184" s="31" t="inlineStr">
        <is>
          <t>Mazagon Dock Shipbuilders Ltd</t>
        </is>
      </c>
      <c r="C184" s="31" t="inlineStr">
        <is>
          <t>aerospace &amp; defence</t>
        </is>
      </c>
      <c r="D184" s="31" t="inlineStr">
        <is>
          <t>miscellaneous</t>
        </is>
      </c>
      <c r="E184" s="31" t="inlineStr">
        <is>
          <t>largecap</t>
        </is>
      </c>
      <c r="F184" s="31" t="n">
        <v>103709</v>
      </c>
      <c r="G184" s="31" t="n">
        <v>2580</v>
      </c>
      <c r="H184" s="31" t="n">
        <v>0.35</v>
      </c>
      <c r="I184" s="31" t="n">
        <v>2192494</v>
      </c>
      <c r="J184" s="31" t="inlineStr">
        <is>
          <t>543237</t>
        </is>
      </c>
    </row>
    <row r="185">
      <c r="A185" s="31" t="inlineStr">
        <is>
          <t>PNB</t>
        </is>
      </c>
      <c r="B185" s="31" t="inlineStr">
        <is>
          <t>Punjab National Bank Ltd</t>
        </is>
      </c>
      <c r="C185" s="31" t="inlineStr">
        <is>
          <t>bank</t>
        </is>
      </c>
      <c r="D185" s="31" t="inlineStr">
        <is>
          <t>banks - public sector</t>
        </is>
      </c>
      <c r="E185" s="31" t="inlineStr">
        <is>
          <t>largecap</t>
        </is>
      </c>
      <c r="F185" s="31" t="n">
        <v>135145.52</v>
      </c>
      <c r="G185" s="31" t="n">
        <v>118</v>
      </c>
      <c r="H185" s="31" t="n">
        <v>0.35</v>
      </c>
      <c r="I185" s="31" t="n">
        <v>22198787</v>
      </c>
      <c r="J185" s="31" t="inlineStr">
        <is>
          <t>532461</t>
        </is>
      </c>
    </row>
    <row r="186">
      <c r="A186" s="31" t="inlineStr">
        <is>
          <t>GANDHAR</t>
        </is>
      </c>
      <c r="B186" s="31" t="inlineStr">
        <is>
          <t>Gandhar Oil Refinery (India) Ltd</t>
        </is>
      </c>
      <c r="C186" s="31" t="inlineStr">
        <is>
          <t>energy</t>
        </is>
      </c>
      <c r="D186" s="31" t="inlineStr">
        <is>
          <t>refineries</t>
        </is>
      </c>
      <c r="E186" s="31" t="inlineStr">
        <is>
          <t>smallcap</t>
        </is>
      </c>
      <c r="F186" s="31" t="n">
        <v>2395.6</v>
      </c>
      <c r="G186" s="31" t="n">
        <v>245.57</v>
      </c>
      <c r="H186" s="31" t="n">
        <v>0.34</v>
      </c>
      <c r="I186" s="31" t="n">
        <v>807585</v>
      </c>
      <c r="J186" s="31" t="inlineStr">
        <is>
          <t>544029</t>
        </is>
      </c>
    </row>
    <row r="187">
      <c r="A187" s="31" t="inlineStr">
        <is>
          <t>BAJAJ-AUTO</t>
        </is>
      </c>
      <c r="B187" s="31" t="inlineStr">
        <is>
          <t>Bajaj Auto Limited</t>
        </is>
      </c>
      <c r="C187" s="31" t="inlineStr">
        <is>
          <t>auto</t>
        </is>
      </c>
      <c r="D187" s="31" t="inlineStr">
        <is>
          <t>automobiles - scooters and 3 - wheelers</t>
        </is>
      </c>
      <c r="E187" s="31" t="inlineStr">
        <is>
          <t>largecap</t>
        </is>
      </c>
      <c r="F187" s="31" t="n">
        <v>325922.43</v>
      </c>
      <c r="G187" s="31" t="n">
        <v>11700</v>
      </c>
      <c r="H187" s="31" t="n">
        <v>0.33</v>
      </c>
      <c r="I187" s="31" t="n">
        <v>476030</v>
      </c>
      <c r="J187" s="31" t="inlineStr">
        <is>
          <t>532977</t>
        </is>
      </c>
    </row>
    <row r="188">
      <c r="A188" s="31" t="inlineStr">
        <is>
          <t>TNPETRO</t>
        </is>
      </c>
      <c r="B188" s="31" t="inlineStr">
        <is>
          <t>Tamilnadu Petroproducts Limited</t>
        </is>
      </c>
      <c r="C188" s="31" t="inlineStr">
        <is>
          <t>energy</t>
        </is>
      </c>
      <c r="D188" s="31" t="inlineStr">
        <is>
          <t>petrochemicals</t>
        </is>
      </c>
      <c r="E188" s="31" t="inlineStr">
        <is>
          <t>smallcap</t>
        </is>
      </c>
      <c r="F188" s="31" t="n">
        <v>994.99</v>
      </c>
      <c r="G188" s="31" t="n">
        <v>110.93</v>
      </c>
      <c r="H188" s="31" t="n">
        <v>0.31</v>
      </c>
      <c r="I188" s="31" t="n">
        <v>363138</v>
      </c>
      <c r="J188" s="31" t="inlineStr">
        <is>
          <t>500777</t>
        </is>
      </c>
    </row>
    <row r="189">
      <c r="A189" s="31" t="inlineStr">
        <is>
          <t>THELEELA</t>
        </is>
      </c>
      <c r="B189" s="31" t="inlineStr">
        <is>
          <t>Leela Palaces Hotels &amp; Resorts Ltd</t>
        </is>
      </c>
      <c r="C189" s="31" t="inlineStr">
        <is>
          <t>services</t>
        </is>
      </c>
      <c r="D189" s="31" t="inlineStr">
        <is>
          <t>hotels</t>
        </is>
      </c>
      <c r="E189" s="31" t="inlineStr">
        <is>
          <t>midcap</t>
        </is>
      </c>
      <c r="F189" s="31" t="n">
        <v>16980.09</v>
      </c>
      <c r="G189" s="31" t="n">
        <v>510.05</v>
      </c>
      <c r="H189" s="31" t="n">
        <v>0.31</v>
      </c>
      <c r="I189" s="31" t="n">
        <v>209133</v>
      </c>
      <c r="J189" s="31" t="inlineStr">
        <is>
          <t>544408</t>
        </is>
      </c>
    </row>
    <row r="190">
      <c r="A190" s="31" t="inlineStr">
        <is>
          <t>COROMANDEL</t>
        </is>
      </c>
      <c r="B190" s="31" t="inlineStr">
        <is>
          <t>Coromandel International Limited</t>
        </is>
      </c>
      <c r="C190" s="31" t="inlineStr">
        <is>
          <t>chemicals</t>
        </is>
      </c>
      <c r="D190" s="31" t="inlineStr">
        <is>
          <t>fertilizers</t>
        </is>
      </c>
      <c r="E190" s="31" t="inlineStr">
        <is>
          <t>largecap</t>
        </is>
      </c>
      <c r="F190" s="31" t="n">
        <v>61623.03</v>
      </c>
      <c r="G190" s="31" t="n">
        <v>2095.3</v>
      </c>
      <c r="H190" s="31" t="n">
        <v>0.31</v>
      </c>
      <c r="I190" s="31" t="n">
        <v>85771</v>
      </c>
      <c r="J190" s="31" t="inlineStr">
        <is>
          <t>506395</t>
        </is>
      </c>
    </row>
    <row r="191">
      <c r="A191" s="31" t="inlineStr">
        <is>
          <t>DWARKESH</t>
        </is>
      </c>
      <c r="B191" s="31" t="inlineStr">
        <is>
          <t>Dwarikesh Sugar Industries Limited</t>
        </is>
      </c>
      <c r="C191" s="31" t="inlineStr">
        <is>
          <t>fmcg</t>
        </is>
      </c>
      <c r="D191" s="31" t="inlineStr">
        <is>
          <t>sugar</t>
        </is>
      </c>
      <c r="E191" s="31" t="inlineStr">
        <is>
          <t>smallcap</t>
        </is>
      </c>
      <c r="F191" s="31" t="n">
        <v>793.46</v>
      </c>
      <c r="G191" s="31" t="n">
        <v>42.95</v>
      </c>
      <c r="H191" s="31" t="n">
        <v>0.3</v>
      </c>
      <c r="I191" s="31" t="n">
        <v>1215137</v>
      </c>
      <c r="J191" s="31" t="inlineStr">
        <is>
          <t>532610</t>
        </is>
      </c>
    </row>
    <row r="192">
      <c r="A192" s="31" t="inlineStr">
        <is>
          <t>CRISIL</t>
        </is>
      </c>
      <c r="B192" s="31" t="inlineStr">
        <is>
          <t>Crisil Limited</t>
        </is>
      </c>
      <c r="C192" s="31" t="inlineStr">
        <is>
          <t>financials</t>
        </is>
      </c>
      <c r="D192" s="31" t="inlineStr">
        <is>
          <t>miscellaneous</t>
        </is>
      </c>
      <c r="E192" s="31" t="inlineStr">
        <is>
          <t>largecap</t>
        </is>
      </c>
      <c r="F192" s="31" t="n">
        <v>32662.79</v>
      </c>
      <c r="G192" s="31" t="n">
        <v>4480</v>
      </c>
      <c r="H192" s="31" t="n">
        <v>0.3</v>
      </c>
      <c r="I192" s="31" t="n">
        <v>14615</v>
      </c>
      <c r="J192" s="31" t="inlineStr">
        <is>
          <t>500092</t>
        </is>
      </c>
    </row>
    <row r="193">
      <c r="A193" s="31" t="inlineStr">
        <is>
          <t>GUJALKALI</t>
        </is>
      </c>
      <c r="B193" s="31" t="inlineStr">
        <is>
          <t>Gujarat Alkalies And Chemicals Limited</t>
        </is>
      </c>
      <c r="C193" s="31" t="inlineStr">
        <is>
          <t>chemicals</t>
        </is>
      </c>
      <c r="D193" s="31" t="inlineStr">
        <is>
          <t>chemicals</t>
        </is>
      </c>
      <c r="E193" s="31" t="inlineStr">
        <is>
          <t>midcap</t>
        </is>
      </c>
      <c r="F193" s="31" t="n">
        <v>5099.09</v>
      </c>
      <c r="G193" s="31" t="n">
        <v>696.35</v>
      </c>
      <c r="H193" s="31" t="n">
        <v>0.29</v>
      </c>
      <c r="I193" s="31" t="n">
        <v>62980</v>
      </c>
      <c r="J193" s="31" t="inlineStr">
        <is>
          <t>530001</t>
        </is>
      </c>
    </row>
    <row r="194">
      <c r="A194" s="31" t="inlineStr">
        <is>
          <t>PGIL</t>
        </is>
      </c>
      <c r="B194" s="31" t="inlineStr">
        <is>
          <t>Pearl Global Industries Limited</t>
        </is>
      </c>
      <c r="C194" s="31" t="inlineStr">
        <is>
          <t>consumer discretionary</t>
        </is>
      </c>
      <c r="D194" s="31" t="inlineStr">
        <is>
          <t>textiles - products</t>
        </is>
      </c>
      <c r="E194" s="31" t="inlineStr">
        <is>
          <t>midcap</t>
        </is>
      </c>
      <c r="F194" s="31" t="n">
        <v>11383.92</v>
      </c>
      <c r="G194" s="31" t="n">
        <v>2472</v>
      </c>
      <c r="H194" s="31" t="n">
        <v>0.29</v>
      </c>
      <c r="I194" s="31" t="n">
        <v>50702</v>
      </c>
      <c r="J194" s="31" t="inlineStr">
        <is>
          <t>532808</t>
        </is>
      </c>
    </row>
    <row r="195">
      <c r="A195" s="31" t="inlineStr">
        <is>
          <t>DIACABS</t>
        </is>
      </c>
      <c r="B195" s="31" t="inlineStr">
        <is>
          <t>Diamond Power Infrastructure Ltd</t>
        </is>
      </c>
      <c r="C195" s="31" t="inlineStr">
        <is>
          <t>industrials</t>
        </is>
      </c>
      <c r="D195" s="31" t="inlineStr">
        <is>
          <t>cables - power</t>
        </is>
      </c>
      <c r="E195" s="31" t="inlineStr">
        <is>
          <t>midcap</t>
        </is>
      </c>
      <c r="F195" s="31" t="n">
        <v>19366.19</v>
      </c>
      <c r="G195" s="31" t="n">
        <v>368.5</v>
      </c>
      <c r="H195" s="31" t="n">
        <v>0.27</v>
      </c>
      <c r="I195" s="31" t="n">
        <v>1892473</v>
      </c>
      <c r="J195" s="31" t="inlineStr">
        <is>
          <t>522163</t>
        </is>
      </c>
    </row>
    <row r="196">
      <c r="A196" s="31" t="inlineStr">
        <is>
          <t>NAHARSPING</t>
        </is>
      </c>
      <c r="B196" s="31" t="inlineStr">
        <is>
          <t>Nahar Spinning Mills Limited</t>
        </is>
      </c>
      <c r="C196" s="31" t="inlineStr">
        <is>
          <t>textiles</t>
        </is>
      </c>
      <c r="D196" s="31" t="inlineStr">
        <is>
          <t>textiles - cotton/blended</t>
        </is>
      </c>
      <c r="E196" s="31" t="inlineStr">
        <is>
          <t>smallcap</t>
        </is>
      </c>
      <c r="F196" s="31" t="n">
        <v>1088.27</v>
      </c>
      <c r="G196" s="31" t="n">
        <v>302.5</v>
      </c>
      <c r="H196" s="31" t="n">
        <v>0.25</v>
      </c>
      <c r="I196" s="31" t="n">
        <v>6136</v>
      </c>
      <c r="J196" s="31" t="inlineStr">
        <is>
          <t>500296</t>
        </is>
      </c>
    </row>
    <row r="197">
      <c r="A197" s="31" t="inlineStr">
        <is>
          <t>SETL</t>
        </is>
      </c>
      <c r="B197" s="31" t="inlineStr">
        <is>
          <t>Standard Enginnering Technology Ltd</t>
        </is>
      </c>
      <c r="C197" s="31" t="inlineStr">
        <is>
          <t>industrials</t>
        </is>
      </c>
      <c r="D197" s="31" t="inlineStr">
        <is>
          <t>engineering</t>
        </is>
      </c>
      <c r="E197" s="31" t="inlineStr">
        <is>
          <t>midcap</t>
        </is>
      </c>
      <c r="F197" s="31" t="n">
        <v>5937.87</v>
      </c>
      <c r="G197" s="31" t="n">
        <v>298.4</v>
      </c>
      <c r="H197" s="31" t="n">
        <v>0.25</v>
      </c>
      <c r="I197" s="31" t="n">
        <v>408670</v>
      </c>
      <c r="J197" s="31" t="inlineStr">
        <is>
          <t>544333</t>
        </is>
      </c>
    </row>
    <row r="198">
      <c r="A198" s="31" t="inlineStr">
        <is>
          <t>APOLLOTYRE</t>
        </is>
      </c>
      <c r="B198" s="31" t="inlineStr">
        <is>
          <t>Apollo Tyres Limited</t>
        </is>
      </c>
      <c r="C198" s="31" t="inlineStr">
        <is>
          <t>auto</t>
        </is>
      </c>
      <c r="D198" s="31" t="inlineStr">
        <is>
          <t>tyres</t>
        </is>
      </c>
      <c r="E198" s="31" t="inlineStr">
        <is>
          <t>largecap</t>
        </is>
      </c>
      <c r="F198" s="31" t="n">
        <v>28138.15</v>
      </c>
      <c r="G198" s="31" t="n">
        <v>444.1</v>
      </c>
      <c r="H198" s="31" t="n">
        <v>0.24</v>
      </c>
      <c r="I198" s="31" t="n">
        <v>274430</v>
      </c>
      <c r="J198" s="31" t="inlineStr">
        <is>
          <t>500877</t>
        </is>
      </c>
    </row>
    <row r="199">
      <c r="A199" s="31" t="inlineStr">
        <is>
          <t>NAZARA</t>
        </is>
      </c>
      <c r="B199" s="31" t="inlineStr">
        <is>
          <t>Nazara Technologies Ltd</t>
        </is>
      </c>
      <c r="C199" s="31" t="inlineStr">
        <is>
          <t>i.t</t>
        </is>
      </c>
      <c r="D199" s="31" t="inlineStr">
        <is>
          <t>telecommunications - service provider</t>
        </is>
      </c>
      <c r="E199" s="31" t="inlineStr">
        <is>
          <t>midcap</t>
        </is>
      </c>
      <c r="F199" s="31" t="n">
        <v>13632.43</v>
      </c>
      <c r="G199" s="31" t="n">
        <v>355.9</v>
      </c>
      <c r="H199" s="31" t="n">
        <v>0.2</v>
      </c>
      <c r="I199" s="31" t="n">
        <v>1553469</v>
      </c>
      <c r="J199" s="31" t="inlineStr">
        <is>
          <t>543280</t>
        </is>
      </c>
    </row>
    <row r="200">
      <c r="A200" s="31" t="inlineStr">
        <is>
          <t>LTFOODS</t>
        </is>
      </c>
      <c r="B200" s="31" t="inlineStr">
        <is>
          <t>L T Foods Ltd</t>
        </is>
      </c>
      <c r="C200" s="31" t="inlineStr">
        <is>
          <t>fmcg</t>
        </is>
      </c>
      <c r="D200" s="31" t="inlineStr">
        <is>
          <t>food - processing - indian</t>
        </is>
      </c>
      <c r="E200" s="31" t="inlineStr">
        <is>
          <t>midcap</t>
        </is>
      </c>
      <c r="F200" s="31" t="n">
        <v>14548.16</v>
      </c>
      <c r="G200" s="31" t="n">
        <v>419.8</v>
      </c>
      <c r="H200" s="31" t="n">
        <v>0.2</v>
      </c>
      <c r="I200" s="31" t="n">
        <v>345320</v>
      </c>
      <c r="J200" s="31" t="inlineStr">
        <is>
          <t>532783</t>
        </is>
      </c>
    </row>
    <row r="201">
      <c r="A201" s="31" t="inlineStr">
        <is>
          <t>MAGADSUGAR</t>
        </is>
      </c>
      <c r="B201" s="31" t="inlineStr">
        <is>
          <t>Magadh Sugar &amp; Energy Ltd</t>
        </is>
      </c>
      <c r="C201" s="31" t="inlineStr">
        <is>
          <t>fmcg</t>
        </is>
      </c>
      <c r="D201" s="31" t="inlineStr">
        <is>
          <t>sugar</t>
        </is>
      </c>
      <c r="E201" s="31" t="inlineStr">
        <is>
          <t>smallcap</t>
        </is>
      </c>
      <c r="F201" s="31" t="n">
        <v>764.96</v>
      </c>
      <c r="G201" s="31" t="n">
        <v>543.95</v>
      </c>
      <c r="H201" s="31" t="n">
        <v>0.2</v>
      </c>
      <c r="I201" s="31" t="n">
        <v>26991</v>
      </c>
      <c r="J201" s="31" t="inlineStr">
        <is>
          <t>540650</t>
        </is>
      </c>
    </row>
    <row r="202">
      <c r="A202" s="31" t="inlineStr">
        <is>
          <t>TDPOWERSYS</t>
        </is>
      </c>
      <c r="B202" s="31" t="inlineStr">
        <is>
          <t>Td Power Systems Limited</t>
        </is>
      </c>
      <c r="C202" s="31" t="inlineStr">
        <is>
          <t>industrials</t>
        </is>
      </c>
      <c r="D202" s="31" t="inlineStr">
        <is>
          <t>electric equipment</t>
        </is>
      </c>
      <c r="E202" s="31" t="inlineStr">
        <is>
          <t>largecap</t>
        </is>
      </c>
      <c r="F202" s="31" t="n">
        <v>23146.8</v>
      </c>
      <c r="G202" s="31" t="n">
        <v>1484.6</v>
      </c>
      <c r="H202" s="31" t="n">
        <v>0.2</v>
      </c>
      <c r="I202" s="31" t="n">
        <v>759414</v>
      </c>
      <c r="J202" s="31" t="inlineStr">
        <is>
          <t>533553</t>
        </is>
      </c>
    </row>
    <row r="203">
      <c r="A203" s="31" t="inlineStr">
        <is>
          <t>MACPOWER</t>
        </is>
      </c>
      <c r="B203" s="31" t="inlineStr">
        <is>
          <t>Macpower CNC Machines Ltd</t>
        </is>
      </c>
      <c r="C203" s="31" t="inlineStr">
        <is>
          <t>industrials</t>
        </is>
      </c>
      <c r="D203" s="31" t="inlineStr">
        <is>
          <t>engineering</t>
        </is>
      </c>
      <c r="E203" s="31" t="inlineStr">
        <is>
          <t>smallcap</t>
        </is>
      </c>
      <c r="F203" s="31" t="n">
        <v>1747.03</v>
      </c>
      <c r="G203" s="31" t="n">
        <v>1749.3</v>
      </c>
      <c r="H203" s="31" t="n">
        <v>0.17</v>
      </c>
      <c r="I203" s="31" t="n">
        <v>18031</v>
      </c>
      <c r="J203" s="31" t="inlineStr">
        <is>
          <t>535057</t>
        </is>
      </c>
    </row>
    <row r="204">
      <c r="A204" s="31" t="inlineStr">
        <is>
          <t>MPHASIS</t>
        </is>
      </c>
      <c r="B204" s="31" t="inlineStr">
        <is>
          <t>Mphasis Limited</t>
        </is>
      </c>
      <c r="C204" s="31" t="inlineStr">
        <is>
          <t>i.t</t>
        </is>
      </c>
      <c r="D204" s="31" t="inlineStr">
        <is>
          <t>computers - software - large</t>
        </is>
      </c>
      <c r="E204" s="31" t="inlineStr">
        <is>
          <t>largecap</t>
        </is>
      </c>
      <c r="F204" s="31" t="n">
        <v>48500.86</v>
      </c>
      <c r="G204" s="31" t="n">
        <v>2545</v>
      </c>
      <c r="H204" s="31" t="n">
        <v>0.16</v>
      </c>
      <c r="I204" s="31" t="n">
        <v>736886</v>
      </c>
      <c r="J204" s="31" t="inlineStr">
        <is>
          <t>526299</t>
        </is>
      </c>
    </row>
    <row r="205">
      <c r="A205" s="31" t="inlineStr">
        <is>
          <t>ETERNAL</t>
        </is>
      </c>
      <c r="B205" s="31" t="inlineStr">
        <is>
          <t>Eternal Ltd</t>
        </is>
      </c>
      <c r="C205" s="31" t="inlineStr">
        <is>
          <t>i.t</t>
        </is>
      </c>
      <c r="D205" s="31" t="inlineStr">
        <is>
          <t>miscellaneous</t>
        </is>
      </c>
      <c r="E205" s="31" t="inlineStr">
        <is>
          <t>largecap</t>
        </is>
      </c>
      <c r="F205" s="31" t="n">
        <v>306881.15</v>
      </c>
      <c r="G205" s="31" t="n">
        <v>318.5</v>
      </c>
      <c r="H205" s="31" t="n">
        <v>0.16</v>
      </c>
      <c r="I205" s="31" t="n">
        <v>59798748</v>
      </c>
      <c r="J205" s="31" t="inlineStr">
        <is>
          <t>543320</t>
        </is>
      </c>
    </row>
    <row r="206">
      <c r="A206" s="31" t="inlineStr">
        <is>
          <t>MAHLIFE</t>
        </is>
      </c>
      <c r="B206" s="31" t="inlineStr">
        <is>
          <t>Mahindra Lifespace Developers Limited</t>
        </is>
      </c>
      <c r="C206" s="31" t="inlineStr">
        <is>
          <t>realty</t>
        </is>
      </c>
      <c r="D206" s="31" t="inlineStr">
        <is>
          <t>construction</t>
        </is>
      </c>
      <c r="E206" s="31" t="inlineStr">
        <is>
          <t>midcap</t>
        </is>
      </c>
      <c r="F206" s="31" t="n">
        <v>8187.03</v>
      </c>
      <c r="G206" s="31" t="n">
        <v>384.3</v>
      </c>
      <c r="H206" s="31" t="n">
        <v>0.14</v>
      </c>
      <c r="I206" s="31" t="n">
        <v>43479</v>
      </c>
      <c r="J206" s="31" t="inlineStr">
        <is>
          <t>532313</t>
        </is>
      </c>
    </row>
    <row r="207">
      <c r="A207" s="31" t="inlineStr">
        <is>
          <t>GLAND</t>
        </is>
      </c>
      <c r="B207" s="31" t="inlineStr">
        <is>
          <t>Gland Pharma Ltd</t>
        </is>
      </c>
      <c r="C207" s="31" t="inlineStr">
        <is>
          <t>healthcare</t>
        </is>
      </c>
      <c r="D207" s="31" t="inlineStr">
        <is>
          <t>pharmaceuticals - indian - formulations</t>
        </is>
      </c>
      <c r="E207" s="31" t="inlineStr">
        <is>
          <t>largecap</t>
        </is>
      </c>
      <c r="F207" s="31" t="n">
        <v>48953.44</v>
      </c>
      <c r="G207" s="31" t="n">
        <v>2970.2</v>
      </c>
      <c r="H207" s="31" t="n">
        <v>0.09</v>
      </c>
      <c r="I207" s="31" t="n">
        <v>789580</v>
      </c>
      <c r="J207" s="31" t="inlineStr">
        <is>
          <t>543245</t>
        </is>
      </c>
    </row>
    <row r="208">
      <c r="A208" s="31" t="inlineStr">
        <is>
          <t>BEL</t>
        </is>
      </c>
      <c r="B208" s="31" t="inlineStr">
        <is>
          <t>Bharat Electronics Limited</t>
        </is>
      </c>
      <c r="C208" s="31" t="inlineStr">
        <is>
          <t>aerospace &amp; defence</t>
        </is>
      </c>
      <c r="D208" s="31" t="inlineStr">
        <is>
          <t>electronics - components</t>
        </is>
      </c>
      <c r="E208" s="31" t="inlineStr">
        <is>
          <t>largecap</t>
        </is>
      </c>
      <c r="F208" s="31" t="n">
        <v>300066.42</v>
      </c>
      <c r="G208" s="31" t="n">
        <v>410.8</v>
      </c>
      <c r="H208" s="31" t="n">
        <v>0.07000000000000001</v>
      </c>
      <c r="I208" s="31" t="n">
        <v>14427445</v>
      </c>
      <c r="J208" s="31" t="inlineStr">
        <is>
          <t>500049</t>
        </is>
      </c>
    </row>
    <row r="209">
      <c r="A209" s="31" t="inlineStr">
        <is>
          <t>3IINFOLTD</t>
        </is>
      </c>
      <c r="B209" s="31" t="inlineStr">
        <is>
          <t>3i Infotech Ltd</t>
        </is>
      </c>
      <c r="C209" s="31" t="inlineStr">
        <is>
          <t>i.t</t>
        </is>
      </c>
      <c r="D209" s="31" t="inlineStr">
        <is>
          <t>computers - software - medium / small</t>
        </is>
      </c>
      <c r="E209" s="31" t="inlineStr">
        <is>
          <t>smallcap</t>
        </is>
      </c>
      <c r="F209" s="31" t="n">
        <v>558.54</v>
      </c>
      <c r="G209" s="31" t="n">
        <v>26.95</v>
      </c>
      <c r="H209" s="31" t="n">
        <v>0.07000000000000001</v>
      </c>
      <c r="I209" s="31" t="n">
        <v>735206</v>
      </c>
      <c r="J209" s="31" t="inlineStr">
        <is>
          <t>532628</t>
        </is>
      </c>
    </row>
    <row r="210">
      <c r="A210" s="31" t="inlineStr">
        <is>
          <t>WINDLAS</t>
        </is>
      </c>
      <c r="B210" s="31" t="inlineStr">
        <is>
          <t>Windlas Biotech Ltd</t>
        </is>
      </c>
      <c r="C210" s="31" t="inlineStr">
        <is>
          <t>healthcare</t>
        </is>
      </c>
      <c r="D210" s="31" t="inlineStr">
        <is>
          <t>pharmaceuticals - indian - formulations</t>
        </is>
      </c>
      <c r="E210" s="31" t="inlineStr">
        <is>
          <t>smallcap</t>
        </is>
      </c>
      <c r="F210" s="31" t="n">
        <v>1959.41</v>
      </c>
      <c r="G210" s="31" t="n">
        <v>950</v>
      </c>
      <c r="H210" s="31" t="n">
        <v>0.05</v>
      </c>
      <c r="I210" s="31" t="n">
        <v>143016</v>
      </c>
      <c r="J210" s="31" t="inlineStr">
        <is>
          <t>543329</t>
        </is>
      </c>
    </row>
    <row r="211">
      <c r="A211" s="31" t="inlineStr">
        <is>
          <t>ESABINDIA</t>
        </is>
      </c>
      <c r="B211" s="31" t="inlineStr">
        <is>
          <t>Esab India Limited</t>
        </is>
      </c>
      <c r="C211" s="31" t="inlineStr">
        <is>
          <t>industrials</t>
        </is>
      </c>
      <c r="D211" s="31" t="inlineStr">
        <is>
          <t>electrodes - welding equipment</t>
        </is>
      </c>
      <c r="E211" s="31" t="inlineStr">
        <is>
          <t>midcap</t>
        </is>
      </c>
      <c r="F211" s="31" t="n">
        <v>9578.309999999999</v>
      </c>
      <c r="G211" s="31" t="n">
        <v>6224</v>
      </c>
      <c r="H211" s="31" t="n">
        <v>0.02</v>
      </c>
      <c r="I211" s="31" t="n">
        <v>26609</v>
      </c>
      <c r="J211" s="31" t="inlineStr">
        <is>
          <t>500133</t>
        </is>
      </c>
    </row>
    <row r="212">
      <c r="A212" s="31" t="inlineStr">
        <is>
          <t>APLLTD</t>
        </is>
      </c>
      <c r="B212" s="31" t="inlineStr">
        <is>
          <t>Alembic Pharmaceuticals Limited</t>
        </is>
      </c>
      <c r="C212" s="31" t="inlineStr">
        <is>
          <t>healthcare</t>
        </is>
      </c>
      <c r="D212" s="31" t="inlineStr">
        <is>
          <t>pharmaceuticals - indian - bulk drugs &amp; formln</t>
        </is>
      </c>
      <c r="E212" s="31" t="inlineStr">
        <is>
          <t>midcap</t>
        </is>
      </c>
      <c r="F212" s="31" t="n">
        <v>16338.33</v>
      </c>
      <c r="G212" s="31" t="n">
        <v>831.25</v>
      </c>
      <c r="H212" s="31" t="n">
        <v>0.01</v>
      </c>
      <c r="I212" s="31" t="n">
        <v>86738</v>
      </c>
      <c r="J212" s="31" t="inlineStr">
        <is>
          <t>533573</t>
        </is>
      </c>
    </row>
    <row r="213">
      <c r="A213" s="31" t="inlineStr">
        <is>
          <t>FINEORG</t>
        </is>
      </c>
      <c r="B213" s="31" t="inlineStr">
        <is>
          <t>Fine Organic Industries Ltd</t>
        </is>
      </c>
      <c r="C213" s="31" t="inlineStr">
        <is>
          <t>chemicals</t>
        </is>
      </c>
      <c r="D213" s="31" t="inlineStr">
        <is>
          <t>chemicals</t>
        </is>
      </c>
      <c r="E213" s="31" t="inlineStr">
        <is>
          <t>midcap</t>
        </is>
      </c>
      <c r="F213" s="31" t="n">
        <v>15819.32</v>
      </c>
      <c r="G213" s="31" t="n">
        <v>5160.3</v>
      </c>
      <c r="H213" s="31" t="n">
        <v>0.01</v>
      </c>
      <c r="I213" s="31" t="n">
        <v>26767</v>
      </c>
      <c r="J213" s="31" t="inlineStr">
        <is>
          <t>541557</t>
        </is>
      </c>
    </row>
    <row r="214">
      <c r="A214" s="31" t="inlineStr">
        <is>
          <t>UNOMINDA</t>
        </is>
      </c>
      <c r="B214" s="31" t="inlineStr">
        <is>
          <t>Uno Minda Ltd</t>
        </is>
      </c>
      <c r="C214" s="31" t="inlineStr">
        <is>
          <t>auto</t>
        </is>
      </c>
      <c r="D214" s="31" t="inlineStr">
        <is>
          <t>auto ancillaries</t>
        </is>
      </c>
      <c r="E214" s="31" t="inlineStr">
        <is>
          <t>largecap</t>
        </is>
      </c>
      <c r="F214" s="31" t="n">
        <v>71605.92999999999</v>
      </c>
      <c r="G214" s="31" t="n">
        <v>1240</v>
      </c>
      <c r="H214" s="31" t="n">
        <v>0</v>
      </c>
      <c r="I214" s="31" t="n">
        <v>366810</v>
      </c>
      <c r="J214" s="31" t="inlineStr">
        <is>
          <t>532539</t>
        </is>
      </c>
    </row>
    <row r="215">
      <c r="A215" s="31" t="inlineStr">
        <is>
          <t>M&amp;M</t>
        </is>
      </c>
      <c r="B215" s="31" t="inlineStr">
        <is>
          <t>Mahindra &amp; Mahindra Limited</t>
        </is>
      </c>
      <c r="C215" s="31" t="inlineStr">
        <is>
          <t>auto</t>
        </is>
      </c>
      <c r="D215" s="31" t="inlineStr">
        <is>
          <t>automobiles - passenger cars</t>
        </is>
      </c>
      <c r="E215" s="31" t="inlineStr">
        <is>
          <t>largecap</t>
        </is>
      </c>
      <c r="F215" s="31" t="n">
        <v>426306.55</v>
      </c>
      <c r="G215" s="31" t="n">
        <v>3428.3</v>
      </c>
      <c r="H215" s="31" t="n">
        <v>0</v>
      </c>
      <c r="I215" s="31" t="n">
        <v>1939880</v>
      </c>
      <c r="J215" s="31" t="inlineStr">
        <is>
          <t>500520</t>
        </is>
      </c>
    </row>
    <row r="216">
      <c r="A216" s="31" t="inlineStr">
        <is>
          <t>OBEROIRLTY</t>
        </is>
      </c>
      <c r="B216" s="31" t="inlineStr">
        <is>
          <t>Oberoi Realty Limited</t>
        </is>
      </c>
      <c r="C216" s="31" t="inlineStr">
        <is>
          <t>realty</t>
        </is>
      </c>
      <c r="D216" s="31" t="inlineStr">
        <is>
          <t>construction</t>
        </is>
      </c>
      <c r="E216" s="31" t="inlineStr">
        <is>
          <t>largecap</t>
        </is>
      </c>
      <c r="F216" s="31" t="n">
        <v>67120.97</v>
      </c>
      <c r="G216" s="31" t="n">
        <v>1846</v>
      </c>
      <c r="H216" s="31" t="n">
        <v>0</v>
      </c>
      <c r="I216" s="31" t="n">
        <v>515517</v>
      </c>
      <c r="J216" s="31" t="inlineStr">
        <is>
          <t>533273</t>
        </is>
      </c>
    </row>
    <row r="217">
      <c r="A217" s="31" t="inlineStr">
        <is>
          <t>MATRIMONY</t>
        </is>
      </c>
      <c r="B217" s="31" t="inlineStr">
        <is>
          <t>Matrimony.com Ltd</t>
        </is>
      </c>
      <c r="C217" s="31" t="inlineStr">
        <is>
          <t>miscellaneous</t>
        </is>
      </c>
      <c r="D217" s="31" t="inlineStr">
        <is>
          <t>miscellaneous</t>
        </is>
      </c>
      <c r="E217" s="31" t="inlineStr">
        <is>
          <t>smallcap</t>
        </is>
      </c>
      <c r="F217" s="31" t="n">
        <v>1112.23</v>
      </c>
      <c r="G217" s="31" t="n">
        <v>538</v>
      </c>
      <c r="H217" s="31" t="n">
        <v>0</v>
      </c>
      <c r="I217" s="31" t="n">
        <v>61606</v>
      </c>
      <c r="J217" s="31" t="inlineStr">
        <is>
          <t>540704</t>
        </is>
      </c>
    </row>
    <row r="218">
      <c r="A218" s="31" t="inlineStr">
        <is>
          <t>KRYSTAL</t>
        </is>
      </c>
      <c r="B218" s="31" t="inlineStr">
        <is>
          <t>Krystal Integrated Services Ltd</t>
        </is>
      </c>
      <c r="C218" s="31" t="inlineStr">
        <is>
          <t>miscellaneous</t>
        </is>
      </c>
      <c r="D218" s="31" t="inlineStr">
        <is>
          <t>miscellaneous</t>
        </is>
      </c>
      <c r="E218" s="31" t="inlineStr">
        <is>
          <t>smallcap</t>
        </is>
      </c>
      <c r="F218" s="31" t="n">
        <v>866.4</v>
      </c>
      <c r="G218" s="31" t="n">
        <v>620</v>
      </c>
      <c r="H218" s="31" t="n">
        <v>-0.02</v>
      </c>
      <c r="I218" s="31" t="n">
        <v>16107</v>
      </c>
      <c r="J218" s="31" t="inlineStr">
        <is>
          <t>544149</t>
        </is>
      </c>
    </row>
    <row r="219">
      <c r="A219" s="31" t="inlineStr">
        <is>
          <t>PDSL</t>
        </is>
      </c>
      <c r="B219" s="31" t="inlineStr">
        <is>
          <t>PDS Ltd</t>
        </is>
      </c>
      <c r="C219" s="31" t="inlineStr">
        <is>
          <t>textiles</t>
        </is>
      </c>
      <c r="D219" s="31" t="inlineStr">
        <is>
          <t>trading</t>
        </is>
      </c>
      <c r="E219" s="31" t="inlineStr">
        <is>
          <t>midcap</t>
        </is>
      </c>
      <c r="F219" s="31" t="n">
        <v>5263.77</v>
      </c>
      <c r="G219" s="31" t="n">
        <v>372</v>
      </c>
      <c r="H219" s="31" t="n">
        <v>-0.04</v>
      </c>
      <c r="I219" s="31" t="n">
        <v>29630</v>
      </c>
      <c r="J219" s="31" t="inlineStr">
        <is>
          <t>538730</t>
        </is>
      </c>
    </row>
    <row r="220">
      <c r="A220" s="31" t="inlineStr">
        <is>
          <t>NYKAA</t>
        </is>
      </c>
      <c r="B220" s="31" t="inlineStr">
        <is>
          <t>FSN E-Commerce Ventures Ltd</t>
        </is>
      </c>
      <c r="C220" s="31" t="inlineStr">
        <is>
          <t>i.t</t>
        </is>
      </c>
      <c r="D220" s="31" t="inlineStr">
        <is>
          <t>trading</t>
        </is>
      </c>
      <c r="E220" s="31" t="inlineStr">
        <is>
          <t>largecap</t>
        </is>
      </c>
      <c r="F220" s="31" t="n">
        <v>94835.53999999999</v>
      </c>
      <c r="G220" s="31" t="n">
        <v>331</v>
      </c>
      <c r="H220" s="31" t="n">
        <v>-0.05</v>
      </c>
      <c r="I220" s="31" t="n">
        <v>4355321</v>
      </c>
      <c r="J220" s="31" t="inlineStr">
        <is>
          <t>543384</t>
        </is>
      </c>
    </row>
    <row r="221">
      <c r="A221" s="31" t="inlineStr">
        <is>
          <t>VISAKAIND</t>
        </is>
      </c>
      <c r="B221" s="31" t="inlineStr">
        <is>
          <t>Visaka Industries Limited</t>
        </is>
      </c>
      <c r="C221" s="31" t="inlineStr">
        <is>
          <t>building materials</t>
        </is>
      </c>
      <c r="D221" s="31" t="inlineStr">
        <is>
          <t>cement products</t>
        </is>
      </c>
      <c r="E221" s="31" t="inlineStr">
        <is>
          <t>smallcap</t>
        </is>
      </c>
      <c r="F221" s="31" t="n">
        <v>825.25</v>
      </c>
      <c r="G221" s="31" t="n">
        <v>95.45999999999999</v>
      </c>
      <c r="H221" s="31" t="n">
        <v>-0.05</v>
      </c>
      <c r="I221" s="31" t="n">
        <v>233915</v>
      </c>
      <c r="J221" s="31" t="inlineStr">
        <is>
          <t>509055</t>
        </is>
      </c>
    </row>
    <row r="222">
      <c r="A222" s="31" t="inlineStr">
        <is>
          <t>TATATECH</t>
        </is>
      </c>
      <c r="B222" s="31" t="inlineStr">
        <is>
          <t>Tata Technologies Ltd</t>
        </is>
      </c>
      <c r="C222" s="31" t="inlineStr">
        <is>
          <t>i.t</t>
        </is>
      </c>
      <c r="D222" s="31" t="inlineStr">
        <is>
          <t>computers - software - medium / small</t>
        </is>
      </c>
      <c r="E222" s="31" t="inlineStr">
        <is>
          <t>largecap</t>
        </is>
      </c>
      <c r="F222" s="31" t="n">
        <v>35261.54</v>
      </c>
      <c r="G222" s="31" t="n">
        <v>867.9</v>
      </c>
      <c r="H222" s="31" t="n">
        <v>-0.06</v>
      </c>
      <c r="I222" s="31" t="n">
        <v>795292</v>
      </c>
      <c r="J222" s="31" t="inlineStr">
        <is>
          <t>544028</t>
        </is>
      </c>
    </row>
    <row r="223">
      <c r="A223" s="31" t="inlineStr">
        <is>
          <t>SKYGOLD</t>
        </is>
      </c>
      <c r="B223" s="31" t="inlineStr">
        <is>
          <t>Sky Gold Ltd</t>
        </is>
      </c>
      <c r="C223" s="31" t="inlineStr">
        <is>
          <t>consumer discretionary</t>
        </is>
      </c>
      <c r="D223" s="31" t="inlineStr">
        <is>
          <t>diamond cutting / jewellery</t>
        </is>
      </c>
      <c r="E223" s="31" t="inlineStr">
        <is>
          <t>midcap</t>
        </is>
      </c>
      <c r="F223" s="31" t="n">
        <v>11986.46</v>
      </c>
      <c r="G223" s="31" t="n">
        <v>773.4</v>
      </c>
      <c r="H223" s="31" t="n">
        <v>-0.07000000000000001</v>
      </c>
      <c r="I223" s="31" t="n">
        <v>1180385</v>
      </c>
      <c r="J223" s="31" t="inlineStr">
        <is>
          <t>541967</t>
        </is>
      </c>
    </row>
    <row r="224">
      <c r="A224" s="31" t="inlineStr">
        <is>
          <t>UFBL</t>
        </is>
      </c>
      <c r="B224" s="31" t="inlineStr">
        <is>
          <t>United Foodbrands Ltd</t>
        </is>
      </c>
      <c r="C224" s="31" t="inlineStr">
        <is>
          <t>consumer discretionary</t>
        </is>
      </c>
      <c r="D224" s="31" t="inlineStr">
        <is>
          <t>hotels</t>
        </is>
      </c>
      <c r="E224" s="31" t="inlineStr">
        <is>
          <t>smallcap</t>
        </is>
      </c>
      <c r="F224" s="31" t="n">
        <v>2992.06</v>
      </c>
      <c r="G224" s="31" t="n">
        <v>765</v>
      </c>
      <c r="H224" s="31" t="n">
        <v>-0.07000000000000001</v>
      </c>
      <c r="I224" s="31" t="n">
        <v>48210</v>
      </c>
      <c r="J224" s="31" t="inlineStr">
        <is>
          <t>543283</t>
        </is>
      </c>
    </row>
    <row r="225">
      <c r="A225" s="31" t="inlineStr">
        <is>
          <t>MBAPL</t>
        </is>
      </c>
      <c r="B225" s="31" t="inlineStr">
        <is>
          <t>Madhya Bharat Agro Products Ltd</t>
        </is>
      </c>
      <c r="C225" s="31" t="inlineStr">
        <is>
          <t>chemicals</t>
        </is>
      </c>
      <c r="D225" s="31" t="inlineStr">
        <is>
          <t>fertilizers</t>
        </is>
      </c>
      <c r="E225" s="31" t="inlineStr">
        <is>
          <t>smallcap</t>
        </is>
      </c>
      <c r="F225" s="31" t="n">
        <v>1473.18</v>
      </c>
      <c r="G225" s="31" t="n">
        <v>168</v>
      </c>
      <c r="H225" s="31" t="n">
        <v>-0.07000000000000001</v>
      </c>
      <c r="I225" s="31" t="n">
        <v>428268</v>
      </c>
      <c r="J225" s="31" t="inlineStr">
        <is>
          <t>538370</t>
        </is>
      </c>
    </row>
    <row r="226">
      <c r="A226" s="31" t="inlineStr">
        <is>
          <t>GLENMARK</t>
        </is>
      </c>
      <c r="B226" s="31" t="inlineStr">
        <is>
          <t>Glenmark Pharmaceuticals Limited</t>
        </is>
      </c>
      <c r="C226" s="31" t="inlineStr">
        <is>
          <t>healthcare</t>
        </is>
      </c>
      <c r="D226" s="31" t="inlineStr">
        <is>
          <t>pharmaceuticals - indian - bulk drugs &amp; formln</t>
        </is>
      </c>
      <c r="E226" s="31" t="inlineStr">
        <is>
          <t>largecap</t>
        </is>
      </c>
      <c r="F226" s="31" t="n">
        <v>65470.59</v>
      </c>
      <c r="G226" s="31" t="n">
        <v>2318.4</v>
      </c>
      <c r="H226" s="31" t="n">
        <v>-0.07000000000000001</v>
      </c>
      <c r="I226" s="31" t="n">
        <v>1256057</v>
      </c>
      <c r="J226" s="31" t="inlineStr">
        <is>
          <t>532296</t>
        </is>
      </c>
    </row>
    <row r="227">
      <c r="A227" s="31" t="inlineStr">
        <is>
          <t>SAILIFE</t>
        </is>
      </c>
      <c r="B227" s="31" t="inlineStr">
        <is>
          <t>Sai Life Sciences Ltd</t>
        </is>
      </c>
      <c r="C227" s="31" t="inlineStr">
        <is>
          <t>healthcare</t>
        </is>
      </c>
      <c r="D227" s="31" t="inlineStr">
        <is>
          <t>pharmaceuticals - indian - bulk drugs &amp; formln</t>
        </is>
      </c>
      <c r="E227" s="31" t="inlineStr">
        <is>
          <t>largecap</t>
        </is>
      </c>
      <c r="F227" s="31" t="n">
        <v>30806.95</v>
      </c>
      <c r="G227" s="31" t="n">
        <v>1449.9</v>
      </c>
      <c r="H227" s="31" t="n">
        <v>-0.09</v>
      </c>
      <c r="I227" s="31" t="n">
        <v>142029</v>
      </c>
      <c r="J227" s="31" t="inlineStr">
        <is>
          <t>544306</t>
        </is>
      </c>
    </row>
    <row r="228">
      <c r="A228" s="31" t="inlineStr">
        <is>
          <t>RKFORGE</t>
        </is>
      </c>
      <c r="B228" s="31" t="inlineStr">
        <is>
          <t>Ramkrishna Forgings Limited</t>
        </is>
      </c>
      <c r="C228" s="31" t="inlineStr">
        <is>
          <t>industrials</t>
        </is>
      </c>
      <c r="D228" s="31" t="inlineStr">
        <is>
          <t>castings &amp; forgings</t>
        </is>
      </c>
      <c r="E228" s="31" t="inlineStr">
        <is>
          <t>midcap</t>
        </is>
      </c>
      <c r="F228" s="31" t="n">
        <v>13358.53</v>
      </c>
      <c r="G228" s="31" t="n">
        <v>732.6</v>
      </c>
      <c r="H228" s="31" t="n">
        <v>-0.1</v>
      </c>
      <c r="I228" s="31" t="n">
        <v>404756</v>
      </c>
      <c r="J228" s="31" t="inlineStr">
        <is>
          <t>532527</t>
        </is>
      </c>
    </row>
    <row r="229">
      <c r="A229" s="31" t="inlineStr">
        <is>
          <t>GIPCL</t>
        </is>
      </c>
      <c r="B229" s="31" t="inlineStr">
        <is>
          <t>Gujarat Industries Power Company Limited</t>
        </is>
      </c>
      <c r="C229" s="31" t="inlineStr">
        <is>
          <t>power &amp; utilities</t>
        </is>
      </c>
      <c r="D229" s="31" t="inlineStr">
        <is>
          <t>power generation and supply</t>
        </is>
      </c>
      <c r="E229" s="31" t="inlineStr">
        <is>
          <t>smallcap</t>
        </is>
      </c>
      <c r="F229" s="31" t="n">
        <v>2731.34</v>
      </c>
      <c r="G229" s="31" t="n">
        <v>175.77</v>
      </c>
      <c r="H229" s="31" t="n">
        <v>-0.11</v>
      </c>
      <c r="I229" s="31" t="n">
        <v>461050</v>
      </c>
      <c r="J229" s="31" t="inlineStr">
        <is>
          <t>517300</t>
        </is>
      </c>
    </row>
    <row r="230">
      <c r="A230" s="31" t="inlineStr">
        <is>
          <t>MMP</t>
        </is>
      </c>
      <c r="B230" s="31" t="inlineStr">
        <is>
          <t>MMP Industries Ltd</t>
        </is>
      </c>
      <c r="C230" s="31" t="inlineStr">
        <is>
          <t>metals &amp; mining</t>
        </is>
      </c>
      <c r="D230" s="31" t="inlineStr">
        <is>
          <t>aluminium and aluminium products</t>
        </is>
      </c>
      <c r="E230" s="31" t="inlineStr">
        <is>
          <t>smallcap</t>
        </is>
      </c>
      <c r="F230" s="31" t="n">
        <v>639.33</v>
      </c>
      <c r="G230" s="31" t="n">
        <v>337.5</v>
      </c>
      <c r="H230" s="31" t="n">
        <v>-0.12</v>
      </c>
      <c r="I230" s="31" t="n">
        <v>46279</v>
      </c>
      <c r="J230" s="31" t="inlineStr">
        <is>
          <t>535071</t>
        </is>
      </c>
    </row>
    <row r="231">
      <c r="A231" s="31" t="inlineStr">
        <is>
          <t>MARINE</t>
        </is>
      </c>
      <c r="B231" s="31" t="inlineStr">
        <is>
          <t>Marine Electricals (India) Ltd</t>
        </is>
      </c>
      <c r="C231" s="31" t="inlineStr">
        <is>
          <t>industrials</t>
        </is>
      </c>
      <c r="D231" s="31" t="inlineStr">
        <is>
          <t>electric equipment</t>
        </is>
      </c>
      <c r="E231" s="31" t="inlineStr">
        <is>
          <t>midcap</t>
        </is>
      </c>
      <c r="F231" s="31" t="n">
        <v>5194.74</v>
      </c>
      <c r="G231" s="31" t="n">
        <v>370.7</v>
      </c>
      <c r="H231" s="31" t="n">
        <v>-0.13</v>
      </c>
      <c r="I231" s="31" t="n">
        <v>1686077</v>
      </c>
      <c r="J231" s="31" t="inlineStr">
        <is>
          <t>535119</t>
        </is>
      </c>
    </row>
    <row r="232">
      <c r="A232" s="31" t="inlineStr">
        <is>
          <t>RAMCOIND</t>
        </is>
      </c>
      <c r="B232" s="31" t="inlineStr">
        <is>
          <t>Ramco Industries Limited</t>
        </is>
      </c>
      <c r="C232" s="31" t="inlineStr">
        <is>
          <t>building materials</t>
        </is>
      </c>
      <c r="D232" s="31" t="inlineStr">
        <is>
          <t>cement products</t>
        </is>
      </c>
      <c r="E232" s="31" t="inlineStr">
        <is>
          <t>smallcap</t>
        </is>
      </c>
      <c r="F232" s="31" t="n">
        <v>3103.72</v>
      </c>
      <c r="G232" s="31" t="n">
        <v>356.95</v>
      </c>
      <c r="H232" s="31" t="n">
        <v>-0.13</v>
      </c>
      <c r="I232" s="31" t="n">
        <v>170959</v>
      </c>
      <c r="J232" s="31" t="inlineStr">
        <is>
          <t>532369</t>
        </is>
      </c>
    </row>
    <row r="233">
      <c r="A233" s="31" t="inlineStr">
        <is>
          <t>INGERRAND</t>
        </is>
      </c>
      <c r="B233" s="31" t="inlineStr">
        <is>
          <t>Ingersoll Rand (india) Limited</t>
        </is>
      </c>
      <c r="C233" s="31" t="inlineStr">
        <is>
          <t>industrials</t>
        </is>
      </c>
      <c r="D233" s="31" t="inlineStr">
        <is>
          <t>compressors / drilling equipment</t>
        </is>
      </c>
      <c r="E233" s="31" t="inlineStr">
        <is>
          <t>midcap</t>
        </is>
      </c>
      <c r="F233" s="31" t="n">
        <v>14541.48</v>
      </c>
      <c r="G233" s="31" t="n">
        <v>4600</v>
      </c>
      <c r="H233" s="31" t="n">
        <v>-0.14</v>
      </c>
      <c r="I233" s="31" t="n">
        <v>127789</v>
      </c>
      <c r="J233" s="31" t="inlineStr">
        <is>
          <t>500210</t>
        </is>
      </c>
    </row>
    <row r="234">
      <c r="A234" s="31" t="inlineStr">
        <is>
          <t>TITAN</t>
        </is>
      </c>
      <c r="B234" s="31" t="inlineStr">
        <is>
          <t>Titan Company Limited</t>
        </is>
      </c>
      <c r="C234" s="31" t="inlineStr">
        <is>
          <t>consumer discretionary</t>
        </is>
      </c>
      <c r="D234" s="31" t="inlineStr">
        <is>
          <t>diamond cutting / jewellery</t>
        </is>
      </c>
      <c r="E234" s="31" t="inlineStr">
        <is>
          <t>largecap</t>
        </is>
      </c>
      <c r="F234" s="31" t="n">
        <v>449548.28</v>
      </c>
      <c r="G234" s="31" t="n">
        <v>5056.2</v>
      </c>
      <c r="H234" s="31" t="n">
        <v>-0.15</v>
      </c>
      <c r="I234" s="31" t="n">
        <v>1143523</v>
      </c>
      <c r="J234" s="31" t="inlineStr">
        <is>
          <t>500114</t>
        </is>
      </c>
    </row>
    <row r="235">
      <c r="A235" s="31" t="inlineStr">
        <is>
          <t>KAJARIACER</t>
        </is>
      </c>
      <c r="B235" s="31" t="inlineStr">
        <is>
          <t>Kajaria Ceramics Limited</t>
        </is>
      </c>
      <c r="C235" s="31" t="inlineStr">
        <is>
          <t>building materials</t>
        </is>
      </c>
      <c r="D235" s="31" t="inlineStr">
        <is>
          <t>ceramics - tiles / sanitaryware</t>
        </is>
      </c>
      <c r="E235" s="31" t="inlineStr">
        <is>
          <t>largecap</t>
        </is>
      </c>
      <c r="F235" s="31" t="n">
        <v>20082.64</v>
      </c>
      <c r="G235" s="31" t="n">
        <v>1259</v>
      </c>
      <c r="H235" s="31" t="n">
        <v>-0.15</v>
      </c>
      <c r="I235" s="31" t="n">
        <v>321028</v>
      </c>
      <c r="J235" s="31" t="inlineStr">
        <is>
          <t>500233</t>
        </is>
      </c>
    </row>
    <row r="236">
      <c r="A236" s="31" t="inlineStr">
        <is>
          <t>POLICYBZR</t>
        </is>
      </c>
      <c r="B236" s="31" t="inlineStr">
        <is>
          <t>PB Fintech Ltd</t>
        </is>
      </c>
      <c r="C236" s="31" t="inlineStr">
        <is>
          <t>i.t</t>
        </is>
      </c>
      <c r="D236" s="31" t="inlineStr">
        <is>
          <t>miscellaneous</t>
        </is>
      </c>
      <c r="E236" s="31" t="inlineStr">
        <is>
          <t>largecap</t>
        </is>
      </c>
      <c r="F236" s="31" t="n">
        <v>80693.99000000001</v>
      </c>
      <c r="G236" s="31" t="n">
        <v>1741</v>
      </c>
      <c r="H236" s="31" t="n">
        <v>-0.17</v>
      </c>
      <c r="I236" s="31" t="n">
        <v>1485637</v>
      </c>
      <c r="J236" s="31" t="inlineStr">
        <is>
          <t>543390</t>
        </is>
      </c>
    </row>
    <row r="237">
      <c r="A237" s="31" t="inlineStr">
        <is>
          <t>SYRMA</t>
        </is>
      </c>
      <c r="B237" s="31" t="inlineStr">
        <is>
          <t>Syrma SGS Technology Ltd</t>
        </is>
      </c>
      <c r="C237" s="31" t="inlineStr">
        <is>
          <t>consumer discretionary</t>
        </is>
      </c>
      <c r="D237" s="31" t="inlineStr">
        <is>
          <t>electronics - components</t>
        </is>
      </c>
      <c r="E237" s="31" t="inlineStr">
        <is>
          <t>largecap</t>
        </is>
      </c>
      <c r="F237" s="31" t="n">
        <v>28301.73</v>
      </c>
      <c r="G237" s="31" t="n">
        <v>1465.2</v>
      </c>
      <c r="H237" s="31" t="n">
        <v>-0.17</v>
      </c>
      <c r="I237" s="31" t="n">
        <v>815444</v>
      </c>
      <c r="J237" s="31" t="inlineStr">
        <is>
          <t>543573</t>
        </is>
      </c>
    </row>
    <row r="238">
      <c r="A238" s="31" t="inlineStr">
        <is>
          <t>PIDILITIND</t>
        </is>
      </c>
      <c r="B238" s="31" t="inlineStr">
        <is>
          <t>Pidilite Industries Limited</t>
        </is>
      </c>
      <c r="C238" s="31" t="inlineStr">
        <is>
          <t>chemicals</t>
        </is>
      </c>
      <c r="D238" s="31" t="inlineStr">
        <is>
          <t>chemicals</t>
        </is>
      </c>
      <c r="E238" s="31" t="inlineStr">
        <is>
          <t>largecap</t>
        </is>
      </c>
      <c r="F238" s="31" t="n">
        <v>172624.88</v>
      </c>
      <c r="G238" s="31" t="n">
        <v>1693</v>
      </c>
      <c r="H238" s="31" t="n">
        <v>-0.18</v>
      </c>
      <c r="I238" s="31" t="n">
        <v>1319530</v>
      </c>
      <c r="J238" s="31" t="inlineStr">
        <is>
          <t>500331</t>
        </is>
      </c>
    </row>
    <row r="239">
      <c r="A239" s="31" t="inlineStr">
        <is>
          <t>PITTIENG</t>
        </is>
      </c>
      <c r="B239" s="31" t="inlineStr">
        <is>
          <t>Pitti Engineering Ltd</t>
        </is>
      </c>
      <c r="C239" s="31" t="inlineStr">
        <is>
          <t>industrials</t>
        </is>
      </c>
      <c r="D239" s="31" t="inlineStr">
        <is>
          <t>engineering</t>
        </is>
      </c>
      <c r="E239" s="31" t="inlineStr">
        <is>
          <t>smallcap</t>
        </is>
      </c>
      <c r="F239" s="31" t="n">
        <v>3998.06</v>
      </c>
      <c r="G239" s="31" t="n">
        <v>1059.8</v>
      </c>
      <c r="H239" s="31" t="n">
        <v>-0.19</v>
      </c>
      <c r="I239" s="31" t="n">
        <v>111330</v>
      </c>
      <c r="J239" s="31" t="inlineStr">
        <is>
          <t>513519</t>
        </is>
      </c>
    </row>
    <row r="240">
      <c r="A240" s="31" t="inlineStr">
        <is>
          <t>FINCABLES</t>
        </is>
      </c>
      <c r="B240" s="31" t="inlineStr">
        <is>
          <t>Finolex Cables Limited</t>
        </is>
      </c>
      <c r="C240" s="31" t="inlineStr">
        <is>
          <t>industrials</t>
        </is>
      </c>
      <c r="D240" s="31" t="inlineStr">
        <is>
          <t>cables - power</t>
        </is>
      </c>
      <c r="E240" s="31" t="inlineStr">
        <is>
          <t>midcap</t>
        </is>
      </c>
      <c r="F240" s="31" t="n">
        <v>19106.71</v>
      </c>
      <c r="G240" s="31" t="n">
        <v>1246.85</v>
      </c>
      <c r="H240" s="31" t="n">
        <v>-0.2</v>
      </c>
      <c r="I240" s="31" t="n">
        <v>1271289</v>
      </c>
      <c r="J240" s="31" t="inlineStr">
        <is>
          <t>500144</t>
        </is>
      </c>
    </row>
    <row r="241">
      <c r="A241" s="31" t="inlineStr">
        <is>
          <t>CEATLTD</t>
        </is>
      </c>
      <c r="B241" s="31" t="inlineStr">
        <is>
          <t>Ceat Limited</t>
        </is>
      </c>
      <c r="C241" s="31" t="inlineStr">
        <is>
          <t>auto</t>
        </is>
      </c>
      <c r="D241" s="31" t="inlineStr">
        <is>
          <t>tyres</t>
        </is>
      </c>
      <c r="E241" s="31" t="inlineStr">
        <is>
          <t>midcap</t>
        </is>
      </c>
      <c r="F241" s="31" t="n">
        <v>14952.38</v>
      </c>
      <c r="G241" s="31" t="n">
        <v>3688.8</v>
      </c>
      <c r="H241" s="31" t="n">
        <v>-0.21</v>
      </c>
      <c r="I241" s="31" t="n">
        <v>34048</v>
      </c>
      <c r="J241" s="31" t="inlineStr">
        <is>
          <t>500878</t>
        </is>
      </c>
    </row>
    <row r="242">
      <c r="A242" s="31" t="inlineStr">
        <is>
          <t>VADILALIND</t>
        </is>
      </c>
      <c r="B242" s="31" t="inlineStr">
        <is>
          <t>Vadilal Industries Limited</t>
        </is>
      </c>
      <c r="C242" s="31" t="inlineStr">
        <is>
          <t>fmcg</t>
        </is>
      </c>
      <c r="D242" s="31" t="inlineStr">
        <is>
          <t>food - processing - indian</t>
        </is>
      </c>
      <c r="E242" s="31" t="inlineStr">
        <is>
          <t>midcap</t>
        </is>
      </c>
      <c r="F242" s="31" t="n">
        <v>5592.85</v>
      </c>
      <c r="G242" s="31" t="n">
        <v>7764</v>
      </c>
      <c r="H242" s="31" t="n">
        <v>-0.22</v>
      </c>
      <c r="I242" s="31" t="n">
        <v>21461</v>
      </c>
      <c r="J242" s="31" t="inlineStr">
        <is>
          <t>519156</t>
        </is>
      </c>
    </row>
    <row r="243">
      <c r="A243" s="31" t="inlineStr">
        <is>
          <t>CONCORDBIO</t>
        </is>
      </c>
      <c r="B243" s="31" t="inlineStr">
        <is>
          <t>Concord Biotech Ltd</t>
        </is>
      </c>
      <c r="C243" s="31" t="inlineStr">
        <is>
          <t>healthcare</t>
        </is>
      </c>
      <c r="D243" s="31" t="inlineStr">
        <is>
          <t>pharmaceuticals - indian - bulk drugs &amp; formln</t>
        </is>
      </c>
      <c r="E243" s="31" t="inlineStr">
        <is>
          <t>midcap</t>
        </is>
      </c>
      <c r="F243" s="31" t="n">
        <v>15216.43</v>
      </c>
      <c r="G243" s="31" t="n">
        <v>1451.3</v>
      </c>
      <c r="H243" s="31" t="n">
        <v>-0.22</v>
      </c>
      <c r="I243" s="31" t="n">
        <v>115788</v>
      </c>
      <c r="J243" s="31" t="inlineStr">
        <is>
          <t>543960</t>
        </is>
      </c>
    </row>
    <row r="244">
      <c r="A244" s="31" t="inlineStr">
        <is>
          <t>INDIANB</t>
        </is>
      </c>
      <c r="B244" s="31" t="inlineStr">
        <is>
          <t>Indian Bank Ltd</t>
        </is>
      </c>
      <c r="C244" s="31" t="inlineStr">
        <is>
          <t>bank</t>
        </is>
      </c>
      <c r="D244" s="31" t="inlineStr">
        <is>
          <t>banks - public sector</t>
        </is>
      </c>
      <c r="E244" s="31" t="inlineStr">
        <is>
          <t>largecap</t>
        </is>
      </c>
      <c r="F244" s="31" t="n">
        <v>120822.67</v>
      </c>
      <c r="G244" s="31" t="n">
        <v>894.95</v>
      </c>
      <c r="H244" s="31" t="n">
        <v>-0.23</v>
      </c>
      <c r="I244" s="31" t="n">
        <v>1449405</v>
      </c>
      <c r="J244" s="31" t="inlineStr">
        <is>
          <t>532814</t>
        </is>
      </c>
    </row>
    <row r="245">
      <c r="A245" s="31" t="inlineStr">
        <is>
          <t>360ONE</t>
        </is>
      </c>
      <c r="B245" s="31" t="inlineStr">
        <is>
          <t>360 ONE WAM Ltd</t>
        </is>
      </c>
      <c r="C245" s="31" t="inlineStr">
        <is>
          <t>financials</t>
        </is>
      </c>
      <c r="D245" s="31" t="inlineStr">
        <is>
          <t>finance &amp; investments</t>
        </is>
      </c>
      <c r="E245" s="31" t="inlineStr">
        <is>
          <t>largecap</t>
        </is>
      </c>
      <c r="F245" s="31" t="n">
        <v>48110.84</v>
      </c>
      <c r="G245" s="31" t="n">
        <v>1180</v>
      </c>
      <c r="H245" s="31" t="n">
        <v>-0.25</v>
      </c>
      <c r="I245" s="31" t="n">
        <v>790546</v>
      </c>
      <c r="J245" s="31" t="inlineStr">
        <is>
          <t>542772</t>
        </is>
      </c>
    </row>
    <row r="246">
      <c r="A246" s="31" t="inlineStr">
        <is>
          <t>UTTAMSUGAR</t>
        </is>
      </c>
      <c r="B246" s="31" t="inlineStr">
        <is>
          <t>Uttam Sugar Mills Limited</t>
        </is>
      </c>
      <c r="C246" s="31" t="inlineStr">
        <is>
          <t>fmcg</t>
        </is>
      </c>
      <c r="D246" s="31" t="inlineStr">
        <is>
          <t>sugar</t>
        </is>
      </c>
      <c r="E246" s="31" t="inlineStr">
        <is>
          <t>smallcap</t>
        </is>
      </c>
      <c r="F246" s="31" t="n">
        <v>1010.62</v>
      </c>
      <c r="G246" s="31" t="n">
        <v>264.29</v>
      </c>
      <c r="H246" s="31" t="n">
        <v>-0.26</v>
      </c>
      <c r="I246" s="31" t="n">
        <v>364608</v>
      </c>
      <c r="J246" s="31" t="inlineStr">
        <is>
          <t>532729</t>
        </is>
      </c>
    </row>
    <row r="247">
      <c r="A247" s="31" t="inlineStr">
        <is>
          <t>SAREGAMA</t>
        </is>
      </c>
      <c r="B247" s="31" t="inlineStr">
        <is>
          <t>Saregama India Limited</t>
        </is>
      </c>
      <c r="C247" s="31" t="inlineStr">
        <is>
          <t>media</t>
        </is>
      </c>
      <c r="D247" s="31" t="inlineStr">
        <is>
          <t>entertainment / electronic media software</t>
        </is>
      </c>
      <c r="E247" s="31" t="inlineStr">
        <is>
          <t>midcap</t>
        </is>
      </c>
      <c r="F247" s="31" t="n">
        <v>10250.72</v>
      </c>
      <c r="G247" s="31" t="n">
        <v>530.25</v>
      </c>
      <c r="H247" s="31" t="n">
        <v>-0.26</v>
      </c>
      <c r="I247" s="31" t="n">
        <v>747795</v>
      </c>
      <c r="J247" s="31" t="inlineStr">
        <is>
          <t>532163</t>
        </is>
      </c>
    </row>
    <row r="248">
      <c r="A248" s="31" t="inlineStr">
        <is>
          <t>DIVISLAB</t>
        </is>
      </c>
      <c r="B248" s="31" t="inlineStr">
        <is>
          <t>Divi's Laboratories Limited</t>
        </is>
      </c>
      <c r="C248" s="31" t="inlineStr">
        <is>
          <t>healthcare</t>
        </is>
      </c>
      <c r="D248" s="31" t="inlineStr">
        <is>
          <t>pharmaceuticals - indian - bulk drugs</t>
        </is>
      </c>
      <c r="E248" s="31" t="inlineStr">
        <is>
          <t>largecap</t>
        </is>
      </c>
      <c r="F248" s="31" t="n">
        <v>225648.29</v>
      </c>
      <c r="G248" s="31" t="n">
        <v>8477</v>
      </c>
      <c r="H248" s="31" t="n">
        <v>-0.27</v>
      </c>
      <c r="I248" s="31" t="n">
        <v>675257</v>
      </c>
      <c r="J248" s="31" t="inlineStr">
        <is>
          <t>532488</t>
        </is>
      </c>
    </row>
    <row r="249">
      <c r="A249" s="31" t="inlineStr">
        <is>
          <t>IOLCP</t>
        </is>
      </c>
      <c r="B249" s="31" t="inlineStr">
        <is>
          <t>Iol Chemicals And Pharmaceuticals Limited</t>
        </is>
      </c>
      <c r="C249" s="31" t="inlineStr">
        <is>
          <t>healthcare</t>
        </is>
      </c>
      <c r="D249" s="31" t="inlineStr">
        <is>
          <t>pharmaceuticals - indian - bulk drugs &amp; formln</t>
        </is>
      </c>
      <c r="E249" s="31" t="inlineStr">
        <is>
          <t>smallcap</t>
        </is>
      </c>
      <c r="F249" s="31" t="n">
        <v>4873.14</v>
      </c>
      <c r="G249" s="31" t="n">
        <v>165.58</v>
      </c>
      <c r="H249" s="31" t="n">
        <v>-0.27</v>
      </c>
      <c r="I249" s="31" t="n">
        <v>2595681</v>
      </c>
      <c r="J249" s="31" t="inlineStr">
        <is>
          <t>524164</t>
        </is>
      </c>
    </row>
    <row r="250">
      <c r="A250" s="31" t="inlineStr">
        <is>
          <t>HITECHCORP</t>
        </is>
      </c>
      <c r="B250" s="31" t="inlineStr">
        <is>
          <t>Hitech Corporation</t>
        </is>
      </c>
      <c r="C250" s="31" t="inlineStr">
        <is>
          <t>industrials</t>
        </is>
      </c>
      <c r="D250" s="31" t="inlineStr">
        <is>
          <t>packaging</t>
        </is>
      </c>
      <c r="E250" s="31" t="inlineStr">
        <is>
          <t>smallcap</t>
        </is>
      </c>
      <c r="F250" s="31" t="n">
        <v>568.4299999999999</v>
      </c>
      <c r="G250" s="31" t="n">
        <v>330.05</v>
      </c>
      <c r="H250" s="31" t="n">
        <v>-0.27</v>
      </c>
      <c r="I250" s="31" t="n">
        <v>20433</v>
      </c>
      <c r="J250" s="31" t="inlineStr">
        <is>
          <t>526217</t>
        </is>
      </c>
    </row>
    <row r="251">
      <c r="A251" s="31" t="inlineStr">
        <is>
          <t>ARE&amp;M</t>
        </is>
      </c>
      <c r="B251" s="31" t="inlineStr">
        <is>
          <t>Amara Raja Energy &amp; Mobility Ltd</t>
        </is>
      </c>
      <c r="C251" s="31" t="inlineStr">
        <is>
          <t>auto</t>
        </is>
      </c>
      <c r="D251" s="31" t="inlineStr">
        <is>
          <t>auto ancillaries</t>
        </is>
      </c>
      <c r="E251" s="31" t="inlineStr">
        <is>
          <t>midcap</t>
        </is>
      </c>
      <c r="F251" s="31" t="n">
        <v>17365.45</v>
      </c>
      <c r="G251" s="31" t="n">
        <v>945.95</v>
      </c>
      <c r="H251" s="31" t="n">
        <v>-0.3</v>
      </c>
      <c r="I251" s="31" t="n">
        <v>491377</v>
      </c>
      <c r="J251" s="31" t="inlineStr">
        <is>
          <t>500008</t>
        </is>
      </c>
    </row>
    <row r="252">
      <c r="A252" s="31" t="inlineStr">
        <is>
          <t>ALKYLAMINE</t>
        </is>
      </c>
      <c r="B252" s="31" t="inlineStr">
        <is>
          <t>Alkyl Amines Chemicals Limited</t>
        </is>
      </c>
      <c r="C252" s="31" t="inlineStr">
        <is>
          <t>chemicals</t>
        </is>
      </c>
      <c r="D252" s="31" t="inlineStr">
        <is>
          <t>chemicals</t>
        </is>
      </c>
      <c r="E252" s="31" t="inlineStr">
        <is>
          <t>midcap</t>
        </is>
      </c>
      <c r="F252" s="31" t="n">
        <v>9835.92</v>
      </c>
      <c r="G252" s="31" t="n">
        <v>1916.9</v>
      </c>
      <c r="H252" s="31" t="n">
        <v>-0.32</v>
      </c>
      <c r="I252" s="31" t="n">
        <v>35382</v>
      </c>
      <c r="J252" s="31" t="inlineStr">
        <is>
          <t>506767</t>
        </is>
      </c>
    </row>
    <row r="253">
      <c r="A253" s="31" t="inlineStr">
        <is>
          <t>SHRIPISTON</t>
        </is>
      </c>
      <c r="B253" s="31" t="inlineStr">
        <is>
          <t>Shriram Pistons &amp; Rings Limited</t>
        </is>
      </c>
      <c r="C253" s="31" t="inlineStr">
        <is>
          <t>auto</t>
        </is>
      </c>
      <c r="D253" s="31" t="inlineStr">
        <is>
          <t>auto ancillaries</t>
        </is>
      </c>
      <c r="E253" s="31" t="inlineStr">
        <is>
          <t>midcap</t>
        </is>
      </c>
      <c r="F253" s="31" t="n">
        <v>19768.24</v>
      </c>
      <c r="G253" s="31" t="n">
        <v>4473.5</v>
      </c>
      <c r="H253" s="31" t="n">
        <v>-0.32</v>
      </c>
      <c r="I253" s="31" t="n">
        <v>30932</v>
      </c>
      <c r="J253" s="31" t="n"/>
    </row>
    <row r="254">
      <c r="A254" s="31" t="inlineStr">
        <is>
          <t>BLSE</t>
        </is>
      </c>
      <c r="B254" s="31" t="inlineStr">
        <is>
          <t>BLS E-Services Ltd</t>
        </is>
      </c>
      <c r="C254" s="31" t="inlineStr">
        <is>
          <t>i.t</t>
        </is>
      </c>
      <c r="D254" s="31" t="inlineStr">
        <is>
          <t>computers - software - medium / small</t>
        </is>
      </c>
      <c r="E254" s="31" t="inlineStr">
        <is>
          <t>smallcap</t>
        </is>
      </c>
      <c r="F254" s="31" t="n">
        <v>2864.71</v>
      </c>
      <c r="G254" s="31" t="n">
        <v>314.25</v>
      </c>
      <c r="H254" s="31" t="n">
        <v>-0.33</v>
      </c>
      <c r="I254" s="31" t="n">
        <v>842849</v>
      </c>
      <c r="J254" s="31" t="inlineStr">
        <is>
          <t>544107</t>
        </is>
      </c>
    </row>
    <row r="255">
      <c r="A255" s="31" t="inlineStr">
        <is>
          <t>MAHSEAMLES</t>
        </is>
      </c>
      <c r="B255" s="31" t="inlineStr">
        <is>
          <t>Maharashtra Seamless Limited</t>
        </is>
      </c>
      <c r="C255" s="31" t="inlineStr">
        <is>
          <t>industrials</t>
        </is>
      </c>
      <c r="D255" s="31" t="inlineStr">
        <is>
          <t>steel - large</t>
        </is>
      </c>
      <c r="E255" s="31" t="inlineStr">
        <is>
          <t>midcap</t>
        </is>
      </c>
      <c r="F255" s="31" t="n">
        <v>8200.75</v>
      </c>
      <c r="G255" s="31" t="n">
        <v>610</v>
      </c>
      <c r="H255" s="31" t="n">
        <v>-0.33</v>
      </c>
      <c r="I255" s="31" t="n">
        <v>85390</v>
      </c>
      <c r="J255" s="31" t="inlineStr">
        <is>
          <t>500265</t>
        </is>
      </c>
    </row>
    <row r="256">
      <c r="A256" s="31" t="inlineStr">
        <is>
          <t>CUPID</t>
        </is>
      </c>
      <c r="B256" s="31" t="inlineStr">
        <is>
          <t>Cupid Limited</t>
        </is>
      </c>
      <c r="C256" s="31" t="inlineStr">
        <is>
          <t>fmcg</t>
        </is>
      </c>
      <c r="D256" s="31" t="inlineStr">
        <is>
          <t>personal care - indian</t>
        </is>
      </c>
      <c r="E256" s="31" t="inlineStr">
        <is>
          <t>largecap</t>
        </is>
      </c>
      <c r="F256" s="31" t="n">
        <v>39648.67</v>
      </c>
      <c r="G256" s="31" t="n">
        <v>293.88</v>
      </c>
      <c r="H256" s="31" t="n">
        <v>-0.33</v>
      </c>
      <c r="I256" s="31" t="n">
        <v>25656653</v>
      </c>
      <c r="J256" s="31" t="inlineStr">
        <is>
          <t>530843</t>
        </is>
      </c>
    </row>
    <row r="257">
      <c r="A257" s="31" t="inlineStr">
        <is>
          <t>LT</t>
        </is>
      </c>
      <c r="B257" s="31" t="inlineStr">
        <is>
          <t>Larsen &amp; Toubro Limited</t>
        </is>
      </c>
      <c r="C257" s="31" t="inlineStr">
        <is>
          <t>realty</t>
        </is>
      </c>
      <c r="D257" s="31" t="inlineStr">
        <is>
          <t>engineering - turnkey services</t>
        </is>
      </c>
      <c r="E257" s="31" t="inlineStr">
        <is>
          <t>largecap</t>
        </is>
      </c>
      <c r="F257" s="31" t="n">
        <v>560018.08</v>
      </c>
      <c r="G257" s="31" t="n">
        <v>4057</v>
      </c>
      <c r="H257" s="31" t="n">
        <v>-0.34</v>
      </c>
      <c r="I257" s="31" t="n">
        <v>1820835</v>
      </c>
      <c r="J257" s="31" t="inlineStr">
        <is>
          <t>500510</t>
        </is>
      </c>
    </row>
    <row r="258">
      <c r="A258" s="31" t="inlineStr">
        <is>
          <t>PTCIL</t>
        </is>
      </c>
      <c r="B258" s="31" t="inlineStr">
        <is>
          <t>PTC Industries Ltd</t>
        </is>
      </c>
      <c r="C258" s="31" t="inlineStr">
        <is>
          <t>industrials</t>
        </is>
      </c>
      <c r="D258" s="31" t="inlineStr">
        <is>
          <t>castings &amp; forgings</t>
        </is>
      </c>
      <c r="E258" s="31" t="inlineStr">
        <is>
          <t>largecap</t>
        </is>
      </c>
      <c r="F258" s="31" t="n">
        <v>28736.22</v>
      </c>
      <c r="G258" s="31" t="n">
        <v>19100</v>
      </c>
      <c r="H258" s="31" t="n">
        <v>-0.35</v>
      </c>
      <c r="I258" s="31" t="n">
        <v>15593</v>
      </c>
      <c r="J258" s="31" t="inlineStr">
        <is>
          <t>539006</t>
        </is>
      </c>
    </row>
    <row r="259">
      <c r="A259" s="31" t="inlineStr">
        <is>
          <t>BERGEPAINT</t>
        </is>
      </c>
      <c r="B259" s="31" t="inlineStr">
        <is>
          <t>Berger Paints (i) Limited</t>
        </is>
      </c>
      <c r="C259" s="31" t="inlineStr">
        <is>
          <t>building materials</t>
        </is>
      </c>
      <c r="D259" s="31" t="inlineStr">
        <is>
          <t>paints / varnishes</t>
        </is>
      </c>
      <c r="E259" s="31" t="inlineStr">
        <is>
          <t>largecap</t>
        </is>
      </c>
      <c r="F259" s="31" t="n">
        <v>63704.56</v>
      </c>
      <c r="G259" s="31" t="n">
        <v>544.4</v>
      </c>
      <c r="H259" s="31" t="n">
        <v>-0.36</v>
      </c>
      <c r="I259" s="31" t="n">
        <v>891866</v>
      </c>
      <c r="J259" s="31" t="inlineStr">
        <is>
          <t>509480</t>
        </is>
      </c>
    </row>
    <row r="260">
      <c r="A260" s="31" t="inlineStr">
        <is>
          <t>TALBROAUTO</t>
        </is>
      </c>
      <c r="B260" s="31" t="inlineStr">
        <is>
          <t>Talbros Automotive Components Limited</t>
        </is>
      </c>
      <c r="C260" s="31" t="inlineStr">
        <is>
          <t>auto</t>
        </is>
      </c>
      <c r="D260" s="31" t="inlineStr">
        <is>
          <t>auto ancillaries</t>
        </is>
      </c>
      <c r="E260" s="31" t="inlineStr">
        <is>
          <t>smallcap</t>
        </is>
      </c>
      <c r="F260" s="31" t="n">
        <v>2602.77</v>
      </c>
      <c r="G260" s="31" t="n">
        <v>420.1</v>
      </c>
      <c r="H260" s="31" t="n">
        <v>-0.37</v>
      </c>
      <c r="I260" s="31" t="n">
        <v>129290</v>
      </c>
      <c r="J260" s="31" t="inlineStr">
        <is>
          <t>505160</t>
        </is>
      </c>
    </row>
    <row r="261">
      <c r="A261" s="31" t="inlineStr">
        <is>
          <t>TECHM</t>
        </is>
      </c>
      <c r="B261" s="31" t="inlineStr">
        <is>
          <t>Tech Mahindra Limited</t>
        </is>
      </c>
      <c r="C261" s="31" t="inlineStr">
        <is>
          <t>i.t</t>
        </is>
      </c>
      <c r="D261" s="31" t="inlineStr">
        <is>
          <t>computers - software - large</t>
        </is>
      </c>
      <c r="E261" s="31" t="inlineStr">
        <is>
          <t>largecap</t>
        </is>
      </c>
      <c r="F261" s="31" t="n">
        <v>160631.5</v>
      </c>
      <c r="G261" s="31" t="n">
        <v>1632.8</v>
      </c>
      <c r="H261" s="31" t="n">
        <v>-0.38</v>
      </c>
      <c r="I261" s="31" t="n">
        <v>6722179</v>
      </c>
      <c r="J261" s="31" t="inlineStr">
        <is>
          <t>532755</t>
        </is>
      </c>
    </row>
    <row r="262">
      <c r="A262" s="31" t="inlineStr">
        <is>
          <t>KDDL</t>
        </is>
      </c>
      <c r="B262" s="31" t="inlineStr">
        <is>
          <t>Kddl Limited</t>
        </is>
      </c>
      <c r="C262" s="31" t="inlineStr">
        <is>
          <t>consumer discretionary</t>
        </is>
      </c>
      <c r="D262" s="31" t="inlineStr">
        <is>
          <t>miscellaneous</t>
        </is>
      </c>
      <c r="E262" s="31" t="inlineStr">
        <is>
          <t>smallcap</t>
        </is>
      </c>
      <c r="F262" s="31" t="n">
        <v>4853.17</v>
      </c>
      <c r="G262" s="31" t="n">
        <v>3930.2</v>
      </c>
      <c r="H262" s="31" t="n">
        <v>-0.4</v>
      </c>
      <c r="I262" s="31" t="n">
        <v>20113</v>
      </c>
      <c r="J262" s="31" t="inlineStr">
        <is>
          <t>532054</t>
        </is>
      </c>
    </row>
    <row r="263">
      <c r="A263" s="31" t="inlineStr">
        <is>
          <t>EICHERMOT</t>
        </is>
      </c>
      <c r="B263" s="31" t="inlineStr">
        <is>
          <t>Eicher Motors Limited</t>
        </is>
      </c>
      <c r="C263" s="31" t="inlineStr">
        <is>
          <t>auto</t>
        </is>
      </c>
      <c r="D263" s="31" t="inlineStr">
        <is>
          <t>automobiles - motorcycles / mopeds</t>
        </is>
      </c>
      <c r="E263" s="31" t="inlineStr">
        <is>
          <t>largecap</t>
        </is>
      </c>
      <c r="F263" s="31" t="n">
        <v>222343</v>
      </c>
      <c r="G263" s="31" t="n">
        <v>8066.5</v>
      </c>
      <c r="H263" s="31" t="n">
        <v>-0.41</v>
      </c>
      <c r="I263" s="31" t="n">
        <v>584584</v>
      </c>
      <c r="J263" s="31" t="inlineStr">
        <is>
          <t>505200</t>
        </is>
      </c>
    </row>
    <row r="264">
      <c r="A264" s="31" t="inlineStr">
        <is>
          <t>5PAISA</t>
        </is>
      </c>
      <c r="B264" s="31" t="inlineStr">
        <is>
          <t>5Paisa Capital Ltd</t>
        </is>
      </c>
      <c r="C264" s="31" t="inlineStr">
        <is>
          <t>financials</t>
        </is>
      </c>
      <c r="D264" s="31" t="inlineStr">
        <is>
          <t>finance &amp; investments</t>
        </is>
      </c>
      <c r="E264" s="31" t="inlineStr">
        <is>
          <t>smallcap</t>
        </is>
      </c>
      <c r="F264" s="31" t="n">
        <v>1836.14</v>
      </c>
      <c r="G264" s="31" t="n">
        <v>390</v>
      </c>
      <c r="H264" s="31" t="n">
        <v>-0.42</v>
      </c>
      <c r="I264" s="31" t="n">
        <v>109705</v>
      </c>
      <c r="J264" s="31" t="inlineStr">
        <is>
          <t>540776</t>
        </is>
      </c>
    </row>
    <row r="265">
      <c r="A265" s="31" t="inlineStr">
        <is>
          <t>LOKESHMACH</t>
        </is>
      </c>
      <c r="B265" s="31" t="inlineStr">
        <is>
          <t>Lokesh Machines Limited</t>
        </is>
      </c>
      <c r="C265" s="31" t="inlineStr">
        <is>
          <t>industrials</t>
        </is>
      </c>
      <c r="D265" s="31" t="inlineStr">
        <is>
          <t>engineering</t>
        </is>
      </c>
      <c r="E265" s="31" t="inlineStr">
        <is>
          <t>smallcap</t>
        </is>
      </c>
      <c r="F265" s="31" t="n">
        <v>756.35</v>
      </c>
      <c r="G265" s="31" t="n">
        <v>347</v>
      </c>
      <c r="H265" s="31" t="n">
        <v>-0.43</v>
      </c>
      <c r="I265" s="31" t="n">
        <v>18248</v>
      </c>
      <c r="J265" s="31" t="inlineStr">
        <is>
          <t>532740</t>
        </is>
      </c>
    </row>
    <row r="266">
      <c r="A266" s="31" t="inlineStr">
        <is>
          <t>DHAMPURSUG</t>
        </is>
      </c>
      <c r="B266" s="31" t="inlineStr">
        <is>
          <t>Dhampur Sugar Mills Limited</t>
        </is>
      </c>
      <c r="C266" s="31" t="inlineStr">
        <is>
          <t>fmcg</t>
        </is>
      </c>
      <c r="D266" s="31" t="inlineStr">
        <is>
          <t>sugar</t>
        </is>
      </c>
      <c r="E266" s="31" t="inlineStr">
        <is>
          <t>smallcap</t>
        </is>
      </c>
      <c r="F266" s="31" t="n">
        <v>1040.03</v>
      </c>
      <c r="G266" s="31" t="n">
        <v>160.93</v>
      </c>
      <c r="H266" s="31" t="n">
        <v>-0.49</v>
      </c>
      <c r="I266" s="31" t="n">
        <v>575804</v>
      </c>
      <c r="J266" s="31" t="inlineStr">
        <is>
          <t>500119</t>
        </is>
      </c>
    </row>
    <row r="267">
      <c r="A267" s="31" t="inlineStr">
        <is>
          <t>RADICO</t>
        </is>
      </c>
      <c r="B267" s="31" t="inlineStr">
        <is>
          <t>Radico Khaitan Limited</t>
        </is>
      </c>
      <c r="C267" s="31" t="inlineStr">
        <is>
          <t>fmcg</t>
        </is>
      </c>
      <c r="D267" s="31" t="inlineStr">
        <is>
          <t>breweries &amp; distilleries</t>
        </is>
      </c>
      <c r="E267" s="31" t="inlineStr">
        <is>
          <t>largecap</t>
        </is>
      </c>
      <c r="F267" s="31" t="n">
        <v>62615.58</v>
      </c>
      <c r="G267" s="31" t="n">
        <v>4650</v>
      </c>
      <c r="H267" s="31" t="n">
        <v>-0.54</v>
      </c>
      <c r="I267" s="31" t="n">
        <v>621290</v>
      </c>
      <c r="J267" s="31" t="inlineStr">
        <is>
          <t>532497</t>
        </is>
      </c>
    </row>
    <row r="268">
      <c r="A268" s="31" t="inlineStr">
        <is>
          <t>WELCORP</t>
        </is>
      </c>
      <c r="B268" s="31" t="inlineStr">
        <is>
          <t>Welspun Corp Limited</t>
        </is>
      </c>
      <c r="C268" s="31" t="inlineStr">
        <is>
          <t>industrials</t>
        </is>
      </c>
      <c r="D268" s="31" t="inlineStr">
        <is>
          <t>steel - large</t>
        </is>
      </c>
      <c r="E268" s="31" t="inlineStr">
        <is>
          <t>largecap</t>
        </is>
      </c>
      <c r="F268" s="31" t="n">
        <v>49695.52</v>
      </c>
      <c r="G268" s="31" t="n">
        <v>1873.3</v>
      </c>
      <c r="H268" s="31" t="n">
        <v>-0.5600000000000001</v>
      </c>
      <c r="I268" s="31" t="n">
        <v>554574</v>
      </c>
      <c r="J268" s="31" t="inlineStr">
        <is>
          <t>532144</t>
        </is>
      </c>
    </row>
    <row r="269">
      <c r="A269" s="31" t="inlineStr">
        <is>
          <t>RBLBANK</t>
        </is>
      </c>
      <c r="B269" s="31" t="inlineStr">
        <is>
          <t>Rbl Bank Limited</t>
        </is>
      </c>
      <c r="C269" s="31" t="inlineStr">
        <is>
          <t>bank</t>
        </is>
      </c>
      <c r="D269" s="31" t="inlineStr">
        <is>
          <t>banks - private sector</t>
        </is>
      </c>
      <c r="E269" s="31" t="inlineStr">
        <is>
          <t>largecap</t>
        </is>
      </c>
      <c r="F269" s="31" t="n">
        <v>59967.91</v>
      </c>
      <c r="G269" s="31" t="n">
        <v>385</v>
      </c>
      <c r="H269" s="31" t="n">
        <v>-0.58</v>
      </c>
      <c r="I269" s="31" t="n">
        <v>2935700</v>
      </c>
      <c r="J269" s="31" t="inlineStr">
        <is>
          <t>540065</t>
        </is>
      </c>
    </row>
    <row r="270">
      <c r="A270" s="31" t="inlineStr">
        <is>
          <t>JSWINFRA</t>
        </is>
      </c>
      <c r="B270" s="31" t="inlineStr">
        <is>
          <t>JSW Infrastructure Ltd</t>
        </is>
      </c>
      <c r="C270" s="31" t="inlineStr">
        <is>
          <t>transportation</t>
        </is>
      </c>
      <c r="D270" s="31" t="inlineStr">
        <is>
          <t>miscellaneous</t>
        </is>
      </c>
      <c r="E270" s="31" t="inlineStr">
        <is>
          <t>largecap</t>
        </is>
      </c>
      <c r="F270" s="31" t="n">
        <v>79534.60000000001</v>
      </c>
      <c r="G270" s="31" t="n">
        <v>339.15</v>
      </c>
      <c r="H270" s="31" t="n">
        <v>-0.64</v>
      </c>
      <c r="I270" s="31" t="n">
        <v>2085129</v>
      </c>
      <c r="J270" s="31" t="inlineStr">
        <is>
          <t>543994</t>
        </is>
      </c>
    </row>
    <row r="271">
      <c r="A271" s="31" t="inlineStr">
        <is>
          <t>STEELCAS</t>
        </is>
      </c>
      <c r="B271" s="31" t="inlineStr">
        <is>
          <t>Steelcast Ltd</t>
        </is>
      </c>
      <c r="C271" s="31" t="inlineStr">
        <is>
          <t>industrials</t>
        </is>
      </c>
      <c r="D271" s="31" t="inlineStr">
        <is>
          <t>castings &amp; forgings</t>
        </is>
      </c>
      <c r="E271" s="31" t="inlineStr">
        <is>
          <t>smallcap</t>
        </is>
      </c>
      <c r="F271" s="31" t="n">
        <v>3584</v>
      </c>
      <c r="G271" s="31" t="n">
        <v>351.85</v>
      </c>
      <c r="H271" s="31" t="n">
        <v>-0.65</v>
      </c>
      <c r="I271" s="31" t="n">
        <v>120698</v>
      </c>
      <c r="J271" s="31" t="inlineStr">
        <is>
          <t>513517</t>
        </is>
      </c>
    </row>
    <row r="272">
      <c r="A272" s="31" t="inlineStr">
        <is>
          <t>VMART</t>
        </is>
      </c>
      <c r="B272" s="31" t="inlineStr">
        <is>
          <t>V-mart Retail Limited</t>
        </is>
      </c>
      <c r="C272" s="31" t="inlineStr">
        <is>
          <t>consumer discretionary</t>
        </is>
      </c>
      <c r="D272" s="31" t="inlineStr">
        <is>
          <t>trading</t>
        </is>
      </c>
      <c r="E272" s="31" t="inlineStr">
        <is>
          <t>midcap</t>
        </is>
      </c>
      <c r="F272" s="31" t="n">
        <v>6421.91</v>
      </c>
      <c r="G272" s="31" t="n">
        <v>802</v>
      </c>
      <c r="H272" s="31" t="n">
        <v>-0.66</v>
      </c>
      <c r="I272" s="31" t="n">
        <v>68695</v>
      </c>
      <c r="J272" s="31" t="inlineStr">
        <is>
          <t>534976</t>
        </is>
      </c>
    </row>
    <row r="273">
      <c r="A273" s="31" t="inlineStr">
        <is>
          <t>MUFIN</t>
        </is>
      </c>
      <c r="B273" s="31" t="inlineStr">
        <is>
          <t>Mufin Green Finance Ltd</t>
        </is>
      </c>
      <c r="C273" s="31" t="inlineStr">
        <is>
          <t>financials</t>
        </is>
      </c>
      <c r="D273" s="31" t="inlineStr">
        <is>
          <t>finance &amp; investments</t>
        </is>
      </c>
      <c r="E273" s="31" t="inlineStr">
        <is>
          <t>smallcap</t>
        </is>
      </c>
      <c r="F273" s="31" t="n">
        <v>2704.32</v>
      </c>
      <c r="G273" s="31" t="n">
        <v>135.54</v>
      </c>
      <c r="H273" s="31" t="n">
        <v>-0.68</v>
      </c>
      <c r="I273" s="31" t="n">
        <v>660693</v>
      </c>
      <c r="J273" s="31" t="inlineStr">
        <is>
          <t>542774</t>
        </is>
      </c>
    </row>
    <row r="274">
      <c r="A274" s="31" t="inlineStr">
        <is>
          <t>ENRIN</t>
        </is>
      </c>
      <c r="B274" s="31" t="inlineStr">
        <is>
          <t>Siemens Energy India Ltd</t>
        </is>
      </c>
      <c r="C274" s="31" t="inlineStr">
        <is>
          <t>power &amp; utilities</t>
        </is>
      </c>
      <c r="D274" s="31" t="inlineStr">
        <is>
          <t>power generation and supply</t>
        </is>
      </c>
      <c r="E274" s="31" t="inlineStr">
        <is>
          <t>largecap</t>
        </is>
      </c>
      <c r="F274" s="31" t="n">
        <v>126821.63</v>
      </c>
      <c r="G274" s="31" t="n">
        <v>3536.3</v>
      </c>
      <c r="H274" s="31" t="n">
        <v>-0.7</v>
      </c>
      <c r="I274" s="31" t="n">
        <v>190996</v>
      </c>
      <c r="J274" s="31" t="n"/>
    </row>
    <row r="275">
      <c r="A275" s="31" t="inlineStr">
        <is>
          <t>NAVINFLUOR</t>
        </is>
      </c>
      <c r="B275" s="31" t="inlineStr">
        <is>
          <t>Navin Fluorine International Limited</t>
        </is>
      </c>
      <c r="C275" s="31" t="inlineStr">
        <is>
          <t>chemicals</t>
        </is>
      </c>
      <c r="D275" s="31" t="inlineStr">
        <is>
          <t>chemicals</t>
        </is>
      </c>
      <c r="E275" s="31" t="inlineStr">
        <is>
          <t>largecap</t>
        </is>
      </c>
      <c r="F275" s="31" t="n">
        <v>42540.89</v>
      </c>
      <c r="G275" s="31" t="n">
        <v>8235</v>
      </c>
      <c r="H275" s="31" t="n">
        <v>-0.71</v>
      </c>
      <c r="I275" s="31" t="n">
        <v>71166</v>
      </c>
      <c r="J275" s="31" t="inlineStr">
        <is>
          <t>532504</t>
        </is>
      </c>
    </row>
    <row r="276">
      <c r="A276" s="31" t="inlineStr">
        <is>
          <t>SMLMAH</t>
        </is>
      </c>
      <c r="B276" s="31" t="inlineStr">
        <is>
          <t>SML Mahindra Ltd</t>
        </is>
      </c>
      <c r="C276" s="31" t="inlineStr">
        <is>
          <t>auto</t>
        </is>
      </c>
      <c r="D276" s="31" t="inlineStr">
        <is>
          <t>automobiles - lcvs / hcvs</t>
        </is>
      </c>
      <c r="E276" s="31" t="inlineStr">
        <is>
          <t>midcap</t>
        </is>
      </c>
      <c r="F276" s="31" t="n">
        <v>7484.74</v>
      </c>
      <c r="G276" s="31" t="n">
        <v>5134.5</v>
      </c>
      <c r="H276" s="31" t="n">
        <v>-0.73</v>
      </c>
      <c r="I276" s="31" t="n">
        <v>145139</v>
      </c>
      <c r="J276" s="31" t="inlineStr">
        <is>
          <t>505192</t>
        </is>
      </c>
    </row>
    <row r="277">
      <c r="A277" s="31" t="inlineStr">
        <is>
          <t>ASKAUTOLTD</t>
        </is>
      </c>
      <c r="B277" s="31" t="inlineStr">
        <is>
          <t>ASK Automotive Ltd</t>
        </is>
      </c>
      <c r="C277" s="31" t="inlineStr">
        <is>
          <t>auto</t>
        </is>
      </c>
      <c r="D277" s="31" t="inlineStr">
        <is>
          <t>auto ancillaries</t>
        </is>
      </c>
      <c r="E277" s="31" t="inlineStr">
        <is>
          <t>midcap</t>
        </is>
      </c>
      <c r="F277" s="31" t="n">
        <v>12803.43</v>
      </c>
      <c r="G277" s="31" t="n">
        <v>644.7</v>
      </c>
      <c r="H277" s="31" t="n">
        <v>-0.73</v>
      </c>
      <c r="I277" s="31" t="n">
        <v>148256</v>
      </c>
      <c r="J277" s="31" t="inlineStr">
        <is>
          <t>544022</t>
        </is>
      </c>
    </row>
    <row r="278">
      <c r="A278" s="31" t="inlineStr">
        <is>
          <t>IIFL</t>
        </is>
      </c>
      <c r="B278" s="31" t="inlineStr">
        <is>
          <t>IIFL Finance Ltd</t>
        </is>
      </c>
      <c r="C278" s="31" t="inlineStr">
        <is>
          <t>financials</t>
        </is>
      </c>
      <c r="D278" s="31" t="inlineStr">
        <is>
          <t>finance &amp; investments</t>
        </is>
      </c>
      <c r="E278" s="31" t="inlineStr">
        <is>
          <t>largecap</t>
        </is>
      </c>
      <c r="F278" s="31" t="n">
        <v>27048.54</v>
      </c>
      <c r="G278" s="31" t="n">
        <v>631.15</v>
      </c>
      <c r="H278" s="31" t="n">
        <v>-0.75</v>
      </c>
      <c r="I278" s="31" t="n">
        <v>967374</v>
      </c>
      <c r="J278" s="31" t="inlineStr">
        <is>
          <t>532636</t>
        </is>
      </c>
    </row>
    <row r="279">
      <c r="A279" s="31" t="inlineStr">
        <is>
          <t>AARTIIND</t>
        </is>
      </c>
      <c r="B279" s="31" t="inlineStr">
        <is>
          <t>Aarti Industries Limited</t>
        </is>
      </c>
      <c r="C279" s="31" t="inlineStr">
        <is>
          <t>chemicals</t>
        </is>
      </c>
      <c r="D279" s="31" t="inlineStr">
        <is>
          <t>chemicals</t>
        </is>
      </c>
      <c r="E279" s="31" t="inlineStr">
        <is>
          <t>midcap</t>
        </is>
      </c>
      <c r="F279" s="31" t="n">
        <v>19521.95</v>
      </c>
      <c r="G279" s="31" t="n">
        <v>534.1</v>
      </c>
      <c r="H279" s="31" t="n">
        <v>-0.76</v>
      </c>
      <c r="I279" s="31" t="n">
        <v>2578695</v>
      </c>
      <c r="J279" s="31" t="inlineStr">
        <is>
          <t>524208</t>
        </is>
      </c>
    </row>
    <row r="280">
      <c r="A280" s="31" t="inlineStr">
        <is>
          <t>ABB</t>
        </is>
      </c>
      <c r="B280" s="31" t="inlineStr">
        <is>
          <t>Abb India Limited</t>
        </is>
      </c>
      <c r="C280" s="31" t="inlineStr">
        <is>
          <t>industrials</t>
        </is>
      </c>
      <c r="D280" s="31" t="inlineStr">
        <is>
          <t>electric equipment</t>
        </is>
      </c>
      <c r="E280" s="31" t="inlineStr">
        <is>
          <t>largecap</t>
        </is>
      </c>
      <c r="F280" s="31" t="n">
        <v>163381.36</v>
      </c>
      <c r="G280" s="31" t="n">
        <v>7649</v>
      </c>
      <c r="H280" s="31" t="n">
        <v>-0.79</v>
      </c>
      <c r="I280" s="31" t="n">
        <v>324691</v>
      </c>
      <c r="J280" s="31" t="inlineStr">
        <is>
          <t>500002</t>
        </is>
      </c>
    </row>
    <row r="281">
      <c r="A281" s="31" t="inlineStr">
        <is>
          <t>TVSMOTOR</t>
        </is>
      </c>
      <c r="B281" s="31" t="inlineStr">
        <is>
          <t>Tvs Motor Company Limited</t>
        </is>
      </c>
      <c r="C281" s="31" t="inlineStr">
        <is>
          <t>auto</t>
        </is>
      </c>
      <c r="D281" s="31" t="inlineStr">
        <is>
          <t>automobiles - motorcycles / mopeds</t>
        </is>
      </c>
      <c r="E281" s="31" t="inlineStr">
        <is>
          <t>largecap</t>
        </is>
      </c>
      <c r="F281" s="31" t="n">
        <v>206292.33</v>
      </c>
      <c r="G281" s="31" t="n">
        <v>4307</v>
      </c>
      <c r="H281" s="31" t="n">
        <v>-0.8100000000000001</v>
      </c>
      <c r="I281" s="31" t="n">
        <v>1106443</v>
      </c>
      <c r="J281" s="31" t="inlineStr">
        <is>
          <t>532343</t>
        </is>
      </c>
    </row>
    <row r="282">
      <c r="A282" s="31" t="inlineStr">
        <is>
          <t>BAJAJFINSV</t>
        </is>
      </c>
      <c r="B282" s="31" t="inlineStr">
        <is>
          <t>Bajaj Finserv Limited</t>
        </is>
      </c>
      <c r="C282" s="31" t="inlineStr">
        <is>
          <t>financials</t>
        </is>
      </c>
      <c r="D282" s="31" t="inlineStr">
        <is>
          <t>finance &amp; investments</t>
        </is>
      </c>
      <c r="E282" s="31" t="inlineStr">
        <is>
          <t>largecap</t>
        </is>
      </c>
      <c r="F282" s="31" t="n">
        <v>324111.37</v>
      </c>
      <c r="G282" s="31" t="n">
        <v>2008.3</v>
      </c>
      <c r="H282" s="31" t="n">
        <v>-0.82</v>
      </c>
      <c r="I282" s="31" t="n">
        <v>1879140</v>
      </c>
      <c r="J282" s="31" t="inlineStr">
        <is>
          <t>532978</t>
        </is>
      </c>
    </row>
    <row r="283">
      <c r="A283" s="31" t="inlineStr">
        <is>
          <t>VIJAYA</t>
        </is>
      </c>
      <c r="B283" s="31" t="inlineStr">
        <is>
          <t>Vijaya Diagnostic Centre Ltd</t>
        </is>
      </c>
      <c r="C283" s="31" t="inlineStr">
        <is>
          <t>healthcare</t>
        </is>
      </c>
      <c r="D283" s="31" t="inlineStr">
        <is>
          <t>healthcare</t>
        </is>
      </c>
      <c r="E283" s="31" t="inlineStr">
        <is>
          <t>midcap</t>
        </is>
      </c>
      <c r="F283" s="31" t="n">
        <v>15295.6</v>
      </c>
      <c r="G283" s="31" t="n">
        <v>1474.1</v>
      </c>
      <c r="H283" s="31" t="n">
        <v>-0.83</v>
      </c>
      <c r="I283" s="31" t="n">
        <v>130492</v>
      </c>
      <c r="J283" s="31" t="inlineStr">
        <is>
          <t>543350</t>
        </is>
      </c>
    </row>
    <row r="284">
      <c r="A284" s="31" t="inlineStr">
        <is>
          <t>KALYANKJIL</t>
        </is>
      </c>
      <c r="B284" s="31" t="inlineStr">
        <is>
          <t>Kalyan Jewellers India Ltd</t>
        </is>
      </c>
      <c r="C284" s="31" t="inlineStr">
        <is>
          <t>consumer discretionary</t>
        </is>
      </c>
      <c r="D284" s="31" t="inlineStr">
        <is>
          <t>diamond cutting / jewellery</t>
        </is>
      </c>
      <c r="E284" s="31" t="inlineStr">
        <is>
          <t>largecap</t>
        </is>
      </c>
      <c r="F284" s="31" t="n">
        <v>63348.28</v>
      </c>
      <c r="G284" s="31" t="n">
        <v>608.25</v>
      </c>
      <c r="H284" s="31" t="n">
        <v>-0.84</v>
      </c>
      <c r="I284" s="31" t="n">
        <v>14329432</v>
      </c>
      <c r="J284" s="31" t="inlineStr">
        <is>
          <t>543278</t>
        </is>
      </c>
    </row>
    <row r="285">
      <c r="A285" s="31" t="inlineStr">
        <is>
          <t>LUMAXIND</t>
        </is>
      </c>
      <c r="B285" s="31" t="inlineStr">
        <is>
          <t>Lumax Industries Limited</t>
        </is>
      </c>
      <c r="C285" s="31" t="inlineStr">
        <is>
          <t>auto</t>
        </is>
      </c>
      <c r="D285" s="31" t="inlineStr">
        <is>
          <t>auto ancillaries</t>
        </is>
      </c>
      <c r="E285" s="31" t="inlineStr">
        <is>
          <t>midcap</t>
        </is>
      </c>
      <c r="F285" s="31" t="n">
        <v>5467.49</v>
      </c>
      <c r="G285" s="31" t="n">
        <v>5800</v>
      </c>
      <c r="H285" s="31" t="n">
        <v>-0.84</v>
      </c>
      <c r="I285" s="31" t="n">
        <v>13047</v>
      </c>
      <c r="J285" s="31" t="inlineStr">
        <is>
          <t>517206</t>
        </is>
      </c>
    </row>
    <row r="286">
      <c r="A286" s="31" t="inlineStr">
        <is>
          <t>HNDFDS</t>
        </is>
      </c>
      <c r="B286" s="31" t="inlineStr">
        <is>
          <t>Hindustan Foods Ltd</t>
        </is>
      </c>
      <c r="C286" s="31" t="inlineStr">
        <is>
          <t>fmcg</t>
        </is>
      </c>
      <c r="D286" s="31" t="inlineStr">
        <is>
          <t>diversified - large</t>
        </is>
      </c>
      <c r="E286" s="31" t="inlineStr">
        <is>
          <t>midcap</t>
        </is>
      </c>
      <c r="F286" s="31" t="n">
        <v>7229.17</v>
      </c>
      <c r="G286" s="31" t="n">
        <v>591.4</v>
      </c>
      <c r="H286" s="31" t="n">
        <v>-0.88</v>
      </c>
      <c r="I286" s="31" t="n">
        <v>62236</v>
      </c>
      <c r="J286" s="31" t="inlineStr">
        <is>
          <t>519126</t>
        </is>
      </c>
    </row>
    <row r="287">
      <c r="A287" s="31" t="inlineStr">
        <is>
          <t>SUNDRMFAST</t>
        </is>
      </c>
      <c r="B287" s="31" t="inlineStr">
        <is>
          <t>Sundram Fasteners Limited</t>
        </is>
      </c>
      <c r="C287" s="31" t="inlineStr">
        <is>
          <t>auto</t>
        </is>
      </c>
      <c r="D287" s="31" t="inlineStr">
        <is>
          <t>auto ancillaries</t>
        </is>
      </c>
      <c r="E287" s="31" t="inlineStr">
        <is>
          <t>largecap</t>
        </is>
      </c>
      <c r="F287" s="31" t="n">
        <v>25824.78</v>
      </c>
      <c r="G287" s="31" t="n">
        <v>1218.2</v>
      </c>
      <c r="H287" s="31" t="n">
        <v>-0.88</v>
      </c>
      <c r="I287" s="31" t="n">
        <v>139225</v>
      </c>
      <c r="J287" s="31" t="inlineStr">
        <is>
          <t>500403</t>
        </is>
      </c>
    </row>
    <row r="288">
      <c r="A288" s="31" t="inlineStr">
        <is>
          <t>SHRIRAMFIN</t>
        </is>
      </c>
      <c r="B288" s="31" t="inlineStr">
        <is>
          <t>Shriram Finance Ltd</t>
        </is>
      </c>
      <c r="C288" s="31" t="inlineStr">
        <is>
          <t>financials</t>
        </is>
      </c>
      <c r="D288" s="31" t="inlineStr">
        <is>
          <t>finance &amp; investments</t>
        </is>
      </c>
      <c r="E288" s="31" t="inlineStr">
        <is>
          <t>largecap</t>
        </is>
      </c>
      <c r="F288" s="31" t="n">
        <v>266420.58</v>
      </c>
      <c r="G288" s="31" t="n">
        <v>1122</v>
      </c>
      <c r="H288" s="31" t="n">
        <v>-0.91</v>
      </c>
      <c r="I288" s="31" t="n">
        <v>4827179</v>
      </c>
      <c r="J288" s="31" t="inlineStr">
        <is>
          <t>511218</t>
        </is>
      </c>
    </row>
    <row r="289">
      <c r="A289" s="31" t="inlineStr">
        <is>
          <t>DICIND</t>
        </is>
      </c>
      <c r="B289" s="31" t="inlineStr">
        <is>
          <t>Dic India Limited</t>
        </is>
      </c>
      <c r="C289" s="31" t="inlineStr">
        <is>
          <t>chemicals</t>
        </is>
      </c>
      <c r="D289" s="31" t="inlineStr">
        <is>
          <t>chemicals</t>
        </is>
      </c>
      <c r="E289" s="31" t="inlineStr">
        <is>
          <t>smallcap</t>
        </is>
      </c>
      <c r="F289" s="31" t="n">
        <v>528.25</v>
      </c>
      <c r="G289" s="31" t="n">
        <v>570.25</v>
      </c>
      <c r="H289" s="31" t="n">
        <v>-0.91</v>
      </c>
      <c r="I289" s="31" t="n">
        <v>30700</v>
      </c>
      <c r="J289" s="31" t="inlineStr">
        <is>
          <t>500089</t>
        </is>
      </c>
    </row>
    <row r="290">
      <c r="A290" s="31" t="inlineStr">
        <is>
          <t>SENORES</t>
        </is>
      </c>
      <c r="B290" s="31" t="inlineStr">
        <is>
          <t>Senores Pharmaceuticals Ltd</t>
        </is>
      </c>
      <c r="C290" s="31" t="inlineStr">
        <is>
          <t>healthcare</t>
        </is>
      </c>
      <c r="D290" s="31" t="inlineStr">
        <is>
          <t>pharmaceuticals - indian - formulations</t>
        </is>
      </c>
      <c r="E290" s="31" t="inlineStr">
        <is>
          <t>midcap</t>
        </is>
      </c>
      <c r="F290" s="31" t="n">
        <v>6868.43</v>
      </c>
      <c r="G290" s="31" t="n">
        <v>1477.7</v>
      </c>
      <c r="H290" s="31" t="n">
        <v>-0.92</v>
      </c>
      <c r="I290" s="31" t="n">
        <v>99389</v>
      </c>
      <c r="J290" s="31" t="inlineStr">
        <is>
          <t>544319</t>
        </is>
      </c>
    </row>
    <row r="291">
      <c r="A291" s="31" t="inlineStr">
        <is>
          <t>COFORGE</t>
        </is>
      </c>
      <c r="B291" s="31" t="inlineStr">
        <is>
          <t>Coforge (Niit Tech) Ltd</t>
        </is>
      </c>
      <c r="C291" s="31" t="inlineStr">
        <is>
          <t>i.t</t>
        </is>
      </c>
      <c r="D291" s="31" t="inlineStr">
        <is>
          <t>computers - software - large</t>
        </is>
      </c>
      <c r="E291" s="31" t="inlineStr">
        <is>
          <t>largecap</t>
        </is>
      </c>
      <c r="F291" s="31" t="n">
        <v>80968.14999999999</v>
      </c>
      <c r="G291" s="31" t="n">
        <v>1812</v>
      </c>
      <c r="H291" s="31" t="n">
        <v>-0.93</v>
      </c>
      <c r="I291" s="31" t="n">
        <v>3122395</v>
      </c>
      <c r="J291" s="31" t="inlineStr">
        <is>
          <t>532541</t>
        </is>
      </c>
    </row>
    <row r="292">
      <c r="A292" s="31" t="inlineStr">
        <is>
          <t>PVRINOX</t>
        </is>
      </c>
      <c r="B292" s="31" t="inlineStr">
        <is>
          <t>PVR Inox Ltd</t>
        </is>
      </c>
      <c r="C292" s="31" t="inlineStr">
        <is>
          <t>media</t>
        </is>
      </c>
      <c r="D292" s="31" t="inlineStr">
        <is>
          <t>entertainment / electronic media software</t>
        </is>
      </c>
      <c r="E292" s="31" t="inlineStr">
        <is>
          <t>midcap</t>
        </is>
      </c>
      <c r="F292" s="31" t="n">
        <v>11549.3</v>
      </c>
      <c r="G292" s="31" t="n">
        <v>1165</v>
      </c>
      <c r="H292" s="31" t="n">
        <v>-0.9399999999999999</v>
      </c>
      <c r="I292" s="31" t="n">
        <v>125565</v>
      </c>
      <c r="J292" s="31" t="inlineStr">
        <is>
          <t>532689</t>
        </is>
      </c>
    </row>
    <row r="293">
      <c r="A293" s="31" t="inlineStr">
        <is>
          <t>POONAWALLA</t>
        </is>
      </c>
      <c r="B293" s="31" t="inlineStr">
        <is>
          <t>Poonawalla Fincorp Ltd</t>
        </is>
      </c>
      <c r="C293" s="31" t="inlineStr">
        <is>
          <t>financials</t>
        </is>
      </c>
      <c r="D293" s="31" t="inlineStr">
        <is>
          <t>finance &amp; investments</t>
        </is>
      </c>
      <c r="E293" s="31" t="inlineStr">
        <is>
          <t>largecap</t>
        </is>
      </c>
      <c r="F293" s="31" t="n">
        <v>44262.67</v>
      </c>
      <c r="G293" s="31" t="n">
        <v>497.9</v>
      </c>
      <c r="H293" s="31" t="n">
        <v>-0.95</v>
      </c>
      <c r="I293" s="31" t="n">
        <v>2731211</v>
      </c>
      <c r="J293" s="31" t="inlineStr">
        <is>
          <t>524000</t>
        </is>
      </c>
    </row>
    <row r="294">
      <c r="A294" s="31" t="inlineStr">
        <is>
          <t>ATHERENERG</t>
        </is>
      </c>
      <c r="B294" s="31" t="inlineStr">
        <is>
          <t>Ather Energy Ltd</t>
        </is>
      </c>
      <c r="C294" s="31" t="inlineStr">
        <is>
          <t>auto</t>
        </is>
      </c>
      <c r="D294" s="31" t="inlineStr">
        <is>
          <t>automobiles - scooters and 3 - wheelers</t>
        </is>
      </c>
      <c r="E294" s="31" t="inlineStr">
        <is>
          <t>largecap</t>
        </is>
      </c>
      <c r="F294" s="31" t="n">
        <v>60163.23</v>
      </c>
      <c r="G294" s="31" t="n">
        <v>1511.5</v>
      </c>
      <c r="H294" s="31" t="n">
        <v>-0.98</v>
      </c>
      <c r="I294" s="31" t="n">
        <v>2250949</v>
      </c>
      <c r="J294" s="31" t="inlineStr">
        <is>
          <t>544397</t>
        </is>
      </c>
    </row>
    <row r="295">
      <c r="A295" s="31" t="inlineStr">
        <is>
          <t>HCG</t>
        </is>
      </c>
      <c r="B295" s="31" t="inlineStr">
        <is>
          <t>Healthcare Global Enterprises Limited</t>
        </is>
      </c>
      <c r="C295" s="31" t="inlineStr">
        <is>
          <t>healthcare</t>
        </is>
      </c>
      <c r="D295" s="31" t="inlineStr">
        <is>
          <t>healthcare</t>
        </is>
      </c>
      <c r="E295" s="31" t="inlineStr">
        <is>
          <t>midcap</t>
        </is>
      </c>
      <c r="F295" s="31" t="n">
        <v>10770.66</v>
      </c>
      <c r="G295" s="31" t="n">
        <v>714.3</v>
      </c>
      <c r="H295" s="31" t="n">
        <v>-0.98</v>
      </c>
      <c r="I295" s="31" t="n">
        <v>86719</v>
      </c>
      <c r="J295" s="31" t="inlineStr">
        <is>
          <t>539787</t>
        </is>
      </c>
    </row>
    <row r="296">
      <c r="A296" s="31" t="inlineStr">
        <is>
          <t>SONACOMS</t>
        </is>
      </c>
      <c r="B296" s="31" t="inlineStr">
        <is>
          <t>Sona BLW Precision Forgings Ltd</t>
        </is>
      </c>
      <c r="C296" s="31" t="inlineStr">
        <is>
          <t>auto</t>
        </is>
      </c>
      <c r="D296" s="31" t="inlineStr">
        <is>
          <t>auto ancillaries</t>
        </is>
      </c>
      <c r="E296" s="31" t="inlineStr">
        <is>
          <t>largecap</t>
        </is>
      </c>
      <c r="F296" s="31" t="n">
        <v>49756.57</v>
      </c>
      <c r="G296" s="31" t="n">
        <v>792</v>
      </c>
      <c r="H296" s="31" t="n">
        <v>-0.99</v>
      </c>
      <c r="I296" s="31" t="n">
        <v>1801686</v>
      </c>
      <c r="J296" s="31" t="inlineStr">
        <is>
          <t>543300</t>
        </is>
      </c>
    </row>
    <row r="297">
      <c r="A297" s="31" t="inlineStr">
        <is>
          <t>KTKBANK</t>
        </is>
      </c>
      <c r="B297" s="31" t="inlineStr">
        <is>
          <t>The Karnataka Bank Limited</t>
        </is>
      </c>
      <c r="C297" s="31" t="inlineStr">
        <is>
          <t>bank</t>
        </is>
      </c>
      <c r="D297" s="31" t="inlineStr">
        <is>
          <t>banks - private sector</t>
        </is>
      </c>
      <c r="E297" s="31" t="inlineStr">
        <is>
          <t>midcap</t>
        </is>
      </c>
      <c r="F297" s="31" t="n">
        <v>11828.31</v>
      </c>
      <c r="G297" s="31" t="n">
        <v>309.65</v>
      </c>
      <c r="H297" s="31" t="n">
        <v>-0.99</v>
      </c>
      <c r="I297" s="31" t="n">
        <v>2960246</v>
      </c>
      <c r="J297" s="31" t="inlineStr">
        <is>
          <t>532652</t>
        </is>
      </c>
    </row>
    <row r="298">
      <c r="A298" s="31" t="inlineStr">
        <is>
          <t>IDFCFIRSTB</t>
        </is>
      </c>
      <c r="B298" s="31" t="inlineStr">
        <is>
          <t>IDFC First Bank Ltd</t>
        </is>
      </c>
      <c r="C298" s="31" t="inlineStr">
        <is>
          <t>bank</t>
        </is>
      </c>
      <c r="D298" s="31" t="inlineStr">
        <is>
          <t>banks - private sector</t>
        </is>
      </c>
      <c r="E298" s="31" t="inlineStr">
        <is>
          <t>largecap</t>
        </is>
      </c>
      <c r="F298" s="31" t="n">
        <v>74560.53999999999</v>
      </c>
      <c r="G298" s="31" t="n">
        <v>85.69</v>
      </c>
      <c r="H298" s="31" t="n">
        <v>-0.99</v>
      </c>
      <c r="I298" s="31" t="n">
        <v>14717164</v>
      </c>
      <c r="J298" s="31" t="inlineStr">
        <is>
          <t>539437</t>
        </is>
      </c>
    </row>
    <row r="299">
      <c r="A299" s="31" t="inlineStr">
        <is>
          <t>UNIPARTS</t>
        </is>
      </c>
      <c r="B299" s="31" t="inlineStr">
        <is>
          <t>Uniparts India Ltd</t>
        </is>
      </c>
      <c r="C299" s="31" t="inlineStr">
        <is>
          <t>industrials</t>
        </is>
      </c>
      <c r="D299" s="31" t="inlineStr">
        <is>
          <t>engineering</t>
        </is>
      </c>
      <c r="E299" s="31" t="inlineStr">
        <is>
          <t>smallcap</t>
        </is>
      </c>
      <c r="F299" s="31" t="n">
        <v>3721.15</v>
      </c>
      <c r="G299" s="31" t="n">
        <v>816</v>
      </c>
      <c r="H299" s="31" t="n">
        <v>-1.01</v>
      </c>
      <c r="I299" s="31" t="n">
        <v>79311</v>
      </c>
      <c r="J299" s="31" t="inlineStr">
        <is>
          <t>543689</t>
        </is>
      </c>
    </row>
    <row r="300">
      <c r="A300" s="31" t="inlineStr">
        <is>
          <t>HEROMOTOCO</t>
        </is>
      </c>
      <c r="B300" s="31" t="inlineStr">
        <is>
          <t>Hero Motocorp Limited</t>
        </is>
      </c>
      <c r="C300" s="31" t="inlineStr">
        <is>
          <t>auto</t>
        </is>
      </c>
      <c r="D300" s="31" t="inlineStr">
        <is>
          <t>automobiles - motorcycles / mopeds</t>
        </is>
      </c>
      <c r="E300" s="31" t="inlineStr">
        <is>
          <t>largecap</t>
        </is>
      </c>
      <c r="F300" s="31" t="n">
        <v>117054.37</v>
      </c>
      <c r="G300" s="31" t="n">
        <v>5790</v>
      </c>
      <c r="H300" s="31" t="n">
        <v>-1.03</v>
      </c>
      <c r="I300" s="31" t="n">
        <v>1009395</v>
      </c>
      <c r="J300" s="31" t="inlineStr">
        <is>
          <t>500182</t>
        </is>
      </c>
    </row>
    <row r="301">
      <c r="A301" s="31" t="inlineStr">
        <is>
          <t>GEECEE</t>
        </is>
      </c>
      <c r="B301" s="31" t="inlineStr">
        <is>
          <t>Geecee Ventures Limited</t>
        </is>
      </c>
      <c r="C301" s="31" t="inlineStr">
        <is>
          <t>financials</t>
        </is>
      </c>
      <c r="D301" s="31" t="inlineStr">
        <is>
          <t>finance &amp; investments</t>
        </is>
      </c>
      <c r="E301" s="31" t="inlineStr">
        <is>
          <t>smallcap</t>
        </is>
      </c>
      <c r="F301" s="31" t="n">
        <v>783.98</v>
      </c>
      <c r="G301" s="31" t="n">
        <v>371.05</v>
      </c>
      <c r="H301" s="31" t="n">
        <v>-1.03</v>
      </c>
      <c r="I301" s="31" t="n">
        <v>1093</v>
      </c>
      <c r="J301" s="31" t="inlineStr">
        <is>
          <t>532764</t>
        </is>
      </c>
    </row>
    <row r="302">
      <c r="A302" s="31" t="inlineStr">
        <is>
          <t>NAUKRI</t>
        </is>
      </c>
      <c r="B302" s="31" t="inlineStr">
        <is>
          <t>Info Edge (india) Limited</t>
        </is>
      </c>
      <c r="C302" s="31" t="inlineStr">
        <is>
          <t>i.t</t>
        </is>
      </c>
      <c r="D302" s="31" t="inlineStr">
        <is>
          <t>miscellaneous</t>
        </is>
      </c>
      <c r="E302" s="31" t="inlineStr">
        <is>
          <t>largecap</t>
        </is>
      </c>
      <c r="F302" s="31" t="n">
        <v>88010.13</v>
      </c>
      <c r="G302" s="31" t="n">
        <v>1343</v>
      </c>
      <c r="H302" s="31" t="n">
        <v>-1.05</v>
      </c>
      <c r="I302" s="31" t="n">
        <v>2064068</v>
      </c>
      <c r="J302" s="31" t="inlineStr">
        <is>
          <t>532777</t>
        </is>
      </c>
    </row>
    <row r="303">
      <c r="A303" s="31" t="inlineStr">
        <is>
          <t>EPL</t>
        </is>
      </c>
      <c r="B303" s="31" t="inlineStr">
        <is>
          <t>EPL Ltd</t>
        </is>
      </c>
      <c r="C303" s="31" t="inlineStr">
        <is>
          <t>industrials</t>
        </is>
      </c>
      <c r="D303" s="31" t="inlineStr">
        <is>
          <t>packaging</t>
        </is>
      </c>
      <c r="E303" s="31" t="inlineStr">
        <is>
          <t>midcap</t>
        </is>
      </c>
      <c r="F303" s="31" t="n">
        <v>7918.59</v>
      </c>
      <c r="G303" s="31" t="n">
        <v>244.6</v>
      </c>
      <c r="H303" s="31" t="n">
        <v>-1.07</v>
      </c>
      <c r="I303" s="31" t="n">
        <v>1971775</v>
      </c>
      <c r="J303" s="31" t="inlineStr">
        <is>
          <t>500135</t>
        </is>
      </c>
    </row>
    <row r="304">
      <c r="A304" s="31" t="inlineStr">
        <is>
          <t>UFLEX</t>
        </is>
      </c>
      <c r="B304" s="31" t="inlineStr">
        <is>
          <t>Uflex Limited</t>
        </is>
      </c>
      <c r="C304" s="31" t="inlineStr">
        <is>
          <t>industrials</t>
        </is>
      </c>
      <c r="D304" s="31" t="inlineStr">
        <is>
          <t>packaging</t>
        </is>
      </c>
      <c r="E304" s="31" t="inlineStr">
        <is>
          <t>smallcap</t>
        </is>
      </c>
      <c r="F304" s="31" t="n">
        <v>3565.8</v>
      </c>
      <c r="G304" s="31" t="n">
        <v>488.4</v>
      </c>
      <c r="H304" s="31" t="n">
        <v>-1.09</v>
      </c>
      <c r="I304" s="31" t="n">
        <v>150907</v>
      </c>
      <c r="J304" s="31" t="inlineStr">
        <is>
          <t>500148</t>
        </is>
      </c>
    </row>
    <row r="305">
      <c r="A305" s="31" t="inlineStr">
        <is>
          <t>FILATEX</t>
        </is>
      </c>
      <c r="B305" s="31" t="inlineStr">
        <is>
          <t>Filatex India Limited</t>
        </is>
      </c>
      <c r="C305" s="31" t="inlineStr">
        <is>
          <t>textiles</t>
        </is>
      </c>
      <c r="D305" s="31" t="inlineStr">
        <is>
          <t>textiles - manmade</t>
        </is>
      </c>
      <c r="E305" s="31" t="inlineStr">
        <is>
          <t>smallcap</t>
        </is>
      </c>
      <c r="F305" s="31" t="n">
        <v>3654.16</v>
      </c>
      <c r="G305" s="31" t="n">
        <v>81.39</v>
      </c>
      <c r="H305" s="31" t="n">
        <v>-1.09</v>
      </c>
      <c r="I305" s="31" t="n">
        <v>1407164</v>
      </c>
      <c r="J305" s="31" t="inlineStr">
        <is>
          <t>526227</t>
        </is>
      </c>
    </row>
    <row r="306">
      <c r="A306" s="31" t="inlineStr">
        <is>
          <t>KANORICHEM</t>
        </is>
      </c>
      <c r="B306" s="31" t="inlineStr">
        <is>
          <t>Kanoria Chemicals &amp; Industries Limited</t>
        </is>
      </c>
      <c r="C306" s="31" t="inlineStr">
        <is>
          <t>chemicals</t>
        </is>
      </c>
      <c r="D306" s="31" t="inlineStr">
        <is>
          <t>chemicals</t>
        </is>
      </c>
      <c r="E306" s="31" t="inlineStr">
        <is>
          <t>smallcap</t>
        </is>
      </c>
      <c r="F306" s="31" t="n">
        <v>680.09</v>
      </c>
      <c r="G306" s="31" t="n">
        <v>153.95</v>
      </c>
      <c r="H306" s="31" t="n">
        <v>-1.09</v>
      </c>
      <c r="I306" s="31" t="n">
        <v>24924</v>
      </c>
      <c r="J306" s="31" t="inlineStr">
        <is>
          <t>506525</t>
        </is>
      </c>
    </row>
    <row r="307">
      <c r="A307" s="31" t="inlineStr">
        <is>
          <t>INNOVACAP</t>
        </is>
      </c>
      <c r="B307" s="31" t="inlineStr">
        <is>
          <t>Innova Captab Ltd</t>
        </is>
      </c>
      <c r="C307" s="31" t="inlineStr">
        <is>
          <t>healthcare</t>
        </is>
      </c>
      <c r="D307" s="31" t="inlineStr">
        <is>
          <t>pharmaceuticals - indian - bulk drugs &amp; formln</t>
        </is>
      </c>
      <c r="E307" s="31" t="inlineStr">
        <is>
          <t>midcap</t>
        </is>
      </c>
      <c r="F307" s="31" t="n">
        <v>5994.31</v>
      </c>
      <c r="G307" s="31" t="n">
        <v>1036.05</v>
      </c>
      <c r="H307" s="31" t="n">
        <v>-1.09</v>
      </c>
      <c r="I307" s="31" t="n">
        <v>54909</v>
      </c>
      <c r="J307" s="31" t="inlineStr">
        <is>
          <t>544067</t>
        </is>
      </c>
    </row>
    <row r="308">
      <c r="A308" s="31" t="inlineStr">
        <is>
          <t>ROLEXRINGS</t>
        </is>
      </c>
      <c r="B308" s="31" t="inlineStr">
        <is>
          <t>Rolex Rings Ltd</t>
        </is>
      </c>
      <c r="C308" s="31" t="inlineStr">
        <is>
          <t>auto</t>
        </is>
      </c>
      <c r="D308" s="31" t="inlineStr">
        <is>
          <t>auto ancillaries</t>
        </is>
      </c>
      <c r="E308" s="31" t="inlineStr">
        <is>
          <t>smallcap</t>
        </is>
      </c>
      <c r="F308" s="31" t="n">
        <v>4854.61</v>
      </c>
      <c r="G308" s="31" t="n">
        <v>176.3</v>
      </c>
      <c r="H308" s="31" t="n">
        <v>-1.1</v>
      </c>
      <c r="I308" s="31" t="n">
        <v>4236117</v>
      </c>
      <c r="J308" s="31" t="inlineStr">
        <is>
          <t>543325</t>
        </is>
      </c>
    </row>
    <row r="309">
      <c r="A309" s="31" t="inlineStr">
        <is>
          <t>ANANDRATHI</t>
        </is>
      </c>
      <c r="B309" s="31" t="inlineStr">
        <is>
          <t>Anand Rathi Wealth Ltd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largecap</t>
        </is>
      </c>
      <c r="F309" s="31" t="n">
        <v>36509.15</v>
      </c>
      <c r="G309" s="31" t="n">
        <v>2174.7</v>
      </c>
      <c r="H309" s="31" t="n">
        <v>-1.1</v>
      </c>
      <c r="I309" s="31" t="n">
        <v>150902</v>
      </c>
      <c r="J309" s="31" t="inlineStr">
        <is>
          <t>543415</t>
        </is>
      </c>
    </row>
    <row r="310">
      <c r="A310" s="31" t="inlineStr">
        <is>
          <t>KPIL</t>
        </is>
      </c>
      <c r="B310" s="31" t="inlineStr">
        <is>
          <t>Kalpataru Projects International Ltd</t>
        </is>
      </c>
      <c r="C310" s="31" t="inlineStr">
        <is>
          <t>realty</t>
        </is>
      </c>
      <c r="D310" s="31" t="inlineStr">
        <is>
          <t>transmisson line towers / equipment</t>
        </is>
      </c>
      <c r="E310" s="31" t="inlineStr">
        <is>
          <t>largecap</t>
        </is>
      </c>
      <c r="F310" s="31" t="n">
        <v>23312.16</v>
      </c>
      <c r="G310" s="31" t="n">
        <v>1350</v>
      </c>
      <c r="H310" s="31" t="n">
        <v>-1.11</v>
      </c>
      <c r="I310" s="31" t="n">
        <v>319973</v>
      </c>
      <c r="J310" s="31" t="inlineStr">
        <is>
          <t>522287</t>
        </is>
      </c>
    </row>
    <row r="311">
      <c r="A311" s="31" t="inlineStr">
        <is>
          <t>JGCHEM</t>
        </is>
      </c>
      <c r="B311" s="31" t="inlineStr">
        <is>
          <t>J.G.Chemicals Ltd</t>
        </is>
      </c>
      <c r="C311" s="31" t="inlineStr">
        <is>
          <t>chemicals</t>
        </is>
      </c>
      <c r="D311" s="31" t="inlineStr">
        <is>
          <t>chemicals</t>
        </is>
      </c>
      <c r="E311" s="31" t="inlineStr">
        <is>
          <t>smallcap</t>
        </is>
      </c>
      <c r="F311" s="31" t="n">
        <v>2402.11</v>
      </c>
      <c r="G311" s="31" t="n">
        <v>606.15</v>
      </c>
      <c r="H311" s="31" t="n">
        <v>-1.12</v>
      </c>
      <c r="I311" s="31" t="n">
        <v>310507</v>
      </c>
      <c r="J311" s="31" t="n"/>
    </row>
    <row r="312">
      <c r="A312" s="31" t="inlineStr">
        <is>
          <t>DYCL</t>
        </is>
      </c>
      <c r="B312" s="31" t="inlineStr">
        <is>
          <t>Dynamic Cables Ltd</t>
        </is>
      </c>
      <c r="C312" s="31" t="inlineStr">
        <is>
          <t>industrials</t>
        </is>
      </c>
      <c r="D312" s="31" t="inlineStr">
        <is>
          <t>cables - power</t>
        </is>
      </c>
      <c r="E312" s="31" t="inlineStr">
        <is>
          <t>smallcap</t>
        </is>
      </c>
      <c r="F312" s="31" t="n">
        <v>2206.56</v>
      </c>
      <c r="G312" s="31" t="n">
        <v>450.2</v>
      </c>
      <c r="H312" s="31" t="n">
        <v>-1.13</v>
      </c>
      <c r="I312" s="31" t="n">
        <v>614949</v>
      </c>
      <c r="J312" s="31" t="inlineStr">
        <is>
          <t>540795</t>
        </is>
      </c>
    </row>
    <row r="313">
      <c r="A313" s="31" t="inlineStr">
        <is>
          <t>ARVSMART</t>
        </is>
      </c>
      <c r="B313" s="31" t="inlineStr">
        <is>
          <t>Arvind Smartspaces Limited</t>
        </is>
      </c>
      <c r="C313" s="31" t="inlineStr">
        <is>
          <t>realty</t>
        </is>
      </c>
      <c r="D313" s="31" t="inlineStr">
        <is>
          <t>construction</t>
        </is>
      </c>
      <c r="E313" s="31" t="inlineStr">
        <is>
          <t>smallcap</t>
        </is>
      </c>
      <c r="F313" s="31" t="n">
        <v>3041.67</v>
      </c>
      <c r="G313" s="31" t="n">
        <v>655.6</v>
      </c>
      <c r="H313" s="31" t="n">
        <v>-1.14</v>
      </c>
      <c r="I313" s="31" t="n">
        <v>72163</v>
      </c>
      <c r="J313" s="31" t="inlineStr">
        <is>
          <t>539301</t>
        </is>
      </c>
    </row>
    <row r="314">
      <c r="A314" s="31" t="inlineStr">
        <is>
          <t>ARTEMISMED</t>
        </is>
      </c>
      <c r="B314" s="31" t="inlineStr">
        <is>
          <t>Artemis Medicare Services Ltd</t>
        </is>
      </c>
      <c r="C314" s="31" t="inlineStr">
        <is>
          <t>healthcare</t>
        </is>
      </c>
      <c r="D314" s="31" t="inlineStr">
        <is>
          <t>healthcare</t>
        </is>
      </c>
      <c r="E314" s="31" t="inlineStr">
        <is>
          <t>midcap</t>
        </is>
      </c>
      <c r="F314" s="31" t="n">
        <v>5031.76</v>
      </c>
      <c r="G314" s="31" t="n">
        <v>314.2</v>
      </c>
      <c r="H314" s="31" t="n">
        <v>-1.15</v>
      </c>
      <c r="I314" s="31" t="n">
        <v>165255</v>
      </c>
      <c r="J314" s="31" t="inlineStr">
        <is>
          <t>542919</t>
        </is>
      </c>
    </row>
    <row r="315">
      <c r="A315" s="31" t="inlineStr">
        <is>
          <t>DALMIASUG</t>
        </is>
      </c>
      <c r="B315" s="31" t="inlineStr">
        <is>
          <t>Dalmia Bharat Sugar And Industries Limited</t>
        </is>
      </c>
      <c r="C315" s="31" t="inlineStr">
        <is>
          <t>fmcg</t>
        </is>
      </c>
      <c r="D315" s="31" t="inlineStr">
        <is>
          <t>sugar</t>
        </is>
      </c>
      <c r="E315" s="31" t="inlineStr">
        <is>
          <t>smallcap</t>
        </is>
      </c>
      <c r="F315" s="31" t="n">
        <v>3458.94</v>
      </c>
      <c r="G315" s="31" t="n">
        <v>422.4</v>
      </c>
      <c r="H315" s="31" t="n">
        <v>-1.16</v>
      </c>
      <c r="I315" s="31" t="n">
        <v>434147</v>
      </c>
      <c r="J315" s="31" t="inlineStr">
        <is>
          <t>500097</t>
        </is>
      </c>
    </row>
    <row r="316">
      <c r="A316" s="31" t="inlineStr">
        <is>
          <t>SIEMENS</t>
        </is>
      </c>
      <c r="B316" s="31" t="inlineStr">
        <is>
          <t>Siemens Limited</t>
        </is>
      </c>
      <c r="C316" s="31" t="inlineStr">
        <is>
          <t>industrials</t>
        </is>
      </c>
      <c r="D316" s="31" t="inlineStr">
        <is>
          <t>electric equipment</t>
        </is>
      </c>
      <c r="E316" s="31" t="inlineStr">
        <is>
          <t>largecap</t>
        </is>
      </c>
      <c r="F316" s="31" t="n">
        <v>141985.25</v>
      </c>
      <c r="G316" s="31" t="n">
        <v>3940</v>
      </c>
      <c r="H316" s="31" t="n">
        <v>-1.18</v>
      </c>
      <c r="I316" s="31" t="n">
        <v>597471</v>
      </c>
      <c r="J316" s="31" t="inlineStr">
        <is>
          <t>500550</t>
        </is>
      </c>
    </row>
    <row r="317">
      <c r="A317" s="31" t="inlineStr">
        <is>
          <t>EMIL</t>
        </is>
      </c>
      <c r="B317" s="31" t="inlineStr">
        <is>
          <t>Electronics Mart India Ltd</t>
        </is>
      </c>
      <c r="C317" s="31" t="inlineStr">
        <is>
          <t>consumer discretionary</t>
        </is>
      </c>
      <c r="D317" s="31" t="inlineStr">
        <is>
          <t>trading</t>
        </is>
      </c>
      <c r="E317" s="31" t="inlineStr">
        <is>
          <t>midcap</t>
        </is>
      </c>
      <c r="F317" s="31" t="n">
        <v>7378.71</v>
      </c>
      <c r="G317" s="31" t="n">
        <v>189.44</v>
      </c>
      <c r="H317" s="31" t="n">
        <v>-1.22</v>
      </c>
      <c r="I317" s="31" t="n">
        <v>3872427</v>
      </c>
      <c r="J317" s="31" t="inlineStr">
        <is>
          <t>543626</t>
        </is>
      </c>
    </row>
    <row r="318">
      <c r="A318" s="31" t="inlineStr">
        <is>
          <t>GOKULAGRO</t>
        </is>
      </c>
      <c r="B318" s="31" t="inlineStr">
        <is>
          <t>Gokul Agro Resources Limited</t>
        </is>
      </c>
      <c r="C318" s="31" t="inlineStr">
        <is>
          <t>fmcg</t>
        </is>
      </c>
      <c r="D318" s="31" t="inlineStr">
        <is>
          <t>solvent extraction</t>
        </is>
      </c>
      <c r="E318" s="31" t="inlineStr">
        <is>
          <t>midcap</t>
        </is>
      </c>
      <c r="F318" s="31" t="n">
        <v>6944.57</v>
      </c>
      <c r="G318" s="31" t="n">
        <v>232.44</v>
      </c>
      <c r="H318" s="31" t="n">
        <v>-1.23</v>
      </c>
      <c r="I318" s="31" t="n">
        <v>241265</v>
      </c>
      <c r="J318" s="31" t="inlineStr">
        <is>
          <t>539725</t>
        </is>
      </c>
    </row>
    <row r="319">
      <c r="A319" s="31" t="inlineStr">
        <is>
          <t>SHAILY</t>
        </is>
      </c>
      <c r="B319" s="31" t="inlineStr">
        <is>
          <t>Shaily Engineering Plastics Ltd</t>
        </is>
      </c>
      <c r="C319" s="31" t="inlineStr">
        <is>
          <t>plastic products</t>
        </is>
      </c>
      <c r="D319" s="31" t="inlineStr">
        <is>
          <t>plastics products</t>
        </is>
      </c>
      <c r="E319" s="31" t="inlineStr">
        <is>
          <t>midcap</t>
        </is>
      </c>
      <c r="F319" s="31" t="n">
        <v>15670.12</v>
      </c>
      <c r="G319" s="31" t="n">
        <v>3365</v>
      </c>
      <c r="H319" s="31" t="n">
        <v>-1.23</v>
      </c>
      <c r="I319" s="31" t="n">
        <v>62751</v>
      </c>
      <c r="J319" s="31" t="inlineStr">
        <is>
          <t>501423</t>
        </is>
      </c>
    </row>
    <row r="320">
      <c r="A320" s="31" t="inlineStr">
        <is>
          <t>PNBHOUSING</t>
        </is>
      </c>
      <c r="B320" s="31" t="inlineStr">
        <is>
          <t>Pnb Housing Finance Limited</t>
        </is>
      </c>
      <c r="C320" s="31" t="inlineStr">
        <is>
          <t>financials</t>
        </is>
      </c>
      <c r="D320" s="31" t="inlineStr">
        <is>
          <t>finance - housing</t>
        </is>
      </c>
      <c r="E320" s="31" t="inlineStr">
        <is>
          <t>largecap</t>
        </is>
      </c>
      <c r="F320" s="31" t="n">
        <v>30353.51</v>
      </c>
      <c r="G320" s="31" t="n">
        <v>1150.5</v>
      </c>
      <c r="H320" s="31" t="n">
        <v>-1.23</v>
      </c>
      <c r="I320" s="31" t="n">
        <v>413619</v>
      </c>
      <c r="J320" s="31" t="inlineStr">
        <is>
          <t>540173</t>
        </is>
      </c>
    </row>
    <row r="321">
      <c r="A321" s="31" t="inlineStr">
        <is>
          <t>GULFOILLUB</t>
        </is>
      </c>
      <c r="B321" s="31" t="inlineStr">
        <is>
          <t>Gulf Oil Lubricants India Limited</t>
        </is>
      </c>
      <c r="C321" s="31" t="inlineStr">
        <is>
          <t>chemicals</t>
        </is>
      </c>
      <c r="D321" s="31" t="inlineStr">
        <is>
          <t>chemicals</t>
        </is>
      </c>
      <c r="E321" s="31" t="inlineStr">
        <is>
          <t>midcap</t>
        </is>
      </c>
      <c r="F321" s="31" t="n">
        <v>5826.64</v>
      </c>
      <c r="G321" s="31" t="n">
        <v>1162.1</v>
      </c>
      <c r="H321" s="31" t="n">
        <v>-1.24</v>
      </c>
      <c r="I321" s="31" t="n">
        <v>49652</v>
      </c>
      <c r="J321" s="31" t="inlineStr">
        <is>
          <t>538567</t>
        </is>
      </c>
    </row>
    <row r="322">
      <c r="A322" s="31" t="inlineStr">
        <is>
          <t>CRAFTSMAN</t>
        </is>
      </c>
      <c r="B322" s="31" t="inlineStr">
        <is>
          <t>Craftsman Automation Ltd</t>
        </is>
      </c>
      <c r="C322" s="31" t="inlineStr">
        <is>
          <t>auto</t>
        </is>
      </c>
      <c r="D322" s="31" t="inlineStr">
        <is>
          <t>auto ancillaries</t>
        </is>
      </c>
      <c r="E322" s="31" t="inlineStr">
        <is>
          <t>largecap</t>
        </is>
      </c>
      <c r="F322" s="31" t="n">
        <v>27148.3</v>
      </c>
      <c r="G322" s="31" t="n">
        <v>10251</v>
      </c>
      <c r="H322" s="31" t="n">
        <v>-1.24</v>
      </c>
      <c r="I322" s="31" t="n">
        <v>16672</v>
      </c>
      <c r="J322" s="31" t="inlineStr">
        <is>
          <t>543276</t>
        </is>
      </c>
    </row>
    <row r="323">
      <c r="A323" s="31" t="inlineStr">
        <is>
          <t>CONCOR</t>
        </is>
      </c>
      <c r="B323" s="31" t="inlineStr">
        <is>
          <t>Container Corporation Of India Limited</t>
        </is>
      </c>
      <c r="C323" s="31" t="inlineStr">
        <is>
          <t>transportation</t>
        </is>
      </c>
      <c r="D323" s="31" t="inlineStr">
        <is>
          <t>miscellaneous</t>
        </is>
      </c>
      <c r="E323" s="31" t="inlineStr">
        <is>
          <t>largecap</t>
        </is>
      </c>
      <c r="F323" s="31" t="n">
        <v>40643.74</v>
      </c>
      <c r="G323" s="31" t="n">
        <v>527</v>
      </c>
      <c r="H323" s="31" t="n">
        <v>-1.25</v>
      </c>
      <c r="I323" s="31" t="n">
        <v>5246472</v>
      </c>
      <c r="J323" s="31" t="inlineStr">
        <is>
          <t>531344</t>
        </is>
      </c>
    </row>
    <row r="324">
      <c r="A324" s="31" t="inlineStr">
        <is>
          <t>ORIENTBELL</t>
        </is>
      </c>
      <c r="B324" s="31" t="inlineStr">
        <is>
          <t>Orient Bell Limited</t>
        </is>
      </c>
      <c r="C324" s="31" t="inlineStr">
        <is>
          <t>building materials</t>
        </is>
      </c>
      <c r="D324" s="31" t="inlineStr">
        <is>
          <t>ceramics - tiles / sanitaryware</t>
        </is>
      </c>
      <c r="E324" s="31" t="inlineStr">
        <is>
          <t>smallcap</t>
        </is>
      </c>
      <c r="F324" s="31" t="n">
        <v>525.61</v>
      </c>
      <c r="G324" s="31" t="n">
        <v>352.45</v>
      </c>
      <c r="H324" s="31" t="n">
        <v>-1.36</v>
      </c>
      <c r="I324" s="31" t="n">
        <v>11501</v>
      </c>
      <c r="J324" s="31" t="inlineStr">
        <is>
          <t>530365</t>
        </is>
      </c>
    </row>
    <row r="325">
      <c r="A325" s="31" t="inlineStr">
        <is>
          <t>BASF</t>
        </is>
      </c>
      <c r="B325" s="31" t="inlineStr">
        <is>
          <t>Basf India Limited</t>
        </is>
      </c>
      <c r="C325" s="31" t="inlineStr">
        <is>
          <t>chemicals</t>
        </is>
      </c>
      <c r="D325" s="31" t="inlineStr">
        <is>
          <t>chemicals</t>
        </is>
      </c>
      <c r="E325" s="31" t="inlineStr">
        <is>
          <t>midcap</t>
        </is>
      </c>
      <c r="F325" s="31" t="n">
        <v>17895.15</v>
      </c>
      <c r="G325" s="31" t="n">
        <v>4077.9</v>
      </c>
      <c r="H325" s="31" t="n">
        <v>-1.36</v>
      </c>
      <c r="I325" s="31" t="n">
        <v>25091</v>
      </c>
      <c r="J325" s="31" t="inlineStr">
        <is>
          <t>500042</t>
        </is>
      </c>
    </row>
    <row r="326">
      <c r="A326" s="31" t="inlineStr">
        <is>
          <t>GRAVITA</t>
        </is>
      </c>
      <c r="B326" s="31" t="inlineStr">
        <is>
          <t>Gravita India Limited</t>
        </is>
      </c>
      <c r="C326" s="31" t="inlineStr">
        <is>
          <t>metals &amp; mining</t>
        </is>
      </c>
      <c r="D326" s="31" t="inlineStr">
        <is>
          <t>mining / minerals / metals</t>
        </is>
      </c>
      <c r="E326" s="31" t="inlineStr">
        <is>
          <t>midcap</t>
        </is>
      </c>
      <c r="F326" s="31" t="n">
        <v>13430.92</v>
      </c>
      <c r="G326" s="31" t="n">
        <v>1794.3</v>
      </c>
      <c r="H326" s="31" t="n">
        <v>-1.4</v>
      </c>
      <c r="I326" s="31" t="n">
        <v>111630</v>
      </c>
      <c r="J326" s="31" t="inlineStr">
        <is>
          <t>533282</t>
        </is>
      </c>
    </row>
    <row r="327">
      <c r="A327" s="31" t="inlineStr">
        <is>
          <t>SBIN</t>
        </is>
      </c>
      <c r="B327" s="31" t="inlineStr">
        <is>
          <t>State Bank Of India Ltd</t>
        </is>
      </c>
      <c r="C327" s="31" t="inlineStr">
        <is>
          <t>bank</t>
        </is>
      </c>
      <c r="D327" s="31" t="inlineStr">
        <is>
          <t>banks - public sector</t>
        </is>
      </c>
      <c r="E327" s="31" t="inlineStr">
        <is>
          <t>largecap</t>
        </is>
      </c>
      <c r="F327" s="31" t="n">
        <v>999675.88</v>
      </c>
      <c r="G327" s="31" t="n">
        <v>1067.7</v>
      </c>
      <c r="H327" s="31" t="n">
        <v>-1.41</v>
      </c>
      <c r="I327" s="31" t="n">
        <v>12339929</v>
      </c>
      <c r="J327" s="31" t="inlineStr">
        <is>
          <t>500112</t>
        </is>
      </c>
    </row>
    <row r="328">
      <c r="A328" s="31" t="inlineStr">
        <is>
          <t>SICALLOG</t>
        </is>
      </c>
      <c r="B328" s="31" t="inlineStr">
        <is>
          <t>Sical Logistics Ltd</t>
        </is>
      </c>
      <c r="C328" s="31" t="inlineStr">
        <is>
          <t>transportation</t>
        </is>
      </c>
      <c r="D328" s="31" t="inlineStr">
        <is>
          <t>miscellaneous</t>
        </is>
      </c>
      <c r="E328" s="31" t="inlineStr">
        <is>
          <t>smallcap</t>
        </is>
      </c>
      <c r="F328" s="31" t="n">
        <v>936.67</v>
      </c>
      <c r="G328" s="31" t="n">
        <v>115.73</v>
      </c>
      <c r="H328" s="31" t="n">
        <v>-1.42</v>
      </c>
      <c r="I328" s="31" t="n">
        <v>47020</v>
      </c>
      <c r="J328" s="31" t="inlineStr">
        <is>
          <t>520086</t>
        </is>
      </c>
    </row>
    <row r="329">
      <c r="A329" s="31" t="inlineStr">
        <is>
          <t>AUBANK</t>
        </is>
      </c>
      <c r="B329" s="31" t="inlineStr">
        <is>
          <t>AU Small Finance Bank Ltd</t>
        </is>
      </c>
      <c r="C329" s="31" t="inlineStr">
        <is>
          <t>bank</t>
        </is>
      </c>
      <c r="D329" s="31" t="inlineStr">
        <is>
          <t>banks - private sector</t>
        </is>
      </c>
      <c r="E329" s="31" t="inlineStr">
        <is>
          <t>largecap</t>
        </is>
      </c>
      <c r="F329" s="31" t="n">
        <v>82237.12</v>
      </c>
      <c r="G329" s="31" t="n">
        <v>1081.9</v>
      </c>
      <c r="H329" s="31" t="n">
        <v>-1.47</v>
      </c>
      <c r="I329" s="31" t="n">
        <v>2008972</v>
      </c>
      <c r="J329" s="31" t="inlineStr">
        <is>
          <t>540611</t>
        </is>
      </c>
    </row>
    <row r="330">
      <c r="A330" s="31" t="inlineStr">
        <is>
          <t>POLYMED</t>
        </is>
      </c>
      <c r="B330" s="31" t="inlineStr">
        <is>
          <t>Poly Medicure Limited</t>
        </is>
      </c>
      <c r="C330" s="31" t="inlineStr">
        <is>
          <t>healthcare</t>
        </is>
      </c>
      <c r="D330" s="31" t="inlineStr">
        <is>
          <t>healthcare</t>
        </is>
      </c>
      <c r="E330" s="31" t="inlineStr">
        <is>
          <t>midcap</t>
        </is>
      </c>
      <c r="F330" s="31" t="n">
        <v>18374.45</v>
      </c>
      <c r="G330" s="31" t="n">
        <v>1786.2</v>
      </c>
      <c r="H330" s="31" t="n">
        <v>-1.47</v>
      </c>
      <c r="I330" s="31" t="n">
        <v>139114</v>
      </c>
      <c r="J330" s="31" t="inlineStr">
        <is>
          <t>531768</t>
        </is>
      </c>
    </row>
    <row r="331">
      <c r="A331" s="31" t="inlineStr">
        <is>
          <t>CHENNPETRO</t>
        </is>
      </c>
      <c r="B331" s="31" t="inlineStr">
        <is>
          <t>Chennai Petroleum Corporation Limited</t>
        </is>
      </c>
      <c r="C331" s="31" t="inlineStr">
        <is>
          <t>energy</t>
        </is>
      </c>
      <c r="D331" s="31" t="inlineStr">
        <is>
          <t>refineries</t>
        </is>
      </c>
      <c r="E331" s="31" t="inlineStr">
        <is>
          <t>midcap</t>
        </is>
      </c>
      <c r="F331" s="31" t="n">
        <v>19980.93</v>
      </c>
      <c r="G331" s="31" t="n">
        <v>1321.9</v>
      </c>
      <c r="H331" s="31" t="n">
        <v>-1.48</v>
      </c>
      <c r="I331" s="31" t="n">
        <v>755166</v>
      </c>
      <c r="J331" s="31" t="inlineStr">
        <is>
          <t>500110</t>
        </is>
      </c>
    </row>
    <row r="332">
      <c r="A332" s="31" t="inlineStr">
        <is>
          <t>PIXTRANS</t>
        </is>
      </c>
      <c r="B332" s="31" t="inlineStr">
        <is>
          <t>Pix Transmission Ltd</t>
        </is>
      </c>
      <c r="C332" s="31" t="inlineStr">
        <is>
          <t>fmcg</t>
        </is>
      </c>
      <c r="D332" s="31" t="inlineStr">
        <is>
          <t>miscellaneous</t>
        </is>
      </c>
      <c r="E332" s="31" t="inlineStr">
        <is>
          <t>smallcap</t>
        </is>
      </c>
      <c r="F332" s="31" t="n">
        <v>2623.67</v>
      </c>
      <c r="G332" s="31" t="n">
        <v>1896.8</v>
      </c>
      <c r="H332" s="31" t="n">
        <v>-1.5</v>
      </c>
      <c r="I332" s="31" t="n">
        <v>30344</v>
      </c>
      <c r="J332" s="31" t="inlineStr">
        <is>
          <t>500333</t>
        </is>
      </c>
    </row>
    <row r="333">
      <c r="A333" s="31" t="inlineStr">
        <is>
          <t>MOLDTECH</t>
        </is>
      </c>
      <c r="B333" s="31" t="inlineStr">
        <is>
          <t>Mold-tek Technologies Limited</t>
        </is>
      </c>
      <c r="C333" s="31" t="inlineStr">
        <is>
          <t>realty</t>
        </is>
      </c>
      <c r="D333" s="31" t="inlineStr">
        <is>
          <t>engineering - turnkey services</t>
        </is>
      </c>
      <c r="E333" s="31" t="inlineStr">
        <is>
          <t>smallcap</t>
        </is>
      </c>
      <c r="F333" s="31" t="n">
        <v>542.75</v>
      </c>
      <c r="G333" s="31" t="n">
        <v>185.54</v>
      </c>
      <c r="H333" s="31" t="n">
        <v>-1.53</v>
      </c>
      <c r="I333" s="31" t="n">
        <v>38979</v>
      </c>
      <c r="J333" s="31" t="inlineStr">
        <is>
          <t>526263</t>
        </is>
      </c>
    </row>
    <row r="334">
      <c r="A334" s="31" t="inlineStr">
        <is>
          <t>KEI</t>
        </is>
      </c>
      <c r="B334" s="31" t="inlineStr">
        <is>
          <t>Kei Industries Limited</t>
        </is>
      </c>
      <c r="C334" s="31" t="inlineStr">
        <is>
          <t>industrials</t>
        </is>
      </c>
      <c r="D334" s="31" t="inlineStr">
        <is>
          <t>cables - power</t>
        </is>
      </c>
      <c r="E334" s="31" t="inlineStr">
        <is>
          <t>largecap</t>
        </is>
      </c>
      <c r="F334" s="31" t="n">
        <v>55343.18</v>
      </c>
      <c r="G334" s="31" t="n">
        <v>5700</v>
      </c>
      <c r="H334" s="31" t="n">
        <v>-1.54</v>
      </c>
      <c r="I334" s="31" t="n">
        <v>375595</v>
      </c>
      <c r="J334" s="31" t="inlineStr">
        <is>
          <t>517569</t>
        </is>
      </c>
    </row>
    <row r="335">
      <c r="A335" s="31" t="inlineStr">
        <is>
          <t>SANGHVIMOV</t>
        </is>
      </c>
      <c r="B335" s="31" t="inlineStr">
        <is>
          <t>Sanghvi Movers Limited</t>
        </is>
      </c>
      <c r="C335" s="31" t="inlineStr">
        <is>
          <t>miscellaneous</t>
        </is>
      </c>
      <c r="D335" s="31" t="inlineStr">
        <is>
          <t>miscellaneous</t>
        </is>
      </c>
      <c r="E335" s="31" t="inlineStr">
        <is>
          <t>smallcap</t>
        </is>
      </c>
      <c r="F335" s="31" t="n">
        <v>4300.23</v>
      </c>
      <c r="G335" s="31" t="n">
        <v>489.05</v>
      </c>
      <c r="H335" s="31" t="n">
        <v>-1.54</v>
      </c>
      <c r="I335" s="31" t="n">
        <v>200600</v>
      </c>
      <c r="J335" s="31" t="inlineStr">
        <is>
          <t>530073</t>
        </is>
      </c>
    </row>
    <row r="336">
      <c r="A336" s="31" t="inlineStr">
        <is>
          <t>YASHO</t>
        </is>
      </c>
      <c r="B336" s="31" t="inlineStr">
        <is>
          <t>Yasho Industries Ltd</t>
        </is>
      </c>
      <c r="C336" s="31" t="inlineStr">
        <is>
          <t>chemicals</t>
        </is>
      </c>
      <c r="D336" s="31" t="inlineStr">
        <is>
          <t>chemicals</t>
        </is>
      </c>
      <c r="E336" s="31" t="inlineStr">
        <is>
          <t>midcap</t>
        </is>
      </c>
      <c r="F336" s="31" t="n">
        <v>5156.22</v>
      </c>
      <c r="G336" s="31" t="n">
        <v>4210</v>
      </c>
      <c r="H336" s="31" t="n">
        <v>-1.56</v>
      </c>
      <c r="I336" s="31" t="n">
        <v>49734</v>
      </c>
      <c r="J336" s="31" t="inlineStr">
        <is>
          <t>541167</t>
        </is>
      </c>
    </row>
    <row r="337">
      <c r="A337" s="31" t="inlineStr">
        <is>
          <t>RAYMOND</t>
        </is>
      </c>
      <c r="B337" s="31" t="inlineStr">
        <is>
          <t>Raymond Limited</t>
        </is>
      </c>
      <c r="C337" s="31" t="inlineStr">
        <is>
          <t>transportation</t>
        </is>
      </c>
      <c r="D337" s="31" t="inlineStr">
        <is>
          <t>transport - airlines</t>
        </is>
      </c>
      <c r="E337" s="31" t="inlineStr">
        <is>
          <t>smallcap</t>
        </is>
      </c>
      <c r="F337" s="31" t="n">
        <v>4274.03</v>
      </c>
      <c r="G337" s="31" t="n">
        <v>632</v>
      </c>
      <c r="H337" s="31" t="n">
        <v>-1.56</v>
      </c>
      <c r="I337" s="31" t="n">
        <v>273396</v>
      </c>
      <c r="J337" s="31" t="inlineStr">
        <is>
          <t>500330</t>
        </is>
      </c>
    </row>
    <row r="338">
      <c r="A338" s="31" t="inlineStr">
        <is>
          <t>EMAMIPAP</t>
        </is>
      </c>
      <c r="B338" s="31" t="inlineStr">
        <is>
          <t>Emami Paper Mills Ltd</t>
        </is>
      </c>
      <c r="C338" s="31" t="inlineStr">
        <is>
          <t>building materials</t>
        </is>
      </c>
      <c r="D338" s="31" t="inlineStr">
        <is>
          <t>paper</t>
        </is>
      </c>
      <c r="E338" s="31" t="inlineStr">
        <is>
          <t>smallcap</t>
        </is>
      </c>
      <c r="F338" s="31" t="n">
        <v>671</v>
      </c>
      <c r="G338" s="31" t="n">
        <v>109.16</v>
      </c>
      <c r="H338" s="31" t="n">
        <v>-1.58</v>
      </c>
      <c r="I338" s="31" t="n">
        <v>27811</v>
      </c>
      <c r="J338" s="31" t="inlineStr">
        <is>
          <t>533208</t>
        </is>
      </c>
    </row>
    <row r="339">
      <c r="A339" s="31" t="inlineStr">
        <is>
          <t>M&amp;MFIN</t>
        </is>
      </c>
      <c r="B339" s="31" t="inlineStr">
        <is>
          <t>Mahindra &amp; Mahindra Financial Services Limited</t>
        </is>
      </c>
      <c r="C339" s="31" t="inlineStr">
        <is>
          <t>financials</t>
        </is>
      </c>
      <c r="D339" s="31" t="inlineStr">
        <is>
          <t>finance &amp; investments</t>
        </is>
      </c>
      <c r="E339" s="31" t="inlineStr">
        <is>
          <t>largecap</t>
        </is>
      </c>
      <c r="F339" s="31" t="n">
        <v>55098.46</v>
      </c>
      <c r="G339" s="31" t="n">
        <v>390.1</v>
      </c>
      <c r="H339" s="31" t="n">
        <v>-1.59</v>
      </c>
      <c r="I339" s="31" t="n">
        <v>1855422</v>
      </c>
      <c r="J339" s="31" t="inlineStr">
        <is>
          <t>532720</t>
        </is>
      </c>
    </row>
    <row r="340">
      <c r="A340" s="31" t="inlineStr">
        <is>
          <t>HINDALCO</t>
        </is>
      </c>
      <c r="B340" s="31" t="inlineStr">
        <is>
          <t>Hindalco Industries Limited</t>
        </is>
      </c>
      <c r="C340" s="31" t="inlineStr">
        <is>
          <t>metals &amp; mining</t>
        </is>
      </c>
      <c r="D340" s="31" t="inlineStr">
        <is>
          <t>aluminium and aluminium products</t>
        </is>
      </c>
      <c r="E340" s="31" t="inlineStr">
        <is>
          <t>largecap</t>
        </is>
      </c>
      <c r="F340" s="31" t="n">
        <v>235116.08</v>
      </c>
      <c r="G340" s="31" t="n">
        <v>1029.5</v>
      </c>
      <c r="H340" s="31" t="n">
        <v>-1.6</v>
      </c>
      <c r="I340" s="31" t="n">
        <v>6733735</v>
      </c>
      <c r="J340" s="31" t="inlineStr">
        <is>
          <t>500440</t>
        </is>
      </c>
    </row>
    <row r="341">
      <c r="A341" s="31" t="inlineStr">
        <is>
          <t>RRKABEL</t>
        </is>
      </c>
      <c r="B341" s="31" t="inlineStr">
        <is>
          <t>R R Kabel Ltd</t>
        </is>
      </c>
      <c r="C341" s="31" t="inlineStr">
        <is>
          <t>industrials</t>
        </is>
      </c>
      <c r="D341" s="31" t="inlineStr">
        <is>
          <t>cables - power</t>
        </is>
      </c>
      <c r="E341" s="31" t="inlineStr">
        <is>
          <t>largecap</t>
        </is>
      </c>
      <c r="F341" s="31" t="n">
        <v>32056.36</v>
      </c>
      <c r="G341" s="31" t="n">
        <v>2785.6</v>
      </c>
      <c r="H341" s="31" t="n">
        <v>-1.71</v>
      </c>
      <c r="I341" s="31" t="n">
        <v>202776</v>
      </c>
      <c r="J341" s="31" t="inlineStr">
        <is>
          <t>543981</t>
        </is>
      </c>
    </row>
    <row r="342">
      <c r="A342" s="31" t="inlineStr">
        <is>
          <t>ORIENTELEC</t>
        </is>
      </c>
      <c r="B342" s="31" t="inlineStr">
        <is>
          <t>Orient Electric Ltd</t>
        </is>
      </c>
      <c r="C342" s="31" t="inlineStr">
        <is>
          <t>consumer discretionary</t>
        </is>
      </c>
      <c r="D342" s="31" t="inlineStr">
        <is>
          <t>domestic appliances</t>
        </is>
      </c>
      <c r="E342" s="31" t="inlineStr">
        <is>
          <t>smallcap</t>
        </is>
      </c>
      <c r="F342" s="31" t="n">
        <v>4059.71</v>
      </c>
      <c r="G342" s="31" t="n">
        <v>187</v>
      </c>
      <c r="H342" s="31" t="n">
        <v>-1.72</v>
      </c>
      <c r="I342" s="31" t="n">
        <v>95169</v>
      </c>
      <c r="J342" s="31" t="inlineStr">
        <is>
          <t>541301</t>
        </is>
      </c>
    </row>
    <row r="343">
      <c r="A343" s="31" t="inlineStr">
        <is>
          <t>CHOLAFIN</t>
        </is>
      </c>
      <c r="B343" s="31" t="inlineStr">
        <is>
          <t>Cholamandalam Investment And Finance Company Limited</t>
        </is>
      </c>
      <c r="C343" s="31" t="inlineStr">
        <is>
          <t>financials</t>
        </is>
      </c>
      <c r="D343" s="31" t="inlineStr">
        <is>
          <t>finance &amp; investments</t>
        </is>
      </c>
      <c r="E343" s="31" t="inlineStr">
        <is>
          <t>largecap</t>
        </is>
      </c>
      <c r="F343" s="31" t="n">
        <v>164370.18</v>
      </c>
      <c r="G343" s="31" t="n">
        <v>1894.4</v>
      </c>
      <c r="H343" s="31" t="n">
        <v>-1.74</v>
      </c>
      <c r="I343" s="31" t="n">
        <v>1230643</v>
      </c>
      <c r="J343" s="31" t="inlineStr">
        <is>
          <t>511243</t>
        </is>
      </c>
    </row>
    <row r="344">
      <c r="A344" s="31" t="inlineStr">
        <is>
          <t>SOLARINDS</t>
        </is>
      </c>
      <c r="B344" s="31" t="inlineStr">
        <is>
          <t>Solar Industries India Limited</t>
        </is>
      </c>
      <c r="C344" s="31" t="inlineStr">
        <is>
          <t>aerospace &amp; defence</t>
        </is>
      </c>
      <c r="D344" s="31" t="inlineStr">
        <is>
          <t>chemicals</t>
        </is>
      </c>
      <c r="E344" s="31" t="inlineStr">
        <is>
          <t>largecap</t>
        </is>
      </c>
      <c r="F344" s="31" t="n">
        <v>183911.99</v>
      </c>
      <c r="G344" s="31" t="n">
        <v>19969</v>
      </c>
      <c r="H344" s="31" t="n">
        <v>-1.75</v>
      </c>
      <c r="I344" s="31" t="n">
        <v>972856</v>
      </c>
      <c r="J344" s="31" t="inlineStr">
        <is>
          <t>532725</t>
        </is>
      </c>
    </row>
    <row r="345">
      <c r="A345" s="31" t="inlineStr">
        <is>
          <t>VRLLOG</t>
        </is>
      </c>
      <c r="B345" s="31" t="inlineStr">
        <is>
          <t>Vrl Logistics Limited</t>
        </is>
      </c>
      <c r="C345" s="31" t="inlineStr">
        <is>
          <t>transportation</t>
        </is>
      </c>
      <c r="D345" s="31" t="inlineStr">
        <is>
          <t>miscellaneous</t>
        </is>
      </c>
      <c r="E345" s="31" t="inlineStr">
        <is>
          <t>midcap</t>
        </is>
      </c>
      <c r="F345" s="31" t="n">
        <v>5276.97</v>
      </c>
      <c r="G345" s="31" t="n">
        <v>296.3</v>
      </c>
      <c r="H345" s="31" t="n">
        <v>-1.77</v>
      </c>
      <c r="I345" s="31" t="n">
        <v>137126</v>
      </c>
      <c r="J345" s="31" t="inlineStr">
        <is>
          <t>539118</t>
        </is>
      </c>
    </row>
    <row r="346">
      <c r="A346" s="31" t="inlineStr">
        <is>
          <t>NRBBEARING</t>
        </is>
      </c>
      <c r="B346" s="31" t="inlineStr">
        <is>
          <t>Nrb Bearing Limited</t>
        </is>
      </c>
      <c r="C346" s="31" t="inlineStr">
        <is>
          <t>industrials</t>
        </is>
      </c>
      <c r="D346" s="31" t="inlineStr">
        <is>
          <t>bearings</t>
        </is>
      </c>
      <c r="E346" s="31" t="inlineStr">
        <is>
          <t>smallcap</t>
        </is>
      </c>
      <c r="F346" s="31" t="n">
        <v>4528.22</v>
      </c>
      <c r="G346" s="31" t="n">
        <v>458.9</v>
      </c>
      <c r="H346" s="31" t="n">
        <v>-1.78</v>
      </c>
      <c r="I346" s="31" t="n">
        <v>288700</v>
      </c>
      <c r="J346" s="31" t="inlineStr">
        <is>
          <t>530367</t>
        </is>
      </c>
    </row>
    <row r="347">
      <c r="A347" s="31" t="inlineStr">
        <is>
          <t>GRAPHITE</t>
        </is>
      </c>
      <c r="B347" s="31" t="inlineStr">
        <is>
          <t>Graphite India Limited</t>
        </is>
      </c>
      <c r="C347" s="31" t="inlineStr">
        <is>
          <t>industrials</t>
        </is>
      </c>
      <c r="D347" s="31" t="inlineStr">
        <is>
          <t>electrodes - graphites</t>
        </is>
      </c>
      <c r="E347" s="31" t="inlineStr">
        <is>
          <t>midcap</t>
        </is>
      </c>
      <c r="F347" s="31" t="n">
        <v>14357.18</v>
      </c>
      <c r="G347" s="31" t="n">
        <v>721.6</v>
      </c>
      <c r="H347" s="31" t="n">
        <v>-1.8</v>
      </c>
      <c r="I347" s="31" t="n">
        <v>1190606</v>
      </c>
      <c r="J347" s="31" t="inlineStr">
        <is>
          <t>509488</t>
        </is>
      </c>
    </row>
    <row r="348">
      <c r="A348" s="31" t="inlineStr">
        <is>
          <t>ENTERO</t>
        </is>
      </c>
      <c r="B348" s="31" t="inlineStr">
        <is>
          <t>Entero Healthcare Solutions Ltd</t>
        </is>
      </c>
      <c r="C348" s="31" t="inlineStr">
        <is>
          <t>healthcare</t>
        </is>
      </c>
      <c r="D348" s="31" t="inlineStr">
        <is>
          <t>trading</t>
        </is>
      </c>
      <c r="E348" s="31" t="inlineStr">
        <is>
          <t>midcap</t>
        </is>
      </c>
      <c r="F348" s="31" t="n">
        <v>6302.14</v>
      </c>
      <c r="G348" s="31" t="n">
        <v>1422</v>
      </c>
      <c r="H348" s="31" t="n">
        <v>-1.8</v>
      </c>
      <c r="I348" s="31" t="n">
        <v>66873</v>
      </c>
      <c r="J348" s="31" t="inlineStr">
        <is>
          <t>544122</t>
        </is>
      </c>
    </row>
    <row r="349">
      <c r="A349" s="31" t="inlineStr">
        <is>
          <t>VGUARD</t>
        </is>
      </c>
      <c r="B349" s="31" t="inlineStr">
        <is>
          <t>V-guard Industries Limited</t>
        </is>
      </c>
      <c r="C349" s="31" t="inlineStr">
        <is>
          <t>industrials</t>
        </is>
      </c>
      <c r="D349" s="31" t="inlineStr">
        <is>
          <t>electric equipment</t>
        </is>
      </c>
      <c r="E349" s="31" t="inlineStr">
        <is>
          <t>midcap</t>
        </is>
      </c>
      <c r="F349" s="31" t="n">
        <v>14491.68</v>
      </c>
      <c r="G349" s="31" t="n">
        <v>325.7</v>
      </c>
      <c r="H349" s="31" t="n">
        <v>-1.81</v>
      </c>
      <c r="I349" s="31" t="n">
        <v>410582</v>
      </c>
      <c r="J349" s="31" t="inlineStr">
        <is>
          <t>532953</t>
        </is>
      </c>
    </row>
    <row r="350">
      <c r="A350" s="31" t="inlineStr">
        <is>
          <t>BOSCH-HCIL</t>
        </is>
      </c>
      <c r="B350" s="31" t="inlineStr">
        <is>
          <t>Bosch Home Comfort India Ltd</t>
        </is>
      </c>
      <c r="C350" s="31" t="inlineStr">
        <is>
          <t>consumer discretionary</t>
        </is>
      </c>
      <c r="D350" s="31" t="inlineStr">
        <is>
          <t>air-conditioners</t>
        </is>
      </c>
      <c r="E350" s="31" t="inlineStr">
        <is>
          <t>smallcap</t>
        </is>
      </c>
      <c r="F350" s="31" t="n">
        <v>4581.94</v>
      </c>
      <c r="G350" s="31" t="n">
        <v>1654.2</v>
      </c>
      <c r="H350" s="31" t="n">
        <v>-1.83</v>
      </c>
      <c r="I350" s="31" t="n">
        <v>36479</v>
      </c>
      <c r="J350" s="31" t="inlineStr">
        <is>
          <t>523398</t>
        </is>
      </c>
    </row>
    <row r="351">
      <c r="A351" s="31" t="inlineStr">
        <is>
          <t>SADHNANIQ</t>
        </is>
      </c>
      <c r="B351" s="31" t="inlineStr">
        <is>
          <t>Sadhana Nitro Chem Ltd</t>
        </is>
      </c>
      <c r="C351" s="31" t="inlineStr">
        <is>
          <t>chemicals</t>
        </is>
      </c>
      <c r="D351" s="31" t="inlineStr">
        <is>
          <t>chemicals</t>
        </is>
      </c>
      <c r="E351" s="31" t="inlineStr">
        <is>
          <t>smallcap</t>
        </is>
      </c>
      <c r="F351" s="31" t="n">
        <v>948.7</v>
      </c>
      <c r="G351" s="31" t="n">
        <v>3.2</v>
      </c>
      <c r="H351" s="31" t="n">
        <v>-1.84</v>
      </c>
      <c r="I351" s="31" t="n">
        <v>932987</v>
      </c>
      <c r="J351" s="31" t="inlineStr">
        <is>
          <t>506642</t>
        </is>
      </c>
    </row>
    <row r="352">
      <c r="A352" s="31" t="inlineStr">
        <is>
          <t>GUFICBIO</t>
        </is>
      </c>
      <c r="B352" s="31" t="inlineStr">
        <is>
          <t>Gufic Biosciences Limited</t>
        </is>
      </c>
      <c r="C352" s="31" t="inlineStr">
        <is>
          <t>healthcare</t>
        </is>
      </c>
      <c r="D352" s="31" t="inlineStr">
        <is>
          <t>pharmaceuticals - indian - bulk drugs &amp; formln</t>
        </is>
      </c>
      <c r="E352" s="31" t="inlineStr">
        <is>
          <t>smallcap</t>
        </is>
      </c>
      <c r="F352" s="31" t="n">
        <v>4314.65</v>
      </c>
      <c r="G352" s="31" t="n">
        <v>422.2</v>
      </c>
      <c r="H352" s="31" t="n">
        <v>-1.87</v>
      </c>
      <c r="I352" s="31" t="n">
        <v>166064</v>
      </c>
      <c r="J352" s="31" t="inlineStr">
        <is>
          <t>509079</t>
        </is>
      </c>
    </row>
    <row r="353">
      <c r="A353" s="31" t="inlineStr">
        <is>
          <t>HFCL</t>
        </is>
      </c>
      <c r="B353" s="31" t="inlineStr">
        <is>
          <t>HFCL Ltd</t>
        </is>
      </c>
      <c r="C353" s="31" t="inlineStr">
        <is>
          <t>telecom</t>
        </is>
      </c>
      <c r="D353" s="31" t="inlineStr">
        <is>
          <t>cables - telephone</t>
        </is>
      </c>
      <c r="E353" s="31" t="inlineStr">
        <is>
          <t>largecap</t>
        </is>
      </c>
      <c r="F353" s="31" t="n">
        <v>34799.78</v>
      </c>
      <c r="G353" s="31" t="n">
        <v>223.11</v>
      </c>
      <c r="H353" s="31" t="n">
        <v>-1.87</v>
      </c>
      <c r="I353" s="31" t="n">
        <v>16693107</v>
      </c>
      <c r="J353" s="31" t="inlineStr">
        <is>
          <t>500183</t>
        </is>
      </c>
    </row>
    <row r="354">
      <c r="A354" s="31" t="inlineStr">
        <is>
          <t>BEML</t>
        </is>
      </c>
      <c r="B354" s="31" t="inlineStr">
        <is>
          <t>Beml Limited</t>
        </is>
      </c>
      <c r="C354" s="31" t="inlineStr">
        <is>
          <t>aerospace &amp; defence</t>
        </is>
      </c>
      <c r="D354" s="31" t="inlineStr">
        <is>
          <t>engineering</t>
        </is>
      </c>
      <c r="E354" s="31" t="inlineStr">
        <is>
          <t>midcap</t>
        </is>
      </c>
      <c r="F354" s="31" t="n">
        <v>15913.2</v>
      </c>
      <c r="G354" s="31" t="n">
        <v>1874.4</v>
      </c>
      <c r="H354" s="31" t="n">
        <v>-1.89</v>
      </c>
      <c r="I354" s="31" t="n">
        <v>171580</v>
      </c>
      <c r="J354" s="31" t="inlineStr">
        <is>
          <t>500048</t>
        </is>
      </c>
    </row>
    <row r="355">
      <c r="A355" s="31" t="inlineStr">
        <is>
          <t>EXIDEIND</t>
        </is>
      </c>
      <c r="B355" s="31" t="inlineStr">
        <is>
          <t>Exide Industries Limited</t>
        </is>
      </c>
      <c r="C355" s="31" t="inlineStr">
        <is>
          <t>auto</t>
        </is>
      </c>
      <c r="D355" s="31" t="inlineStr">
        <is>
          <t>auto ancillaries</t>
        </is>
      </c>
      <c r="E355" s="31" t="inlineStr">
        <is>
          <t>largecap</t>
        </is>
      </c>
      <c r="F355" s="31" t="n">
        <v>41267.5</v>
      </c>
      <c r="G355" s="31" t="n">
        <v>476.1</v>
      </c>
      <c r="H355" s="31" t="n">
        <v>-1.94</v>
      </c>
      <c r="I355" s="31" t="n">
        <v>1563140</v>
      </c>
      <c r="J355" s="31" t="inlineStr">
        <is>
          <t>500086</t>
        </is>
      </c>
    </row>
    <row r="356">
      <c r="A356" s="31" t="inlineStr">
        <is>
          <t>CHEMBONDCH</t>
        </is>
      </c>
      <c r="B356" s="31" t="inlineStr">
        <is>
          <t>Chembond Chemicals Ltd</t>
        </is>
      </c>
      <c r="C356" s="31" t="inlineStr">
        <is>
          <t>chemicals</t>
        </is>
      </c>
      <c r="D356" s="31" t="inlineStr">
        <is>
          <t>chemicals</t>
        </is>
      </c>
      <c r="E356" s="31" t="inlineStr">
        <is>
          <t>smallcap</t>
        </is>
      </c>
      <c r="F356" s="31" t="n">
        <v>732.45</v>
      </c>
      <c r="G356" s="31" t="n">
        <v>267</v>
      </c>
      <c r="H356" s="31" t="n">
        <v>-1.95</v>
      </c>
      <c r="I356" s="31" t="n">
        <v>13075</v>
      </c>
      <c r="J356" s="31" t="inlineStr">
        <is>
          <t>544450</t>
        </is>
      </c>
    </row>
    <row r="357">
      <c r="A357" s="31" t="inlineStr">
        <is>
          <t>BIL</t>
        </is>
      </c>
      <c r="B357" s="31" t="inlineStr">
        <is>
          <t>Bhartiya International Limited</t>
        </is>
      </c>
      <c r="C357" s="31" t="inlineStr">
        <is>
          <t>consumer discretionary</t>
        </is>
      </c>
      <c r="D357" s="31" t="inlineStr">
        <is>
          <t>leather / leather products</t>
        </is>
      </c>
      <c r="E357" s="31" t="inlineStr">
        <is>
          <t>smallcap</t>
        </is>
      </c>
      <c r="F357" s="31" t="n">
        <v>1139.88</v>
      </c>
      <c r="G357" s="31" t="n">
        <v>833.3</v>
      </c>
      <c r="H357" s="31" t="n">
        <v>-1.96</v>
      </c>
      <c r="I357" s="31" t="n">
        <v>19545</v>
      </c>
      <c r="J357" s="31" t="inlineStr">
        <is>
          <t>526666</t>
        </is>
      </c>
    </row>
    <row r="358">
      <c r="A358" s="31" t="inlineStr">
        <is>
          <t>MCX</t>
        </is>
      </c>
      <c r="B358" s="31" t="inlineStr">
        <is>
          <t>Multi Commodity Exchange Of India Limited</t>
        </is>
      </c>
      <c r="C358" s="31" t="inlineStr">
        <is>
          <t>financials</t>
        </is>
      </c>
      <c r="D358" s="31" t="inlineStr">
        <is>
          <t>miscellaneous</t>
        </is>
      </c>
      <c r="E358" s="31" t="inlineStr">
        <is>
          <t>largecap</t>
        </is>
      </c>
      <c r="F358" s="31" t="n">
        <v>75732.58</v>
      </c>
      <c r="G358" s="31" t="n">
        <v>2911.5</v>
      </c>
      <c r="H358" s="31" t="n">
        <v>-1.97</v>
      </c>
      <c r="I358" s="31" t="n">
        <v>2899650</v>
      </c>
      <c r="J358" s="31" t="inlineStr">
        <is>
          <t>534091</t>
        </is>
      </c>
    </row>
    <row r="359">
      <c r="A359" s="31" t="inlineStr">
        <is>
          <t>STLTECH</t>
        </is>
      </c>
      <c r="B359" s="31" t="inlineStr">
        <is>
          <t>Sterlite Technologies Limited</t>
        </is>
      </c>
      <c r="C359" s="31" t="inlineStr">
        <is>
          <t>industrials</t>
        </is>
      </c>
      <c r="D359" s="31" t="inlineStr">
        <is>
          <t>cables - telephone</t>
        </is>
      </c>
      <c r="E359" s="31" t="inlineStr">
        <is>
          <t>largecap</t>
        </is>
      </c>
      <c r="F359" s="31" t="n">
        <v>33958.26</v>
      </c>
      <c r="G359" s="31" t="n">
        <v>647.75</v>
      </c>
      <c r="H359" s="31" t="n">
        <v>-1.97</v>
      </c>
      <c r="I359" s="31" t="n">
        <v>1136337</v>
      </c>
      <c r="J359" s="31" t="inlineStr">
        <is>
          <t>532374</t>
        </is>
      </c>
    </row>
    <row r="360">
      <c r="A360" s="31" t="inlineStr">
        <is>
          <t>BAFNAPH</t>
        </is>
      </c>
      <c r="B360" s="31" t="inlineStr">
        <is>
          <t>Bafna Pharmaceuticals Ltd</t>
        </is>
      </c>
      <c r="C360" s="31" t="inlineStr">
        <is>
          <t>healthcare</t>
        </is>
      </c>
      <c r="D360" s="31" t="inlineStr">
        <is>
          <t>pharmaceuticals - indian - formulations</t>
        </is>
      </c>
      <c r="E360" s="31" t="inlineStr">
        <is>
          <t>smallcap</t>
        </is>
      </c>
      <c r="F360" s="31" t="n">
        <v>622.04</v>
      </c>
      <c r="G360" s="31" t="n">
        <v>262.95</v>
      </c>
      <c r="H360" s="31" t="n">
        <v>-1.99</v>
      </c>
      <c r="I360" s="31" t="n">
        <v>2145</v>
      </c>
      <c r="J360" s="31" t="inlineStr">
        <is>
          <t>532989</t>
        </is>
      </c>
    </row>
    <row r="361">
      <c r="A361" s="31" t="inlineStr">
        <is>
          <t>PRUDENT</t>
        </is>
      </c>
      <c r="B361" s="31" t="inlineStr">
        <is>
          <t>Prudent Corporate Advisory Services Ltd</t>
        </is>
      </c>
      <c r="C361" s="31" t="inlineStr">
        <is>
          <t>financials</t>
        </is>
      </c>
      <c r="D361" s="31" t="inlineStr">
        <is>
          <t>finance &amp; investments</t>
        </is>
      </c>
      <c r="E361" s="31" t="inlineStr">
        <is>
          <t>midcap</t>
        </is>
      </c>
      <c r="F361" s="31" t="n">
        <v>13767.72</v>
      </c>
      <c r="G361" s="31" t="n">
        <v>3257.1</v>
      </c>
      <c r="H361" s="31" t="n">
        <v>-2.04</v>
      </c>
      <c r="I361" s="31" t="n">
        <v>43983</v>
      </c>
      <c r="J361" s="31" t="inlineStr">
        <is>
          <t>543527</t>
        </is>
      </c>
    </row>
    <row r="362">
      <c r="A362" s="31" t="inlineStr">
        <is>
          <t>TRAVELFOOD</t>
        </is>
      </c>
      <c r="B362" s="31" t="inlineStr">
        <is>
          <t>Travel Food Services Ltd</t>
        </is>
      </c>
      <c r="C362" s="31" t="inlineStr">
        <is>
          <t>consumer discretionary</t>
        </is>
      </c>
      <c r="D362" s="31" t="inlineStr">
        <is>
          <t>hotels</t>
        </is>
      </c>
      <c r="E362" s="31" t="inlineStr">
        <is>
          <t>midcap</t>
        </is>
      </c>
      <c r="F362" s="31" t="n">
        <v>18360.07</v>
      </c>
      <c r="G362" s="31" t="n">
        <v>1364.9</v>
      </c>
      <c r="H362" s="31" t="n">
        <v>-2.11</v>
      </c>
      <c r="I362" s="31" t="n">
        <v>70685</v>
      </c>
      <c r="J362" s="31" t="inlineStr">
        <is>
          <t>544443</t>
        </is>
      </c>
    </row>
    <row r="363">
      <c r="A363" s="31" t="inlineStr">
        <is>
          <t>NELCO</t>
        </is>
      </c>
      <c r="B363" s="31" t="inlineStr">
        <is>
          <t>Nelco Limited</t>
        </is>
      </c>
      <c r="C363" s="31" t="inlineStr">
        <is>
          <t>telecom</t>
        </is>
      </c>
      <c r="D363" s="31" t="inlineStr">
        <is>
          <t>telecommunications - service provider</t>
        </is>
      </c>
      <c r="E363" s="31" t="inlineStr">
        <is>
          <t>smallcap</t>
        </is>
      </c>
      <c r="F363" s="31" t="n">
        <v>2390.23</v>
      </c>
      <c r="G363" s="31" t="n">
        <v>1024.6</v>
      </c>
      <c r="H363" s="31" t="n">
        <v>-2.19</v>
      </c>
      <c r="I363" s="31" t="n">
        <v>409461</v>
      </c>
      <c r="J363" s="31" t="inlineStr">
        <is>
          <t>504112</t>
        </is>
      </c>
    </row>
    <row r="364">
      <c r="A364" s="31" t="inlineStr">
        <is>
          <t>PRECWIRE</t>
        </is>
      </c>
      <c r="B364" s="31" t="inlineStr">
        <is>
          <t>Precision Wires India Limited</t>
        </is>
      </c>
      <c r="C364" s="31" t="inlineStr">
        <is>
          <t>metals &amp; mining</t>
        </is>
      </c>
      <c r="D364" s="31" t="inlineStr">
        <is>
          <t>mining / minerals / metals</t>
        </is>
      </c>
      <c r="E364" s="31" t="inlineStr">
        <is>
          <t>midcap</t>
        </is>
      </c>
      <c r="F364" s="31" t="n">
        <v>8567.299999999999</v>
      </c>
      <c r="G364" s="31" t="n">
        <v>458.35</v>
      </c>
      <c r="H364" s="31" t="n">
        <v>-2.2</v>
      </c>
      <c r="I364" s="31" t="n">
        <v>830387</v>
      </c>
      <c r="J364" s="31" t="inlineStr">
        <is>
          <t>523539</t>
        </is>
      </c>
    </row>
    <row r="365">
      <c r="A365" s="31" t="inlineStr">
        <is>
          <t>ASTRAL</t>
        </is>
      </c>
      <c r="B365" s="31" t="inlineStr">
        <is>
          <t>Astral Ltd</t>
        </is>
      </c>
      <c r="C365" s="31" t="inlineStr">
        <is>
          <t>plastic products</t>
        </is>
      </c>
      <c r="D365" s="31" t="inlineStr">
        <is>
          <t>plastics products</t>
        </is>
      </c>
      <c r="E365" s="31" t="inlineStr">
        <is>
          <t>largecap</t>
        </is>
      </c>
      <c r="F365" s="31" t="n">
        <v>42769.11</v>
      </c>
      <c r="G365" s="31" t="n">
        <v>1556.3</v>
      </c>
      <c r="H365" s="31" t="n">
        <v>-2.24</v>
      </c>
      <c r="I365" s="31" t="n">
        <v>1774391</v>
      </c>
      <c r="J365" s="31" t="inlineStr">
        <is>
          <t>532830</t>
        </is>
      </c>
    </row>
    <row r="366">
      <c r="A366" s="31" t="inlineStr">
        <is>
          <t>QPOWER</t>
        </is>
      </c>
      <c r="B366" s="31" t="inlineStr">
        <is>
          <t>Quality Power Electrical Equipments Ltd</t>
        </is>
      </c>
      <c r="C366" s="31" t="inlineStr">
        <is>
          <t>industrials</t>
        </is>
      </c>
      <c r="D366" s="31" t="inlineStr">
        <is>
          <t>electric equipment</t>
        </is>
      </c>
      <c r="E366" s="31" t="inlineStr">
        <is>
          <t>midcap</t>
        </is>
      </c>
      <c r="F366" s="31" t="n">
        <v>9898.129999999999</v>
      </c>
      <c r="G366" s="31" t="n">
        <v>1249.3</v>
      </c>
      <c r="H366" s="31" t="n">
        <v>-2.25</v>
      </c>
      <c r="I366" s="31" t="n">
        <v>190213</v>
      </c>
      <c r="J366" s="31" t="inlineStr">
        <is>
          <t>544367</t>
        </is>
      </c>
    </row>
    <row r="367">
      <c r="A367" s="31" t="inlineStr">
        <is>
          <t>MENONBE</t>
        </is>
      </c>
      <c r="B367" s="31" t="inlineStr">
        <is>
          <t>Menon Bearings Limited</t>
        </is>
      </c>
      <c r="C367" s="31" t="inlineStr">
        <is>
          <t>auto</t>
        </is>
      </c>
      <c r="D367" s="31" t="inlineStr">
        <is>
          <t>auto ancillaries</t>
        </is>
      </c>
      <c r="E367" s="31" t="inlineStr">
        <is>
          <t>smallcap</t>
        </is>
      </c>
      <c r="F367" s="31" t="n">
        <v>1315.37</v>
      </c>
      <c r="G367" s="31" t="n">
        <v>229.3</v>
      </c>
      <c r="H367" s="31" t="n">
        <v>-2.31</v>
      </c>
      <c r="I367" s="31" t="n">
        <v>58063</v>
      </c>
      <c r="J367" s="31" t="inlineStr">
        <is>
          <t>523828</t>
        </is>
      </c>
    </row>
    <row r="368">
      <c r="A368" s="31" t="inlineStr">
        <is>
          <t>EDELWEISS</t>
        </is>
      </c>
      <c r="B368" s="31" t="inlineStr">
        <is>
          <t>Edelweiss Financial Services Limited</t>
        </is>
      </c>
      <c r="C368" s="31" t="inlineStr">
        <is>
          <t>financials</t>
        </is>
      </c>
      <c r="D368" s="31" t="inlineStr">
        <is>
          <t>finance &amp; investments</t>
        </is>
      </c>
      <c r="E368" s="31" t="inlineStr">
        <is>
          <t>midcap</t>
        </is>
      </c>
      <c r="F368" s="31" t="n">
        <v>11820.29</v>
      </c>
      <c r="G368" s="31" t="n">
        <v>121.98</v>
      </c>
      <c r="H368" s="31" t="n">
        <v>-2.32</v>
      </c>
      <c r="I368" s="31" t="n">
        <v>2099538</v>
      </c>
      <c r="J368" s="31" t="inlineStr">
        <is>
          <t>532922</t>
        </is>
      </c>
    </row>
    <row r="369">
      <c r="A369" s="31" t="inlineStr">
        <is>
          <t>PFIZER</t>
        </is>
      </c>
      <c r="B369" s="31" t="inlineStr">
        <is>
          <t>Pfizer Limited</t>
        </is>
      </c>
      <c r="C369" s="31" t="inlineStr">
        <is>
          <t>healthcare</t>
        </is>
      </c>
      <c r="D369" s="31" t="inlineStr">
        <is>
          <t>pharmaceuticals - multinational</t>
        </is>
      </c>
      <c r="E369" s="31" t="inlineStr">
        <is>
          <t>largecap</t>
        </is>
      </c>
      <c r="F369" s="31" t="n">
        <v>22829.95</v>
      </c>
      <c r="G369" s="31" t="n">
        <v>4874.8</v>
      </c>
      <c r="H369" s="31" t="n">
        <v>-2.32</v>
      </c>
      <c r="I369" s="31" t="n">
        <v>11698</v>
      </c>
      <c r="J369" s="31" t="inlineStr">
        <is>
          <t>500680</t>
        </is>
      </c>
    </row>
    <row r="370">
      <c r="A370" s="31" t="inlineStr">
        <is>
          <t>OIL</t>
        </is>
      </c>
      <c r="B370" s="31" t="inlineStr">
        <is>
          <t>Oil India Limited</t>
        </is>
      </c>
      <c r="C370" s="31" t="inlineStr">
        <is>
          <t>energy</t>
        </is>
      </c>
      <c r="D370" s="31" t="inlineStr">
        <is>
          <t>oil drilling / allied services</t>
        </is>
      </c>
      <c r="E370" s="31" t="inlineStr">
        <is>
          <t>largecap</t>
        </is>
      </c>
      <c r="F370" s="31" t="n">
        <v>78044.64</v>
      </c>
      <c r="G370" s="31" t="n">
        <v>468.5</v>
      </c>
      <c r="H370" s="31" t="n">
        <v>-2.36</v>
      </c>
      <c r="I370" s="31" t="n">
        <v>3919052</v>
      </c>
      <c r="J370" s="31" t="inlineStr">
        <is>
          <t>533106</t>
        </is>
      </c>
    </row>
    <row r="371">
      <c r="A371" s="31" t="inlineStr">
        <is>
          <t>VINDHYATEL</t>
        </is>
      </c>
      <c r="B371" s="31" t="inlineStr">
        <is>
          <t>Vindhya Telelinks Limited</t>
        </is>
      </c>
      <c r="C371" s="31" t="inlineStr">
        <is>
          <t>realty</t>
        </is>
      </c>
      <c r="D371" s="31" t="inlineStr">
        <is>
          <t>construction</t>
        </is>
      </c>
      <c r="E371" s="31" t="inlineStr">
        <is>
          <t>smallcap</t>
        </is>
      </c>
      <c r="F371" s="31" t="n">
        <v>2915.79</v>
      </c>
      <c r="G371" s="31" t="n">
        <v>2401.6</v>
      </c>
      <c r="H371" s="31" t="n">
        <v>-2.39</v>
      </c>
      <c r="I371" s="31" t="n">
        <v>47655</v>
      </c>
      <c r="J371" s="31" t="inlineStr">
        <is>
          <t>517015</t>
        </is>
      </c>
    </row>
    <row r="372">
      <c r="A372" s="31" t="inlineStr">
        <is>
          <t>INDGN</t>
        </is>
      </c>
      <c r="B372" s="31" t="inlineStr">
        <is>
          <t>Indegene Ltd</t>
        </is>
      </c>
      <c r="C372" s="31" t="inlineStr">
        <is>
          <t>healthcare</t>
        </is>
      </c>
      <c r="D372" s="31" t="inlineStr">
        <is>
          <t>miscellaneous</t>
        </is>
      </c>
      <c r="E372" s="31" t="inlineStr">
        <is>
          <t>midcap</t>
        </is>
      </c>
      <c r="F372" s="31" t="n">
        <v>13729.58</v>
      </c>
      <c r="G372" s="31" t="n">
        <v>555.8</v>
      </c>
      <c r="H372" s="31" t="n">
        <v>-2.46</v>
      </c>
      <c r="I372" s="31" t="n">
        <v>285759</v>
      </c>
      <c r="J372" s="31" t="inlineStr">
        <is>
          <t>544172</t>
        </is>
      </c>
    </row>
    <row r="373">
      <c r="A373" s="31" t="inlineStr">
        <is>
          <t>MTARTECH</t>
        </is>
      </c>
      <c r="B373" s="31" t="inlineStr">
        <is>
          <t>MTAR Technologies Ltd</t>
        </is>
      </c>
      <c r="C373" s="31" t="inlineStr">
        <is>
          <t>aerospace &amp; defence</t>
        </is>
      </c>
      <c r="D373" s="31" t="inlineStr">
        <is>
          <t>engineering</t>
        </is>
      </c>
      <c r="E373" s="31" t="inlineStr">
        <is>
          <t>largecap</t>
        </is>
      </c>
      <c r="F373" s="31" t="n">
        <v>22251.49</v>
      </c>
      <c r="G373" s="31" t="n">
        <v>7056</v>
      </c>
      <c r="H373" s="31" t="n">
        <v>-2.46</v>
      </c>
      <c r="I373" s="31" t="n">
        <v>54652</v>
      </c>
      <c r="J373" s="31" t="inlineStr">
        <is>
          <t>543270</t>
        </is>
      </c>
    </row>
    <row r="374">
      <c r="A374" s="31" t="inlineStr">
        <is>
          <t>AUROPHARMA</t>
        </is>
      </c>
      <c r="B374" s="31" t="inlineStr">
        <is>
          <t>Aurobindo Pharma Limited</t>
        </is>
      </c>
      <c r="C374" s="31" t="inlineStr">
        <is>
          <t>healthcare</t>
        </is>
      </c>
      <c r="D374" s="31" t="inlineStr">
        <is>
          <t>pharmaceuticals - indian - bulk drugs &amp; formln</t>
        </is>
      </c>
      <c r="E374" s="31" t="inlineStr">
        <is>
          <t>largecap</t>
        </is>
      </c>
      <c r="F374" s="31" t="n">
        <v>95708.36</v>
      </c>
      <c r="G374" s="31" t="n">
        <v>1622.1</v>
      </c>
      <c r="H374" s="31" t="n">
        <v>-2.48</v>
      </c>
      <c r="I374" s="31" t="n">
        <v>1641846</v>
      </c>
      <c r="J374" s="31" t="inlineStr">
        <is>
          <t>524804</t>
        </is>
      </c>
    </row>
    <row r="375">
      <c r="A375" s="31" t="inlineStr">
        <is>
          <t>GHCLTEXTIL</t>
        </is>
      </c>
      <c r="B375" s="31" t="inlineStr">
        <is>
          <t>GHCL Textiles Ltd</t>
        </is>
      </c>
      <c r="C375" s="31" t="inlineStr">
        <is>
          <t>textiles</t>
        </is>
      </c>
      <c r="D375" s="31" t="inlineStr">
        <is>
          <t>textiles - spinning - synthetic / blended</t>
        </is>
      </c>
      <c r="E375" s="31" t="inlineStr">
        <is>
          <t>smallcap</t>
        </is>
      </c>
      <c r="F375" s="31" t="n">
        <v>1159.07</v>
      </c>
      <c r="G375" s="31" t="n">
        <v>118.15</v>
      </c>
      <c r="H375" s="31" t="n">
        <v>-2.56</v>
      </c>
      <c r="I375" s="31" t="n">
        <v>492714</v>
      </c>
      <c r="J375" s="31" t="inlineStr">
        <is>
          <t>543918</t>
        </is>
      </c>
    </row>
    <row r="376">
      <c r="A376" s="31" t="inlineStr">
        <is>
          <t>ENDURANCE</t>
        </is>
      </c>
      <c r="B376" s="31" t="inlineStr">
        <is>
          <t>Endurance Technologies Limited</t>
        </is>
      </c>
      <c r="C376" s="31" t="inlineStr">
        <is>
          <t>auto</t>
        </is>
      </c>
      <c r="D376" s="31" t="inlineStr">
        <is>
          <t>auto ancillaries</t>
        </is>
      </c>
      <c r="E376" s="31" t="inlineStr">
        <is>
          <t>largecap</t>
        </is>
      </c>
      <c r="F376" s="31" t="n">
        <v>41851.42</v>
      </c>
      <c r="G376" s="31" t="n">
        <v>2899</v>
      </c>
      <c r="H376" s="31" t="n">
        <v>-2.56</v>
      </c>
      <c r="I376" s="31" t="n">
        <v>204866</v>
      </c>
      <c r="J376" s="31" t="inlineStr">
        <is>
          <t>540153</t>
        </is>
      </c>
    </row>
    <row r="377">
      <c r="A377" s="31" t="inlineStr">
        <is>
          <t>AARTIPHARM</t>
        </is>
      </c>
      <c r="B377" s="31" t="inlineStr">
        <is>
          <t>Aarti Pharmalabs Ltd</t>
        </is>
      </c>
      <c r="C377" s="31" t="inlineStr">
        <is>
          <t>healthcare</t>
        </is>
      </c>
      <c r="D377" s="31" t="inlineStr">
        <is>
          <t>pharmaceuticals - indian - bulk drugs &amp; formln</t>
        </is>
      </c>
      <c r="E377" s="31" t="inlineStr">
        <is>
          <t>midcap</t>
        </is>
      </c>
      <c r="F377" s="31" t="n">
        <v>7922.24</v>
      </c>
      <c r="G377" s="31" t="n">
        <v>851.2</v>
      </c>
      <c r="H377" s="31" t="n">
        <v>-2.57</v>
      </c>
      <c r="I377" s="31" t="n">
        <v>395281</v>
      </c>
      <c r="J377" s="31" t="inlineStr">
        <is>
          <t>543748</t>
        </is>
      </c>
    </row>
    <row r="378">
      <c r="A378" s="31" t="inlineStr">
        <is>
          <t>CARBORUNIV</t>
        </is>
      </c>
      <c r="B378" s="31" t="inlineStr">
        <is>
          <t>Carborundum Universal Limited</t>
        </is>
      </c>
      <c r="C378" s="31" t="inlineStr">
        <is>
          <t>industrials</t>
        </is>
      </c>
      <c r="D378" s="31" t="inlineStr">
        <is>
          <t>abrasives and grinding wheels</t>
        </is>
      </c>
      <c r="E378" s="31" t="inlineStr">
        <is>
          <t>largecap</t>
        </is>
      </c>
      <c r="F378" s="31" t="n">
        <v>22565.86</v>
      </c>
      <c r="G378" s="31" t="n">
        <v>1153.8</v>
      </c>
      <c r="H378" s="31" t="n">
        <v>-2.6</v>
      </c>
      <c r="I378" s="31" t="n">
        <v>227617</v>
      </c>
      <c r="J378" s="31" t="inlineStr">
        <is>
          <t>513375</t>
        </is>
      </c>
    </row>
    <row r="379">
      <c r="A379" s="31" t="inlineStr">
        <is>
          <t>KINGFA</t>
        </is>
      </c>
      <c r="B379" s="31" t="inlineStr">
        <is>
          <t>Kingfa Science &amp; Technology (india) Limited</t>
        </is>
      </c>
      <c r="C379" s="31" t="inlineStr">
        <is>
          <t>plastic products</t>
        </is>
      </c>
      <c r="D379" s="31" t="inlineStr">
        <is>
          <t>plastics products</t>
        </is>
      </c>
      <c r="E379" s="31" t="inlineStr">
        <is>
          <t>midcap</t>
        </is>
      </c>
      <c r="F379" s="31" t="n">
        <v>8169.45</v>
      </c>
      <c r="G379" s="31" t="n">
        <v>5870</v>
      </c>
      <c r="H379" s="31" t="n">
        <v>-2.63</v>
      </c>
      <c r="I379" s="31" t="n">
        <v>27699</v>
      </c>
      <c r="J379" s="31" t="inlineStr">
        <is>
          <t>524019</t>
        </is>
      </c>
    </row>
    <row r="380">
      <c r="A380" s="31" t="inlineStr">
        <is>
          <t>LALPATHLAB</t>
        </is>
      </c>
      <c r="B380" s="31" t="inlineStr">
        <is>
          <t>Dr. Lal Path Labs Ltd.</t>
        </is>
      </c>
      <c r="C380" s="31" t="inlineStr">
        <is>
          <t>healthcare</t>
        </is>
      </c>
      <c r="D380" s="31" t="inlineStr">
        <is>
          <t>healthcare</t>
        </is>
      </c>
      <c r="E380" s="31" t="inlineStr">
        <is>
          <t>largecap</t>
        </is>
      </c>
      <c r="F380" s="31" t="n">
        <v>32997.82</v>
      </c>
      <c r="G380" s="31" t="n">
        <v>1916.3</v>
      </c>
      <c r="H380" s="31" t="n">
        <v>-2.65</v>
      </c>
      <c r="I380" s="31" t="n">
        <v>229786</v>
      </c>
      <c r="J380" s="31" t="inlineStr">
        <is>
          <t>539524</t>
        </is>
      </c>
    </row>
    <row r="381">
      <c r="A381" s="31" t="inlineStr">
        <is>
          <t>DMCC</t>
        </is>
      </c>
      <c r="B381" s="31" t="inlineStr">
        <is>
          <t>DMCC Speciality Chemicals Ltd</t>
        </is>
      </c>
      <c r="C381" s="31" t="inlineStr">
        <is>
          <t>chemicals</t>
        </is>
      </c>
      <c r="D381" s="31" t="inlineStr">
        <is>
          <t>chemicals</t>
        </is>
      </c>
      <c r="E381" s="31" t="inlineStr">
        <is>
          <t>smallcap</t>
        </is>
      </c>
      <c r="F381" s="31" t="n">
        <v>749.45</v>
      </c>
      <c r="G381" s="31" t="n">
        <v>292.3</v>
      </c>
      <c r="H381" s="31" t="n">
        <v>-2.73</v>
      </c>
      <c r="I381" s="31" t="n">
        <v>51685</v>
      </c>
      <c r="J381" s="31" t="inlineStr">
        <is>
          <t>506405</t>
        </is>
      </c>
    </row>
    <row r="382">
      <c r="A382" s="31" t="inlineStr">
        <is>
          <t>PAYTM</t>
        </is>
      </c>
      <c r="B382" s="31" t="inlineStr">
        <is>
          <t>One 97 Communications Ltd</t>
        </is>
      </c>
      <c r="C382" s="31" t="inlineStr">
        <is>
          <t>i.t</t>
        </is>
      </c>
      <c r="D382" s="31" t="inlineStr">
        <is>
          <t>miscellaneous</t>
        </is>
      </c>
      <c r="E382" s="31" t="inlineStr">
        <is>
          <t>largecap</t>
        </is>
      </c>
      <c r="F382" s="31" t="n">
        <v>105623.59</v>
      </c>
      <c r="G382" s="31" t="n">
        <v>1603</v>
      </c>
      <c r="H382" s="31" t="n">
        <v>-2.82</v>
      </c>
      <c r="I382" s="31" t="n">
        <v>6331605</v>
      </c>
      <c r="J382" s="31" t="inlineStr">
        <is>
          <t>543396</t>
        </is>
      </c>
    </row>
    <row r="383">
      <c r="A383" s="31" t="inlineStr">
        <is>
          <t>PPLPHARMA</t>
        </is>
      </c>
      <c r="B383" s="31" t="inlineStr">
        <is>
          <t>Piramal Pharma Ltd</t>
        </is>
      </c>
      <c r="C383" s="31" t="inlineStr">
        <is>
          <t>healthcare</t>
        </is>
      </c>
      <c r="D383" s="31" t="inlineStr">
        <is>
          <t>pharmaceuticals - indian - bulk drugs &amp; formln</t>
        </is>
      </c>
      <c r="E383" s="31" t="inlineStr">
        <is>
          <t>largecap</t>
        </is>
      </c>
      <c r="F383" s="31" t="n">
        <v>28313.78</v>
      </c>
      <c r="G383" s="31" t="n">
        <v>206.64</v>
      </c>
      <c r="H383" s="31" t="n">
        <v>-2.84</v>
      </c>
      <c r="I383" s="31" t="n">
        <v>11440858</v>
      </c>
      <c r="J383" s="31" t="inlineStr">
        <is>
          <t>543635</t>
        </is>
      </c>
    </row>
    <row r="384">
      <c r="A384" s="31" t="inlineStr">
        <is>
          <t>KOLTEPATIL</t>
        </is>
      </c>
      <c r="B384" s="31" t="inlineStr">
        <is>
          <t>Kolte - Patil Developers Limited</t>
        </is>
      </c>
      <c r="C384" s="31" t="inlineStr">
        <is>
          <t>realty</t>
        </is>
      </c>
      <c r="D384" s="31" t="inlineStr">
        <is>
          <t>construction</t>
        </is>
      </c>
      <c r="E384" s="31" t="inlineStr">
        <is>
          <t>smallcap</t>
        </is>
      </c>
      <c r="F384" s="31" t="n">
        <v>4362.17</v>
      </c>
      <c r="G384" s="31" t="n">
        <v>477.7</v>
      </c>
      <c r="H384" s="31" t="n">
        <v>-2.89</v>
      </c>
      <c r="I384" s="31" t="n">
        <v>162701</v>
      </c>
      <c r="J384" s="31" t="inlineStr">
        <is>
          <t>532924</t>
        </is>
      </c>
    </row>
    <row r="385">
      <c r="A385" s="31" t="inlineStr">
        <is>
          <t>APARINDS</t>
        </is>
      </c>
      <c r="B385" s="31" t="inlineStr">
        <is>
          <t>Apar Industries Limited</t>
        </is>
      </c>
      <c r="C385" s="31" t="inlineStr">
        <is>
          <t>industrials</t>
        </is>
      </c>
      <c r="D385" s="31" t="inlineStr">
        <is>
          <t>electric equipment</t>
        </is>
      </c>
      <c r="E385" s="31" t="inlineStr">
        <is>
          <t>largecap</t>
        </is>
      </c>
      <c r="F385" s="31" t="n">
        <v>69200.12</v>
      </c>
      <c r="G385" s="31" t="n">
        <v>16691</v>
      </c>
      <c r="H385" s="31" t="n">
        <v>-3.1</v>
      </c>
      <c r="I385" s="31" t="n">
        <v>175323</v>
      </c>
      <c r="J385" s="31" t="inlineStr">
        <is>
          <t>532259</t>
        </is>
      </c>
    </row>
    <row r="386">
      <c r="A386" s="31" t="inlineStr">
        <is>
          <t>NETWEB</t>
        </is>
      </c>
      <c r="B386" s="31" t="inlineStr">
        <is>
          <t>Netweb Technologies India Ltd</t>
        </is>
      </c>
      <c r="C386" s="31" t="inlineStr">
        <is>
          <t>i.t</t>
        </is>
      </c>
      <c r="D386" s="31" t="inlineStr">
        <is>
          <t>computers - hardware</t>
        </is>
      </c>
      <c r="E386" s="31" t="inlineStr">
        <is>
          <t>largecap</t>
        </is>
      </c>
      <c r="F386" s="31" t="n">
        <v>29500.97</v>
      </c>
      <c r="G386" s="31" t="n">
        <v>5007.2</v>
      </c>
      <c r="H386" s="31" t="n">
        <v>-3.35</v>
      </c>
      <c r="I386" s="31" t="n">
        <v>1695255</v>
      </c>
      <c r="J386" s="31" t="inlineStr">
        <is>
          <t>543945</t>
        </is>
      </c>
    </row>
    <row r="387">
      <c r="A387" s="31" t="inlineStr">
        <is>
          <t>AKUMS</t>
        </is>
      </c>
      <c r="B387" s="31" t="inlineStr">
        <is>
          <t>Akums Drugs &amp; Pharmaceuticals Ltd</t>
        </is>
      </c>
      <c r="C387" s="31" t="inlineStr">
        <is>
          <t>healthcare</t>
        </is>
      </c>
      <c r="D387" s="31" t="inlineStr">
        <is>
          <t>pharmaceuticals - indian - bulk drugs &amp; formln</t>
        </is>
      </c>
      <c r="E387" s="31" t="inlineStr">
        <is>
          <t>midcap</t>
        </is>
      </c>
      <c r="F387" s="31" t="n">
        <v>11833.67</v>
      </c>
      <c r="G387" s="31" t="n">
        <v>726.6</v>
      </c>
      <c r="H387" s="31" t="n">
        <v>-3.36</v>
      </c>
      <c r="I387" s="31" t="n">
        <v>184803</v>
      </c>
      <c r="J387" s="31" t="inlineStr">
        <is>
          <t>544222</t>
        </is>
      </c>
    </row>
    <row r="388">
      <c r="A388" s="31" t="inlineStr">
        <is>
          <t>PVP</t>
        </is>
      </c>
      <c r="B388" s="31" t="inlineStr">
        <is>
          <t>Pvp Ventures Limited</t>
        </is>
      </c>
      <c r="C388" s="31" t="inlineStr">
        <is>
          <t>realty</t>
        </is>
      </c>
      <c r="D388" s="31" t="inlineStr">
        <is>
          <t>construction</t>
        </is>
      </c>
      <c r="E388" s="31" t="inlineStr">
        <is>
          <t>smallcap</t>
        </is>
      </c>
      <c r="F388" s="31" t="n">
        <v>954.9</v>
      </c>
      <c r="G388" s="31" t="n">
        <v>35.43</v>
      </c>
      <c r="H388" s="31" t="n">
        <v>-3.38</v>
      </c>
      <c r="I388" s="31" t="n">
        <v>577134</v>
      </c>
      <c r="J388" s="31" t="inlineStr">
        <is>
          <t>517556</t>
        </is>
      </c>
    </row>
    <row r="389">
      <c r="A389" s="31" t="inlineStr">
        <is>
          <t>UNIVCABLES</t>
        </is>
      </c>
      <c r="B389" s="31" t="inlineStr">
        <is>
          <t>Universal Cables Limited</t>
        </is>
      </c>
      <c r="C389" s="31" t="inlineStr">
        <is>
          <t>industrials</t>
        </is>
      </c>
      <c r="D389" s="31" t="inlineStr">
        <is>
          <t>cables - power</t>
        </is>
      </c>
      <c r="E389" s="31" t="inlineStr">
        <is>
          <t>midcap</t>
        </is>
      </c>
      <c r="F389" s="31" t="n">
        <v>5905.85</v>
      </c>
      <c r="G389" s="31" t="n">
        <v>1644.4</v>
      </c>
      <c r="H389" s="31" t="n">
        <v>-3.4</v>
      </c>
      <c r="I389" s="31" t="n">
        <v>132271</v>
      </c>
      <c r="J389" s="31" t="inlineStr">
        <is>
          <t>504212</t>
        </is>
      </c>
    </row>
    <row r="390">
      <c r="A390" s="31" t="inlineStr">
        <is>
          <t>REDINGTON</t>
        </is>
      </c>
      <c r="B390" s="31" t="inlineStr">
        <is>
          <t>Redington (india) Limited</t>
        </is>
      </c>
      <c r="C390" s="31" t="inlineStr">
        <is>
          <t>services</t>
        </is>
      </c>
      <c r="D390" s="31" t="inlineStr">
        <is>
          <t>trading</t>
        </is>
      </c>
      <c r="E390" s="31" t="inlineStr">
        <is>
          <t>largecap</t>
        </is>
      </c>
      <c r="F390" s="31" t="n">
        <v>27049.4</v>
      </c>
      <c r="G390" s="31" t="n">
        <v>334.05</v>
      </c>
      <c r="H390" s="31" t="n">
        <v>-3.45</v>
      </c>
      <c r="I390" s="31" t="n">
        <v>1569673</v>
      </c>
      <c r="J390" s="31" t="inlineStr">
        <is>
          <t>532805</t>
        </is>
      </c>
    </row>
    <row r="391">
      <c r="A391" s="31" t="inlineStr">
        <is>
          <t>LAURUSLABS</t>
        </is>
      </c>
      <c r="B391" s="31" t="inlineStr">
        <is>
          <t>Laurus Labs Limited</t>
        </is>
      </c>
      <c r="C391" s="31" t="inlineStr">
        <is>
          <t>healthcare</t>
        </is>
      </c>
      <c r="D391" s="31" t="inlineStr">
        <is>
          <t>pharmaceuticals - indian - bulk drugs &amp; formln</t>
        </is>
      </c>
      <c r="E391" s="31" t="inlineStr">
        <is>
          <t>largecap</t>
        </is>
      </c>
      <c r="F391" s="31" t="n">
        <v>100038.02</v>
      </c>
      <c r="G391" s="31" t="n">
        <v>1787.3</v>
      </c>
      <c r="H391" s="31" t="n">
        <v>-3.48</v>
      </c>
      <c r="I391" s="31" t="n">
        <v>3126171</v>
      </c>
      <c r="J391" s="31" t="inlineStr">
        <is>
          <t>540222</t>
        </is>
      </c>
    </row>
    <row r="392">
      <c r="A392" s="31" t="inlineStr">
        <is>
          <t>KANPRPLA</t>
        </is>
      </c>
      <c r="B392" s="31" t="inlineStr">
        <is>
          <t>Kanpur Plastipack Ltd</t>
        </is>
      </c>
      <c r="C392" s="31" t="inlineStr">
        <is>
          <t>industrials</t>
        </is>
      </c>
      <c r="D392" s="31" t="inlineStr">
        <is>
          <t>packaging</t>
        </is>
      </c>
      <c r="E392" s="31" t="inlineStr">
        <is>
          <t>smallcap</t>
        </is>
      </c>
      <c r="F392" s="31" t="n">
        <v>637.38</v>
      </c>
      <c r="G392" s="31" t="n">
        <v>251.18</v>
      </c>
      <c r="H392" s="31" t="n">
        <v>-3.53</v>
      </c>
      <c r="I392" s="31" t="n">
        <v>88216</v>
      </c>
      <c r="J392" s="31" t="inlineStr">
        <is>
          <t>507779</t>
        </is>
      </c>
    </row>
    <row r="393">
      <c r="A393" s="31" t="inlineStr">
        <is>
          <t>NILKAMAL</t>
        </is>
      </c>
      <c r="B393" s="31" t="inlineStr">
        <is>
          <t>Nilkamal Limited</t>
        </is>
      </c>
      <c r="C393" s="31" t="inlineStr">
        <is>
          <t>plastic products</t>
        </is>
      </c>
      <c r="D393" s="31" t="inlineStr">
        <is>
          <t>plastics products</t>
        </is>
      </c>
      <c r="E393" s="31" t="inlineStr">
        <is>
          <t>smallcap</t>
        </is>
      </c>
      <c r="F393" s="31" t="n">
        <v>2884.08</v>
      </c>
      <c r="G393" s="31" t="n">
        <v>1860</v>
      </c>
      <c r="H393" s="31" t="n">
        <v>-3.76</v>
      </c>
      <c r="I393" s="31" t="n">
        <v>36199</v>
      </c>
      <c r="J393" s="31" t="inlineStr">
        <is>
          <t>523385</t>
        </is>
      </c>
    </row>
    <row r="394">
      <c r="A394" s="31" t="inlineStr">
        <is>
          <t>KOTHARIPET</t>
        </is>
      </c>
      <c r="B394" s="31" t="inlineStr">
        <is>
          <t>Kothari Petrochemicals Limited</t>
        </is>
      </c>
      <c r="C394" s="31" t="inlineStr">
        <is>
          <t>energy</t>
        </is>
      </c>
      <c r="D394" s="31" t="inlineStr">
        <is>
          <t>petrochemicals</t>
        </is>
      </c>
      <c r="E394" s="31" t="inlineStr">
        <is>
          <t>smallcap</t>
        </is>
      </c>
      <c r="F394" s="31" t="n">
        <v>880.64</v>
      </c>
      <c r="G394" s="31" t="n">
        <v>143.92</v>
      </c>
      <c r="H394" s="31" t="n">
        <v>-3.83</v>
      </c>
      <c r="I394" s="31" t="n">
        <v>102864</v>
      </c>
      <c r="J394" s="31" t="inlineStr">
        <is>
          <t>532096</t>
        </is>
      </c>
    </row>
    <row r="395">
      <c r="A395" s="31" t="inlineStr">
        <is>
          <t>JBCHEPHARM</t>
        </is>
      </c>
      <c r="B395" s="31" t="inlineStr">
        <is>
          <t>Jb Chemicals &amp; Pharmaceuticals Limited</t>
        </is>
      </c>
      <c r="C395" s="31" t="inlineStr">
        <is>
          <t>healthcare</t>
        </is>
      </c>
      <c r="D395" s="31" t="inlineStr">
        <is>
          <t>pharmaceuticals - indian - bulk drugs &amp; formln</t>
        </is>
      </c>
      <c r="E395" s="31" t="inlineStr">
        <is>
          <t>largecap</t>
        </is>
      </c>
      <c r="F395" s="31" t="n">
        <v>38676.99</v>
      </c>
      <c r="G395" s="31" t="n">
        <v>2408.9</v>
      </c>
      <c r="H395" s="31" t="n">
        <v>-3.87</v>
      </c>
      <c r="I395" s="31" t="n">
        <v>14337672</v>
      </c>
      <c r="J395" s="31" t="inlineStr">
        <is>
          <t>506943</t>
        </is>
      </c>
    </row>
    <row r="396">
      <c r="A396" s="31" t="inlineStr">
        <is>
          <t>TCPLPACK</t>
        </is>
      </c>
      <c r="B396" s="31" t="inlineStr">
        <is>
          <t>TCPL Packaging Ltd</t>
        </is>
      </c>
      <c r="C396" s="31" t="inlineStr">
        <is>
          <t>industrials</t>
        </is>
      </c>
      <c r="D396" s="31" t="inlineStr">
        <is>
          <t>packaging</t>
        </is>
      </c>
      <c r="E396" s="31" t="inlineStr">
        <is>
          <t>smallcap</t>
        </is>
      </c>
      <c r="F396" s="31" t="n">
        <v>3872.23</v>
      </c>
      <c r="G396" s="31" t="n">
        <v>4088.8</v>
      </c>
      <c r="H396" s="31" t="n">
        <v>-3.91</v>
      </c>
      <c r="I396" s="31" t="n">
        <v>15485</v>
      </c>
      <c r="J396" s="31" t="inlineStr">
        <is>
          <t>523301</t>
        </is>
      </c>
    </row>
    <row r="397">
      <c r="A397" s="31" t="inlineStr">
        <is>
          <t>SIGMAADV</t>
        </is>
      </c>
      <c r="B397" s="31" t="inlineStr">
        <is>
          <t>Sigma Advanced System Ltd</t>
        </is>
      </c>
      <c r="C397" s="31" t="inlineStr">
        <is>
          <t>aerospace &amp; defence</t>
        </is>
      </c>
      <c r="D397" s="31" t="inlineStr">
        <is>
          <t>electronics - components</t>
        </is>
      </c>
      <c r="E397" s="31" t="inlineStr">
        <is>
          <t>midcap</t>
        </is>
      </c>
      <c r="F397" s="31" t="n">
        <v>13021.23</v>
      </c>
      <c r="G397" s="31" t="n">
        <v>660.1</v>
      </c>
      <c r="H397" s="31" t="n">
        <v>-3.94</v>
      </c>
      <c r="I397" s="31" t="n">
        <v>367776</v>
      </c>
      <c r="J397" s="31" t="inlineStr">
        <is>
          <t>532408</t>
        </is>
      </c>
    </row>
    <row r="398">
      <c r="A398" s="31" t="inlineStr">
        <is>
          <t>KENNAMET</t>
        </is>
      </c>
      <c r="B398" s="31" t="inlineStr">
        <is>
          <t>Kennametal India Ltd</t>
        </is>
      </c>
      <c r="C398" s="31" t="inlineStr">
        <is>
          <t>industrials</t>
        </is>
      </c>
      <c r="D398" s="31" t="inlineStr">
        <is>
          <t>castings &amp; forgings</t>
        </is>
      </c>
      <c r="E398" s="31" t="inlineStr">
        <is>
          <t>midcap</t>
        </is>
      </c>
      <c r="F398" s="31" t="n">
        <v>8075.03</v>
      </c>
      <c r="G398" s="31" t="n">
        <v>3527</v>
      </c>
      <c r="H398" s="31" t="n">
        <v>-4</v>
      </c>
      <c r="I398" s="31" t="n">
        <v>164275</v>
      </c>
      <c r="J398" s="31" t="inlineStr">
        <is>
          <t>505890</t>
        </is>
      </c>
    </row>
    <row r="399">
      <c r="A399" s="31" t="inlineStr">
        <is>
          <t>SALSTEEL</t>
        </is>
      </c>
      <c r="B399" s="31" t="inlineStr">
        <is>
          <t>SAL Steel</t>
        </is>
      </c>
      <c r="C399" s="31" t="inlineStr">
        <is>
          <t>metals &amp; mining</t>
        </is>
      </c>
      <c r="D399" s="31" t="inlineStr">
        <is>
          <t>steel - sponge iron</t>
        </is>
      </c>
      <c r="E399" s="31" t="inlineStr">
        <is>
          <t>smallcap</t>
        </is>
      </c>
      <c r="F399" s="31" t="n">
        <v>1003.96</v>
      </c>
      <c r="G399" s="31" t="n">
        <v>66.42</v>
      </c>
      <c r="H399" s="31" t="n">
        <v>-4.22</v>
      </c>
      <c r="I399" s="31" t="n">
        <v>2066875</v>
      </c>
      <c r="J399" s="31" t="inlineStr">
        <is>
          <t>532604</t>
        </is>
      </c>
    </row>
    <row r="400">
      <c r="A400" s="31" t="inlineStr">
        <is>
          <t>CYIENTDLM</t>
        </is>
      </c>
      <c r="B400" s="31" t="inlineStr">
        <is>
          <t>Cyient DLM Ltd</t>
        </is>
      </c>
      <c r="C400" s="31" t="inlineStr">
        <is>
          <t>aerospace &amp; defence</t>
        </is>
      </c>
      <c r="D400" s="31" t="inlineStr">
        <is>
          <t>electronics - components</t>
        </is>
      </c>
      <c r="E400" s="31" t="inlineStr">
        <is>
          <t>midcap</t>
        </is>
      </c>
      <c r="F400" s="31" t="n">
        <v>5780.3</v>
      </c>
      <c r="G400" s="31" t="n">
        <v>696.65</v>
      </c>
      <c r="H400" s="31" t="n">
        <v>-4.33</v>
      </c>
      <c r="I400" s="31" t="n">
        <v>391201</v>
      </c>
      <c r="J400" s="31" t="inlineStr">
        <is>
          <t>543933</t>
        </is>
      </c>
    </row>
    <row r="401">
      <c r="A401" s="31" t="inlineStr">
        <is>
          <t>BIRLACABLE</t>
        </is>
      </c>
      <c r="B401" s="31" t="inlineStr">
        <is>
          <t>Birla Cable Limited</t>
        </is>
      </c>
      <c r="C401" s="31" t="inlineStr">
        <is>
          <t>industrials</t>
        </is>
      </c>
      <c r="D401" s="31" t="inlineStr">
        <is>
          <t>cables - telephone</t>
        </is>
      </c>
      <c r="E401" s="31" t="inlineStr">
        <is>
          <t>smallcap</t>
        </is>
      </c>
      <c r="F401" s="31" t="n">
        <v>908.97</v>
      </c>
      <c r="G401" s="31" t="n">
        <v>288.44</v>
      </c>
      <c r="H401" s="31" t="n">
        <v>-4.8</v>
      </c>
      <c r="I401" s="31" t="n">
        <v>238984</v>
      </c>
      <c r="J401" s="31" t="inlineStr">
        <is>
          <t>500060</t>
        </is>
      </c>
    </row>
    <row r="402">
      <c r="A402" s="31" t="inlineStr">
        <is>
          <t>VALIANTORG</t>
        </is>
      </c>
      <c r="B402" s="31" t="inlineStr">
        <is>
          <t>Valiant Organics Ltd</t>
        </is>
      </c>
      <c r="C402" s="31" t="inlineStr">
        <is>
          <t>chemicals</t>
        </is>
      </c>
      <c r="D402" s="31" t="inlineStr">
        <is>
          <t>chemicals</t>
        </is>
      </c>
      <c r="E402" s="31" t="inlineStr">
        <is>
          <t>smallcap</t>
        </is>
      </c>
      <c r="F402" s="31" t="n">
        <v>957.52</v>
      </c>
      <c r="G402" s="31" t="n">
        <v>324.5</v>
      </c>
      <c r="H402" s="31" t="n">
        <v>-4.99</v>
      </c>
      <c r="I402" s="31" t="n">
        <v>29133</v>
      </c>
      <c r="J402" s="31" t="inlineStr">
        <is>
          <t>540145</t>
        </is>
      </c>
    </row>
    <row r="403">
      <c r="A403" s="31" t="inlineStr">
        <is>
          <t>UEL</t>
        </is>
      </c>
      <c r="B403" s="31" t="inlineStr">
        <is>
          <t>Ujaas Energy Ltd</t>
        </is>
      </c>
      <c r="C403" s="31" t="inlineStr">
        <is>
          <t>power &amp; utilities</t>
        </is>
      </c>
      <c r="D403" s="31" t="inlineStr">
        <is>
          <t>power generation and supply</t>
        </is>
      </c>
      <c r="E403" s="31" t="inlineStr">
        <is>
          <t>smallcap</t>
        </is>
      </c>
      <c r="F403" s="31" t="n">
        <v>3288.26</v>
      </c>
      <c r="G403" s="31" t="n">
        <v>234.18</v>
      </c>
      <c r="H403" s="31" t="n">
        <v>-5</v>
      </c>
      <c r="I403" s="31" t="n">
        <v>2897</v>
      </c>
      <c r="J403" s="31" t="inlineStr">
        <is>
          <t>533644</t>
        </is>
      </c>
    </row>
    <row r="404">
      <c r="A404" s="31" t="inlineStr">
        <is>
          <t>MMFL</t>
        </is>
      </c>
      <c r="B404" s="31" t="inlineStr">
        <is>
          <t>Mm Forgings Limited</t>
        </is>
      </c>
      <c r="C404" s="31" t="inlineStr">
        <is>
          <t>industrials</t>
        </is>
      </c>
      <c r="D404" s="31" t="inlineStr">
        <is>
          <t>castings &amp; forgings</t>
        </is>
      </c>
      <c r="E404" s="31" t="inlineStr">
        <is>
          <t>smallcap</t>
        </is>
      </c>
      <c r="F404" s="31" t="n">
        <v>3001.18</v>
      </c>
      <c r="G404" s="31" t="n">
        <v>589.75</v>
      </c>
      <c r="H404" s="31" t="n">
        <v>-5.12</v>
      </c>
      <c r="I404" s="31" t="n">
        <v>242898</v>
      </c>
      <c r="J404" s="31" t="inlineStr">
        <is>
          <t>522241</t>
        </is>
      </c>
    </row>
  </sheetData>
  <autoFilter ref="A1:J4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UNIPARTS</t>
        </is>
      </c>
      <c r="E2" s="31" t="inlineStr">
        <is>
          <t>Uniparts India Ltd</t>
        </is>
      </c>
      <c r="F2" s="31" t="inlineStr">
        <is>
          <t>Castings, Forgings &amp; Fastners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25</v>
      </c>
      <c r="K2" s="31" t="n">
        <v>29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E2E</t>
        </is>
      </c>
      <c r="E3" s="31" t="inlineStr">
        <is>
          <t>E2E Networks Ltd</t>
        </is>
      </c>
      <c r="F3" s="31" t="inlineStr">
        <is>
          <t>Data Centre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20</v>
      </c>
      <c r="K3" s="31" t="n">
        <v>19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HAPPYFORGE</t>
        </is>
      </c>
      <c r="E4" s="31" t="inlineStr">
        <is>
          <t>Happy Forgings Ltd</t>
        </is>
      </c>
      <c r="F4" s="31" t="inlineStr">
        <is>
          <t>Castings, Forgings &amp; Fastners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21</v>
      </c>
      <c r="K4" s="31" t="n">
        <v>30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DIVGIITTS</t>
        </is>
      </c>
      <c r="E5" s="31" t="inlineStr">
        <is>
          <t>Divgi Torqtransfer Systems Ltd</t>
        </is>
      </c>
      <c r="F5" s="31" t="inlineStr">
        <is>
          <t>Auto Ancillaries - Transmission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27</v>
      </c>
      <c r="K5" s="31" t="n">
        <v>27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NEULANDLAB</t>
        </is>
      </c>
      <c r="E6" s="31" t="inlineStr">
        <is>
          <t>Neuland Laboratories Limited</t>
        </is>
      </c>
      <c r="F6" s="31" t="inlineStr">
        <is>
          <t>Pharma - API &amp; CRAMS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26</v>
      </c>
      <c r="K6" s="31" t="n">
        <v>27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KRISHANA</t>
        </is>
      </c>
      <c r="E7" s="31" t="inlineStr">
        <is>
          <t>Krishana Phoschem Ltd</t>
        </is>
      </c>
      <c r="F7" s="31" t="inlineStr">
        <is>
          <t>Fertilisers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23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LMW</t>
        </is>
      </c>
      <c r="E8" s="31" t="inlineStr">
        <is>
          <t>LMW Ltd</t>
        </is>
      </c>
      <c r="F8" s="31" t="inlineStr">
        <is>
          <t>Textile machinery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19</v>
      </c>
      <c r="K8" s="31" t="n">
        <v>16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KRN</t>
        </is>
      </c>
      <c r="E9" s="31" t="inlineStr">
        <is>
          <t>KRN Heat Exchanger and Refrigeration Ltd</t>
        </is>
      </c>
      <c r="F9" s="31" t="inlineStr">
        <is>
          <t>Engineering - General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21</v>
      </c>
      <c r="K9" s="31" t="n">
        <v>8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COMSYN</t>
        </is>
      </c>
      <c r="E10" s="31" t="inlineStr">
        <is>
          <t>Commercial Syn Bags Ltd</t>
        </is>
      </c>
      <c r="F10" s="31" t="inlineStr">
        <is>
          <t>Packaging - Polysacks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21</v>
      </c>
      <c r="K10" s="31" t="n">
        <v>17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SCPL</t>
        </is>
      </c>
      <c r="E11" s="31" t="inlineStr">
        <is>
          <t>Sheetal Cool Products Ltd</t>
        </is>
      </c>
      <c r="F11" s="31" t="inlineStr">
        <is>
          <t>Food &amp; Dairy Products</t>
        </is>
      </c>
      <c r="G11" s="31" t="n">
        <v>2</v>
      </c>
      <c r="H11" s="31" t="inlineStr">
        <is>
          <t>52W Breakout</t>
        </is>
      </c>
      <c r="I11" s="31" t="inlineStr">
        <is>
          <t>Yes</t>
        </is>
      </c>
      <c r="J11" s="31" t="n">
        <v>1</v>
      </c>
      <c r="K11" s="31" t="n">
        <v>27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PIXTRANS</t>
        </is>
      </c>
      <c r="E12" s="31" t="inlineStr">
        <is>
          <t>Pix Transmission Ltd</t>
        </is>
      </c>
      <c r="F12" s="31" t="inlineStr">
        <is>
          <t>Rubber Processing/Rubber Products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21</v>
      </c>
      <c r="K12" s="31" t="n">
        <v>18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UJJIVANSFB</t>
        </is>
      </c>
      <c r="E13" s="31" t="inlineStr">
        <is>
          <t>Ujjivan Small Finance Bank Ltd</t>
        </is>
      </c>
      <c r="F13" s="31" t="inlineStr">
        <is>
          <t>Banks - Small Finance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20</v>
      </c>
      <c r="K13" s="31" t="n">
        <v>25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VADILALIND</t>
        </is>
      </c>
      <c r="E14" s="31" t="inlineStr">
        <is>
          <t>Vadilal Industries Limited</t>
        </is>
      </c>
      <c r="F14" s="31" t="inlineStr">
        <is>
          <t>FMCG - Dairy Products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28</v>
      </c>
      <c r="K14" s="31" t="n">
        <v>30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PGIL</t>
        </is>
      </c>
      <c r="E15" s="31" t="inlineStr">
        <is>
          <t>Pearl Global Industries Limited</t>
        </is>
      </c>
      <c r="F15" s="31" t="inlineStr">
        <is>
          <t>Textiles - Readymade Apparel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27</v>
      </c>
      <c r="K15" s="31" t="n">
        <v>26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NGLFINE</t>
        </is>
      </c>
      <c r="E16" s="31" t="inlineStr">
        <is>
          <t>NGL Fine Chem Ltd</t>
        </is>
      </c>
      <c r="F16" s="31" t="inlineStr">
        <is>
          <t>Pharma - Animal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28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TFCILTD</t>
        </is>
      </c>
      <c r="E17" s="31" t="inlineStr">
        <is>
          <t>Tourism Finance Corporation Of India Limited</t>
        </is>
      </c>
      <c r="F17" s="31" t="inlineStr">
        <is>
          <t>Finance - PSU Lending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23</v>
      </c>
      <c r="K17" s="31" t="n">
        <v>24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KDDL</t>
        </is>
      </c>
      <c r="E18" s="31" t="inlineStr">
        <is>
          <t>Kddl Limited</t>
        </is>
      </c>
      <c r="F18" s="31" t="inlineStr">
        <is>
          <t>Watches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21</v>
      </c>
      <c r="K18" s="31" t="n">
        <v>24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SJS</t>
        </is>
      </c>
      <c r="E19" s="31" t="inlineStr">
        <is>
          <t>S J S Enterprises Ltd</t>
        </is>
      </c>
      <c r="F19" s="31" t="inlineStr">
        <is>
          <t>Auto Ancillaries - Diversified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26</v>
      </c>
      <c r="K19" s="31" t="n">
        <v>29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MENONBE</t>
        </is>
      </c>
      <c r="E20" s="31" t="inlineStr">
        <is>
          <t>Menon Bearings Limited</t>
        </is>
      </c>
      <c r="F20" s="31" t="inlineStr">
        <is>
          <t>unknown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0</v>
      </c>
      <c r="K20" s="31" t="n">
        <v>26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INDSWFTLAB</t>
        </is>
      </c>
      <c r="E21" s="31" t="inlineStr">
        <is>
          <t>Ind-swift Laboratories Limited</t>
        </is>
      </c>
      <c r="F21" s="31" t="inlineStr">
        <is>
          <t>Pharma - API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27</v>
      </c>
      <c r="K21" s="31" t="n">
        <v>27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MPSLTD</t>
        </is>
      </c>
      <c r="E22" s="31" t="inlineStr">
        <is>
          <t>Mps Limited</t>
        </is>
      </c>
      <c r="F22" s="31" t="inlineStr">
        <is>
          <t>E-Commerce - Platform - Utility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19</v>
      </c>
      <c r="K22" s="31" t="n">
        <v>17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MODISONLTD</t>
        </is>
      </c>
      <c r="E23" s="31" t="inlineStr">
        <is>
          <t>Modison Ltd</t>
        </is>
      </c>
      <c r="F23" s="31" t="inlineStr">
        <is>
          <t>Capital Goods - Electric General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26</v>
      </c>
      <c r="K23" s="31" t="n">
        <v>14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TDPOWERSYS</t>
        </is>
      </c>
      <c r="E24" s="31" t="inlineStr">
        <is>
          <t>Td Power Systems Limited</t>
        </is>
      </c>
      <c r="F24" s="31" t="inlineStr">
        <is>
          <t>Capital Goods - Gensets/Turbines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23</v>
      </c>
      <c r="K24" s="31" t="n">
        <v>12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INNOVACAP</t>
        </is>
      </c>
      <c r="E25" s="31" t="inlineStr">
        <is>
          <t>Innova Captab Ltd</t>
        </is>
      </c>
      <c r="F25" s="31" t="inlineStr">
        <is>
          <t>Pharma - API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16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SHILPAMED</t>
        </is>
      </c>
      <c r="E26" s="31" t="inlineStr">
        <is>
          <t>Shilpa Medicare Limited</t>
        </is>
      </c>
      <c r="F26" s="31" t="inlineStr">
        <is>
          <t>Pharma - API &amp; CRAMS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25</v>
      </c>
      <c r="K26" s="31" t="n">
        <v>25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CUPID</t>
        </is>
      </c>
      <c r="E27" s="31" t="inlineStr">
        <is>
          <t>Cupid Limited</t>
        </is>
      </c>
      <c r="F27" s="31" t="inlineStr">
        <is>
          <t>Contraceptives/Protectives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30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MARKSANS</t>
        </is>
      </c>
      <c r="E28" s="31" t="inlineStr">
        <is>
          <t>Marksans Pharma Limited</t>
        </is>
      </c>
      <c r="F28" s="31" t="inlineStr">
        <is>
          <t>Pharma - Formulators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30</v>
      </c>
      <c r="K28" s="31" t="n">
        <v>21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AVTNPL</t>
        </is>
      </c>
      <c r="E29" s="31" t="inlineStr">
        <is>
          <t>Avt Natural Products Limited</t>
        </is>
      </c>
      <c r="F29" s="31" t="inlineStr">
        <is>
          <t>Agricultural Processing - Maize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26</v>
      </c>
      <c r="K29" s="31" t="n">
        <v>8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AVALON</t>
        </is>
      </c>
      <c r="E30" s="31" t="inlineStr">
        <is>
          <t>Avalon Technologies Ltd</t>
        </is>
      </c>
      <c r="F30" s="31" t="inlineStr">
        <is>
          <t>Consumer Electronics - EMS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24</v>
      </c>
      <c r="K30" s="31" t="n">
        <v>21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KENNAMET</t>
        </is>
      </c>
      <c r="E31" s="31" t="inlineStr">
        <is>
          <t>Kennametal India Ltd</t>
        </is>
      </c>
      <c r="F31" s="31" t="inlineStr">
        <is>
          <t>Castings, Forgings &amp; Fastners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27</v>
      </c>
      <c r="K31" s="31" t="n">
        <v>18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RPEL</t>
        </is>
      </c>
      <c r="E32" s="31" t="inlineStr">
        <is>
          <t>Raghav Productivity Enhancers Ltd</t>
        </is>
      </c>
      <c r="F32" s="31" t="inlineStr">
        <is>
          <t>Steel Products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22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AJANTPHARM</t>
        </is>
      </c>
      <c r="E33" s="31" t="inlineStr">
        <is>
          <t>Ajanta Pharma Limited</t>
        </is>
      </c>
      <c r="F33" s="31" t="inlineStr">
        <is>
          <t>Pharma - Formulators</t>
        </is>
      </c>
      <c r="G33" s="31" t="n">
        <v>2</v>
      </c>
      <c r="H33" s="31" t="inlineStr">
        <is>
          <t>52W Breakout</t>
        </is>
      </c>
      <c r="I33" s="31" t="inlineStr">
        <is>
          <t>Yes</t>
        </is>
      </c>
      <c r="J33" s="31" t="n">
        <v>14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DYCL</t>
        </is>
      </c>
      <c r="E34" s="31" t="inlineStr">
        <is>
          <t>Dynamic Cables Ltd</t>
        </is>
      </c>
      <c r="F34" s="31" t="inlineStr">
        <is>
          <t>Cables - Power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19</v>
      </c>
      <c r="K34" s="31" t="n">
        <v>7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HFCL</t>
        </is>
      </c>
      <c r="E35" s="31" t="inlineStr">
        <is>
          <t>HFCL Ltd</t>
        </is>
      </c>
      <c r="F35" s="31" t="inlineStr">
        <is>
          <t>Telecom Services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25</v>
      </c>
      <c r="K35" s="31" t="n">
        <v>19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THELEELA</t>
        </is>
      </c>
      <c r="E36" s="31" t="inlineStr">
        <is>
          <t>Leela Palaces Hotels &amp; Resorts Ltd</t>
        </is>
      </c>
      <c r="F36" s="31" t="inlineStr">
        <is>
          <t>Hotels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22</v>
      </c>
      <c r="K36" s="31" t="n">
        <v>24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MINDACORP</t>
        </is>
      </c>
      <c r="E37" s="31" t="inlineStr">
        <is>
          <t>Minda Corporation Limited</t>
        </is>
      </c>
      <c r="F37" s="31" t="inlineStr">
        <is>
          <t>Auto Ancillaries - Diversified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23</v>
      </c>
      <c r="K37" s="31" t="n">
        <v>23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JGCHEM</t>
        </is>
      </c>
      <c r="E38" s="31" t="inlineStr">
        <is>
          <t>J.G.Chemicals Ltd</t>
        </is>
      </c>
      <c r="F38" s="31" t="inlineStr">
        <is>
          <t>Chemicals - Inorganic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25</v>
      </c>
      <c r="K38" s="31" t="n">
        <v>19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SKYGOLD</t>
        </is>
      </c>
      <c r="E39" s="31" t="inlineStr">
        <is>
          <t>Sky Gold Ltd</t>
        </is>
      </c>
      <c r="F39" s="31" t="inlineStr">
        <is>
          <t>Diamond, Gems &amp; Jewellery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31</v>
      </c>
      <c r="K39" s="31" t="n">
        <v>23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NETWEB</t>
        </is>
      </c>
      <c r="E40" s="31" t="inlineStr">
        <is>
          <t>Netweb Technologies India Ltd</t>
        </is>
      </c>
      <c r="F40" s="31" t="inlineStr">
        <is>
          <t>unknown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0</v>
      </c>
      <c r="K40" s="31" t="n">
        <v>19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PANACHE</t>
        </is>
      </c>
      <c r="E41" s="31" t="inlineStr">
        <is>
          <t>Panache Digilife Ltd</t>
        </is>
      </c>
      <c r="F41" s="31" t="inlineStr">
        <is>
          <t>Computer - Hardware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2</v>
      </c>
      <c r="K41" s="31" t="n">
        <v>25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LAURUSLABS</t>
        </is>
      </c>
      <c r="E42" s="31" t="inlineStr">
        <is>
          <t>Laurus Labs Limited</t>
        </is>
      </c>
      <c r="F42" s="31" t="inlineStr">
        <is>
          <t>Pharma - API &amp; CRAMS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21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GLAND</t>
        </is>
      </c>
      <c r="E43" s="31" t="inlineStr">
        <is>
          <t>Gland Pharma Ltd</t>
        </is>
      </c>
      <c r="F43" s="31" t="inlineStr">
        <is>
          <t>Pharma - API &amp; CRAMS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21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OFSS</t>
        </is>
      </c>
      <c r="E44" s="31" t="inlineStr">
        <is>
          <t>Oracle Financial Services Software Limited</t>
        </is>
      </c>
      <c r="F44" s="31" t="inlineStr">
        <is>
          <t>IT Product Companies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21</v>
      </c>
      <c r="K44" s="31" t="n">
        <v>20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UNIVCABLES</t>
        </is>
      </c>
      <c r="E45" s="31" t="inlineStr">
        <is>
          <t>Universal Cables Limited</t>
        </is>
      </c>
      <c r="F45" s="31" t="inlineStr">
        <is>
          <t>Cables - Power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26</v>
      </c>
      <c r="K45" s="31" t="n">
        <v>22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IRISDOREME</t>
        </is>
      </c>
      <c r="E46" s="31" t="inlineStr">
        <is>
          <t>Iris Clothings Ltd</t>
        </is>
      </c>
      <c r="F46" s="31" t="inlineStr">
        <is>
          <t>Textiles - Readymade Apparel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22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FINCABLES</t>
        </is>
      </c>
      <c r="E47" s="31" t="inlineStr">
        <is>
          <t>Finolex Cables Limited</t>
        </is>
      </c>
      <c r="F47" s="31" t="inlineStr">
        <is>
          <t>Cables - Telecom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22</v>
      </c>
      <c r="K47" s="31" t="n">
        <v>16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ARVSMART</t>
        </is>
      </c>
      <c r="E48" s="31" t="inlineStr">
        <is>
          <t>Arvind Smartspaces Limited</t>
        </is>
      </c>
      <c r="F48" s="31" t="inlineStr">
        <is>
          <t>Realty - Construction &amp; Contracting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10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AZAD</t>
        </is>
      </c>
      <c r="E49" s="31" t="inlineStr">
        <is>
          <t>Azad Engineering Ltd</t>
        </is>
      </c>
      <c r="F49" s="31" t="inlineStr">
        <is>
          <t>Aerospace &amp; Defence - Equipments</t>
        </is>
      </c>
      <c r="G49" s="31" t="n">
        <v>2</v>
      </c>
      <c r="H49" s="31" t="inlineStr">
        <is>
          <t>52W Breakout</t>
        </is>
      </c>
      <c r="I49" s="31" t="inlineStr">
        <is>
          <t>Yes</t>
        </is>
      </c>
      <c r="J49" s="31" t="n">
        <v>15</v>
      </c>
      <c r="K49" s="31" t="n">
        <v>17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HAL</t>
        </is>
      </c>
      <c r="E50" s="31" t="inlineStr">
        <is>
          <t>Hindustan Aeronautics Ltd</t>
        </is>
      </c>
      <c r="F50" s="31" t="inlineStr">
        <is>
          <t>Aerospace &amp; Defence - Equipments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9</v>
      </c>
      <c r="K50" s="31" t="n">
        <v>25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WELCORP</t>
        </is>
      </c>
      <c r="E51" s="31" t="inlineStr">
        <is>
          <t>Welspun Corp Limited</t>
        </is>
      </c>
      <c r="F51" s="31" t="inlineStr">
        <is>
          <t>DI Pipes/Saw Pipes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16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TCPLPACK</t>
        </is>
      </c>
      <c r="E52" s="31" t="inlineStr">
        <is>
          <t>TCPL Packaging Ltd</t>
        </is>
      </c>
      <c r="F52" s="31" t="inlineStr">
        <is>
          <t>Packaging - FMCG/Consumers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21</v>
      </c>
      <c r="K52" s="31" t="n">
        <v>14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MOREPENLAB</t>
        </is>
      </c>
      <c r="E53" s="31" t="inlineStr">
        <is>
          <t>Morepen Laboratories Limited</t>
        </is>
      </c>
      <c r="F53" s="31" t="inlineStr">
        <is>
          <t>Pharma - API &amp; CRAMS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27</v>
      </c>
      <c r="K53" s="31" t="n">
        <v>14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ENTERO</t>
        </is>
      </c>
      <c r="E54" s="31" t="inlineStr">
        <is>
          <t>Entero Healthcare Solutions Ltd</t>
        </is>
      </c>
      <c r="F54" s="31" t="inlineStr">
        <is>
          <t>Pharmacy Distribution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30</v>
      </c>
      <c r="K54" s="31" t="n">
        <v>16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HONASA</t>
        </is>
      </c>
      <c r="E55" s="31" t="inlineStr">
        <is>
          <t>Honasa Consumer Ltd</t>
        </is>
      </c>
      <c r="F55" s="31" t="inlineStr">
        <is>
          <t>New age - Platform - E-Retail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28</v>
      </c>
      <c r="K55" s="31" t="n">
        <v>23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PRECWIRE</t>
        </is>
      </c>
      <c r="E56" s="31" t="inlineStr">
        <is>
          <t>Precision Wires India Limited</t>
        </is>
      </c>
      <c r="F56" s="31" t="inlineStr">
        <is>
          <t>Copper Wires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26</v>
      </c>
      <c r="K56" s="31" t="n">
        <v>11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RRKABEL</t>
        </is>
      </c>
      <c r="E57" s="31" t="inlineStr">
        <is>
          <t>R R Kabel Ltd</t>
        </is>
      </c>
      <c r="F57" s="31" t="inlineStr">
        <is>
          <t>Cables - Power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19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YASHO</t>
        </is>
      </c>
      <c r="E58" s="31" t="inlineStr">
        <is>
          <t>Yasho Industries Ltd</t>
        </is>
      </c>
      <c r="F58" s="31" t="inlineStr">
        <is>
          <t>Speciality Chemicals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24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CHENNPETRO</t>
        </is>
      </c>
      <c r="E59" s="31" t="inlineStr">
        <is>
          <t>Chennai Petroleum Corporation Limited</t>
        </is>
      </c>
      <c r="F59" s="31" t="inlineStr">
        <is>
          <t>Refineries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26</v>
      </c>
      <c r="K59" s="31" t="n">
        <v>18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SANSERA</t>
        </is>
      </c>
      <c r="E60" s="31" t="inlineStr">
        <is>
          <t>Sansera Engineering Ltd</t>
        </is>
      </c>
      <c r="F60" s="31" t="inlineStr">
        <is>
          <t>Auto Ancillaries - Diversified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20</v>
      </c>
      <c r="K60" s="31" t="n">
        <v>27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STEELCAS</t>
        </is>
      </c>
      <c r="E61" s="31" t="inlineStr">
        <is>
          <t>Steelcast Ltd</t>
        </is>
      </c>
      <c r="F61" s="31" t="inlineStr">
        <is>
          <t>Castings, Forgings &amp; Fastners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11</v>
      </c>
      <c r="K61" s="31" t="n">
        <v>25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KALYANKJIL</t>
        </is>
      </c>
      <c r="E62" s="31" t="inlineStr">
        <is>
          <t>Kalyan Jewellers India Ltd</t>
        </is>
      </c>
      <c r="F62" s="31" t="inlineStr">
        <is>
          <t>unknown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0</v>
      </c>
      <c r="K62" s="31" t="n">
        <v>19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HEG</t>
        </is>
      </c>
      <c r="E63" s="31" t="inlineStr">
        <is>
          <t>Heg Limited</t>
        </is>
      </c>
      <c r="F63" s="31" t="inlineStr">
        <is>
          <t>Electrodes - Welding Equipment</t>
        </is>
      </c>
      <c r="G63" s="31" t="n">
        <v>2</v>
      </c>
      <c r="H63" s="31" t="inlineStr">
        <is>
          <t>52W Breakout</t>
        </is>
      </c>
      <c r="I63" s="31" t="inlineStr">
        <is>
          <t>Yes</t>
        </is>
      </c>
      <c r="J63" s="31" t="n">
        <v>15</v>
      </c>
      <c r="K63" s="31" t="n">
        <v>19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MANORAMA</t>
        </is>
      </c>
      <c r="E64" s="31" t="inlineStr">
        <is>
          <t>Manorama Industries Ltd</t>
        </is>
      </c>
      <c r="F64" s="31" t="inlineStr">
        <is>
          <t>FMCG - Chocolate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24</v>
      </c>
      <c r="K64" s="31" t="n">
        <v>20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MUNJALAU</t>
        </is>
      </c>
      <c r="E65" s="31" t="inlineStr">
        <is>
          <t>Munjal Auto Industries Limited</t>
        </is>
      </c>
      <c r="F65" s="31" t="inlineStr">
        <is>
          <t>Auto Ancillaries - Diversified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20</v>
      </c>
      <c r="K65" s="31" t="n">
        <v>11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MANINDS</t>
        </is>
      </c>
      <c r="E66" s="31" t="inlineStr">
        <is>
          <t>Man Industries (india) Limited</t>
        </is>
      </c>
      <c r="F66" s="31" t="inlineStr">
        <is>
          <t>Steel - Tubes/Pipes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20</v>
      </c>
      <c r="K66" s="31" t="n">
        <v>13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STLTECH</t>
        </is>
      </c>
      <c r="E67" s="31" t="inlineStr">
        <is>
          <t>Sterlite Technologies Limited</t>
        </is>
      </c>
      <c r="F67" s="31" t="inlineStr">
        <is>
          <t>Cables - Telecom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21</v>
      </c>
      <c r="K67" s="31" t="n">
        <v>20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MACPOWER</t>
        </is>
      </c>
      <c r="E68" s="31" t="inlineStr">
        <is>
          <t>Macpower CNC Machines Ltd</t>
        </is>
      </c>
      <c r="F68" s="31" t="inlineStr">
        <is>
          <t>CNC - Machines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24</v>
      </c>
      <c r="K68" s="31" t="n">
        <v>26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KMEW</t>
        </is>
      </c>
      <c r="E69" s="31" t="inlineStr">
        <is>
          <t>Knowledge Marine &amp; Engineering Works Ltd</t>
        </is>
      </c>
      <c r="F69" s="31" t="inlineStr">
        <is>
          <t>Shipping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19</v>
      </c>
      <c r="K69" s="31" t="n">
        <v>29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BOSCHLTD</t>
        </is>
      </c>
      <c r="E70" s="31" t="inlineStr">
        <is>
          <t>Bosch Limited</t>
        </is>
      </c>
      <c r="F70" s="31" t="inlineStr">
        <is>
          <t>Auto Ancillaries - Diversified</t>
        </is>
      </c>
      <c r="G70" s="31" t="n">
        <v>2</v>
      </c>
      <c r="H70" s="31" t="inlineStr">
        <is>
          <t>52W Breakout</t>
        </is>
      </c>
      <c r="I70" s="31" t="inlineStr">
        <is>
          <t>Yes</t>
        </is>
      </c>
      <c r="J70" s="31" t="n">
        <v>10</v>
      </c>
      <c r="K70" s="31" t="n">
        <v>25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VRLLOG</t>
        </is>
      </c>
      <c r="E71" s="31" t="inlineStr">
        <is>
          <t>Vrl Logistics Limited</t>
        </is>
      </c>
      <c r="F71" s="31" t="inlineStr">
        <is>
          <t>unknown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0</v>
      </c>
      <c r="K71" s="31" t="n">
        <v>14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AARTIPHARM</t>
        </is>
      </c>
      <c r="E72" s="31" t="inlineStr">
        <is>
          <t>Aarti Pharmalabs Ltd</t>
        </is>
      </c>
      <c r="F72" s="31" t="inlineStr">
        <is>
          <t>Pharma - API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21</v>
      </c>
      <c r="K72" s="31" t="n">
        <v>5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ASKAUTOLTD</t>
        </is>
      </c>
      <c r="E73" s="31" t="inlineStr">
        <is>
          <t>ASK Automotive Ltd</t>
        </is>
      </c>
      <c r="F73" s="31" t="inlineStr">
        <is>
          <t>Auto Ancillaries - 2 Wheelers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21</v>
      </c>
      <c r="K73" s="31" t="n">
        <v>24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SBCL</t>
        </is>
      </c>
      <c r="E74" s="31" t="inlineStr">
        <is>
          <t>Shivalik Bimetal Controls Ltd</t>
        </is>
      </c>
      <c r="F74" s="31" t="inlineStr">
        <is>
          <t>unknown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0</v>
      </c>
      <c r="K74" s="31" t="n">
        <v>23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LUMAXTECH</t>
        </is>
      </c>
      <c r="E75" s="31" t="inlineStr">
        <is>
          <t>Lumax Auto Technologies Limited</t>
        </is>
      </c>
      <c r="F75" s="31" t="inlineStr">
        <is>
          <t>Auto Ancillaries - Diversified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27</v>
      </c>
      <c r="K75" s="31" t="n">
        <v>11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ARROWGREEN</t>
        </is>
      </c>
      <c r="E76" s="31" t="inlineStr">
        <is>
          <t>Arrow Greentech Limited</t>
        </is>
      </c>
      <c r="F76" s="31" t="inlineStr">
        <is>
          <t>Plastics - Plastic &amp; Plastic Products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20</v>
      </c>
      <c r="K76" s="31" t="n">
        <v>19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PAYTM</t>
        </is>
      </c>
      <c r="E77" s="31" t="inlineStr">
        <is>
          <t>One 97 Communications Ltd</t>
        </is>
      </c>
      <c r="F77" s="31" t="inlineStr">
        <is>
          <t>E-Commerce - Platform - Utility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22</v>
      </c>
      <c r="K77" s="31" t="n">
        <v>22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TVSSRICHAK</t>
        </is>
      </c>
      <c r="E78" s="31" t="inlineStr">
        <is>
          <t>Tvs Srichakra Limited</t>
        </is>
      </c>
      <c r="F78" s="31" t="inlineStr">
        <is>
          <t>Tyres &amp; Tubes</t>
        </is>
      </c>
      <c r="G78" s="31" t="n">
        <v>2</v>
      </c>
      <c r="H78" s="31" t="inlineStr">
        <is>
          <t>EMA Crossover</t>
        </is>
      </c>
      <c r="I78" s="31" t="inlineStr">
        <is>
          <t>Yes</t>
        </is>
      </c>
      <c r="J78" s="31" t="n">
        <v>18</v>
      </c>
      <c r="K78" s="31" t="n">
        <v>12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KAPSTON</t>
        </is>
      </c>
      <c r="E79" s="31" t="inlineStr">
        <is>
          <t>Kapston Services Ltd</t>
        </is>
      </c>
      <c r="F79" s="31" t="inlineStr">
        <is>
          <t>unknown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0</v>
      </c>
      <c r="K79" s="31" t="n">
        <v>30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DOLPHIN</t>
        </is>
      </c>
      <c r="E80" s="31" t="inlineStr">
        <is>
          <t>Dolphin Offshore Enterprises (India) Ltd</t>
        </is>
      </c>
      <c r="F80" s="31" t="inlineStr">
        <is>
          <t>Oil Drilling &amp; Exploration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24</v>
      </c>
      <c r="K80" s="31" t="n">
        <v>10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KABRAEXTRU</t>
        </is>
      </c>
      <c r="E81" s="31" t="inlineStr">
        <is>
          <t>Kabra Extrusion Technik Limited</t>
        </is>
      </c>
      <c r="F81" s="31" t="inlineStr">
        <is>
          <t>Capital Goods - Engineering Heavy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23</v>
      </c>
      <c r="K81" s="31" t="n">
        <v>21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BHEL</t>
        </is>
      </c>
      <c r="E82" s="31" t="inlineStr">
        <is>
          <t>Bharat Heavy Electricals Limited</t>
        </is>
      </c>
      <c r="F82" s="31" t="inlineStr">
        <is>
          <t>Capital Goods - Engineering Heavy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19</v>
      </c>
      <c r="K82" s="31" t="n">
        <v>16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EMIL</t>
        </is>
      </c>
      <c r="E83" s="31" t="inlineStr">
        <is>
          <t>Electronics Mart India Ltd</t>
        </is>
      </c>
      <c r="F83" s="31" t="inlineStr">
        <is>
          <t>Retail - Electronics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31</v>
      </c>
      <c r="K83" s="31" t="n">
        <v>8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PITTIENG</t>
        </is>
      </c>
      <c r="E84" s="31" t="inlineStr">
        <is>
          <t>Pitti Engineering Ltd</t>
        </is>
      </c>
      <c r="F84" s="31" t="inlineStr">
        <is>
          <t>Capital Goods - Engineering General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20</v>
      </c>
      <c r="K84" s="31" t="n">
        <v>13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VSSL</t>
        </is>
      </c>
      <c r="E85" s="31" t="inlineStr">
        <is>
          <t>Vardhman Special Steels Limited</t>
        </is>
      </c>
      <c r="F85" s="31" t="inlineStr">
        <is>
          <t>Steel Products</t>
        </is>
      </c>
      <c r="G85" s="31" t="n">
        <v>2</v>
      </c>
      <c r="H85" s="31" t="inlineStr">
        <is>
          <t>52W Breakout</t>
        </is>
      </c>
      <c r="I85" s="31" t="inlineStr">
        <is>
          <t>Yes</t>
        </is>
      </c>
      <c r="J85" s="31" t="n">
        <v>18</v>
      </c>
      <c r="K85" s="31" t="n">
        <v>26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MBAPL</t>
        </is>
      </c>
      <c r="E86" s="31" t="inlineStr">
        <is>
          <t>Madhya Bharat Agro Products Ltd</t>
        </is>
      </c>
      <c r="F86" s="31" t="inlineStr">
        <is>
          <t>Fertilisers</t>
        </is>
      </c>
      <c r="G86" s="31" t="n">
        <v>2</v>
      </c>
      <c r="H86" s="31" t="inlineStr">
        <is>
          <t>52W Breakout</t>
        </is>
      </c>
      <c r="I86" s="31" t="inlineStr">
        <is>
          <t>Yes</t>
        </is>
      </c>
      <c r="J86" s="31" t="n">
        <v>14</v>
      </c>
      <c r="K86" s="31" t="n">
        <v>26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RAMRAT</t>
        </is>
      </c>
      <c r="E87" s="31" t="inlineStr">
        <is>
          <t>Ram Ratna Wires Ltd</t>
        </is>
      </c>
      <c r="F87" s="31" t="inlineStr">
        <is>
          <t>unknown</t>
        </is>
      </c>
      <c r="G87" s="31" t="n">
        <v>2</v>
      </c>
      <c r="H87" s="31" t="inlineStr">
        <is>
          <t>No</t>
        </is>
      </c>
      <c r="I87" s="31" t="inlineStr">
        <is>
          <t>Yes</t>
        </is>
      </c>
      <c r="J87" s="31" t="n">
        <v>0</v>
      </c>
      <c r="K87" s="31" t="n">
        <v>16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RATNAVEER</t>
        </is>
      </c>
      <c r="E88" s="31" t="inlineStr">
        <is>
          <t>Ratnaveer Precision Engineering Ltd</t>
        </is>
      </c>
      <c r="F88" s="31" t="inlineStr">
        <is>
          <t>Stainless Steel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20</v>
      </c>
      <c r="K88" s="31" t="n">
        <v>22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GALAXYSURF</t>
        </is>
      </c>
      <c r="E89" s="31" t="inlineStr">
        <is>
          <t>Galaxy Surfactants Ltd</t>
        </is>
      </c>
      <c r="F89" s="31" t="inlineStr">
        <is>
          <t>Speciality Chemicals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26</v>
      </c>
      <c r="K89" s="31" t="n">
        <v>2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KOLTEPATIL</t>
        </is>
      </c>
      <c r="E90" s="31" t="inlineStr">
        <is>
          <t>Kolte - Patil Developers Limited</t>
        </is>
      </c>
      <c r="F90" s="31" t="inlineStr">
        <is>
          <t>Realty - Construction &amp; Contracting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26</v>
      </c>
      <c r="K90" s="31" t="n">
        <v>13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RBA</t>
        </is>
      </c>
      <c r="E91" s="31" t="inlineStr">
        <is>
          <t>Restaurant Brands Asia Ltd</t>
        </is>
      </c>
      <c r="F91" s="31" t="inlineStr">
        <is>
          <t>Quick Service Restaurant - QSR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19</v>
      </c>
      <c r="K91" s="31" t="n">
        <v>19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SOTL</t>
        </is>
      </c>
      <c r="E92" s="31" t="inlineStr">
        <is>
          <t>Savita Oil Technologies Limited</t>
        </is>
      </c>
      <c r="F92" s="31" t="inlineStr">
        <is>
          <t>Petrochem - Others</t>
        </is>
      </c>
      <c r="G92" s="31" t="n">
        <v>2</v>
      </c>
      <c r="H92" s="31" t="inlineStr">
        <is>
          <t>No</t>
        </is>
      </c>
      <c r="I92" s="31" t="inlineStr">
        <is>
          <t>Yes</t>
        </is>
      </c>
      <c r="J92" s="31" t="n">
        <v>26</v>
      </c>
      <c r="K92" s="31" t="n">
        <v>23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PRICOLLTD</t>
        </is>
      </c>
      <c r="E93" s="31" t="inlineStr">
        <is>
          <t>Pricol Ltd.</t>
        </is>
      </c>
      <c r="F93" s="31" t="inlineStr">
        <is>
          <t>Auto Ancillaries - 2 Wheelers</t>
        </is>
      </c>
      <c r="G93" s="31" t="n">
        <v>2</v>
      </c>
      <c r="H93" s="31" t="inlineStr">
        <is>
          <t>No</t>
        </is>
      </c>
      <c r="I93" s="31" t="inlineStr">
        <is>
          <t>Yes</t>
        </is>
      </c>
      <c r="J93" s="31" t="n">
        <v>23</v>
      </c>
      <c r="K93" s="31" t="n">
        <v>23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DEEPINDS</t>
        </is>
      </c>
      <c r="E94" s="31" t="inlineStr">
        <is>
          <t>Deep Industries Ltd</t>
        </is>
      </c>
      <c r="F94" s="31" t="inlineStr">
        <is>
          <t>Oil Drilling &amp; Exploration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19</v>
      </c>
      <c r="K94" s="31" t="n">
        <v>14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CESC</t>
        </is>
      </c>
      <c r="E95" s="31" t="inlineStr">
        <is>
          <t>Cesc Limited</t>
        </is>
      </c>
      <c r="F95" s="31" t="inlineStr">
        <is>
          <t>Power - Generation/Distribution</t>
        </is>
      </c>
      <c r="G95" s="31" t="n">
        <v>2</v>
      </c>
      <c r="H95" s="31" t="inlineStr">
        <is>
          <t>EMA Crossover</t>
        </is>
      </c>
      <c r="I95" s="31" t="inlineStr">
        <is>
          <t>Yes</t>
        </is>
      </c>
      <c r="J95" s="31" t="n">
        <v>6</v>
      </c>
      <c r="K95" s="31" t="n">
        <v>1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SILVERTUC</t>
        </is>
      </c>
      <c r="E96" s="31" t="inlineStr">
        <is>
          <t>Silver Touch Technologies Ltd</t>
        </is>
      </c>
      <c r="F96" s="31" t="inlineStr">
        <is>
          <t>IT - Software</t>
        </is>
      </c>
      <c r="G96" s="31" t="n">
        <v>2</v>
      </c>
      <c r="H96" s="31" t="inlineStr">
        <is>
          <t>No</t>
        </is>
      </c>
      <c r="I96" s="31" t="inlineStr">
        <is>
          <t>Yes</t>
        </is>
      </c>
      <c r="J96" s="31" t="n">
        <v>23</v>
      </c>
      <c r="K96" s="31" t="n">
        <v>19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GAEL</t>
        </is>
      </c>
      <c r="E97" s="31" t="inlineStr">
        <is>
          <t>Gujarat Ambuja Exports Limited</t>
        </is>
      </c>
      <c r="F97" s="31" t="inlineStr">
        <is>
          <t>Agricultural Processing - Maize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22</v>
      </c>
      <c r="K97" s="31" t="n">
        <v>18</v>
      </c>
    </row>
  </sheetData>
  <autoFilter ref="A1:K97"/>
  <conditionalFormatting sqref="G2:G9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IF(B2=0,"",RANK(B2,$B$2:$B$371,0))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SCPL</t>
        </is>
      </c>
      <c r="D2" s="31" t="inlineStr">
        <is>
          <t>Sheetal Cool Products Ltd</t>
        </is>
      </c>
      <c r="E2" s="31" t="inlineStr">
        <is>
          <t>fmcg</t>
        </is>
      </c>
      <c r="F2" s="31" t="inlineStr">
        <is>
          <t>food - processing - indian</t>
        </is>
      </c>
      <c r="G2" s="31" t="inlineStr">
        <is>
          <t>smallcap</t>
        </is>
      </c>
      <c r="H2" s="32" t="n">
        <v>659.61</v>
      </c>
      <c r="I2" s="32" t="n">
        <v>653.05</v>
      </c>
      <c r="J2" s="32" t="n">
        <v>3.96</v>
      </c>
      <c r="K2" s="32" t="n">
        <v>113398</v>
      </c>
      <c r="L2" s="31" t="inlineStr"/>
      <c r="M2" s="31" t="inlineStr"/>
      <c r="N2" s="32">
        <f>IF(M2="Underperforming",-5,IF(L2&gt;=95,15,IF(L2&gt;=90,10,IF(L2&gt;=80,5,0))))</f>
        <v/>
      </c>
      <c r="O2" s="32" t="n">
        <v>74.31999999999999</v>
      </c>
      <c r="P2" s="32" t="n">
        <v>59.83</v>
      </c>
      <c r="Q2" s="32" t="n">
        <v>464.55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IF(B3=0,"",RANK(B3,$B$2:$B$371,0))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SANGHVIMOV</t>
        </is>
      </c>
      <c r="D3" s="31" t="inlineStr">
        <is>
          <t>Sanghvi Movers Limited</t>
        </is>
      </c>
      <c r="E3" s="31" t="inlineStr">
        <is>
          <t>miscellaneous</t>
        </is>
      </c>
      <c r="F3" s="31" t="inlineStr">
        <is>
          <t>miscellaneous</t>
        </is>
      </c>
      <c r="G3" s="31" t="inlineStr">
        <is>
          <t>smallcap</t>
        </is>
      </c>
      <c r="H3" s="32" t="n">
        <v>4300.23</v>
      </c>
      <c r="I3" s="32" t="n">
        <v>489.05</v>
      </c>
      <c r="J3" s="32" t="n">
        <v>-1.54</v>
      </c>
      <c r="K3" s="32" t="n">
        <v>200600</v>
      </c>
      <c r="L3" s="31" t="n">
        <v>81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68.19</v>
      </c>
      <c r="P3" s="32" t="n">
        <v>40.67</v>
      </c>
      <c r="Q3" s="32" t="n">
        <v>361.6</v>
      </c>
      <c r="R3" s="31" t="inlineStr">
        <is>
          <t>Near 52W High Breakout</t>
        </is>
      </c>
      <c r="S3" s="31" t="inlineStr">
        <is>
          <t>Nifty 50</t>
        </is>
      </c>
      <c r="T3" s="32" t="n">
        <v>-1.08</v>
      </c>
      <c r="U3" s="32" t="n">
        <v>50</v>
      </c>
      <c r="V3" s="32" t="n">
        <v>51.63</v>
      </c>
      <c r="W3" s="32" t="n">
        <v>23.86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IF(B4=0,"",RANK(B4,$B$2:$B$371,0))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SUVEN</t>
        </is>
      </c>
      <c r="D4" s="31" t="inlineStr">
        <is>
          <t>Suven Life Sciences Limited</t>
        </is>
      </c>
      <c r="E4" s="31" t="inlineStr">
        <is>
          <t>healthcare</t>
        </is>
      </c>
      <c r="F4" s="31" t="inlineStr">
        <is>
          <t>miscellaneous</t>
        </is>
      </c>
      <c r="G4" s="31" t="inlineStr">
        <is>
          <t>smallcap</t>
        </is>
      </c>
      <c r="H4" s="32" t="n">
        <v>630.66</v>
      </c>
      <c r="I4" s="32" t="n">
        <v>342.35</v>
      </c>
      <c r="J4" s="32" t="n">
        <v>4.87</v>
      </c>
      <c r="K4" s="32" t="n">
        <v>598705</v>
      </c>
      <c r="L4" s="31" t="n">
        <v>81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67.48</v>
      </c>
      <c r="P4" s="32" t="n">
        <v>46.94</v>
      </c>
      <c r="Q4" s="32" t="n">
        <v>256.47</v>
      </c>
      <c r="R4" s="31" t="inlineStr">
        <is>
          <t>Near 52W High Breakout</t>
        </is>
      </c>
      <c r="S4" s="31" t="inlineStr">
        <is>
          <t>Nifty Pharma</t>
        </is>
      </c>
      <c r="T4" s="32" t="n">
        <v>19.38</v>
      </c>
      <c r="U4" s="32" t="n">
        <v>45.56</v>
      </c>
      <c r="V4" s="32" t="n">
        <v>21.92</v>
      </c>
      <c r="W4" s="32" t="n">
        <v>24.83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IF(B5=0,"",RANK(B5,$B$2:$B$371,0))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IOLCP</t>
        </is>
      </c>
      <c r="D5" s="31" t="inlineStr">
        <is>
          <t>Iol Chemicals And Pharmaceuticals Limited</t>
        </is>
      </c>
      <c r="E5" s="31" t="inlineStr">
        <is>
          <t>healthcare</t>
        </is>
      </c>
      <c r="F5" s="31" t="inlineStr">
        <is>
          <t>pharmaceuticals - indian - bulk drugs &amp; formln</t>
        </is>
      </c>
      <c r="G5" s="31" t="inlineStr">
        <is>
          <t>smallcap</t>
        </is>
      </c>
      <c r="H5" s="32" t="n">
        <v>4873.14</v>
      </c>
      <c r="I5" s="32" t="n">
        <v>165.58</v>
      </c>
      <c r="J5" s="32" t="n">
        <v>-0.27</v>
      </c>
      <c r="K5" s="32" t="n">
        <v>2595681</v>
      </c>
      <c r="L5" s="31" t="n">
        <v>86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70.89</v>
      </c>
      <c r="P5" s="32" t="n">
        <v>76.13</v>
      </c>
      <c r="Q5" s="32" t="n">
        <v>122.99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19.38</v>
      </c>
      <c r="U5" s="32" t="n">
        <v>81.73</v>
      </c>
      <c r="V5" s="32" t="n">
        <v>52.22</v>
      </c>
      <c r="W5" s="32" t="n">
        <v>27.6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IF(B6=0,"",RANK(B6,$B$2:$B$371,0))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PIXTRANS</t>
        </is>
      </c>
      <c r="D6" s="31" t="inlineStr">
        <is>
          <t>Pix Transmission Ltd</t>
        </is>
      </c>
      <c r="E6" s="31" t="inlineStr">
        <is>
          <t>fmcg</t>
        </is>
      </c>
      <c r="F6" s="31" t="inlineStr">
        <is>
          <t>miscellaneous</t>
        </is>
      </c>
      <c r="G6" s="31" t="inlineStr">
        <is>
          <t>smallcap</t>
        </is>
      </c>
      <c r="H6" s="32" t="n">
        <v>2623.67</v>
      </c>
      <c r="I6" s="32" t="n">
        <v>1896.8</v>
      </c>
      <c r="J6" s="32" t="n">
        <v>-1.5</v>
      </c>
      <c r="K6" s="32" t="n">
        <v>30344</v>
      </c>
      <c r="L6" s="31" t="inlineStr"/>
      <c r="M6" s="31" t="inlineStr"/>
      <c r="N6" s="32">
        <f>IF(M6="Underperforming",-5,IF(L6&gt;=95,15,IF(L6&gt;=90,10,IF(L6&gt;=80,5,0))))</f>
        <v/>
      </c>
      <c r="O6" s="32" t="n">
        <v>69.88</v>
      </c>
      <c r="P6" s="32" t="n">
        <v>45.06</v>
      </c>
      <c r="Q6" s="32" t="n">
        <v>1488.55</v>
      </c>
      <c r="R6" s="31" t="inlineStr">
        <is>
          <t>Volume Spike &amp; Near 52W High Breakout</t>
        </is>
      </c>
      <c r="S6" s="31" t="inlineStr">
        <is>
          <t>Nifty FMCG</t>
        </is>
      </c>
      <c r="T6" s="32" t="inlineStr"/>
      <c r="U6" s="32" t="inlineStr"/>
      <c r="V6" s="32" t="inlineStr"/>
      <c r="W6" s="32" t="inlineStr"/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Close to 52 week high or retracement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IF(B7=0,"",RANK(B7,$B$2:$B$371,0))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FCL</t>
        </is>
      </c>
      <c r="D7" s="31" t="inlineStr">
        <is>
          <t>Fineotex Chemical Limited</t>
        </is>
      </c>
      <c r="E7" s="31" t="inlineStr">
        <is>
          <t>chemicals</t>
        </is>
      </c>
      <c r="F7" s="31" t="inlineStr">
        <is>
          <t>chemicals</t>
        </is>
      </c>
      <c r="G7" s="31" t="inlineStr">
        <is>
          <t>smallcap</t>
        </is>
      </c>
      <c r="H7" s="32" t="n">
        <v>4851.31</v>
      </c>
      <c r="I7" s="32" t="n">
        <v>43.36</v>
      </c>
      <c r="J7" s="32" t="n">
        <v>4.08</v>
      </c>
      <c r="K7" s="32" t="n">
        <v>9166313</v>
      </c>
      <c r="L7" s="31" t="n">
        <v>89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67.39</v>
      </c>
      <c r="P7" s="32" t="n">
        <v>50.1</v>
      </c>
      <c r="Q7" s="32" t="n">
        <v>30.71</v>
      </c>
      <c r="R7" s="31" t="inlineStr">
        <is>
          <t>Near 52W High Breakout</t>
        </is>
      </c>
      <c r="S7" s="31" t="inlineStr">
        <is>
          <t>Nifty 50</t>
        </is>
      </c>
      <c r="T7" s="32" t="n">
        <v>-1.08</v>
      </c>
      <c r="U7" s="32" t="n">
        <v>86.36</v>
      </c>
      <c r="V7" s="32" t="n">
        <v>88.39</v>
      </c>
      <c r="W7" s="32" t="n">
        <v>30.15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IF(B8=0,"",RANK(B8,$B$2:$B$371,0))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SYRMA</t>
        </is>
      </c>
      <c r="D8" s="31" t="inlineStr">
        <is>
          <t>Syrma SGS Technology Ltd</t>
        </is>
      </c>
      <c r="E8" s="31" t="inlineStr">
        <is>
          <t>consumer discretionary</t>
        </is>
      </c>
      <c r="F8" s="31" t="inlineStr">
        <is>
          <t>electronics - components</t>
        </is>
      </c>
      <c r="G8" s="31" t="inlineStr">
        <is>
          <t>largecap</t>
        </is>
      </c>
      <c r="H8" s="32" t="n">
        <v>28301.73</v>
      </c>
      <c r="I8" s="32" t="n">
        <v>1465.2</v>
      </c>
      <c r="J8" s="32" t="n">
        <v>-0.17</v>
      </c>
      <c r="K8" s="32" t="n">
        <v>815444</v>
      </c>
      <c r="L8" s="31" t="n">
        <v>83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69.39</v>
      </c>
      <c r="P8" s="32" t="n">
        <v>60.06</v>
      </c>
      <c r="Q8" s="32" t="n">
        <v>1127.89</v>
      </c>
      <c r="R8" s="31" t="inlineStr">
        <is>
          <t>Near 52W High Breakout</t>
        </is>
      </c>
      <c r="S8" s="31" t="inlineStr">
        <is>
          <t>Nifty 50</t>
        </is>
      </c>
      <c r="T8" s="32" t="n">
        <v>-1.08</v>
      </c>
      <c r="U8" s="32" t="n">
        <v>111.93</v>
      </c>
      <c r="V8" s="32" t="n">
        <v>114.23</v>
      </c>
      <c r="W8" s="32" t="n">
        <v>26.45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IF(B9=0,"",RANK(B9,$B$2:$B$371,0))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CHEMBONDCH</t>
        </is>
      </c>
      <c r="D9" s="31" t="inlineStr">
        <is>
          <t>Chembond Chemicals Ltd</t>
        </is>
      </c>
      <c r="E9" s="31" t="inlineStr">
        <is>
          <t>chemicals</t>
        </is>
      </c>
      <c r="F9" s="31" t="inlineStr">
        <is>
          <t>chemicals</t>
        </is>
      </c>
      <c r="G9" s="31" t="inlineStr">
        <is>
          <t>smallcap</t>
        </is>
      </c>
      <c r="H9" s="32" t="n">
        <v>732.45</v>
      </c>
      <c r="I9" s="32" t="n">
        <v>267</v>
      </c>
      <c r="J9" s="32" t="n">
        <v>-1.95</v>
      </c>
      <c r="K9" s="32" t="n">
        <v>13075</v>
      </c>
      <c r="L9" s="31" t="n">
        <v>73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69.70999999999999</v>
      </c>
      <c r="P9" s="32" t="n">
        <v>44.89</v>
      </c>
      <c r="Q9" s="32" t="n">
        <v>187.23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-1.08</v>
      </c>
      <c r="U9" s="32" t="n">
        <v>49.31</v>
      </c>
      <c r="V9" s="32" t="n">
        <v>50.93</v>
      </c>
      <c r="W9" s="32" t="n">
        <v>20.44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IF(B10=0,"",RANK(B10,$B$2:$B$371,0))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VINDHYATEL</t>
        </is>
      </c>
      <c r="D10" s="31" t="inlineStr">
        <is>
          <t>Vindhya Telelinks Limited</t>
        </is>
      </c>
      <c r="E10" s="31" t="inlineStr">
        <is>
          <t>realty</t>
        </is>
      </c>
      <c r="F10" s="31" t="inlineStr">
        <is>
          <t>construction</t>
        </is>
      </c>
      <c r="G10" s="31" t="inlineStr">
        <is>
          <t>smallcap</t>
        </is>
      </c>
      <c r="H10" s="32" t="n">
        <v>2915.79</v>
      </c>
      <c r="I10" s="32" t="n">
        <v>2401.6</v>
      </c>
      <c r="J10" s="32" t="n">
        <v>-2.39</v>
      </c>
      <c r="K10" s="32" t="n">
        <v>47655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66.01000000000001</v>
      </c>
      <c r="P10" s="32" t="n">
        <v>52.26</v>
      </c>
      <c r="Q10" s="32" t="n">
        <v>1642.53</v>
      </c>
      <c r="R10" s="31" t="inlineStr">
        <is>
          <t>Volume Spike &amp; Near 52W High Breakout</t>
        </is>
      </c>
      <c r="S10" s="31" t="inlineStr">
        <is>
          <t>Nifty Realty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IF(B11=0,"",RANK(B11,$B$2:$B$371,0))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VADILALIND</t>
        </is>
      </c>
      <c r="D11" s="31" t="inlineStr">
        <is>
          <t>Vadilal Industries Limited</t>
        </is>
      </c>
      <c r="E11" s="31" t="inlineStr">
        <is>
          <t>fmcg</t>
        </is>
      </c>
      <c r="F11" s="31" t="inlineStr">
        <is>
          <t>food - processing - indian</t>
        </is>
      </c>
      <c r="G11" s="31" t="inlineStr">
        <is>
          <t>midcap</t>
        </is>
      </c>
      <c r="H11" s="32" t="n">
        <v>5592.85</v>
      </c>
      <c r="I11" s="32" t="n">
        <v>7764</v>
      </c>
      <c r="J11" s="32" t="n">
        <v>-0.22</v>
      </c>
      <c r="K11" s="32" t="n">
        <v>21461</v>
      </c>
      <c r="L11" s="31" t="inlineStr"/>
      <c r="M11" s="31" t="inlineStr"/>
      <c r="N11" s="32">
        <f>IF(M11="Underperforming",-5,IF(L11&gt;=95,15,IF(L11&gt;=90,10,IF(L11&gt;=80,5,0))))</f>
        <v/>
      </c>
      <c r="O11" s="32" t="n">
        <v>79.42</v>
      </c>
      <c r="P11" s="32" t="n">
        <v>41.4</v>
      </c>
      <c r="Q11" s="32" t="n">
        <v>6178.29</v>
      </c>
      <c r="R11" s="31" t="inlineStr">
        <is>
          <t>Volume Spike &amp; Near 52W High Breakout</t>
        </is>
      </c>
      <c r="S11" s="31" t="inlineStr">
        <is>
          <t>Nifty FMCG</t>
        </is>
      </c>
      <c r="T11" s="32" t="inlineStr"/>
      <c r="U11" s="32" t="inlineStr"/>
      <c r="V11" s="32" t="inlineStr"/>
      <c r="W11" s="32" t="inlineStr"/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IF(B12=0,"",RANK(B12,$B$2:$B$371,0))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SENORES</t>
        </is>
      </c>
      <c r="D12" s="31" t="inlineStr">
        <is>
          <t>Senores Pharmaceuticals Ltd</t>
        </is>
      </c>
      <c r="E12" s="31" t="inlineStr">
        <is>
          <t>healthcare</t>
        </is>
      </c>
      <c r="F12" s="31" t="inlineStr">
        <is>
          <t>pharmaceuticals - indian - formulations</t>
        </is>
      </c>
      <c r="G12" s="31" t="inlineStr">
        <is>
          <t>midcap</t>
        </is>
      </c>
      <c r="H12" s="32" t="n">
        <v>6868.43</v>
      </c>
      <c r="I12" s="32" t="n">
        <v>1477.7</v>
      </c>
      <c r="J12" s="32" t="n">
        <v>-0.92</v>
      </c>
      <c r="K12" s="32" t="n">
        <v>99389</v>
      </c>
      <c r="L12" s="31" t="n">
        <v>82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72.91</v>
      </c>
      <c r="P12" s="32" t="n">
        <v>62.04</v>
      </c>
      <c r="Q12" s="32" t="n">
        <v>1128.81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19.38</v>
      </c>
      <c r="U12" s="32" t="n">
        <v>118.84</v>
      </c>
      <c r="V12" s="32" t="n">
        <v>83.31</v>
      </c>
      <c r="W12" s="32" t="n">
        <v>26.28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IF(B13=0,"",RANK(B13,$B$2:$B$371,0))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GOKULAGRO</t>
        </is>
      </c>
      <c r="D13" s="31" t="inlineStr">
        <is>
          <t>Gokul Agro Resources Limited</t>
        </is>
      </c>
      <c r="E13" s="31" t="inlineStr">
        <is>
          <t>fmcg</t>
        </is>
      </c>
      <c r="F13" s="31" t="inlineStr">
        <is>
          <t>solvent extraction</t>
        </is>
      </c>
      <c r="G13" s="31" t="inlineStr">
        <is>
          <t>midcap</t>
        </is>
      </c>
      <c r="H13" s="32" t="n">
        <v>6944.57</v>
      </c>
      <c r="I13" s="32" t="n">
        <v>232.44</v>
      </c>
      <c r="J13" s="32" t="n">
        <v>-1.23</v>
      </c>
      <c r="K13" s="32" t="n">
        <v>241265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61.47</v>
      </c>
      <c r="P13" s="32" t="n">
        <v>26.94</v>
      </c>
      <c r="Q13" s="32" t="n">
        <v>184.96</v>
      </c>
      <c r="R13" s="31" t="inlineStr">
        <is>
          <t>Near 52W High Breakout</t>
        </is>
      </c>
      <c r="S13" s="31" t="inlineStr">
        <is>
          <t>Nifty FMCG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IF(B14=0,"",RANK(B14,$B$2:$B$371,0))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AUROPHARMA</t>
        </is>
      </c>
      <c r="D14" s="31" t="inlineStr">
        <is>
          <t>Aurobindo Pharma Limited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largecap</t>
        </is>
      </c>
      <c r="H14" s="32" t="n">
        <v>95708.36</v>
      </c>
      <c r="I14" s="32" t="n">
        <v>1622.1</v>
      </c>
      <c r="J14" s="32" t="n">
        <v>-2.48</v>
      </c>
      <c r="K14" s="32" t="n">
        <v>1641846</v>
      </c>
      <c r="L14" s="31" t="n">
        <v>47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67.14</v>
      </c>
      <c r="P14" s="32" t="n">
        <v>42.63</v>
      </c>
      <c r="Q14" s="32" t="n">
        <v>1417.54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19.38</v>
      </c>
      <c r="U14" s="32" t="n">
        <v>49.7</v>
      </c>
      <c r="V14" s="32" t="n">
        <v>25.39</v>
      </c>
      <c r="W14" s="32" t="n">
        <v>10.62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IF(B15=0,"",RANK(B15,$B$2:$B$371,0))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PARAS</t>
        </is>
      </c>
      <c r="D15" s="31" t="inlineStr">
        <is>
          <t>Paras Defence and Space Technologies Ltd</t>
        </is>
      </c>
      <c r="E15" s="31" t="inlineStr">
        <is>
          <t>aerospace &amp; defence</t>
        </is>
      </c>
      <c r="F15" s="31" t="inlineStr">
        <is>
          <t>engineering</t>
        </is>
      </c>
      <c r="G15" s="31" t="inlineStr">
        <is>
          <t>midcap</t>
        </is>
      </c>
      <c r="H15" s="32" t="n">
        <v>10816.43</v>
      </c>
      <c r="I15" s="32" t="n">
        <v>1377.5</v>
      </c>
      <c r="J15" s="32" t="n">
        <v>2.63</v>
      </c>
      <c r="K15" s="32" t="n">
        <v>2826601</v>
      </c>
      <c r="L15" s="31" t="n">
        <v>91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69.88</v>
      </c>
      <c r="P15" s="32" t="n">
        <v>60.22</v>
      </c>
      <c r="Q15" s="32" t="n">
        <v>1033.26</v>
      </c>
      <c r="R15" s="31" t="inlineStr">
        <is>
          <t>Near 52W High Breakout</t>
        </is>
      </c>
      <c r="S15" s="31" t="inlineStr">
        <is>
          <t>Nifty 50</t>
        </is>
      </c>
      <c r="T15" s="32" t="n">
        <v>-1.08</v>
      </c>
      <c r="U15" s="32" t="n">
        <v>106.44</v>
      </c>
      <c r="V15" s="32" t="n">
        <v>108.69</v>
      </c>
      <c r="W15" s="32" t="n">
        <v>36.35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IF(B16=0,"",RANK(B16,$B$2:$B$371,0))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WSTCSTPAPR</t>
        </is>
      </c>
      <c r="D16" s="31" t="inlineStr">
        <is>
          <t>West Coast Paper Mills Limited</t>
        </is>
      </c>
      <c r="E16" s="31" t="inlineStr">
        <is>
          <t>building materials</t>
        </is>
      </c>
      <c r="F16" s="31" t="inlineStr">
        <is>
          <t>paper</t>
        </is>
      </c>
      <c r="G16" s="31" t="inlineStr">
        <is>
          <t>smallcap</t>
        </is>
      </c>
      <c r="H16" s="32" t="n">
        <v>4003.22</v>
      </c>
      <c r="I16" s="32" t="n">
        <v>611</v>
      </c>
      <c r="J16" s="32" t="n">
        <v>0.8100000000000001</v>
      </c>
      <c r="K16" s="32" t="n">
        <v>192343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70.33</v>
      </c>
      <c r="P16" s="32" t="n">
        <v>41.55</v>
      </c>
      <c r="Q16" s="32" t="n">
        <v>480</v>
      </c>
      <c r="R16" s="31" t="inlineStr">
        <is>
          <t>Volume Spike &amp; Near 52W High Breakout</t>
        </is>
      </c>
      <c r="S16" s="31" t="inlineStr">
        <is>
          <t>Nifty Infra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Between 12 to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IF(B17=0,"",RANK(B17,$B$2:$B$371,0))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PGIL</t>
        </is>
      </c>
      <c r="D17" s="31" t="inlineStr">
        <is>
          <t>Pearl Global Industries Limited</t>
        </is>
      </c>
      <c r="E17" s="31" t="inlineStr">
        <is>
          <t>consumer discretionary</t>
        </is>
      </c>
      <c r="F17" s="31" t="inlineStr">
        <is>
          <t>textiles - products</t>
        </is>
      </c>
      <c r="G17" s="31" t="inlineStr">
        <is>
          <t>midcap</t>
        </is>
      </c>
      <c r="H17" s="32" t="n">
        <v>11383.92</v>
      </c>
      <c r="I17" s="32" t="n">
        <v>2472</v>
      </c>
      <c r="J17" s="32" t="n">
        <v>0.29</v>
      </c>
      <c r="K17" s="32" t="n">
        <v>50702</v>
      </c>
      <c r="L17" s="31" t="n">
        <v>83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76</v>
      </c>
      <c r="P17" s="32" t="n">
        <v>51.27</v>
      </c>
      <c r="Q17" s="32" t="n">
        <v>1928.03</v>
      </c>
      <c r="R17" s="31" t="inlineStr">
        <is>
          <t>Near 52W High Breakout</t>
        </is>
      </c>
      <c r="S17" s="31" t="inlineStr">
        <is>
          <t>Nifty 50</t>
        </is>
      </c>
      <c r="T17" s="32" t="n">
        <v>-1.08</v>
      </c>
      <c r="U17" s="32" t="n">
        <v>98.66</v>
      </c>
      <c r="V17" s="32" t="n">
        <v>100.82</v>
      </c>
      <c r="W17" s="32" t="n">
        <v>26.33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IF(B18=0,"",RANK(B18,$B$2:$B$371,0))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FILATEX</t>
        </is>
      </c>
      <c r="D18" s="31" t="inlineStr">
        <is>
          <t>Filatex India Limited</t>
        </is>
      </c>
      <c r="E18" s="31" t="inlineStr">
        <is>
          <t>textiles</t>
        </is>
      </c>
      <c r="F18" s="31" t="inlineStr">
        <is>
          <t>textiles - manmade</t>
        </is>
      </c>
      <c r="G18" s="31" t="inlineStr">
        <is>
          <t>smallcap</t>
        </is>
      </c>
      <c r="H18" s="32" t="n">
        <v>3654.16</v>
      </c>
      <c r="I18" s="32" t="n">
        <v>81.39</v>
      </c>
      <c r="J18" s="32" t="n">
        <v>-1.09</v>
      </c>
      <c r="K18" s="32" t="n">
        <v>1407164</v>
      </c>
      <c r="L18" s="31" t="n">
        <v>91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73.45999999999999</v>
      </c>
      <c r="P18" s="32" t="n">
        <v>34.22</v>
      </c>
      <c r="Q18" s="32" t="n">
        <v>63.3</v>
      </c>
      <c r="R18" s="31" t="inlineStr">
        <is>
          <t>Near 52W High Breakout</t>
        </is>
      </c>
      <c r="S18" s="31" t="inlineStr">
        <is>
          <t>Nifty 50</t>
        </is>
      </c>
      <c r="T18" s="32" t="n">
        <v>-1.08</v>
      </c>
      <c r="U18" s="32" t="n">
        <v>56.73</v>
      </c>
      <c r="V18" s="32" t="n">
        <v>58.43</v>
      </c>
      <c r="W18" s="32" t="n">
        <v>33.19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20 to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Between 12 to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IF(B19=0,"",RANK(B19,$B$2:$B$371,0))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BIRLACABLE</t>
        </is>
      </c>
      <c r="D19" s="31" t="inlineStr">
        <is>
          <t>Birla Cable Limited</t>
        </is>
      </c>
      <c r="E19" s="31" t="inlineStr">
        <is>
          <t>industrials</t>
        </is>
      </c>
      <c r="F19" s="31" t="inlineStr">
        <is>
          <t>cables - telephone</t>
        </is>
      </c>
      <c r="G19" s="31" t="inlineStr">
        <is>
          <t>smallcap</t>
        </is>
      </c>
      <c r="H19" s="32" t="n">
        <v>908.97</v>
      </c>
      <c r="I19" s="32" t="n">
        <v>288.44</v>
      </c>
      <c r="J19" s="32" t="n">
        <v>-4.8</v>
      </c>
      <c r="K19" s="32" t="n">
        <v>238984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72.92</v>
      </c>
      <c r="P19" s="32" t="n">
        <v>45.44</v>
      </c>
      <c r="Q19" s="32" t="n">
        <v>207.57</v>
      </c>
      <c r="R19" s="31" t="inlineStr">
        <is>
          <t>Volume Spike &amp; Near 52W High Breakout</t>
        </is>
      </c>
      <c r="S19" s="31" t="inlineStr">
        <is>
          <t>Nifty Infra</t>
        </is>
      </c>
      <c r="T19" s="32" t="inlineStr"/>
      <c r="U19" s="32" t="inlineStr"/>
      <c r="V19" s="32" t="inlineStr"/>
      <c r="W19" s="32" t="inlineStr"/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IF(B20=0,"",RANK(B20,$B$2:$B$371,0))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E2E</t>
        </is>
      </c>
      <c r="D20" s="31" t="inlineStr">
        <is>
          <t>E2E Networks Ltd</t>
        </is>
      </c>
      <c r="E20" s="31" t="inlineStr">
        <is>
          <t>i.t</t>
        </is>
      </c>
      <c r="F20" s="31" t="inlineStr">
        <is>
          <t>computers - software - medium / small</t>
        </is>
      </c>
      <c r="G20" s="31" t="inlineStr">
        <is>
          <t>midcap</t>
        </is>
      </c>
      <c r="H20" s="32" t="n">
        <v>13053.37</v>
      </c>
      <c r="I20" s="32" t="n">
        <v>666.75</v>
      </c>
      <c r="J20" s="32" t="n">
        <v>5</v>
      </c>
      <c r="K20" s="32" t="n">
        <v>1171587</v>
      </c>
      <c r="L20" s="31" t="n">
        <v>98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77.37</v>
      </c>
      <c r="P20" s="32" t="n">
        <v>48.32</v>
      </c>
      <c r="Q20" s="32" t="n">
        <v>475.6</v>
      </c>
      <c r="R20" s="31" t="inlineStr">
        <is>
          <t>Near 52W High Breakout</t>
        </is>
      </c>
      <c r="S20" s="31" t="inlineStr">
        <is>
          <t>Nifty IT</t>
        </is>
      </c>
      <c r="T20" s="32" t="n">
        <v>-9.98</v>
      </c>
      <c r="U20" s="32" t="n">
        <v>223.1</v>
      </c>
      <c r="V20" s="32" t="n">
        <v>258.91</v>
      </c>
      <c r="W20" s="32" t="n">
        <v>55.09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IF(B21=0,"",RANK(B21,$B$2:$B$371,0))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MPSLTD</t>
        </is>
      </c>
      <c r="D21" s="31" t="inlineStr">
        <is>
          <t>Mps Limited</t>
        </is>
      </c>
      <c r="E21" s="31" t="inlineStr">
        <is>
          <t>i.t</t>
        </is>
      </c>
      <c r="F21" s="31" t="inlineStr">
        <is>
          <t>computers - software - medium / small</t>
        </is>
      </c>
      <c r="G21" s="31" t="inlineStr">
        <is>
          <t>smallcap</t>
        </is>
      </c>
      <c r="H21" s="32" t="n">
        <v>4715.22</v>
      </c>
      <c r="I21" s="32" t="n">
        <v>2816</v>
      </c>
      <c r="J21" s="32" t="n">
        <v>2.16</v>
      </c>
      <c r="K21" s="32" t="n">
        <v>20963</v>
      </c>
      <c r="L21" s="31" t="n">
        <v>73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71.86</v>
      </c>
      <c r="P21" s="32" t="n">
        <v>35.02</v>
      </c>
      <c r="Q21" s="32" t="n">
        <v>2304.96</v>
      </c>
      <c r="R21" s="31" t="inlineStr">
        <is>
          <t>Near 52W High Breakout</t>
        </is>
      </c>
      <c r="S21" s="31" t="inlineStr">
        <is>
          <t>Nifty IT</t>
        </is>
      </c>
      <c r="T21" s="32" t="n">
        <v>-9.98</v>
      </c>
      <c r="U21" s="32" t="n">
        <v>32.17</v>
      </c>
      <c r="V21" s="32" t="n">
        <v>46.82</v>
      </c>
      <c r="W21" s="32" t="n">
        <v>20.27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IF(B22=0,"",RANK(B22,$B$2:$B$371,0))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NGLFINE</t>
        </is>
      </c>
      <c r="D22" s="31" t="inlineStr">
        <is>
          <t>NGL Fine Chem Ltd</t>
        </is>
      </c>
      <c r="E22" s="31" t="inlineStr">
        <is>
          <t>healthcare</t>
        </is>
      </c>
      <c r="F22" s="31" t="inlineStr">
        <is>
          <t>pharmaceuticals - indian - bulk drugs</t>
        </is>
      </c>
      <c r="G22" s="31" t="inlineStr">
        <is>
          <t>smallcap</t>
        </is>
      </c>
      <c r="H22" s="32" t="n">
        <v>2122.46</v>
      </c>
      <c r="I22" s="32" t="n">
        <v>3484</v>
      </c>
      <c r="J22" s="32" t="n">
        <v>1.41</v>
      </c>
      <c r="K22" s="32" t="n">
        <v>3643</v>
      </c>
      <c r="L22" s="31" t="n">
        <v>90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80.56999999999999</v>
      </c>
      <c r="P22" s="32" t="n">
        <v>71.94</v>
      </c>
      <c r="Q22" s="32" t="n">
        <v>2516.17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19.38</v>
      </c>
      <c r="U22" s="32" t="n">
        <v>151.53</v>
      </c>
      <c r="V22" s="32" t="n">
        <v>110.69</v>
      </c>
      <c r="W22" s="32" t="n">
        <v>32.44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IF(B23=0,"",RANK(B23,$B$2:$B$371,0))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SAREGAMA</t>
        </is>
      </c>
      <c r="D23" s="31" t="inlineStr">
        <is>
          <t>Saregama India Limited</t>
        </is>
      </c>
      <c r="E23" s="31" t="inlineStr">
        <is>
          <t>media</t>
        </is>
      </c>
      <c r="F23" s="31" t="inlineStr">
        <is>
          <t>entertainment / electronic media software</t>
        </is>
      </c>
      <c r="G23" s="31" t="inlineStr">
        <is>
          <t>midcap</t>
        </is>
      </c>
      <c r="H23" s="32" t="n">
        <v>10250.72</v>
      </c>
      <c r="I23" s="32" t="n">
        <v>530.25</v>
      </c>
      <c r="J23" s="32" t="n">
        <v>-0.26</v>
      </c>
      <c r="K23" s="32" t="n">
        <v>747795</v>
      </c>
      <c r="L23" s="31" t="n">
        <v>42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73.98999999999999</v>
      </c>
      <c r="P23" s="32" t="n">
        <v>51.48</v>
      </c>
      <c r="Q23" s="32" t="n">
        <v>407.27</v>
      </c>
      <c r="R23" s="31" t="inlineStr">
        <is>
          <t>Near 52W High Breakout</t>
        </is>
      </c>
      <c r="S23" s="31" t="inlineStr">
        <is>
          <t>Nifty IT</t>
        </is>
      </c>
      <c r="T23" s="32" t="n">
        <v>-9.98</v>
      </c>
      <c r="U23" s="32" t="n">
        <v>11.1</v>
      </c>
      <c r="V23" s="32" t="n">
        <v>23.42</v>
      </c>
      <c r="W23" s="32" t="n">
        <v>8.98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IF(B24=0,"",RANK(B24,$B$2:$B$371,0))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RADICO</t>
        </is>
      </c>
      <c r="D24" s="31" t="inlineStr">
        <is>
          <t>Radico Khaitan Limited</t>
        </is>
      </c>
      <c r="E24" s="31" t="inlineStr">
        <is>
          <t>fmcg</t>
        </is>
      </c>
      <c r="F24" s="31" t="inlineStr">
        <is>
          <t>breweries &amp; distilleries</t>
        </is>
      </c>
      <c r="G24" s="31" t="inlineStr">
        <is>
          <t>largecap</t>
        </is>
      </c>
      <c r="H24" s="32" t="n">
        <v>62615.58</v>
      </c>
      <c r="I24" s="32" t="n">
        <v>4650</v>
      </c>
      <c r="J24" s="32" t="n">
        <v>-0.54</v>
      </c>
      <c r="K24" s="32" t="n">
        <v>621290</v>
      </c>
      <c r="L24" s="31" t="inlineStr"/>
      <c r="M24" s="31" t="inlineStr"/>
      <c r="N24" s="32">
        <f>IF(M24="Underperforming",-5,IF(L24&gt;=95,15,IF(L24&gt;=90,10,IF(L24&gt;=80,5,0))))</f>
        <v/>
      </c>
      <c r="O24" s="32" t="n">
        <v>86.98999999999999</v>
      </c>
      <c r="P24" s="32" t="n">
        <v>62.97</v>
      </c>
      <c r="Q24" s="32" t="n">
        <v>3986.3</v>
      </c>
      <c r="R24" s="31" t="inlineStr">
        <is>
          <t>Near 52W High Breakout</t>
        </is>
      </c>
      <c r="S24" s="31" t="inlineStr">
        <is>
          <t>Nifty FMCG</t>
        </is>
      </c>
      <c r="T24" s="32" t="inlineStr"/>
      <c r="U24" s="32" t="inlineStr"/>
      <c r="V24" s="32" t="inlineStr"/>
      <c r="W24" s="32" t="inlineStr"/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B2C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IF(B25=0,"",RANK(B25,$B$2:$B$371,0))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AKUMS</t>
        </is>
      </c>
      <c r="D25" s="31" t="inlineStr">
        <is>
          <t>Akums Drugs &amp; Pharmaceuticals Ltd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midcap</t>
        </is>
      </c>
      <c r="H25" s="32" t="n">
        <v>11833.67</v>
      </c>
      <c r="I25" s="32" t="n">
        <v>726.6</v>
      </c>
      <c r="J25" s="32" t="n">
        <v>-3.36</v>
      </c>
      <c r="K25" s="32" t="n">
        <v>184803</v>
      </c>
      <c r="L25" s="31" t="n">
        <v>71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71.08</v>
      </c>
      <c r="P25" s="32" t="n">
        <v>50.75</v>
      </c>
      <c r="Q25" s="32" t="n">
        <v>581.76</v>
      </c>
      <c r="R25" s="31" t="inlineStr">
        <is>
          <t>Volume Spike &amp; Near 52W High Breakout</t>
        </is>
      </c>
      <c r="S25" s="31" t="inlineStr">
        <is>
          <t>Nifty Pharma</t>
        </is>
      </c>
      <c r="T25" s="32" t="n">
        <v>19.38</v>
      </c>
      <c r="U25" s="32" t="n">
        <v>55.11</v>
      </c>
      <c r="V25" s="32" t="n">
        <v>29.93</v>
      </c>
      <c r="W25" s="32" t="n">
        <v>18.7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Close to 52 week high or retracement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IF(B26=0,"",RANK(B26,$B$2:$B$371,0))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SHANTIGOLD</t>
        </is>
      </c>
      <c r="D26" s="31" t="inlineStr">
        <is>
          <t>Shanti Gold International Ltd</t>
        </is>
      </c>
      <c r="E26" s="31" t="inlineStr">
        <is>
          <t>consumer discretionary</t>
        </is>
      </c>
      <c r="F26" s="31" t="inlineStr">
        <is>
          <t>diamond cutting / jewellery</t>
        </is>
      </c>
      <c r="G26" s="31" t="inlineStr">
        <is>
          <t>smallcap</t>
        </is>
      </c>
      <c r="H26" s="32" t="n">
        <v>1671.91</v>
      </c>
      <c r="I26" s="32" t="n">
        <v>247.66</v>
      </c>
      <c r="J26" s="32" t="n">
        <v>6.8</v>
      </c>
      <c r="K26" s="32" t="n">
        <v>8748136</v>
      </c>
      <c r="L26" s="31" t="n">
        <v>18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65.78</v>
      </c>
      <c r="P26" s="32" t="n">
        <v>32.26</v>
      </c>
      <c r="Q26" s="32" t="n">
        <v>186.79</v>
      </c>
      <c r="R26" s="31" t="inlineStr">
        <is>
          <t>Volume Spike &amp; Near 52W High Breakout</t>
        </is>
      </c>
      <c r="S26" s="31" t="inlineStr">
        <is>
          <t>Nifty 50</t>
        </is>
      </c>
      <c r="T26" s="32" t="n">
        <v>-1.08</v>
      </c>
      <c r="U26" s="32" t="n">
        <v>0.06</v>
      </c>
      <c r="V26" s="32" t="n">
        <v>1.15</v>
      </c>
      <c r="W26" s="32" t="n">
        <v>4.09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IF(B27=0,"",RANK(B27,$B$2:$B$371,0))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SJS</t>
        </is>
      </c>
      <c r="D27" s="31" t="inlineStr">
        <is>
          <t>S J S Enterprises Ltd</t>
        </is>
      </c>
      <c r="E27" s="31" t="inlineStr">
        <is>
          <t>auto</t>
        </is>
      </c>
      <c r="F27" s="31" t="inlineStr">
        <is>
          <t>plastics products</t>
        </is>
      </c>
      <c r="G27" s="31" t="inlineStr">
        <is>
          <t>midcap</t>
        </is>
      </c>
      <c r="H27" s="32" t="n">
        <v>7697.24</v>
      </c>
      <c r="I27" s="32" t="n">
        <v>2532.5</v>
      </c>
      <c r="J27" s="32" t="n">
        <v>5.3</v>
      </c>
      <c r="K27" s="32" t="n">
        <v>459532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73.93000000000001</v>
      </c>
      <c r="P27" s="32" t="n">
        <v>43.58</v>
      </c>
      <c r="Q27" s="32" t="n">
        <v>2038.75</v>
      </c>
      <c r="R27" s="31" t="inlineStr">
        <is>
          <t>Volume Spike &amp; Near 52W High Breakout</t>
        </is>
      </c>
      <c r="S27" s="31" t="inlineStr">
        <is>
          <t>Nifty Auto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IF(B28=0,"",RANK(B28,$B$2:$B$371,0))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LLOYDSENGG</t>
        </is>
      </c>
      <c r="D28" s="31" t="inlineStr">
        <is>
          <t>Lloyds Engineering Works Ltd</t>
        </is>
      </c>
      <c r="E28" s="31" t="inlineStr">
        <is>
          <t>industrials</t>
        </is>
      </c>
      <c r="F28" s="31" t="inlineStr">
        <is>
          <t>engineering</t>
        </is>
      </c>
      <c r="G28" s="31" t="inlineStr">
        <is>
          <t>midcap</t>
        </is>
      </c>
      <c r="H28" s="32" t="n">
        <v>13492.9</v>
      </c>
      <c r="I28" s="32" t="n">
        <v>93.53</v>
      </c>
      <c r="J28" s="32" t="n">
        <v>2.61</v>
      </c>
      <c r="K28" s="32" t="n">
        <v>8315614</v>
      </c>
      <c r="L28" s="31" t="n">
        <v>60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71.88</v>
      </c>
      <c r="P28" s="32" t="n">
        <v>49.63</v>
      </c>
      <c r="Q28" s="32" t="n">
        <v>72.98</v>
      </c>
      <c r="R28" s="31" t="inlineStr">
        <is>
          <t>Near 52W High Breakout</t>
        </is>
      </c>
      <c r="S28" s="31" t="inlineStr">
        <is>
          <t>Nifty 50</t>
        </is>
      </c>
      <c r="T28" s="32" t="n">
        <v>-1.08</v>
      </c>
      <c r="U28" s="32" t="n">
        <v>35.04</v>
      </c>
      <c r="V28" s="32" t="n">
        <v>36.51</v>
      </c>
      <c r="W28" s="32" t="n">
        <v>14.75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IF(B29=0,"",RANK(B29,$B$2:$B$371,0))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STYLAMIND</t>
        </is>
      </c>
      <c r="D29" s="31" t="inlineStr">
        <is>
          <t>Stylam Industries Ltd</t>
        </is>
      </c>
      <c r="E29" s="31" t="inlineStr">
        <is>
          <t>building materials</t>
        </is>
      </c>
      <c r="F29" s="31" t="inlineStr">
        <is>
          <t>miscellaneous</t>
        </is>
      </c>
      <c r="G29" s="31" t="inlineStr">
        <is>
          <t>midcap</t>
        </is>
      </c>
      <c r="H29" s="32" t="n">
        <v>6094.01</v>
      </c>
      <c r="I29" s="32" t="n">
        <v>3643.7</v>
      </c>
      <c r="J29" s="32" t="n">
        <v>1.33</v>
      </c>
      <c r="K29" s="32" t="n">
        <v>89719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84.13</v>
      </c>
      <c r="P29" s="32" t="n">
        <v>74.02</v>
      </c>
      <c r="Q29" s="32" t="n">
        <v>2906.39</v>
      </c>
      <c r="R29" s="31" t="inlineStr">
        <is>
          <t>Near 52W High Breakout</t>
        </is>
      </c>
      <c r="S29" s="31" t="inlineStr">
        <is>
          <t>Nifty Infra</t>
        </is>
      </c>
      <c r="T29" s="32" t="inlineStr"/>
      <c r="U29" s="32" t="inlineStr"/>
      <c r="V29" s="32" t="inlineStr"/>
      <c r="W29" s="32" t="inlineStr"/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IF(B30=0,"",RANK(B30,$B$2:$B$371,0))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HSCL</t>
        </is>
      </c>
      <c r="D30" s="31" t="inlineStr">
        <is>
          <t>Himadri Speciality Chemical Limited</t>
        </is>
      </c>
      <c r="E30" s="31" t="inlineStr">
        <is>
          <t>chemicals</t>
        </is>
      </c>
      <c r="F30" s="31" t="inlineStr">
        <is>
          <t>chemicals</t>
        </is>
      </c>
      <c r="G30" s="31" t="inlineStr">
        <is>
          <t>largecap</t>
        </is>
      </c>
      <c r="H30" s="32" t="n">
        <v>39260.9</v>
      </c>
      <c r="I30" s="32" t="n">
        <v>781.05</v>
      </c>
      <c r="J30" s="32" t="n">
        <v>0.37</v>
      </c>
      <c r="K30" s="32" t="n">
        <v>3403020</v>
      </c>
      <c r="L30" s="31" t="n">
        <v>68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72.48</v>
      </c>
      <c r="P30" s="32" t="n">
        <v>44.47</v>
      </c>
      <c r="Q30" s="32" t="n">
        <v>620.77</v>
      </c>
      <c r="R30" s="31" t="inlineStr">
        <is>
          <t>Near 52W High Breakout</t>
        </is>
      </c>
      <c r="S30" s="31" t="inlineStr">
        <is>
          <t>Nifty 50</t>
        </is>
      </c>
      <c r="T30" s="32" t="n">
        <v>-1.08</v>
      </c>
      <c r="U30" s="32" t="n">
        <v>67.59999999999999</v>
      </c>
      <c r="V30" s="32" t="n">
        <v>69.43000000000001</v>
      </c>
      <c r="W30" s="32" t="n">
        <v>18.26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IF(B31=0,"",RANK(B31,$B$2:$B$371,0))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BAJAJ-AUTO</t>
        </is>
      </c>
      <c r="D31" s="31" t="inlineStr">
        <is>
          <t>Bajaj Auto Limited</t>
        </is>
      </c>
      <c r="E31" s="31" t="inlineStr">
        <is>
          <t>auto</t>
        </is>
      </c>
      <c r="F31" s="31" t="inlineStr">
        <is>
          <t>automobiles - scooters and 3 - wheelers</t>
        </is>
      </c>
      <c r="G31" s="31" t="inlineStr">
        <is>
          <t>largecap</t>
        </is>
      </c>
      <c r="H31" s="32" t="n">
        <v>325922.43</v>
      </c>
      <c r="I31" s="32" t="n">
        <v>11700</v>
      </c>
      <c r="J31" s="32" t="n">
        <v>0.33</v>
      </c>
      <c r="K31" s="32" t="n">
        <v>476030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73.28</v>
      </c>
      <c r="P31" s="32" t="n">
        <v>23.43</v>
      </c>
      <c r="Q31" s="32" t="n">
        <v>10211.35</v>
      </c>
      <c r="R31" s="31" t="inlineStr">
        <is>
          <t>Near 52W High Breakout</t>
        </is>
      </c>
      <c r="S31" s="31" t="inlineStr">
        <is>
          <t>Nifty Auto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IF(B32=0,"",RANK(B32,$B$2:$B$371,0))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TALBROAUTO</t>
        </is>
      </c>
      <c r="D32" s="31" t="inlineStr">
        <is>
          <t>Talbros Automotive Components Limited</t>
        </is>
      </c>
      <c r="E32" s="31" t="inlineStr">
        <is>
          <t>auto</t>
        </is>
      </c>
      <c r="F32" s="31" t="inlineStr">
        <is>
          <t>auto ancillaries</t>
        </is>
      </c>
      <c r="G32" s="31" t="inlineStr">
        <is>
          <t>smallcap</t>
        </is>
      </c>
      <c r="H32" s="32" t="n">
        <v>2602.77</v>
      </c>
      <c r="I32" s="32" t="n">
        <v>420.1</v>
      </c>
      <c r="J32" s="32" t="n">
        <v>-0.37</v>
      </c>
      <c r="K32" s="32" t="n">
        <v>129290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68.28</v>
      </c>
      <c r="P32" s="32" t="n">
        <v>43.07</v>
      </c>
      <c r="Q32" s="32" t="n">
        <v>334.28</v>
      </c>
      <c r="R32" s="31" t="inlineStr">
        <is>
          <t>Near 52W High Breakout</t>
        </is>
      </c>
      <c r="S32" s="31" t="inlineStr">
        <is>
          <t>Nifty Auto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Between 12 to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IF(B33=0,"",RANK(B33,$B$2:$B$371,0))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KDDL</t>
        </is>
      </c>
      <c r="D33" s="31" t="inlineStr">
        <is>
          <t>Kddl Limited</t>
        </is>
      </c>
      <c r="E33" s="31" t="inlineStr">
        <is>
          <t>consumer discretionary</t>
        </is>
      </c>
      <c r="F33" s="31" t="inlineStr">
        <is>
          <t>miscellaneous</t>
        </is>
      </c>
      <c r="G33" s="31" t="inlineStr">
        <is>
          <t>smallcap</t>
        </is>
      </c>
      <c r="H33" s="32" t="n">
        <v>4853.17</v>
      </c>
      <c r="I33" s="32" t="n">
        <v>3930.2</v>
      </c>
      <c r="J33" s="32" t="n">
        <v>-0.4</v>
      </c>
      <c r="K33" s="32" t="n">
        <v>20113</v>
      </c>
      <c r="L33" s="31" t="n">
        <v>84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77.58</v>
      </c>
      <c r="P33" s="32" t="n">
        <v>40.73</v>
      </c>
      <c r="Q33" s="32" t="n">
        <v>3030.83</v>
      </c>
      <c r="R33" s="31" t="inlineStr">
        <is>
          <t>Near 52W High Breakout</t>
        </is>
      </c>
      <c r="S33" s="31" t="inlineStr">
        <is>
          <t>Nifty 50</t>
        </is>
      </c>
      <c r="T33" s="32" t="n">
        <v>-1.08</v>
      </c>
      <c r="U33" s="32" t="n">
        <v>52.91</v>
      </c>
      <c r="V33" s="32" t="n">
        <v>54.57</v>
      </c>
      <c r="W33" s="32" t="n">
        <v>27.34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IF(B34=0,"",RANK(B34,$B$2:$B$371,0))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UNIPARTS</t>
        </is>
      </c>
      <c r="D34" s="31" t="inlineStr">
        <is>
          <t>Uniparts India Ltd</t>
        </is>
      </c>
      <c r="E34" s="31" t="inlineStr">
        <is>
          <t>industrials</t>
        </is>
      </c>
      <c r="F34" s="31" t="inlineStr">
        <is>
          <t>engineering</t>
        </is>
      </c>
      <c r="G34" s="31" t="inlineStr">
        <is>
          <t>smallcap</t>
        </is>
      </c>
      <c r="H34" s="32" t="n">
        <v>3721.15</v>
      </c>
      <c r="I34" s="32" t="n">
        <v>816</v>
      </c>
      <c r="J34" s="32" t="n">
        <v>-1.01</v>
      </c>
      <c r="K34" s="32" t="n">
        <v>79311</v>
      </c>
      <c r="L34" s="31" t="n">
        <v>88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79.48</v>
      </c>
      <c r="P34" s="32" t="n">
        <v>61.7</v>
      </c>
      <c r="Q34" s="32" t="n">
        <v>653.83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-1.08</v>
      </c>
      <c r="U34" s="32" t="n">
        <v>118.76</v>
      </c>
      <c r="V34" s="32" t="n">
        <v>121.14</v>
      </c>
      <c r="W34" s="32" t="n">
        <v>29.22</v>
      </c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IF(B35=0,"",RANK(B35,$B$2:$B$371,0))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KPIL</t>
        </is>
      </c>
      <c r="D35" s="31" t="inlineStr">
        <is>
          <t>Kalpataru Projects International Ltd</t>
        </is>
      </c>
      <c r="E35" s="31" t="inlineStr">
        <is>
          <t>realty</t>
        </is>
      </c>
      <c r="F35" s="31" t="inlineStr">
        <is>
          <t>transmisson line towers / equipment</t>
        </is>
      </c>
      <c r="G35" s="31" t="inlineStr">
        <is>
          <t>largecap</t>
        </is>
      </c>
      <c r="H35" s="32" t="n">
        <v>23312.16</v>
      </c>
      <c r="I35" s="32" t="n">
        <v>1350</v>
      </c>
      <c r="J35" s="32" t="n">
        <v>-1.11</v>
      </c>
      <c r="K35" s="32" t="n">
        <v>319973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60.63</v>
      </c>
      <c r="P35" s="32" t="n">
        <v>30.06</v>
      </c>
      <c r="Q35" s="32" t="n">
        <v>1132.9</v>
      </c>
      <c r="R35" s="31" t="inlineStr">
        <is>
          <t>Volume Spike &amp; Near 52W High Breakout</t>
        </is>
      </c>
      <c r="S35" s="31" t="inlineStr">
        <is>
          <t>Nifty Realty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IF(B36=0,"",RANK(B36,$B$2:$B$371,0))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MENONBE</t>
        </is>
      </c>
      <c r="D36" s="31" t="inlineStr">
        <is>
          <t>Menon Bearings Limited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smallcap</t>
        </is>
      </c>
      <c r="H36" s="32" t="n">
        <v>1315.37</v>
      </c>
      <c r="I36" s="32" t="n">
        <v>229.3</v>
      </c>
      <c r="J36" s="32" t="n">
        <v>-2.31</v>
      </c>
      <c r="K36" s="32" t="n">
        <v>58063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76.31</v>
      </c>
      <c r="P36" s="32" t="n">
        <v>54.26</v>
      </c>
      <c r="Q36" s="32" t="n">
        <v>179.33</v>
      </c>
      <c r="R36" s="31" t="inlineStr">
        <is>
          <t>Near 52W High Breakout</t>
        </is>
      </c>
      <c r="S36" s="31" t="inlineStr">
        <is>
          <t>Nifty Auto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IF(B37=0,"",RANK(B37,$B$2:$B$371,0))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APARINDS</t>
        </is>
      </c>
      <c r="D37" s="31" t="inlineStr">
        <is>
          <t>Apar Industries Limited</t>
        </is>
      </c>
      <c r="E37" s="31" t="inlineStr">
        <is>
          <t>industrials</t>
        </is>
      </c>
      <c r="F37" s="31" t="inlineStr">
        <is>
          <t>electric equipment</t>
        </is>
      </c>
      <c r="G37" s="31" t="inlineStr">
        <is>
          <t>largecap</t>
        </is>
      </c>
      <c r="H37" s="32" t="n">
        <v>69200.12</v>
      </c>
      <c r="I37" s="32" t="n">
        <v>16691</v>
      </c>
      <c r="J37" s="32" t="n">
        <v>-3.1</v>
      </c>
      <c r="K37" s="32" t="n">
        <v>175323</v>
      </c>
      <c r="L37" s="31" t="n">
        <v>76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71.52</v>
      </c>
      <c r="P37" s="32" t="n">
        <v>42.38</v>
      </c>
      <c r="Q37" s="32" t="n">
        <v>12549.24</v>
      </c>
      <c r="R37" s="31" t="inlineStr">
        <is>
          <t>Near 52W High Breakout</t>
        </is>
      </c>
      <c r="S37" s="31" t="inlineStr">
        <is>
          <t>Nifty 50</t>
        </is>
      </c>
      <c r="T37" s="32" t="n">
        <v>-1.08</v>
      </c>
      <c r="U37" s="32" t="n">
        <v>94.86</v>
      </c>
      <c r="V37" s="32" t="n">
        <v>96.98</v>
      </c>
      <c r="W37" s="32" t="n">
        <v>21.53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IF(B38=0,"",RANK(B38,$B$2:$B$371,0))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VENUSREM</t>
        </is>
      </c>
      <c r="D38" s="31" t="inlineStr">
        <is>
          <t>Venus Remedies Limited</t>
        </is>
      </c>
      <c r="E38" s="31" t="inlineStr">
        <is>
          <t>healthcare</t>
        </is>
      </c>
      <c r="F38" s="31" t="inlineStr">
        <is>
          <t>pharmaceuticals - indian - formulations</t>
        </is>
      </c>
      <c r="G38" s="31" t="inlineStr">
        <is>
          <t>smallcap</t>
        </is>
      </c>
      <c r="H38" s="32" t="n">
        <v>2311.55</v>
      </c>
      <c r="I38" s="32" t="n">
        <v>1782.1</v>
      </c>
      <c r="J38" s="32" t="n">
        <v>3.05</v>
      </c>
      <c r="K38" s="32" t="n">
        <v>61821</v>
      </c>
      <c r="L38" s="31" t="n">
        <v>97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66.89</v>
      </c>
      <c r="P38" s="32" t="n">
        <v>59.4</v>
      </c>
      <c r="Q38" s="32" t="n">
        <v>1360.43</v>
      </c>
      <c r="R38" s="31" t="inlineStr">
        <is>
          <t>Earnings / Momentum Support</t>
        </is>
      </c>
      <c r="S38" s="31" t="inlineStr">
        <is>
          <t>Nifty Pharma</t>
        </is>
      </c>
      <c r="T38" s="32" t="n">
        <v>19.38</v>
      </c>
      <c r="U38" s="32" t="n">
        <v>278.59</v>
      </c>
      <c r="V38" s="32" t="n">
        <v>217.12</v>
      </c>
      <c r="W38" s="32" t="n">
        <v>53.35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No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Close to 52 week high or retracement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IF(B39=0,"",RANK(B39,$B$2:$B$371,0))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THYROCARE</t>
        </is>
      </c>
      <c r="D39" s="31" t="inlineStr">
        <is>
          <t>Thyrocare Technologies Limited</t>
        </is>
      </c>
      <c r="E39" s="31" t="inlineStr">
        <is>
          <t>healthcare</t>
        </is>
      </c>
      <c r="F39" s="31" t="inlineStr">
        <is>
          <t>healthcare</t>
        </is>
      </c>
      <c r="G39" s="31" t="inlineStr">
        <is>
          <t>midcap</t>
        </is>
      </c>
      <c r="H39" s="32" t="n">
        <v>9645.42</v>
      </c>
      <c r="I39" s="32" t="n">
        <v>624.05</v>
      </c>
      <c r="J39" s="32" t="n">
        <v>2.98</v>
      </c>
      <c r="K39" s="32" t="n">
        <v>1262247</v>
      </c>
      <c r="L39" s="31" t="n">
        <v>63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73.42</v>
      </c>
      <c r="P39" s="32" t="n">
        <v>57.48</v>
      </c>
      <c r="Q39" s="32" t="n">
        <v>480.89</v>
      </c>
      <c r="R39" s="31" t="inlineStr">
        <is>
          <t>Volume Spike &amp; Near 52W High Breakout</t>
        </is>
      </c>
      <c r="S39" s="31" t="inlineStr">
        <is>
          <t>Nifty Pharma</t>
        </is>
      </c>
      <c r="T39" s="32" t="n">
        <v>19.38</v>
      </c>
      <c r="U39" s="32" t="n">
        <v>37.83</v>
      </c>
      <c r="V39" s="32" t="n">
        <v>15.45</v>
      </c>
      <c r="W39" s="32" t="n">
        <v>15.84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Between 1.5 to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IF(B40=0,"",RANK(B40,$B$2:$B$371,0))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INDSWFTLAB</t>
        </is>
      </c>
      <c r="D40" s="31" t="inlineStr">
        <is>
          <t>Ind-swift Laboratories Limited</t>
        </is>
      </c>
      <c r="E40" s="31" t="inlineStr">
        <is>
          <t>healthcare</t>
        </is>
      </c>
      <c r="F40" s="31" t="inlineStr">
        <is>
          <t>pharmaceuticals - indian - bulk drugs &amp; formln</t>
        </is>
      </c>
      <c r="G40" s="31" t="inlineStr">
        <is>
          <t>smallcap</t>
        </is>
      </c>
      <c r="H40" s="32" t="n">
        <v>2579.54</v>
      </c>
      <c r="I40" s="32" t="n">
        <v>304.18</v>
      </c>
      <c r="J40" s="32" t="n">
        <v>2.55</v>
      </c>
      <c r="K40" s="32" t="n">
        <v>618959</v>
      </c>
      <c r="L40" s="31" t="n">
        <v>98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84.06</v>
      </c>
      <c r="P40" s="32" t="n">
        <v>60.53</v>
      </c>
      <c r="Q40" s="32" t="n">
        <v>230.2</v>
      </c>
      <c r="R40" s="31" t="inlineStr">
        <is>
          <t>Volume Spike &amp; Near 52W High Breakout</t>
        </is>
      </c>
      <c r="S40" s="31" t="inlineStr">
        <is>
          <t>Nifty Pharma</t>
        </is>
      </c>
      <c r="T40" s="32" t="n">
        <v>19.38</v>
      </c>
      <c r="U40" s="32" t="n">
        <v>199.86</v>
      </c>
      <c r="V40" s="32" t="n">
        <v>151.18</v>
      </c>
      <c r="W40" s="32" t="n">
        <v>57.24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IF(B41=0,"",RANK(B41,$B$2:$B$371,0))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BLISSGVS</t>
        </is>
      </c>
      <c r="D41" s="31" t="inlineStr">
        <is>
          <t>Bliss Gvs Pharma Limited</t>
        </is>
      </c>
      <c r="E41" s="31" t="inlineStr">
        <is>
          <t>healthcare</t>
        </is>
      </c>
      <c r="F41" s="31" t="inlineStr">
        <is>
          <t>pharmaceuticals - indian - formulations</t>
        </is>
      </c>
      <c r="G41" s="31" t="inlineStr">
        <is>
          <t>midcap</t>
        </is>
      </c>
      <c r="H41" s="32" t="n">
        <v>5451.29</v>
      </c>
      <c r="I41" s="32" t="n">
        <v>520.95</v>
      </c>
      <c r="J41" s="32" t="n">
        <v>1.35</v>
      </c>
      <c r="K41" s="32" t="n">
        <v>390435</v>
      </c>
      <c r="L41" s="31" t="n">
        <v>96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76.75</v>
      </c>
      <c r="P41" s="32" t="n">
        <v>74.88</v>
      </c>
      <c r="Q41" s="32" t="n">
        <v>393.38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19.38</v>
      </c>
      <c r="U41" s="32" t="n">
        <v>207.9</v>
      </c>
      <c r="V41" s="32" t="n">
        <v>157.91</v>
      </c>
      <c r="W41" s="32" t="n">
        <v>46.54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IF(B42=0,"",RANK(B42,$B$2:$B$371,0))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MODISONLTD</t>
        </is>
      </c>
      <c r="D42" s="31" t="inlineStr">
        <is>
          <t>Modison Ltd</t>
        </is>
      </c>
      <c r="E42" s="31" t="inlineStr">
        <is>
          <t>industrials</t>
        </is>
      </c>
      <c r="F42" s="31" t="inlineStr">
        <is>
          <t>electric equipment</t>
        </is>
      </c>
      <c r="G42" s="31" t="inlineStr">
        <is>
          <t>smallcap</t>
        </is>
      </c>
      <c r="H42" s="32" t="n">
        <v>1048.14</v>
      </c>
      <c r="I42" s="32" t="n">
        <v>339.15</v>
      </c>
      <c r="J42" s="32" t="n">
        <v>5</v>
      </c>
      <c r="K42" s="32" t="n">
        <v>51778</v>
      </c>
      <c r="L42" s="31" t="n">
        <v>95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69.29000000000001</v>
      </c>
      <c r="P42" s="32" t="n">
        <v>56.09</v>
      </c>
      <c r="Q42" s="32" t="n">
        <v>261.17</v>
      </c>
      <c r="R42" s="31" t="inlineStr">
        <is>
          <t>Earnings / Momentum Support</t>
        </is>
      </c>
      <c r="S42" s="31" t="inlineStr">
        <is>
          <t>Nifty 50</t>
        </is>
      </c>
      <c r="T42" s="32" t="n">
        <v>-1.08</v>
      </c>
      <c r="U42" s="32" t="n">
        <v>120.5</v>
      </c>
      <c r="V42" s="32" t="n">
        <v>122.9</v>
      </c>
      <c r="W42" s="32" t="n">
        <v>45.64</v>
      </c>
      <c r="X42" s="31" t="inlineStr">
        <is>
          <t>Cyclical in an Upturn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No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IF(B43=0,"",RANK(B43,$B$2:$B$371,0))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ADOR</t>
        </is>
      </c>
      <c r="D43" s="31" t="inlineStr">
        <is>
          <t>Ador Welding Ltd</t>
        </is>
      </c>
      <c r="E43" s="31" t="inlineStr">
        <is>
          <t>industrials</t>
        </is>
      </c>
      <c r="F43" s="31" t="inlineStr">
        <is>
          <t>electrodes - welding equipment</t>
        </is>
      </c>
      <c r="G43" s="31" t="inlineStr">
        <is>
          <t>smallcap</t>
        </is>
      </c>
      <c r="H43" s="32" t="n">
        <v>2610.94</v>
      </c>
      <c r="I43" s="32" t="n">
        <v>1546.1</v>
      </c>
      <c r="J43" s="32" t="n">
        <v>3.05</v>
      </c>
      <c r="K43" s="32" t="n">
        <v>74207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81.98999999999999</v>
      </c>
      <c r="P43" s="32" t="n">
        <v>50.7</v>
      </c>
      <c r="Q43" s="32" t="n">
        <v>1246.79</v>
      </c>
      <c r="R43" s="31" t="inlineStr">
        <is>
          <t>Near 52W High Breakout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IF(B44=0,"",RANK(B44,$B$2:$B$371,0))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PLASTIBLEN</t>
        </is>
      </c>
      <c r="D44" s="31" t="inlineStr">
        <is>
          <t>Plastiblends India Limited</t>
        </is>
      </c>
      <c r="E44" s="31" t="inlineStr">
        <is>
          <t>chemicals</t>
        </is>
      </c>
      <c r="F44" s="31" t="inlineStr">
        <is>
          <t>chemicals</t>
        </is>
      </c>
      <c r="G44" s="31" t="inlineStr">
        <is>
          <t>smallcap</t>
        </is>
      </c>
      <c r="H44" s="32" t="n">
        <v>509.47</v>
      </c>
      <c r="I44" s="32" t="n">
        <v>199.99</v>
      </c>
      <c r="J44" s="32" t="n">
        <v>2.02</v>
      </c>
      <c r="K44" s="32" t="n">
        <v>44466</v>
      </c>
      <c r="L44" s="31" t="n">
        <v>30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65.98999999999999</v>
      </c>
      <c r="P44" s="32" t="n">
        <v>28.05</v>
      </c>
      <c r="Q44" s="32" t="n">
        <v>155.1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-1.08</v>
      </c>
      <c r="U44" s="32" t="n">
        <v>5.83</v>
      </c>
      <c r="V44" s="32" t="n">
        <v>6.98</v>
      </c>
      <c r="W44" s="32" t="n">
        <v>6.21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IF(B45=0,"",RANK(B45,$B$2:$B$371,0))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NRL</t>
        </is>
      </c>
      <c r="D45" s="31" t="inlineStr">
        <is>
          <t>Nupur Recyclers Ltd</t>
        </is>
      </c>
      <c r="E45" s="31" t="inlineStr">
        <is>
          <t>services</t>
        </is>
      </c>
      <c r="F45" s="31" t="inlineStr">
        <is>
          <t>trading</t>
        </is>
      </c>
      <c r="G45" s="31" t="inlineStr">
        <is>
          <t>smallcap</t>
        </is>
      </c>
      <c r="H45" s="32" t="n">
        <v>808.11</v>
      </c>
      <c r="I45" s="32" t="n">
        <v>117</v>
      </c>
      <c r="J45" s="32" t="n">
        <v>1.52</v>
      </c>
      <c r="K45" s="32" t="n">
        <v>46219</v>
      </c>
      <c r="L45" s="31" t="n">
        <v>94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84.39</v>
      </c>
      <c r="P45" s="32" t="n">
        <v>53.68</v>
      </c>
      <c r="Q45" s="32" t="n">
        <v>95.25</v>
      </c>
      <c r="R45" s="31" t="inlineStr">
        <is>
          <t>Near 52W High Breakout</t>
        </is>
      </c>
      <c r="S45" s="31" t="inlineStr">
        <is>
          <t>Nifty 50</t>
        </is>
      </c>
      <c r="T45" s="32" t="n">
        <v>-1.08</v>
      </c>
      <c r="U45" s="32" t="n">
        <v>67.06999999999999</v>
      </c>
      <c r="V45" s="32" t="n">
        <v>68.89</v>
      </c>
      <c r="W45" s="32" t="n">
        <v>42.38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IF(B46=0,"",RANK(B46,$B$2:$B$371,0))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QUESS</t>
        </is>
      </c>
      <c r="D46" s="31" t="inlineStr">
        <is>
          <t>Quess Corp Limited</t>
        </is>
      </c>
      <c r="E46" s="31" t="inlineStr">
        <is>
          <t>miscellaneous</t>
        </is>
      </c>
      <c r="F46" s="31" t="inlineStr">
        <is>
          <t>diversified - large</t>
        </is>
      </c>
      <c r="G46" s="31" t="inlineStr">
        <is>
          <t>smallcap</t>
        </is>
      </c>
      <c r="H46" s="32" t="n">
        <v>4976.67</v>
      </c>
      <c r="I46" s="32" t="n">
        <v>337.8</v>
      </c>
      <c r="J46" s="32" t="n">
        <v>1.38</v>
      </c>
      <c r="K46" s="32" t="n">
        <v>444685</v>
      </c>
      <c r="L46" s="31" t="n">
        <v>79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75.03</v>
      </c>
      <c r="P46" s="32" t="n">
        <v>50.04</v>
      </c>
      <c r="Q46" s="32" t="n">
        <v>263.3</v>
      </c>
      <c r="R46" s="31" t="inlineStr">
        <is>
          <t>Near 52W High Breakout</t>
        </is>
      </c>
      <c r="S46" s="31" t="inlineStr">
        <is>
          <t>Nifty 50</t>
        </is>
      </c>
      <c r="T46" s="32" t="n">
        <v>-1.08</v>
      </c>
      <c r="U46" s="32" t="n">
        <v>32.99</v>
      </c>
      <c r="V46" s="32" t="n">
        <v>34.44</v>
      </c>
      <c r="W46" s="32" t="n">
        <v>23.02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IF(B47=0,"",RANK(B47,$B$2:$B$371,0))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SREEL</t>
        </is>
      </c>
      <c r="D47" s="31" t="inlineStr">
        <is>
          <t>Sreeleathers Limited</t>
        </is>
      </c>
      <c r="E47" s="31" t="inlineStr">
        <is>
          <t>consumer discretionary</t>
        </is>
      </c>
      <c r="F47" s="31" t="inlineStr">
        <is>
          <t>trading</t>
        </is>
      </c>
      <c r="G47" s="31" t="inlineStr">
        <is>
          <t>smallcap</t>
        </is>
      </c>
      <c r="H47" s="32" t="n">
        <v>555.16</v>
      </c>
      <c r="I47" s="32" t="n">
        <v>243.01</v>
      </c>
      <c r="J47" s="32" t="n">
        <v>1.36</v>
      </c>
      <c r="K47" s="32" t="n">
        <v>11383</v>
      </c>
      <c r="L47" s="31" t="n">
        <v>31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67.05</v>
      </c>
      <c r="P47" s="32" t="n">
        <v>39.34</v>
      </c>
      <c r="Q47" s="32" t="n">
        <v>188.74</v>
      </c>
      <c r="R47" s="31" t="inlineStr">
        <is>
          <t>Volume Spike &amp; Near 52W High Breakout</t>
        </is>
      </c>
      <c r="S47" s="31" t="inlineStr">
        <is>
          <t>Nifty 50</t>
        </is>
      </c>
      <c r="T47" s="32" t="n">
        <v>-1.08</v>
      </c>
      <c r="U47" s="32" t="n">
        <v>1.41</v>
      </c>
      <c r="V47" s="32" t="n">
        <v>2.52</v>
      </c>
      <c r="W47" s="32" t="n">
        <v>6.41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IF(B48=0,"",RANK(B48,$B$2:$B$371,0))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SOMANYCERA</t>
        </is>
      </c>
      <c r="D48" s="31" t="inlineStr">
        <is>
          <t>Somany Ceramics Limited</t>
        </is>
      </c>
      <c r="E48" s="31" t="inlineStr">
        <is>
          <t>building materials</t>
        </is>
      </c>
      <c r="F48" s="31" t="inlineStr">
        <is>
          <t>ceramics - tiles / sanitaryware</t>
        </is>
      </c>
      <c r="G48" s="31" t="inlineStr">
        <is>
          <t>smallcap</t>
        </is>
      </c>
      <c r="H48" s="32" t="n">
        <v>2129.18</v>
      </c>
      <c r="I48" s="32" t="n">
        <v>522.65</v>
      </c>
      <c r="J48" s="32" t="n">
        <v>0.67</v>
      </c>
      <c r="K48" s="32" t="n">
        <v>515695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60.25</v>
      </c>
      <c r="P48" s="32" t="n">
        <v>28</v>
      </c>
      <c r="Q48" s="32" t="n">
        <v>411.64</v>
      </c>
      <c r="R48" s="31" t="inlineStr">
        <is>
          <t>Volume Spike &amp; Near 52W High Breakout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IF(B49=0,"",RANK(B49,$B$2:$B$371,0))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TDPOWERSYS</t>
        </is>
      </c>
      <c r="D49" s="31" t="inlineStr">
        <is>
          <t>Td Power Systems Limited</t>
        </is>
      </c>
      <c r="E49" s="31" t="inlineStr">
        <is>
          <t>industrials</t>
        </is>
      </c>
      <c r="F49" s="31" t="inlineStr">
        <is>
          <t>electric equipment</t>
        </is>
      </c>
      <c r="G49" s="31" t="inlineStr">
        <is>
          <t>largecap</t>
        </is>
      </c>
      <c r="H49" s="32" t="n">
        <v>23146.8</v>
      </c>
      <c r="I49" s="32" t="n">
        <v>1484.6</v>
      </c>
      <c r="J49" s="32" t="n">
        <v>0.2</v>
      </c>
      <c r="K49" s="32" t="n">
        <v>759414</v>
      </c>
      <c r="L49" s="31" t="n">
        <v>88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70.04000000000001</v>
      </c>
      <c r="P49" s="32" t="n">
        <v>32.5</v>
      </c>
      <c r="Q49" s="32" t="n">
        <v>1059.96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-1.08</v>
      </c>
      <c r="U49" s="32" t="n">
        <v>192.57</v>
      </c>
      <c r="V49" s="32" t="n">
        <v>195.76</v>
      </c>
      <c r="W49" s="32" t="n">
        <v>28.94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IF(B50=0,"",RANK(B50,$B$2:$B$371,0))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KRYSTAL</t>
        </is>
      </c>
      <c r="D50" s="31" t="inlineStr">
        <is>
          <t>Krystal Integrated Services Ltd</t>
        </is>
      </c>
      <c r="E50" s="31" t="inlineStr">
        <is>
          <t>miscellaneous</t>
        </is>
      </c>
      <c r="F50" s="31" t="inlineStr">
        <is>
          <t>miscellaneous</t>
        </is>
      </c>
      <c r="G50" s="31" t="inlineStr">
        <is>
          <t>smallcap</t>
        </is>
      </c>
      <c r="H50" s="32" t="n">
        <v>866.4</v>
      </c>
      <c r="I50" s="32" t="n">
        <v>620</v>
      </c>
      <c r="J50" s="32" t="n">
        <v>-0.02</v>
      </c>
      <c r="K50" s="32" t="n">
        <v>16107</v>
      </c>
      <c r="L50" s="31" t="n">
        <v>13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59.31</v>
      </c>
      <c r="P50" s="32" t="n">
        <v>24.77</v>
      </c>
      <c r="Q50" s="32" t="n">
        <v>526.54</v>
      </c>
      <c r="R50" s="31" t="inlineStr">
        <is>
          <t>Volume Spike / Accumulation</t>
        </is>
      </c>
      <c r="S50" s="31" t="inlineStr">
        <is>
          <t>Nifty 50</t>
        </is>
      </c>
      <c r="T50" s="32" t="n">
        <v>-1.08</v>
      </c>
      <c r="U50" s="32" t="n">
        <v>0.87</v>
      </c>
      <c r="V50" s="32" t="n">
        <v>1.96</v>
      </c>
      <c r="W50" s="32" t="n">
        <v>1.51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IF(B51=0,"",RANK(B51,$B$2:$B$371,0))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RAMCOIND</t>
        </is>
      </c>
      <c r="D51" s="31" t="inlineStr">
        <is>
          <t>Ramco Industries Limited</t>
        </is>
      </c>
      <c r="E51" s="31" t="inlineStr">
        <is>
          <t>building materials</t>
        </is>
      </c>
      <c r="F51" s="31" t="inlineStr">
        <is>
          <t>cement products</t>
        </is>
      </c>
      <c r="G51" s="31" t="inlineStr">
        <is>
          <t>smallcap</t>
        </is>
      </c>
      <c r="H51" s="32" t="n">
        <v>3103.72</v>
      </c>
      <c r="I51" s="32" t="n">
        <v>356.95</v>
      </c>
      <c r="J51" s="32" t="n">
        <v>-0.13</v>
      </c>
      <c r="K51" s="32" t="n">
        <v>170959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62.08</v>
      </c>
      <c r="P51" s="32" t="n">
        <v>32.63</v>
      </c>
      <c r="Q51" s="32" t="n">
        <v>276.39</v>
      </c>
      <c r="R51" s="31" t="inlineStr">
        <is>
          <t>Volume Spike / Accumulation</t>
        </is>
      </c>
      <c r="S51" s="31" t="inlineStr">
        <is>
          <t>Nifty Infra</t>
        </is>
      </c>
      <c r="T51" s="32" t="inlineStr"/>
      <c r="U51" s="32" t="inlineStr"/>
      <c r="V51" s="32" t="inlineStr"/>
      <c r="W51" s="32" t="inlineStr"/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IF(B52=0,"",RANK(B52,$B$2:$B$371,0))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KAJARIACER</t>
        </is>
      </c>
      <c r="D52" s="31" t="inlineStr">
        <is>
          <t>Kajaria Ceramics Limited</t>
        </is>
      </c>
      <c r="E52" s="31" t="inlineStr">
        <is>
          <t>building materials</t>
        </is>
      </c>
      <c r="F52" s="31" t="inlineStr">
        <is>
          <t>ceramics - tiles / sanitaryware</t>
        </is>
      </c>
      <c r="G52" s="31" t="inlineStr">
        <is>
          <t>largecap</t>
        </is>
      </c>
      <c r="H52" s="32" t="n">
        <v>20082.64</v>
      </c>
      <c r="I52" s="32" t="n">
        <v>1259</v>
      </c>
      <c r="J52" s="32" t="n">
        <v>-0.15</v>
      </c>
      <c r="K52" s="32" t="n">
        <v>321028</v>
      </c>
      <c r="L52" s="31" t="inlineStr"/>
      <c r="M52" s="31" t="inlineStr"/>
      <c r="N52" s="32">
        <f>IF(M52="Underperforming",-5,IF(L52&gt;=95,15,IF(L52&gt;=90,10,IF(L52&gt;=80,5,0))))</f>
        <v/>
      </c>
      <c r="O52" s="32" t="n">
        <v>63.79</v>
      </c>
      <c r="P52" s="32" t="n">
        <v>25.49</v>
      </c>
      <c r="Q52" s="32" t="n">
        <v>1032.47</v>
      </c>
      <c r="R52" s="31" t="inlineStr">
        <is>
          <t>Near 52W High Breakout</t>
        </is>
      </c>
      <c r="S52" s="31" t="inlineStr">
        <is>
          <t>Nifty Infra</t>
        </is>
      </c>
      <c r="T52" s="32" t="inlineStr"/>
      <c r="U52" s="32" t="inlineStr"/>
      <c r="V52" s="32" t="inlineStr"/>
      <c r="W52" s="32" t="inlineStr"/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Close to 52 week high or retracement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IF(B53=0,"",RANK(B53,$B$2:$B$371,0))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HITECHCORP</t>
        </is>
      </c>
      <c r="D53" s="31" t="inlineStr">
        <is>
          <t>Hitech Corporation</t>
        </is>
      </c>
      <c r="E53" s="31" t="inlineStr">
        <is>
          <t>industrials</t>
        </is>
      </c>
      <c r="F53" s="31" t="inlineStr">
        <is>
          <t>packaging</t>
        </is>
      </c>
      <c r="G53" s="31" t="inlineStr">
        <is>
          <t>smallcap</t>
        </is>
      </c>
      <c r="H53" s="32" t="n">
        <v>568.4299999999999</v>
      </c>
      <c r="I53" s="32" t="n">
        <v>330.05</v>
      </c>
      <c r="J53" s="32" t="n">
        <v>-0.27</v>
      </c>
      <c r="K53" s="32" t="n">
        <v>20433</v>
      </c>
      <c r="L53" s="31" t="n">
        <v>96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81.76000000000001</v>
      </c>
      <c r="P53" s="32" t="n">
        <v>58.96</v>
      </c>
      <c r="Q53" s="32" t="n">
        <v>269.95</v>
      </c>
      <c r="R53" s="31" t="inlineStr">
        <is>
          <t>Near 52W High Breakout</t>
        </is>
      </c>
      <c r="S53" s="31" t="inlineStr">
        <is>
          <t>Nifty 50</t>
        </is>
      </c>
      <c r="T53" s="32" t="n">
        <v>-1.08</v>
      </c>
      <c r="U53" s="32" t="n">
        <v>63.71</v>
      </c>
      <c r="V53" s="32" t="n">
        <v>65.48999999999999</v>
      </c>
      <c r="W53" s="32" t="n">
        <v>51.07</v>
      </c>
      <c r="X53" s="31" t="inlineStr">
        <is>
          <t>Cyclical in an Upturn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Between 50% to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IF(B54=0,"",RANK(B54,$B$2:$B$371,0))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ROLEXRINGS</t>
        </is>
      </c>
      <c r="D54" s="31" t="inlineStr">
        <is>
          <t>Rolex Rings Ltd</t>
        </is>
      </c>
      <c r="E54" s="31" t="inlineStr">
        <is>
          <t>auto</t>
        </is>
      </c>
      <c r="F54" s="31" t="inlineStr">
        <is>
          <t>auto ancillaries</t>
        </is>
      </c>
      <c r="G54" s="31" t="inlineStr">
        <is>
          <t>smallcap</t>
        </is>
      </c>
      <c r="H54" s="32" t="n">
        <v>4854.61</v>
      </c>
      <c r="I54" s="32" t="n">
        <v>176.3</v>
      </c>
      <c r="J54" s="32" t="n">
        <v>-1.1</v>
      </c>
      <c r="K54" s="32" t="n">
        <v>4236117</v>
      </c>
      <c r="L54" s="31" t="inlineStr"/>
      <c r="M54" s="31" t="inlineStr"/>
      <c r="N54" s="32">
        <f>IF(M54="Underperforming",-5,IF(L54&gt;=95,15,IF(L54&gt;=90,10,IF(L54&gt;=80,5,0))))</f>
        <v/>
      </c>
      <c r="O54" s="32" t="n">
        <v>65.51000000000001</v>
      </c>
      <c r="P54" s="32" t="n">
        <v>35.59</v>
      </c>
      <c r="Q54" s="32" t="n">
        <v>134.48</v>
      </c>
      <c r="R54" s="31" t="inlineStr">
        <is>
          <t>Volume Spike &amp; Near 52W High Breakout</t>
        </is>
      </c>
      <c r="S54" s="31" t="inlineStr">
        <is>
          <t>Nifty Auto</t>
        </is>
      </c>
      <c r="T54" s="32" t="inlineStr"/>
      <c r="U54" s="32" t="inlineStr"/>
      <c r="V54" s="32" t="inlineStr"/>
      <c r="W54" s="32" t="inlineStr"/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IF(B55=0,"",RANK(B55,$B$2:$B$371,0))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SOLARINDS</t>
        </is>
      </c>
      <c r="D55" s="31" t="inlineStr">
        <is>
          <t>Solar Industries India Limited</t>
        </is>
      </c>
      <c r="E55" s="31" t="inlineStr">
        <is>
          <t>aerospace &amp; defence</t>
        </is>
      </c>
      <c r="F55" s="31" t="inlineStr">
        <is>
          <t>chemicals</t>
        </is>
      </c>
      <c r="G55" s="31" t="inlineStr">
        <is>
          <t>largecap</t>
        </is>
      </c>
      <c r="H55" s="32" t="n">
        <v>183911.99</v>
      </c>
      <c r="I55" s="32" t="n">
        <v>19969</v>
      </c>
      <c r="J55" s="32" t="n">
        <v>-1.75</v>
      </c>
      <c r="K55" s="32" t="n">
        <v>972856</v>
      </c>
      <c r="L55" s="31" t="n">
        <v>44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70.03</v>
      </c>
      <c r="P55" s="32" t="n">
        <v>40.04</v>
      </c>
      <c r="Q55" s="32" t="n">
        <v>16335.61</v>
      </c>
      <c r="R55" s="31" t="inlineStr">
        <is>
          <t>Volume Spike &amp; Near 52W High Breakout</t>
        </is>
      </c>
      <c r="S55" s="31" t="inlineStr">
        <is>
          <t>Nifty 500</t>
        </is>
      </c>
      <c r="T55" s="32" t="n">
        <v>4.03</v>
      </c>
      <c r="U55" s="32" t="n">
        <v>32.32</v>
      </c>
      <c r="V55" s="32" t="n">
        <v>27.19</v>
      </c>
      <c r="W55" s="32" t="n">
        <v>9.890000000000001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Less than 50%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IF(B56=0,"",RANK(B56,$B$2:$B$371,0))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EXIDEIND</t>
        </is>
      </c>
      <c r="D56" s="31" t="inlineStr">
        <is>
          <t>Exide Industries Limited</t>
        </is>
      </c>
      <c r="E56" s="31" t="inlineStr">
        <is>
          <t>auto</t>
        </is>
      </c>
      <c r="F56" s="31" t="inlineStr">
        <is>
          <t>auto ancillaries</t>
        </is>
      </c>
      <c r="G56" s="31" t="inlineStr">
        <is>
          <t>largecap</t>
        </is>
      </c>
      <c r="H56" s="32" t="n">
        <v>41267.5</v>
      </c>
      <c r="I56" s="32" t="n">
        <v>476.1</v>
      </c>
      <c r="J56" s="32" t="n">
        <v>-1.94</v>
      </c>
      <c r="K56" s="32" t="n">
        <v>1563140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72.92</v>
      </c>
      <c r="P56" s="32" t="n">
        <v>42.54</v>
      </c>
      <c r="Q56" s="32" t="n">
        <v>408.23</v>
      </c>
      <c r="R56" s="31" t="inlineStr">
        <is>
          <t>Near 52W High Breakout</t>
        </is>
      </c>
      <c r="S56" s="31" t="inlineStr">
        <is>
          <t>Nifty Auto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IF(B57=0,"",RANK(B57,$B$2:$B$371,0))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AVTNPL</t>
        </is>
      </c>
      <c r="D57" s="31" t="inlineStr">
        <is>
          <t>Avt Natural Products Limited</t>
        </is>
      </c>
      <c r="E57" s="31" t="inlineStr">
        <is>
          <t>fmcg</t>
        </is>
      </c>
      <c r="F57" s="31" t="inlineStr">
        <is>
          <t>solvent extraction</t>
        </is>
      </c>
      <c r="G57" s="31" t="inlineStr">
        <is>
          <t>smallcap</t>
        </is>
      </c>
      <c r="H57" s="32" t="n">
        <v>1085.94</v>
      </c>
      <c r="I57" s="32" t="n">
        <v>81.25</v>
      </c>
      <c r="J57" s="32" t="n">
        <v>13.94</v>
      </c>
      <c r="K57" s="32" t="n">
        <v>2546524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71.52</v>
      </c>
      <c r="P57" s="32" t="n">
        <v>33.01</v>
      </c>
      <c r="Q57" s="32" t="n">
        <v>65.29000000000001</v>
      </c>
      <c r="R57" s="31" t="inlineStr">
        <is>
          <t>Volume Spike &amp; Near 52W High Breakout</t>
        </is>
      </c>
      <c r="S57" s="31" t="inlineStr">
        <is>
          <t>Nifty FMCG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B2C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IF(B58=0,"",RANK(B58,$B$2:$B$371,0))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MARKSANS</t>
        </is>
      </c>
      <c r="D58" s="31" t="inlineStr">
        <is>
          <t>Marksans Pharma Limited</t>
        </is>
      </c>
      <c r="E58" s="31" t="inlineStr">
        <is>
          <t>healthcare</t>
        </is>
      </c>
      <c r="F58" s="31" t="inlineStr">
        <is>
          <t>pharmaceuticals - indian - formulations</t>
        </is>
      </c>
      <c r="G58" s="31" t="inlineStr">
        <is>
          <t>midcap</t>
        </is>
      </c>
      <c r="H58" s="32" t="n">
        <v>13748.99</v>
      </c>
      <c r="I58" s="32" t="n">
        <v>333</v>
      </c>
      <c r="J58" s="32" t="n">
        <v>9.76</v>
      </c>
      <c r="K58" s="32" t="n">
        <v>20243407</v>
      </c>
      <c r="L58" s="31" t="n">
        <v>85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77.88</v>
      </c>
      <c r="P58" s="32" t="n">
        <v>54.91</v>
      </c>
      <c r="Q58" s="32" t="n">
        <v>261.44</v>
      </c>
      <c r="R58" s="31" t="inlineStr">
        <is>
          <t>Volume Spike &amp; Near 52W High Breakout</t>
        </is>
      </c>
      <c r="S58" s="31" t="inlineStr">
        <is>
          <t>Nifty Pharma</t>
        </is>
      </c>
      <c r="T58" s="32" t="n">
        <v>19.38</v>
      </c>
      <c r="U58" s="32" t="n">
        <v>86.47</v>
      </c>
      <c r="V58" s="32" t="n">
        <v>56.2</v>
      </c>
      <c r="W58" s="32" t="n">
        <v>27.48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IF(B59=0,"",RANK(B59,$B$2:$B$371,0))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SHILPAMED</t>
        </is>
      </c>
      <c r="D59" s="31" t="inlineStr">
        <is>
          <t>Shilpa Medicare Limited</t>
        </is>
      </c>
      <c r="E59" s="31" t="inlineStr">
        <is>
          <t>healthcare</t>
        </is>
      </c>
      <c r="F59" s="31" t="inlineStr">
        <is>
          <t>pharmaceuticals - indian - formulations</t>
        </is>
      </c>
      <c r="G59" s="31" t="inlineStr">
        <is>
          <t>midcap</t>
        </is>
      </c>
      <c r="H59" s="32" t="n">
        <v>15784.43</v>
      </c>
      <c r="I59" s="32" t="n">
        <v>822</v>
      </c>
      <c r="J59" s="32" t="n">
        <v>1.85</v>
      </c>
      <c r="K59" s="32" t="n">
        <v>1036742</v>
      </c>
      <c r="L59" s="31" t="n">
        <v>90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88.86</v>
      </c>
      <c r="P59" s="32" t="n">
        <v>73.13</v>
      </c>
      <c r="Q59" s="32" t="n">
        <v>661.09</v>
      </c>
      <c r="R59" s="31" t="inlineStr">
        <is>
          <t>Near 52W High Breakout</t>
        </is>
      </c>
      <c r="S59" s="31" t="inlineStr">
        <is>
          <t>Nifty Pharma</t>
        </is>
      </c>
      <c r="T59" s="32" t="n">
        <v>19.38</v>
      </c>
      <c r="U59" s="32" t="n">
        <v>81.15000000000001</v>
      </c>
      <c r="V59" s="32" t="n">
        <v>51.74</v>
      </c>
      <c r="W59" s="32" t="n">
        <v>31.96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IF(B60=0,"",RANK(B60,$B$2:$B$371,0))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AJANTPHARM</t>
        </is>
      </c>
      <c r="D60" s="31" t="inlineStr">
        <is>
          <t>Ajanta Pharma Limited</t>
        </is>
      </c>
      <c r="E60" s="31" t="inlineStr">
        <is>
          <t>healthcare</t>
        </is>
      </c>
      <c r="F60" s="31" t="inlineStr">
        <is>
          <t>pharmaceuticals - indian - formulations</t>
        </is>
      </c>
      <c r="G60" s="31" t="inlineStr">
        <is>
          <t>largecap</t>
        </is>
      </c>
      <c r="H60" s="32" t="n">
        <v>45159.23</v>
      </c>
      <c r="I60" s="32" t="n">
        <v>3672.8</v>
      </c>
      <c r="J60" s="32" t="n">
        <v>1.61</v>
      </c>
      <c r="K60" s="32" t="n">
        <v>95494</v>
      </c>
      <c r="L60" s="31" t="n">
        <v>47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75.08</v>
      </c>
      <c r="P60" s="32" t="n">
        <v>45.79</v>
      </c>
      <c r="Q60" s="32" t="n">
        <v>3084.05</v>
      </c>
      <c r="R60" s="31" t="inlineStr">
        <is>
          <t>Near 52W High Breakout</t>
        </is>
      </c>
      <c r="S60" s="31" t="inlineStr">
        <is>
          <t>Nifty Pharma</t>
        </is>
      </c>
      <c r="T60" s="32" t="n">
        <v>19.38</v>
      </c>
      <c r="U60" s="32" t="n">
        <v>39.54</v>
      </c>
      <c r="V60" s="32" t="n">
        <v>16.89</v>
      </c>
      <c r="W60" s="32" t="n">
        <v>10.57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Above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IF(B61=0,"",RANK(B61,$B$2:$B$371,0))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CUPID</t>
        </is>
      </c>
      <c r="D61" s="31" t="inlineStr">
        <is>
          <t>Cupid Limited</t>
        </is>
      </c>
      <c r="E61" s="31" t="inlineStr">
        <is>
          <t>fmcg</t>
        </is>
      </c>
      <c r="F61" s="31" t="inlineStr">
        <is>
          <t>personal care - indian</t>
        </is>
      </c>
      <c r="G61" s="31" t="inlineStr">
        <is>
          <t>largecap</t>
        </is>
      </c>
      <c r="H61" s="32" t="n">
        <v>39648.67</v>
      </c>
      <c r="I61" s="32" t="n">
        <v>293.88</v>
      </c>
      <c r="J61" s="32" t="n">
        <v>-0.33</v>
      </c>
      <c r="K61" s="32" t="n">
        <v>25656653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93.45999999999999</v>
      </c>
      <c r="P61" s="32" t="n">
        <v>71.08</v>
      </c>
      <c r="Q61" s="32" t="n">
        <v>235.53</v>
      </c>
      <c r="R61" s="31" t="inlineStr">
        <is>
          <t>Near 52W High Breakout</t>
        </is>
      </c>
      <c r="S61" s="31" t="inlineStr">
        <is>
          <t>Nifty FMCG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B2C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IF(B62=0,"",RANK(B62,$B$2:$B$371,0))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VIJAYA</t>
        </is>
      </c>
      <c r="D62" s="31" t="inlineStr">
        <is>
          <t>Vijaya Diagnostic Centre Ltd</t>
        </is>
      </c>
      <c r="E62" s="31" t="inlineStr">
        <is>
          <t>healthcare</t>
        </is>
      </c>
      <c r="F62" s="31" t="inlineStr">
        <is>
          <t>healthcare</t>
        </is>
      </c>
      <c r="G62" s="31" t="inlineStr">
        <is>
          <t>midcap</t>
        </is>
      </c>
      <c r="H62" s="32" t="n">
        <v>15295.6</v>
      </c>
      <c r="I62" s="32" t="n">
        <v>1474.1</v>
      </c>
      <c r="J62" s="32" t="n">
        <v>-0.83</v>
      </c>
      <c r="K62" s="32" t="n">
        <v>130492</v>
      </c>
      <c r="L62" s="31" t="n">
        <v>45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69.08</v>
      </c>
      <c r="P62" s="32" t="n">
        <v>56.47</v>
      </c>
      <c r="Q62" s="32" t="n">
        <v>1166.3</v>
      </c>
      <c r="R62" s="31" t="inlineStr">
        <is>
          <t>Volume Spike &amp; Near 52W High Breakout</t>
        </is>
      </c>
      <c r="S62" s="31" t="inlineStr">
        <is>
          <t>Nifty Pharma</t>
        </is>
      </c>
      <c r="T62" s="32" t="n">
        <v>19.38</v>
      </c>
      <c r="U62" s="32" t="n">
        <v>40.25</v>
      </c>
      <c r="V62" s="32" t="n">
        <v>17.48</v>
      </c>
      <c r="W62" s="32" t="n">
        <v>10.08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IF(B63=0,"",RANK(B63,$B$2:$B$371,0))</f>
        <v/>
      </c>
      <c r="B63" s="32">
        <f>SUM(N63,Y63,AA63,AC63,AE63,AG63,AI63,AK63,AM63,AO63,AQ63,AS63,AU63,AW63,AY63,BA63,BC63,BE63,BG63,BI63,BK63,BM63,BO63,BQ63,BS63,BU63,BW63,BY63,CA63,CC63,CE63)</f>
        <v/>
      </c>
      <c r="C63" s="33" t="inlineStr">
        <is>
          <t>INNOVACAP</t>
        </is>
      </c>
      <c r="D63" s="33" t="inlineStr">
        <is>
          <t>Innova Captab Ltd</t>
        </is>
      </c>
      <c r="E63" s="31" t="inlineStr">
        <is>
          <t>healthcare</t>
        </is>
      </c>
      <c r="F63" s="31" t="inlineStr">
        <is>
          <t>pharmaceuticals - indian - bulk drugs &amp; formln</t>
        </is>
      </c>
      <c r="G63" s="31" t="inlineStr">
        <is>
          <t>midcap</t>
        </is>
      </c>
      <c r="H63" s="32" t="n">
        <v>5994.31</v>
      </c>
      <c r="I63" s="32" t="n">
        <v>1036.05</v>
      </c>
      <c r="J63" s="32" t="n">
        <v>-1.09</v>
      </c>
      <c r="K63" s="32" t="n">
        <v>54909</v>
      </c>
      <c r="L63" s="31" t="n">
        <v>39</v>
      </c>
      <c r="M63" s="31" t="inlineStr">
        <is>
          <t>Underperforming</t>
        </is>
      </c>
      <c r="N63" s="32">
        <f>IF(M63="Underperforming",-5,IF(L63&gt;=95,15,IF(L63&gt;=90,10,IF(L63&gt;=80,5,0))))</f>
        <v/>
      </c>
      <c r="O63" s="32" t="n">
        <v>71.44</v>
      </c>
      <c r="P63" s="32" t="n">
        <v>58.98</v>
      </c>
      <c r="Q63" s="32" t="n">
        <v>811.9</v>
      </c>
      <c r="R63" s="31" t="inlineStr">
        <is>
          <t>Volume Spike &amp; Near 52W High Breakout</t>
        </is>
      </c>
      <c r="S63" s="31" t="inlineStr">
        <is>
          <t>Nifty Pharma</t>
        </is>
      </c>
      <c r="T63" s="32" t="n">
        <v>19.38</v>
      </c>
      <c r="U63" s="32" t="n">
        <v>14.73</v>
      </c>
      <c r="V63" s="32" t="n">
        <v>-3.9</v>
      </c>
      <c r="W63" s="32" t="n">
        <v>8.279999999999999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Yes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Annuity, Lower One Time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IF(B64=0,"",RANK(B64,$B$2:$B$371,0))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PANACHE</t>
        </is>
      </c>
      <c r="D64" s="31" t="inlineStr">
        <is>
          <t>Panache Digilife Ltd</t>
        </is>
      </c>
      <c r="E64" s="31" t="inlineStr">
        <is>
          <t>i.t</t>
        </is>
      </c>
      <c r="F64" s="31" t="inlineStr">
        <is>
          <t>computers - hardware</t>
        </is>
      </c>
      <c r="G64" s="31" t="inlineStr">
        <is>
          <t>smallcap</t>
        </is>
      </c>
      <c r="H64" s="32" t="n">
        <v>800.38</v>
      </c>
      <c r="I64" s="32" t="n">
        <v>524.75</v>
      </c>
      <c r="J64" s="32" t="n">
        <v>4.99</v>
      </c>
      <c r="K64" s="32" t="n">
        <v>20144</v>
      </c>
      <c r="L64" s="31" t="n">
        <v>89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72.34</v>
      </c>
      <c r="P64" s="32" t="n">
        <v>25.11</v>
      </c>
      <c r="Q64" s="32" t="n">
        <v>394.78</v>
      </c>
      <c r="R64" s="31" t="inlineStr">
        <is>
          <t>Near 52W High Breakout</t>
        </is>
      </c>
      <c r="S64" s="31" t="inlineStr">
        <is>
          <t>Nifty IT</t>
        </is>
      </c>
      <c r="T64" s="32" t="n">
        <v>-9.98</v>
      </c>
      <c r="U64" s="32" t="n">
        <v>118.01</v>
      </c>
      <c r="V64" s="32" t="n">
        <v>142.17</v>
      </c>
      <c r="W64" s="32" t="n">
        <v>31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IF(B65=0,"",RANK(B65,$B$2:$B$371,0))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IDEA</t>
        </is>
      </c>
      <c r="D65" s="31" t="inlineStr">
        <is>
          <t>Vodafone Idea Ltd</t>
        </is>
      </c>
      <c r="E65" s="31" t="inlineStr">
        <is>
          <t>telecom-service</t>
        </is>
      </c>
      <c r="F65" s="31" t="inlineStr">
        <is>
          <t>telecommunications - service provider</t>
        </is>
      </c>
      <c r="G65" s="31" t="inlineStr">
        <is>
          <t>largecap</t>
        </is>
      </c>
      <c r="H65" s="32" t="n">
        <v>146371.44</v>
      </c>
      <c r="I65" s="32" t="n">
        <v>14.11</v>
      </c>
      <c r="J65" s="32" t="n">
        <v>4.44</v>
      </c>
      <c r="K65" s="32" t="n">
        <v>1553930055</v>
      </c>
      <c r="L65" s="31" t="n">
        <v>77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62.28</v>
      </c>
      <c r="P65" s="32" t="n">
        <v>35.71</v>
      </c>
      <c r="Q65" s="32" t="n">
        <v>11.98</v>
      </c>
      <c r="R65" s="31" t="inlineStr">
        <is>
          <t>Volume Spike / Accumulation</t>
        </is>
      </c>
      <c r="S65" s="31" t="inlineStr">
        <is>
          <t>Nifty 500</t>
        </is>
      </c>
      <c r="T65" s="32" t="n">
        <v>4.03</v>
      </c>
      <c r="U65" s="32" t="n">
        <v>129.43</v>
      </c>
      <c r="V65" s="32" t="n">
        <v>120.54</v>
      </c>
      <c r="W65" s="32" t="n">
        <v>22.74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Oligopoly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IF(B66=0,"",RANK(B66,$B$2:$B$371,0))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HAPPYFORGE</t>
        </is>
      </c>
      <c r="D66" s="31" t="inlineStr">
        <is>
          <t>Happy Forgings Ltd</t>
        </is>
      </c>
      <c r="E66" s="31" t="inlineStr">
        <is>
          <t>industrials</t>
        </is>
      </c>
      <c r="F66" s="31" t="inlineStr">
        <is>
          <t>castings &amp; forgings</t>
        </is>
      </c>
      <c r="G66" s="31" t="inlineStr">
        <is>
          <t>midcap</t>
        </is>
      </c>
      <c r="H66" s="32" t="n">
        <v>18947.47</v>
      </c>
      <c r="I66" s="32" t="n">
        <v>2089.6</v>
      </c>
      <c r="J66" s="32" t="n">
        <v>4.08</v>
      </c>
      <c r="K66" s="32" t="n">
        <v>214369</v>
      </c>
      <c r="L66" s="31" t="n">
        <v>87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85.79000000000001</v>
      </c>
      <c r="P66" s="32" t="n">
        <v>53.03</v>
      </c>
      <c r="Q66" s="32" t="n">
        <v>1711.22</v>
      </c>
      <c r="R66" s="31" t="inlineStr">
        <is>
          <t>Near 52W High Breakout</t>
        </is>
      </c>
      <c r="S66" s="31" t="inlineStr">
        <is>
          <t>Nifty 50</t>
        </is>
      </c>
      <c r="T66" s="32" t="n">
        <v>-1.08</v>
      </c>
      <c r="U66" s="32" t="n">
        <v>121.45</v>
      </c>
      <c r="V66" s="32" t="n">
        <v>123.87</v>
      </c>
      <c r="W66" s="32" t="n">
        <v>28.76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IF(B67=0,"",RANK(B67,$B$2:$B$371,0))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RPEL</t>
        </is>
      </c>
      <c r="D67" s="31" t="inlineStr">
        <is>
          <t>Raghav Productivity Enhancers Ltd</t>
        </is>
      </c>
      <c r="E67" s="31" t="inlineStr">
        <is>
          <t>building materials</t>
        </is>
      </c>
      <c r="F67" s="31" t="inlineStr">
        <is>
          <t>refractories / intermediates</t>
        </is>
      </c>
      <c r="G67" s="31" t="inlineStr">
        <is>
          <t>midcap</t>
        </is>
      </c>
      <c r="H67" s="32" t="n">
        <v>6377.64</v>
      </c>
      <c r="I67" s="32" t="n">
        <v>1433.9</v>
      </c>
      <c r="J67" s="32" t="n">
        <v>3.25</v>
      </c>
      <c r="K67" s="32" t="n">
        <v>243416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78.88</v>
      </c>
      <c r="P67" s="32" t="n">
        <v>53.31</v>
      </c>
      <c r="Q67" s="32" t="n">
        <v>1127.65</v>
      </c>
      <c r="R67" s="31" t="inlineStr">
        <is>
          <t>Near 52W High Breakout</t>
        </is>
      </c>
      <c r="S67" s="31" t="inlineStr">
        <is>
          <t>Nifty Infra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Between 1.5 to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IF(B68=0,"",RANK(B68,$B$2:$B$371,0))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ARVIND</t>
        </is>
      </c>
      <c r="D68" s="31" t="inlineStr">
        <is>
          <t>Arvind Limited</t>
        </is>
      </c>
      <c r="E68" s="31" t="inlineStr">
        <is>
          <t>textiles</t>
        </is>
      </c>
      <c r="F68" s="31" t="inlineStr">
        <is>
          <t>textiles - cotton/blended</t>
        </is>
      </c>
      <c r="G68" s="31" t="inlineStr">
        <is>
          <t>midcap</t>
        </is>
      </c>
      <c r="H68" s="32" t="n">
        <v>15115.94</v>
      </c>
      <c r="I68" s="32" t="n">
        <v>571.85</v>
      </c>
      <c r="J68" s="32" t="n">
        <v>2.92</v>
      </c>
      <c r="K68" s="32" t="n">
        <v>1283356</v>
      </c>
      <c r="L68" s="31" t="n">
        <v>74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70.98999999999999</v>
      </c>
      <c r="P68" s="32" t="n">
        <v>61.85</v>
      </c>
      <c r="Q68" s="32" t="n">
        <v>453.85</v>
      </c>
      <c r="R68" s="31" t="inlineStr">
        <is>
          <t>Near 52W High Breakout</t>
        </is>
      </c>
      <c r="S68" s="31" t="inlineStr">
        <is>
          <t>Nifty 50</t>
        </is>
      </c>
      <c r="T68" s="32" t="n">
        <v>-1.08</v>
      </c>
      <c r="U68" s="32" t="n">
        <v>99.22</v>
      </c>
      <c r="V68" s="32" t="n">
        <v>101.39</v>
      </c>
      <c r="W68" s="32" t="n">
        <v>20.47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IF(B69=0,"",RANK(B69,$B$2:$B$371,0))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AETHER</t>
        </is>
      </c>
      <c r="D69" s="31" t="inlineStr">
        <is>
          <t>Aether Industries Ltd</t>
        </is>
      </c>
      <c r="E69" s="31" t="inlineStr">
        <is>
          <t>chemicals</t>
        </is>
      </c>
      <c r="F69" s="31" t="inlineStr">
        <is>
          <t>chemicals</t>
        </is>
      </c>
      <c r="G69" s="31" t="inlineStr">
        <is>
          <t>largecap</t>
        </is>
      </c>
      <c r="H69" s="32" t="n">
        <v>20969.91</v>
      </c>
      <c r="I69" s="32" t="n">
        <v>1625.1</v>
      </c>
      <c r="J69" s="32" t="n">
        <v>2.85</v>
      </c>
      <c r="K69" s="32" t="n">
        <v>262061</v>
      </c>
      <c r="L69" s="31" t="n">
        <v>84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76.02</v>
      </c>
      <c r="P69" s="32" t="n">
        <v>46.1</v>
      </c>
      <c r="Q69" s="32" t="n">
        <v>1312.73</v>
      </c>
      <c r="R69" s="31" t="inlineStr">
        <is>
          <t>Near 52W High Breakout</t>
        </is>
      </c>
      <c r="S69" s="31" t="inlineStr">
        <is>
          <t>Nifty 50</t>
        </is>
      </c>
      <c r="T69" s="32" t="n">
        <v>-1.08</v>
      </c>
      <c r="U69" s="32" t="n">
        <v>119.15</v>
      </c>
      <c r="V69" s="32" t="n">
        <v>121.54</v>
      </c>
      <c r="W69" s="32" t="n">
        <v>27.15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IF(B70=0,"",RANK(B70,$B$2:$B$371,0))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SEAMECLTD</t>
        </is>
      </c>
      <c r="D70" s="31" t="inlineStr">
        <is>
          <t>Seamec Limited</t>
        </is>
      </c>
      <c r="E70" s="31" t="inlineStr">
        <is>
          <t>miscellaneous</t>
        </is>
      </c>
      <c r="F70" s="31" t="inlineStr">
        <is>
          <t>miscellaneous</t>
        </is>
      </c>
      <c r="G70" s="31" t="inlineStr">
        <is>
          <t>smallcap</t>
        </is>
      </c>
      <c r="H70" s="32" t="n">
        <v>3895.87</v>
      </c>
      <c r="I70" s="32" t="n">
        <v>1554</v>
      </c>
      <c r="J70" s="32" t="n">
        <v>1.42</v>
      </c>
      <c r="K70" s="32" t="n">
        <v>140966</v>
      </c>
      <c r="L70" s="31" t="n">
        <v>59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59.78</v>
      </c>
      <c r="P70" s="32" t="n">
        <v>24.55</v>
      </c>
      <c r="Q70" s="32" t="n">
        <v>1245.18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-1.08</v>
      </c>
      <c r="U70" s="32" t="n">
        <v>79.95999999999999</v>
      </c>
      <c r="V70" s="32" t="n">
        <v>81.92</v>
      </c>
      <c r="W70" s="32" t="n">
        <v>14.66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IF(B71=0,"",RANK(B71,$B$2:$B$371,0))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MINDACORP</t>
        </is>
      </c>
      <c r="D71" s="31" t="inlineStr">
        <is>
          <t>Minda Corporation Limited</t>
        </is>
      </c>
      <c r="E71" s="31" t="inlineStr">
        <is>
          <t>auto</t>
        </is>
      </c>
      <c r="F71" s="31" t="inlineStr">
        <is>
          <t>auto ancillaries</t>
        </is>
      </c>
      <c r="G71" s="31" t="inlineStr">
        <is>
          <t>midcap</t>
        </is>
      </c>
      <c r="H71" s="32" t="n">
        <v>17023.65</v>
      </c>
      <c r="I71" s="32" t="n">
        <v>720.05</v>
      </c>
      <c r="J71" s="32" t="n">
        <v>1.12</v>
      </c>
      <c r="K71" s="32" t="n">
        <v>4747307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70.45</v>
      </c>
      <c r="P71" s="32" t="n">
        <v>36.02</v>
      </c>
      <c r="Q71" s="32" t="n">
        <v>592.24</v>
      </c>
      <c r="R71" s="31" t="inlineStr">
        <is>
          <t>Volume Spike &amp; Near 52W High Breakout</t>
        </is>
      </c>
      <c r="S71" s="31" t="inlineStr">
        <is>
          <t>Nifty Auto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IF(B72=0,"",RANK(B72,$B$2:$B$371,0))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SSWL</t>
        </is>
      </c>
      <c r="D72" s="31" t="inlineStr">
        <is>
          <t>Steel Strips Wheels Limited</t>
        </is>
      </c>
      <c r="E72" s="31" t="inlineStr">
        <is>
          <t>auto</t>
        </is>
      </c>
      <c r="F72" s="31" t="inlineStr">
        <is>
          <t>auto ancillaries</t>
        </is>
      </c>
      <c r="G72" s="31" t="inlineStr">
        <is>
          <t>smallcap</t>
        </is>
      </c>
      <c r="H72" s="32" t="n">
        <v>4881.24</v>
      </c>
      <c r="I72" s="32" t="n">
        <v>313.1</v>
      </c>
      <c r="J72" s="32" t="n">
        <v>0.82</v>
      </c>
      <c r="K72" s="32" t="n">
        <v>369561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76.22</v>
      </c>
      <c r="P72" s="32" t="n">
        <v>28.51</v>
      </c>
      <c r="Q72" s="32" t="n">
        <v>248.98</v>
      </c>
      <c r="R72" s="31" t="inlineStr">
        <is>
          <t>Near 52W High Breakout</t>
        </is>
      </c>
      <c r="S72" s="31" t="inlineStr">
        <is>
          <t>Nifty Auto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IF(B73=0,"",RANK(B73,$B$2:$B$371,0))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AVALON</t>
        </is>
      </c>
      <c r="D73" s="31" t="inlineStr">
        <is>
          <t>Avalon Technologies Ltd</t>
        </is>
      </c>
      <c r="E73" s="31" t="inlineStr">
        <is>
          <t>consumer discretionary</t>
        </is>
      </c>
      <c r="F73" s="31" t="inlineStr">
        <is>
          <t>electronics - components</t>
        </is>
      </c>
      <c r="G73" s="31" t="inlineStr">
        <is>
          <t>midcap</t>
        </is>
      </c>
      <c r="H73" s="32" t="n">
        <v>12897.34</v>
      </c>
      <c r="I73" s="32" t="n">
        <v>1940.8</v>
      </c>
      <c r="J73" s="32" t="n">
        <v>0.54</v>
      </c>
      <c r="K73" s="32" t="n">
        <v>177135</v>
      </c>
      <c r="L73" s="31" t="n">
        <v>87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77.67</v>
      </c>
      <c r="P73" s="32" t="n">
        <v>57.94</v>
      </c>
      <c r="Q73" s="32" t="n">
        <v>1513.81</v>
      </c>
      <c r="R73" s="31" t="inlineStr">
        <is>
          <t>Near 52W High Breakout</t>
        </is>
      </c>
      <c r="S73" s="31" t="inlineStr">
        <is>
          <t>Nifty 50</t>
        </is>
      </c>
      <c r="T73" s="32" t="n">
        <v>-1.08</v>
      </c>
      <c r="U73" s="32" t="n">
        <v>131.67</v>
      </c>
      <c r="V73" s="32" t="n">
        <v>134.19</v>
      </c>
      <c r="W73" s="32" t="n">
        <v>28.91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Above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IF(B74=0,"",RANK(B74,$B$2:$B$371,0))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THELEELA</t>
        </is>
      </c>
      <c r="D74" s="31" t="inlineStr">
        <is>
          <t>Leela Palaces Hotels &amp; Resorts Ltd</t>
        </is>
      </c>
      <c r="E74" s="31" t="inlineStr">
        <is>
          <t>services</t>
        </is>
      </c>
      <c r="F74" s="31" t="inlineStr">
        <is>
          <t>hotels</t>
        </is>
      </c>
      <c r="G74" s="31" t="inlineStr">
        <is>
          <t>midcap</t>
        </is>
      </c>
      <c r="H74" s="32" t="n">
        <v>16980.09</v>
      </c>
      <c r="I74" s="32" t="n">
        <v>510.05</v>
      </c>
      <c r="J74" s="32" t="n">
        <v>0.31</v>
      </c>
      <c r="K74" s="32" t="n">
        <v>209133</v>
      </c>
      <c r="L74" s="31" t="n">
        <v>38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62.8</v>
      </c>
      <c r="P74" s="32" t="n">
        <v>26.46</v>
      </c>
      <c r="Q74" s="32" t="n">
        <v>420.67</v>
      </c>
      <c r="R74" s="31" t="inlineStr">
        <is>
          <t>Near 52W High Breakout</t>
        </is>
      </c>
      <c r="S74" s="31" t="inlineStr">
        <is>
          <t>Nifty 50</t>
        </is>
      </c>
      <c r="T74" s="32" t="n">
        <v>-1.08</v>
      </c>
      <c r="U74" s="32" t="n">
        <v>16.13</v>
      </c>
      <c r="V74" s="32" t="n">
        <v>17.4</v>
      </c>
      <c r="W74" s="32" t="n">
        <v>8.16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IF(B75=0,"",RANK(B75,$B$2:$B$371,0))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SKYGOLD</t>
        </is>
      </c>
      <c r="D75" s="31" t="inlineStr">
        <is>
          <t>Sky Gold Ltd</t>
        </is>
      </c>
      <c r="E75" s="31" t="inlineStr">
        <is>
          <t>consumer discretionary</t>
        </is>
      </c>
      <c r="F75" s="31" t="inlineStr">
        <is>
          <t>diamond cutting / jewellery</t>
        </is>
      </c>
      <c r="G75" s="31" t="inlineStr">
        <is>
          <t>midcap</t>
        </is>
      </c>
      <c r="H75" s="32" t="n">
        <v>11986.46</v>
      </c>
      <c r="I75" s="32" t="n">
        <v>773.4</v>
      </c>
      <c r="J75" s="32" t="n">
        <v>-0.07000000000000001</v>
      </c>
      <c r="K75" s="32" t="n">
        <v>1180385</v>
      </c>
      <c r="L75" s="31" t="n">
        <v>94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80.14</v>
      </c>
      <c r="P75" s="32" t="n">
        <v>61.11</v>
      </c>
      <c r="Q75" s="32" t="n">
        <v>585.05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-1.08</v>
      </c>
      <c r="U75" s="32" t="n">
        <v>183.14</v>
      </c>
      <c r="V75" s="32" t="n">
        <v>186.22</v>
      </c>
      <c r="W75" s="32" t="n">
        <v>40.16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IF(B76=0,"",RANK(B76,$B$2:$B$371,0))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UFBL</t>
        </is>
      </c>
      <c r="D76" s="31" t="inlineStr">
        <is>
          <t>United Foodbrands Ltd</t>
        </is>
      </c>
      <c r="E76" s="31" t="inlineStr">
        <is>
          <t>consumer discretionary</t>
        </is>
      </c>
      <c r="F76" s="31" t="inlineStr">
        <is>
          <t>hotels</t>
        </is>
      </c>
      <c r="G76" s="31" t="inlineStr">
        <is>
          <t>smallcap</t>
        </is>
      </c>
      <c r="H76" s="32" t="n">
        <v>2992.06</v>
      </c>
      <c r="I76" s="32" t="n">
        <v>765</v>
      </c>
      <c r="J76" s="32" t="n">
        <v>-0.07000000000000001</v>
      </c>
      <c r="K76" s="32" t="n">
        <v>48210</v>
      </c>
      <c r="L76" s="31" t="n">
        <v>97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72.37</v>
      </c>
      <c r="P76" s="32" t="n">
        <v>56.36</v>
      </c>
      <c r="Q76" s="32" t="n">
        <v>590.5700000000001</v>
      </c>
      <c r="R76" s="31" t="inlineStr">
        <is>
          <t>Earnings / Momentum Support</t>
        </is>
      </c>
      <c r="S76" s="31" t="inlineStr">
        <is>
          <t>Nifty 50</t>
        </is>
      </c>
      <c r="T76" s="32" t="n">
        <v>-1.08</v>
      </c>
      <c r="U76" s="32" t="n">
        <v>196.62</v>
      </c>
      <c r="V76" s="32" t="n">
        <v>199.85</v>
      </c>
      <c r="W76" s="32" t="n">
        <v>53.61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More than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IF(B77=0,"",RANK(B77,$B$2:$B$371,0))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FINCABLES</t>
        </is>
      </c>
      <c r="D77" s="31" t="inlineStr">
        <is>
          <t>Finolex Cables Limited</t>
        </is>
      </c>
      <c r="E77" s="31" t="inlineStr">
        <is>
          <t>industrials</t>
        </is>
      </c>
      <c r="F77" s="31" t="inlineStr">
        <is>
          <t>cables - power</t>
        </is>
      </c>
      <c r="G77" s="31" t="inlineStr">
        <is>
          <t>midcap</t>
        </is>
      </c>
      <c r="H77" s="32" t="n">
        <v>19106.71</v>
      </c>
      <c r="I77" s="32" t="n">
        <v>1246.85</v>
      </c>
      <c r="J77" s="32" t="n">
        <v>-0.2</v>
      </c>
      <c r="K77" s="32" t="n">
        <v>1271289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65.51000000000001</v>
      </c>
      <c r="P77" s="32" t="n">
        <v>35.43</v>
      </c>
      <c r="Q77" s="32" t="n">
        <v>921.37</v>
      </c>
      <c r="R77" s="31" t="inlineStr">
        <is>
          <t>Volume Spike &amp; Near 52W High Breakout</t>
        </is>
      </c>
      <c r="S77" s="31" t="inlineStr">
        <is>
          <t>Nifty Energy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IF(B78=0,"",RANK(B78,$B$2:$B$371,0))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SHRIPISTON</t>
        </is>
      </c>
      <c r="D78" s="31" t="inlineStr">
        <is>
          <t>Shriram Pistons &amp; Rings Limited</t>
        </is>
      </c>
      <c r="E78" s="31" t="inlineStr">
        <is>
          <t>auto</t>
        </is>
      </c>
      <c r="F78" s="31" t="inlineStr">
        <is>
          <t>auto ancillaries</t>
        </is>
      </c>
      <c r="G78" s="31" t="inlineStr">
        <is>
          <t>midcap</t>
        </is>
      </c>
      <c r="H78" s="32" t="n">
        <v>19768.24</v>
      </c>
      <c r="I78" s="32" t="n">
        <v>4473.5</v>
      </c>
      <c r="J78" s="32" t="n">
        <v>-0.32</v>
      </c>
      <c r="K78" s="32" t="n">
        <v>30932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74.47</v>
      </c>
      <c r="P78" s="32" t="n">
        <v>43.25</v>
      </c>
      <c r="Q78" s="32" t="n">
        <v>3603.93</v>
      </c>
      <c r="R78" s="31" t="inlineStr">
        <is>
          <t>Near 52W High Breakout</t>
        </is>
      </c>
      <c r="S78" s="31" t="inlineStr">
        <is>
          <t>Nifty Auto</t>
        </is>
      </c>
      <c r="T78" s="32" t="inlineStr"/>
      <c r="U78" s="32" t="inlineStr"/>
      <c r="V78" s="32" t="inlineStr"/>
      <c r="W78" s="32" t="inlineStr"/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IF(B79=0,"",RANK(B79,$B$2:$B$371,0))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ATHERENERG</t>
        </is>
      </c>
      <c r="D79" s="31" t="inlineStr">
        <is>
          <t>Ather Energy Ltd</t>
        </is>
      </c>
      <c r="E79" s="31" t="inlineStr">
        <is>
          <t>auto</t>
        </is>
      </c>
      <c r="F79" s="31" t="inlineStr">
        <is>
          <t>automobiles - scooters and 3 - wheelers</t>
        </is>
      </c>
      <c r="G79" s="31" t="inlineStr">
        <is>
          <t>largecap</t>
        </is>
      </c>
      <c r="H79" s="32" t="n">
        <v>60163.23</v>
      </c>
      <c r="I79" s="32" t="n">
        <v>1511.5</v>
      </c>
      <c r="J79" s="32" t="n">
        <v>-0.98</v>
      </c>
      <c r="K79" s="32" t="n">
        <v>2250949</v>
      </c>
      <c r="L79" s="31" t="inlineStr"/>
      <c r="M79" s="31" t="inlineStr"/>
      <c r="N79" s="32">
        <f>IF(M79="Underperforming",-5,IF(L79&gt;=95,15,IF(L79&gt;=90,10,IF(L79&gt;=80,5,0))))</f>
        <v/>
      </c>
      <c r="O79" s="32" t="n">
        <v>80.77</v>
      </c>
      <c r="P79" s="32" t="n">
        <v>60.28</v>
      </c>
      <c r="Q79" s="32" t="n">
        <v>1170.4</v>
      </c>
      <c r="R79" s="31" t="inlineStr">
        <is>
          <t>Near 52W High Breakout</t>
        </is>
      </c>
      <c r="S79" s="31" t="inlineStr">
        <is>
          <t>Nifty Auto</t>
        </is>
      </c>
      <c r="T79" s="32" t="inlineStr"/>
      <c r="U79" s="32" t="inlineStr"/>
      <c r="V79" s="32" t="inlineStr"/>
      <c r="W79" s="32" t="inlineStr"/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Above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IF(B80=0,"",RANK(B80,$B$2:$B$371,0))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SONACOMS</t>
        </is>
      </c>
      <c r="D80" s="31" t="inlineStr">
        <is>
          <t>Sona BLW Precision Forgings Ltd</t>
        </is>
      </c>
      <c r="E80" s="31" t="inlineStr">
        <is>
          <t>auto</t>
        </is>
      </c>
      <c r="F80" s="31" t="inlineStr">
        <is>
          <t>auto ancillaries</t>
        </is>
      </c>
      <c r="G80" s="31" t="inlineStr">
        <is>
          <t>largecap</t>
        </is>
      </c>
      <c r="H80" s="32" t="n">
        <v>49756.57</v>
      </c>
      <c r="I80" s="32" t="n">
        <v>792</v>
      </c>
      <c r="J80" s="32" t="n">
        <v>-0.99</v>
      </c>
      <c r="K80" s="32" t="n">
        <v>1801686</v>
      </c>
      <c r="L80" s="31" t="inlineStr"/>
      <c r="M80" s="31" t="inlineStr"/>
      <c r="N80" s="32">
        <f>IF(M80="Underperforming",-5,IF(L80&gt;=95,15,IF(L80&gt;=90,10,IF(L80&gt;=80,5,0))))</f>
        <v/>
      </c>
      <c r="O80" s="32" t="n">
        <v>76.48</v>
      </c>
      <c r="P80" s="32" t="n">
        <v>49.59</v>
      </c>
      <c r="Q80" s="32" t="n">
        <v>694.29</v>
      </c>
      <c r="R80" s="31" t="inlineStr">
        <is>
          <t>Near 52W High Breakout</t>
        </is>
      </c>
      <c r="S80" s="31" t="inlineStr">
        <is>
          <t>Nifty Auto</t>
        </is>
      </c>
      <c r="T80" s="32" t="inlineStr"/>
      <c r="U80" s="32" t="inlineStr"/>
      <c r="V80" s="32" t="inlineStr"/>
      <c r="W80" s="32" t="inlineStr"/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Between 1.5 to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IF(B81=0,"",RANK(B81,$B$2:$B$371,0))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NAUKRI</t>
        </is>
      </c>
      <c r="D81" s="31" t="inlineStr">
        <is>
          <t>Info Edge (india) Limited</t>
        </is>
      </c>
      <c r="E81" s="31" t="inlineStr">
        <is>
          <t>i.t</t>
        </is>
      </c>
      <c r="F81" s="31" t="inlineStr">
        <is>
          <t>miscellaneous</t>
        </is>
      </c>
      <c r="G81" s="31" t="inlineStr">
        <is>
          <t>largecap</t>
        </is>
      </c>
      <c r="H81" s="32" t="n">
        <v>88010.13</v>
      </c>
      <c r="I81" s="32" t="n">
        <v>1343</v>
      </c>
      <c r="J81" s="32" t="n">
        <v>-1.05</v>
      </c>
      <c r="K81" s="32" t="n">
        <v>2064068</v>
      </c>
      <c r="L81" s="31" t="n">
        <v>48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69.52</v>
      </c>
      <c r="P81" s="32" t="n">
        <v>23.02</v>
      </c>
      <c r="Q81" s="32" t="n">
        <v>1082.8</v>
      </c>
      <c r="R81" s="31" t="inlineStr">
        <is>
          <t>Volume Spike &amp; Near 52W High Breakout</t>
        </is>
      </c>
      <c r="S81" s="31" t="inlineStr">
        <is>
          <t>Nifty IT</t>
        </is>
      </c>
      <c r="T81" s="32" t="n">
        <v>-9.98</v>
      </c>
      <c r="U81" s="32" t="n">
        <v>-0.95</v>
      </c>
      <c r="V81" s="32" t="n">
        <v>10.03</v>
      </c>
      <c r="W81" s="32" t="n">
        <v>11.02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IF(B82=0,"",RANK(B82,$B$2:$B$371,0))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KANORICHEM</t>
        </is>
      </c>
      <c r="D82" s="31" t="inlineStr">
        <is>
          <t>Kanoria Chemicals &amp; Industries Limited</t>
        </is>
      </c>
      <c r="E82" s="31" t="inlineStr">
        <is>
          <t>chemicals</t>
        </is>
      </c>
      <c r="F82" s="31" t="inlineStr">
        <is>
          <t>chemicals</t>
        </is>
      </c>
      <c r="G82" s="31" t="inlineStr">
        <is>
          <t>smallcap</t>
        </is>
      </c>
      <c r="H82" s="32" t="n">
        <v>680.09</v>
      </c>
      <c r="I82" s="32" t="n">
        <v>153.95</v>
      </c>
      <c r="J82" s="32" t="n">
        <v>-1.09</v>
      </c>
      <c r="K82" s="32" t="n">
        <v>24924</v>
      </c>
      <c r="L82" s="31" t="n">
        <v>82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71.23</v>
      </c>
      <c r="P82" s="32" t="n">
        <v>54.36</v>
      </c>
      <c r="Q82" s="32" t="n">
        <v>120.27</v>
      </c>
      <c r="R82" s="31" t="inlineStr">
        <is>
          <t>Earnings / Momentum Support</t>
        </is>
      </c>
      <c r="S82" s="31" t="inlineStr">
        <is>
          <t>Nifty 50</t>
        </is>
      </c>
      <c r="T82" s="32" t="n">
        <v>-1.08</v>
      </c>
      <c r="U82" s="32" t="n">
        <v>80.89</v>
      </c>
      <c r="V82" s="32" t="n">
        <v>82.86</v>
      </c>
      <c r="W82" s="32" t="n">
        <v>25.69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IF(B83=0,"",RANK(B83,$B$2:$B$371,0))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JGCHEM</t>
        </is>
      </c>
      <c r="D83" s="31" t="inlineStr">
        <is>
          <t>J.G.Chemicals Ltd</t>
        </is>
      </c>
      <c r="E83" s="31" t="inlineStr">
        <is>
          <t>chemicals</t>
        </is>
      </c>
      <c r="F83" s="31" t="inlineStr">
        <is>
          <t>chemicals</t>
        </is>
      </c>
      <c r="G83" s="31" t="inlineStr">
        <is>
          <t>smallcap</t>
        </is>
      </c>
      <c r="H83" s="32" t="n">
        <v>2402.11</v>
      </c>
      <c r="I83" s="32" t="n">
        <v>606.15</v>
      </c>
      <c r="J83" s="32" t="n">
        <v>-1.12</v>
      </c>
      <c r="K83" s="32" t="n">
        <v>310507</v>
      </c>
      <c r="L83" s="31" t="n">
        <v>66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77.64</v>
      </c>
      <c r="P83" s="32" t="n">
        <v>31.3</v>
      </c>
      <c r="Q83" s="32" t="n">
        <v>471.21</v>
      </c>
      <c r="R83" s="31" t="inlineStr">
        <is>
          <t>Volume Spike &amp; Near 52W High Breakout</t>
        </is>
      </c>
      <c r="S83" s="31" t="inlineStr">
        <is>
          <t>Nifty IT</t>
        </is>
      </c>
      <c r="T83" s="32" t="n">
        <v>-9.98</v>
      </c>
      <c r="U83" s="32" t="n">
        <v>19.27</v>
      </c>
      <c r="V83" s="32" t="n">
        <v>32.49</v>
      </c>
      <c r="W83" s="32" t="n">
        <v>17.08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IF(B84=0,"",RANK(B84,$B$2:$B$371,0))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DYCL</t>
        </is>
      </c>
      <c r="D84" s="31" t="inlineStr">
        <is>
          <t>Dynamic Cables Ltd</t>
        </is>
      </c>
      <c r="E84" s="31" t="inlineStr">
        <is>
          <t>industrials</t>
        </is>
      </c>
      <c r="F84" s="31" t="inlineStr">
        <is>
          <t>cables - power</t>
        </is>
      </c>
      <c r="G84" s="31" t="inlineStr">
        <is>
          <t>smallcap</t>
        </is>
      </c>
      <c r="H84" s="32" t="n">
        <v>2206.56</v>
      </c>
      <c r="I84" s="32" t="n">
        <v>450.2</v>
      </c>
      <c r="J84" s="32" t="n">
        <v>-1.13</v>
      </c>
      <c r="K84" s="32" t="n">
        <v>614949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65.98999999999999</v>
      </c>
      <c r="P84" s="32" t="n">
        <v>22.29</v>
      </c>
      <c r="Q84" s="32" t="n">
        <v>313.55</v>
      </c>
      <c r="R84" s="31" t="inlineStr">
        <is>
          <t>Near 52W High Breakout</t>
        </is>
      </c>
      <c r="S84" s="31" t="inlineStr">
        <is>
          <t>Nifty Energy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IF(B85=0,"",RANK(B85,$B$2:$B$371,0))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ORIENTBELL</t>
        </is>
      </c>
      <c r="D85" s="31" t="inlineStr">
        <is>
          <t>Orient Bell Limited</t>
        </is>
      </c>
      <c r="E85" s="31" t="inlineStr">
        <is>
          <t>building materials</t>
        </is>
      </c>
      <c r="F85" s="31" t="inlineStr">
        <is>
          <t>ceramics - tiles / sanitaryware</t>
        </is>
      </c>
      <c r="G85" s="31" t="inlineStr">
        <is>
          <t>smallcap</t>
        </is>
      </c>
      <c r="H85" s="32" t="n">
        <v>525.61</v>
      </c>
      <c r="I85" s="32" t="n">
        <v>352.45</v>
      </c>
      <c r="J85" s="32" t="n">
        <v>-1.36</v>
      </c>
      <c r="K85" s="32" t="n">
        <v>11501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62.01</v>
      </c>
      <c r="P85" s="32" t="n">
        <v>38.2</v>
      </c>
      <c r="Q85" s="32" t="n">
        <v>263.76</v>
      </c>
      <c r="R85" s="31" t="inlineStr">
        <is>
          <t>Volume Spike &amp; Near 52W High Breakout</t>
        </is>
      </c>
      <c r="S85" s="31" t="inlineStr">
        <is>
          <t>Nifty Infra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IF(B86=0,"",RANK(B86,$B$2:$B$371,0))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NRBBEARING</t>
        </is>
      </c>
      <c r="D86" s="31" t="inlineStr">
        <is>
          <t>Nrb Bearing Limited</t>
        </is>
      </c>
      <c r="E86" s="31" t="inlineStr">
        <is>
          <t>industrials</t>
        </is>
      </c>
      <c r="F86" s="31" t="inlineStr">
        <is>
          <t>bearings</t>
        </is>
      </c>
      <c r="G86" s="31" t="inlineStr">
        <is>
          <t>smallcap</t>
        </is>
      </c>
      <c r="H86" s="32" t="n">
        <v>4528.22</v>
      </c>
      <c r="I86" s="32" t="n">
        <v>458.9</v>
      </c>
      <c r="J86" s="32" t="n">
        <v>-1.78</v>
      </c>
      <c r="K86" s="32" t="n">
        <v>288700</v>
      </c>
      <c r="L86" s="31" t="n">
        <v>69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73.87</v>
      </c>
      <c r="P86" s="32" t="n">
        <v>49.69</v>
      </c>
      <c r="Q86" s="32" t="n">
        <v>356.08</v>
      </c>
      <c r="R86" s="31" t="inlineStr">
        <is>
          <t>Near 52W High Breakout</t>
        </is>
      </c>
      <c r="S86" s="31" t="inlineStr">
        <is>
          <t>Nifty 50</t>
        </is>
      </c>
      <c r="T86" s="32" t="n">
        <v>-1.08</v>
      </c>
      <c r="U86" s="32" t="n">
        <v>69.58</v>
      </c>
      <c r="V86" s="32" t="n">
        <v>71.43000000000001</v>
      </c>
      <c r="W86" s="32" t="n">
        <v>18.38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Between 12 to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IF(B87=0,"",RANK(B87,$B$2:$B$371,0))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HFCL</t>
        </is>
      </c>
      <c r="D87" s="31" t="inlineStr">
        <is>
          <t>HFCL Ltd</t>
        </is>
      </c>
      <c r="E87" s="31" t="inlineStr">
        <is>
          <t>telecom</t>
        </is>
      </c>
      <c r="F87" s="31" t="inlineStr">
        <is>
          <t>cables - telephone</t>
        </is>
      </c>
      <c r="G87" s="31" t="inlineStr">
        <is>
          <t>largecap</t>
        </is>
      </c>
      <c r="H87" s="32" t="n">
        <v>34799.78</v>
      </c>
      <c r="I87" s="32" t="n">
        <v>223.11</v>
      </c>
      <c r="J87" s="32" t="n">
        <v>-1.87</v>
      </c>
      <c r="K87" s="32" t="n">
        <v>16693107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73.72</v>
      </c>
      <c r="P87" s="32" t="n">
        <v>66.39</v>
      </c>
      <c r="Q87" s="32" t="n">
        <v>163.58</v>
      </c>
      <c r="R87" s="31" t="inlineStr">
        <is>
          <t>Near 52W High Breakout</t>
        </is>
      </c>
      <c r="S87" s="31" t="inlineStr">
        <is>
          <t>Nifty Infra</t>
        </is>
      </c>
      <c r="T87" s="32" t="inlineStr"/>
      <c r="U87" s="32" t="inlineStr"/>
      <c r="V87" s="32" t="inlineStr"/>
      <c r="W87" s="32" t="inlineStr"/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IF(B88=0,"",RANK(B88,$B$2:$B$371,0))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MTARTECH</t>
        </is>
      </c>
      <c r="D88" s="31" t="inlineStr">
        <is>
          <t>MTAR Technologies Ltd</t>
        </is>
      </c>
      <c r="E88" s="31" t="inlineStr">
        <is>
          <t>aerospace &amp; defence</t>
        </is>
      </c>
      <c r="F88" s="31" t="inlineStr">
        <is>
          <t>engineering</t>
        </is>
      </c>
      <c r="G88" s="31" t="inlineStr">
        <is>
          <t>largecap</t>
        </is>
      </c>
      <c r="H88" s="32" t="n">
        <v>22251.49</v>
      </c>
      <c r="I88" s="32" t="n">
        <v>7056</v>
      </c>
      <c r="J88" s="32" t="n">
        <v>-2.46</v>
      </c>
      <c r="K88" s="32" t="n">
        <v>54652</v>
      </c>
      <c r="L88" s="31" t="n">
        <v>94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59.73</v>
      </c>
      <c r="P88" s="32" t="n">
        <v>40.65</v>
      </c>
      <c r="Q88" s="32" t="n">
        <v>5839.48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-1.08</v>
      </c>
      <c r="U88" s="32" t="n">
        <v>365.04</v>
      </c>
      <c r="V88" s="32" t="n">
        <v>370.1</v>
      </c>
      <c r="W88" s="32" t="n">
        <v>41.29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IF(B89=0,"",RANK(B89,$B$2:$B$371,0))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GHCLTEXTIL</t>
        </is>
      </c>
      <c r="D89" s="31" t="inlineStr">
        <is>
          <t>GHCL Textiles Ltd</t>
        </is>
      </c>
      <c r="E89" s="31" t="inlineStr">
        <is>
          <t>textiles</t>
        </is>
      </c>
      <c r="F89" s="31" t="inlineStr">
        <is>
          <t>textiles - spinning - synthetic / blended</t>
        </is>
      </c>
      <c r="G89" s="31" t="inlineStr">
        <is>
          <t>smallcap</t>
        </is>
      </c>
      <c r="H89" s="32" t="n">
        <v>1159.07</v>
      </c>
      <c r="I89" s="32" t="n">
        <v>118.15</v>
      </c>
      <c r="J89" s="32" t="n">
        <v>-2.56</v>
      </c>
      <c r="K89" s="32" t="n">
        <v>492714</v>
      </c>
      <c r="L89" s="31" t="n">
        <v>65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69.27</v>
      </c>
      <c r="P89" s="32" t="n">
        <v>32.93</v>
      </c>
      <c r="Q89" s="32" t="n">
        <v>94.16</v>
      </c>
      <c r="R89" s="31" t="inlineStr">
        <is>
          <t>Near 52W High Breakout</t>
        </is>
      </c>
      <c r="S89" s="31" t="inlineStr">
        <is>
          <t>Nifty 50</t>
        </is>
      </c>
      <c r="T89" s="32" t="n">
        <v>-1.08</v>
      </c>
      <c r="U89" s="32" t="n">
        <v>53.9</v>
      </c>
      <c r="V89" s="32" t="n">
        <v>55.57</v>
      </c>
      <c r="W89" s="32" t="n">
        <v>16.93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IF(B90=0,"",RANK(B90,$B$2:$B$371,0))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NETWEB</t>
        </is>
      </c>
      <c r="D90" s="31" t="inlineStr">
        <is>
          <t>Netweb Technologies India Ltd</t>
        </is>
      </c>
      <c r="E90" s="31" t="inlineStr">
        <is>
          <t>i.t</t>
        </is>
      </c>
      <c r="F90" s="31" t="inlineStr">
        <is>
          <t>computers - hardware</t>
        </is>
      </c>
      <c r="G90" s="31" t="inlineStr">
        <is>
          <t>largecap</t>
        </is>
      </c>
      <c r="H90" s="32" t="n">
        <v>29500.97</v>
      </c>
      <c r="I90" s="32" t="n">
        <v>5007.2</v>
      </c>
      <c r="J90" s="32" t="n">
        <v>-3.35</v>
      </c>
      <c r="K90" s="32" t="n">
        <v>1695255</v>
      </c>
      <c r="L90" s="31" t="n">
        <v>85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63.93</v>
      </c>
      <c r="P90" s="32" t="n">
        <v>39.75</v>
      </c>
      <c r="Q90" s="32" t="n">
        <v>3708.04</v>
      </c>
      <c r="R90" s="31" t="inlineStr">
        <is>
          <t>Near 52W High Breakout</t>
        </is>
      </c>
      <c r="S90" s="31" t="inlineStr">
        <is>
          <t>Nifty IT</t>
        </is>
      </c>
      <c r="T90" s="32" t="n">
        <v>-9.98</v>
      </c>
      <c r="U90" s="32" t="n">
        <v>136.07</v>
      </c>
      <c r="V90" s="32" t="n">
        <v>162.23</v>
      </c>
      <c r="W90" s="32" t="n">
        <v>27.4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IF(B91=0,"",RANK(B91,$B$2:$B$371,0))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NILKAMAL</t>
        </is>
      </c>
      <c r="D91" s="31" t="inlineStr">
        <is>
          <t>Nilkamal Limited</t>
        </is>
      </c>
      <c r="E91" s="31" t="inlineStr">
        <is>
          <t>plastic products</t>
        </is>
      </c>
      <c r="F91" s="31" t="inlineStr">
        <is>
          <t>plastics products</t>
        </is>
      </c>
      <c r="G91" s="31" t="inlineStr">
        <is>
          <t>smallcap</t>
        </is>
      </c>
      <c r="H91" s="32" t="n">
        <v>2884.08</v>
      </c>
      <c r="I91" s="32" t="n">
        <v>1860</v>
      </c>
      <c r="J91" s="32" t="n">
        <v>-3.76</v>
      </c>
      <c r="K91" s="32" t="n">
        <v>36199</v>
      </c>
      <c r="L91" s="31" t="n">
        <v>60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80.19</v>
      </c>
      <c r="P91" s="32" t="n">
        <v>29.42</v>
      </c>
      <c r="Q91" s="32" t="n">
        <v>1472.76</v>
      </c>
      <c r="R91" s="31" t="inlineStr">
        <is>
          <t>Near 52W High Breakout</t>
        </is>
      </c>
      <c r="S91" s="31" t="inlineStr">
        <is>
          <t>Nifty 50</t>
        </is>
      </c>
      <c r="T91" s="32" t="n">
        <v>-1.08</v>
      </c>
      <c r="U91" s="32" t="n">
        <v>20.38</v>
      </c>
      <c r="V91" s="32" t="n">
        <v>21.7</v>
      </c>
      <c r="W91" s="32" t="n">
        <v>14.85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Less than 1.5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IF(B92=0,"",RANK(B92,$B$2:$B$371,0))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KENNAMET</t>
        </is>
      </c>
      <c r="D92" s="31" t="inlineStr">
        <is>
          <t>Kennametal India Ltd</t>
        </is>
      </c>
      <c r="E92" s="31" t="inlineStr">
        <is>
          <t>industrials</t>
        </is>
      </c>
      <c r="F92" s="31" t="inlineStr">
        <is>
          <t>castings &amp; forgings</t>
        </is>
      </c>
      <c r="G92" s="31" t="inlineStr">
        <is>
          <t>midcap</t>
        </is>
      </c>
      <c r="H92" s="32" t="n">
        <v>8075.03</v>
      </c>
      <c r="I92" s="32" t="n">
        <v>3527</v>
      </c>
      <c r="J92" s="32" t="n">
        <v>-4</v>
      </c>
      <c r="K92" s="32" t="n">
        <v>164275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73.94</v>
      </c>
      <c r="P92" s="32" t="n">
        <v>44.01</v>
      </c>
      <c r="Q92" s="32" t="n">
        <v>2733.74</v>
      </c>
      <c r="R92" s="31" t="inlineStr">
        <is>
          <t>Near 52W High Breakout</t>
        </is>
      </c>
      <c r="S92" s="31" t="inlineStr">
        <is>
          <t>Nifty Infra</t>
        </is>
      </c>
      <c r="T92" s="32" t="inlineStr"/>
      <c r="U92" s="32" t="inlineStr"/>
      <c r="V92" s="32" t="inlineStr"/>
      <c r="W92" s="32" t="inlineStr"/>
      <c r="X92" s="31" t="inlineStr">
        <is>
          <t>Cyclical in an Upturn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IF(B93=0,"",RANK(B93,$B$2:$B$371,0))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TASTYBITE</t>
        </is>
      </c>
      <c r="D93" s="31" t="inlineStr">
        <is>
          <t>Tasty Bite Eatables Ltd</t>
        </is>
      </c>
      <c r="E93" s="31" t="inlineStr">
        <is>
          <t>fmcg</t>
        </is>
      </c>
      <c r="F93" s="31" t="inlineStr">
        <is>
          <t>food - processing - indian</t>
        </is>
      </c>
      <c r="G93" s="31" t="inlineStr">
        <is>
          <t>smallcap</t>
        </is>
      </c>
      <c r="H93" s="32" t="n">
        <v>2332.62</v>
      </c>
      <c r="I93" s="32" t="n">
        <v>10030</v>
      </c>
      <c r="J93" s="32" t="n">
        <v>10.34</v>
      </c>
      <c r="K93" s="32" t="n">
        <v>226724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72.23999999999999</v>
      </c>
      <c r="P93" s="32" t="n">
        <v>44.77</v>
      </c>
      <c r="Q93" s="32" t="n">
        <v>7824.67</v>
      </c>
      <c r="R93" s="31" t="inlineStr">
        <is>
          <t>Volume Spike &amp; Near 52W High Breakout</t>
        </is>
      </c>
      <c r="S93" s="31" t="inlineStr">
        <is>
          <t>Nifty FMCG</t>
        </is>
      </c>
      <c r="T93" s="32" t="inlineStr"/>
      <c r="U93" s="32" t="inlineStr"/>
      <c r="V93" s="32" t="inlineStr"/>
      <c r="W93" s="32" t="inlineStr"/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IF(B94=0,"",RANK(B94,$B$2:$B$371,0))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KOVAI</t>
        </is>
      </c>
      <c r="D94" s="33" t="inlineStr">
        <is>
          <t>Kovai Medical Center &amp; Hospital Ltd</t>
        </is>
      </c>
      <c r="E94" s="31" t="inlineStr">
        <is>
          <t>healthcare</t>
        </is>
      </c>
      <c r="F94" s="31" t="inlineStr">
        <is>
          <t>healthcare</t>
        </is>
      </c>
      <c r="G94" s="31" t="inlineStr">
        <is>
          <t>midcap</t>
        </is>
      </c>
      <c r="H94" s="32" t="n">
        <v>6446.63</v>
      </c>
      <c r="I94" s="32" t="n">
        <v>6049</v>
      </c>
      <c r="J94" s="32" t="n">
        <v>2.67</v>
      </c>
      <c r="K94" s="32" t="n">
        <v>7286</v>
      </c>
      <c r="L94" s="31" t="n">
        <v>11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61.02</v>
      </c>
      <c r="P94" s="32" t="n">
        <v>23.92</v>
      </c>
      <c r="Q94" s="32" t="n">
        <v>5101.67</v>
      </c>
      <c r="R94" s="31" t="inlineStr">
        <is>
          <t>Volume Spike / Accumulation</t>
        </is>
      </c>
      <c r="S94" s="31" t="inlineStr">
        <is>
          <t>Nifty Pharma</t>
        </is>
      </c>
      <c r="T94" s="32" t="n">
        <v>19.38</v>
      </c>
      <c r="U94" s="32" t="n">
        <v>-6.53</v>
      </c>
      <c r="V94" s="32" t="n">
        <v>-21.7</v>
      </c>
      <c r="W94" s="32" t="n">
        <v>1.07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IF(B95=0,"",RANK(B95,$B$2:$B$371,0))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ORCHPHARMA</t>
        </is>
      </c>
      <c r="D95" s="31" t="inlineStr">
        <is>
          <t>Orchid Pharma Ltd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midcap</t>
        </is>
      </c>
      <c r="H95" s="32" t="n">
        <v>5243.85</v>
      </c>
      <c r="I95" s="32" t="n">
        <v>1045.65</v>
      </c>
      <c r="J95" s="32" t="n">
        <v>1.14</v>
      </c>
      <c r="K95" s="32" t="n">
        <v>64474</v>
      </c>
      <c r="L95" s="31" t="n">
        <v>68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72.05</v>
      </c>
      <c r="P95" s="32" t="n">
        <v>48.4</v>
      </c>
      <c r="Q95" s="32" t="n">
        <v>776.33</v>
      </c>
      <c r="R95" s="31" t="inlineStr">
        <is>
          <t>Near 52W High Breakout</t>
        </is>
      </c>
      <c r="S95" s="31" t="inlineStr">
        <is>
          <t>Nifty Pharma</t>
        </is>
      </c>
      <c r="T95" s="32" t="n">
        <v>19.38</v>
      </c>
      <c r="U95" s="32" t="n">
        <v>39.75</v>
      </c>
      <c r="V95" s="32" t="n">
        <v>17.06</v>
      </c>
      <c r="W95" s="32" t="n">
        <v>18.16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Above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Close to 52 week high or retracement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IF(B96=0,"",RANK(B96,$B$2:$B$371,0))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ALIVUS</t>
        </is>
      </c>
      <c r="D96" s="31" t="inlineStr">
        <is>
          <t>Alivus Life Sciences Ltd</t>
        </is>
      </c>
      <c r="E96" s="31" t="inlineStr">
        <is>
          <t>healthcare</t>
        </is>
      </c>
      <c r="F96" s="31" t="inlineStr">
        <is>
          <t>pharmaceuticals - indian - bulk drugs &amp; formln</t>
        </is>
      </c>
      <c r="G96" s="31" t="inlineStr">
        <is>
          <t>midcap</t>
        </is>
      </c>
      <c r="H96" s="32" t="n">
        <v>16871.34</v>
      </c>
      <c r="I96" s="32" t="n">
        <v>1386.7</v>
      </c>
      <c r="J96" s="32" t="n">
        <v>0.88</v>
      </c>
      <c r="K96" s="32" t="n">
        <v>83207</v>
      </c>
      <c r="L96" s="31" t="n">
        <v>61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78.47</v>
      </c>
      <c r="P96" s="32" t="n">
        <v>39.83</v>
      </c>
      <c r="Q96" s="32" t="n">
        <v>1130.96</v>
      </c>
      <c r="R96" s="31" t="inlineStr">
        <is>
          <t>Near 52W High Breakout</t>
        </is>
      </c>
      <c r="S96" s="31" t="inlineStr">
        <is>
          <t>Nifty Pharma</t>
        </is>
      </c>
      <c r="T96" s="32" t="n">
        <v>19.38</v>
      </c>
      <c r="U96" s="32" t="n">
        <v>47.66</v>
      </c>
      <c r="V96" s="32" t="n">
        <v>23.69</v>
      </c>
      <c r="W96" s="32" t="n">
        <v>15.41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Less than 1.5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IF(B97=0,"",RANK(B97,$B$2:$B$371,0))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GLAND</t>
        </is>
      </c>
      <c r="D97" s="31" t="inlineStr">
        <is>
          <t>Gland Pharma Ltd</t>
        </is>
      </c>
      <c r="E97" s="31" t="inlineStr">
        <is>
          <t>healthcare</t>
        </is>
      </c>
      <c r="F97" s="31" t="inlineStr">
        <is>
          <t>pharmaceuticals - indian - formulations</t>
        </is>
      </c>
      <c r="G97" s="31" t="inlineStr">
        <is>
          <t>largecap</t>
        </is>
      </c>
      <c r="H97" s="32" t="n">
        <v>48953.44</v>
      </c>
      <c r="I97" s="32" t="n">
        <v>2970.2</v>
      </c>
      <c r="J97" s="32" t="n">
        <v>0.09</v>
      </c>
      <c r="K97" s="32" t="n">
        <v>789580</v>
      </c>
      <c r="L97" s="31" t="n">
        <v>79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79.88</v>
      </c>
      <c r="P97" s="32" t="n">
        <v>58.95</v>
      </c>
      <c r="Q97" s="32" t="n">
        <v>2429.23</v>
      </c>
      <c r="R97" s="31" t="inlineStr">
        <is>
          <t>Volume Spike &amp; Near 52W High Breakout</t>
        </is>
      </c>
      <c r="S97" s="31" t="inlineStr">
        <is>
          <t>Nifty Pharma</t>
        </is>
      </c>
      <c r="T97" s="32" t="n">
        <v>19.38</v>
      </c>
      <c r="U97" s="32" t="n">
        <v>51.46</v>
      </c>
      <c r="V97" s="32" t="n">
        <v>26.87</v>
      </c>
      <c r="W97" s="32" t="n">
        <v>23.04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IF(B98=0,"",RANK(B98,$B$2:$B$371,0))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TECHM</t>
        </is>
      </c>
      <c r="D98" s="31" t="inlineStr">
        <is>
          <t>Tech Mahindra Limited</t>
        </is>
      </c>
      <c r="E98" s="31" t="inlineStr">
        <is>
          <t>i.t</t>
        </is>
      </c>
      <c r="F98" s="31" t="inlineStr">
        <is>
          <t>computers - software - large</t>
        </is>
      </c>
      <c r="G98" s="31" t="inlineStr">
        <is>
          <t>largecap</t>
        </is>
      </c>
      <c r="H98" s="32" t="n">
        <v>160631.5</v>
      </c>
      <c r="I98" s="32" t="n">
        <v>1632.8</v>
      </c>
      <c r="J98" s="32" t="n">
        <v>-0.38</v>
      </c>
      <c r="K98" s="32" t="n">
        <v>6722179</v>
      </c>
      <c r="L98" s="31" t="n">
        <v>35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63.19</v>
      </c>
      <c r="P98" s="32" t="n">
        <v>15.63</v>
      </c>
      <c r="Q98" s="32" t="n">
        <v>1368.34</v>
      </c>
      <c r="R98" s="31" t="inlineStr">
        <is>
          <t>Near 52W High Breakout</t>
        </is>
      </c>
      <c r="S98" s="31" t="inlineStr">
        <is>
          <t>Nifty IT</t>
        </is>
      </c>
      <c r="T98" s="32" t="n">
        <v>-9.98</v>
      </c>
      <c r="U98" s="32" t="n">
        <v>13.86</v>
      </c>
      <c r="V98" s="32" t="n">
        <v>26.48</v>
      </c>
      <c r="W98" s="32" t="n">
        <v>7.64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0 to 20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IF(B99=0,"",RANK(B99,$B$2:$B$371,0))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HNDFDS</t>
        </is>
      </c>
      <c r="D99" s="31" t="inlineStr">
        <is>
          <t>Hindustan Foods Ltd</t>
        </is>
      </c>
      <c r="E99" s="31" t="inlineStr">
        <is>
          <t>fmcg</t>
        </is>
      </c>
      <c r="F99" s="31" t="inlineStr">
        <is>
          <t>diversified - large</t>
        </is>
      </c>
      <c r="G99" s="31" t="inlineStr">
        <is>
          <t>midcap</t>
        </is>
      </c>
      <c r="H99" s="32" t="n">
        <v>7229.17</v>
      </c>
      <c r="I99" s="32" t="n">
        <v>591.4</v>
      </c>
      <c r="J99" s="32" t="n">
        <v>-0.88</v>
      </c>
      <c r="K99" s="32" t="n">
        <v>62236</v>
      </c>
      <c r="L99" s="31" t="inlineStr"/>
      <c r="M99" s="31" t="inlineStr"/>
      <c r="N99" s="32">
        <f>IF(M99="Underperforming",-5,IF(L99&gt;=95,15,IF(L99&gt;=90,10,IF(L99&gt;=80,5,0))))</f>
        <v/>
      </c>
      <c r="O99" s="32" t="n">
        <v>65.65000000000001</v>
      </c>
      <c r="P99" s="32" t="n">
        <v>35.44</v>
      </c>
      <c r="Q99" s="32" t="n">
        <v>492.53</v>
      </c>
      <c r="R99" s="31" t="inlineStr">
        <is>
          <t>Near 52W High Breakout</t>
        </is>
      </c>
      <c r="S99" s="31" t="inlineStr">
        <is>
          <t>Nifty FMCG</t>
        </is>
      </c>
      <c r="T99" s="32" t="inlineStr"/>
      <c r="U99" s="32" t="inlineStr"/>
      <c r="V99" s="32" t="inlineStr"/>
      <c r="W99" s="32" t="inlineStr"/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B2C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Between 0.7 to 1.2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IF(B100=0,"",RANK(B100,$B$2:$B$371,0))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3" t="inlineStr">
        <is>
          <t>LALPATHLAB</t>
        </is>
      </c>
      <c r="D100" s="33" t="inlineStr">
        <is>
          <t>Dr. Lal Path Labs Ltd.</t>
        </is>
      </c>
      <c r="E100" s="31" t="inlineStr">
        <is>
          <t>healthcare</t>
        </is>
      </c>
      <c r="F100" s="31" t="inlineStr">
        <is>
          <t>healthcare</t>
        </is>
      </c>
      <c r="G100" s="31" t="inlineStr">
        <is>
          <t>largecap</t>
        </is>
      </c>
      <c r="H100" s="32" t="n">
        <v>32997.82</v>
      </c>
      <c r="I100" s="32" t="n">
        <v>1916.3</v>
      </c>
      <c r="J100" s="32" t="n">
        <v>-2.65</v>
      </c>
      <c r="K100" s="32" t="n">
        <v>229786</v>
      </c>
      <c r="L100" s="31" t="n">
        <v>35</v>
      </c>
      <c r="M100" s="31" t="inlineStr">
        <is>
          <t>Underperforming</t>
        </is>
      </c>
      <c r="N100" s="32">
        <f>IF(M100="Underperforming",-5,IF(L100&gt;=95,15,IF(L100&gt;=90,10,IF(L100&gt;=80,5,0))))</f>
        <v/>
      </c>
      <c r="O100" s="32" t="n">
        <v>73.09</v>
      </c>
      <c r="P100" s="32" t="n">
        <v>41.93</v>
      </c>
      <c r="Q100" s="32" t="n">
        <v>1605.67</v>
      </c>
      <c r="R100" s="31" t="inlineStr">
        <is>
          <t>Near 52W High Breakout</t>
        </is>
      </c>
      <c r="S100" s="31" t="inlineStr">
        <is>
          <t>Nifty Pharma</t>
        </is>
      </c>
      <c r="T100" s="32" t="n">
        <v>19.38</v>
      </c>
      <c r="U100" s="32" t="n">
        <v>15.61</v>
      </c>
      <c r="V100" s="32" t="n">
        <v>-3.16</v>
      </c>
      <c r="W100" s="32" t="n">
        <v>7.65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Annuity, Lower One Time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IF(B101=0,"",RANK(B101,$B$2:$B$371,0))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LAURUSLABS</t>
        </is>
      </c>
      <c r="D101" s="31" t="inlineStr">
        <is>
          <t>Laurus Labs Limited</t>
        </is>
      </c>
      <c r="E101" s="31" t="inlineStr">
        <is>
          <t>healthcare</t>
        </is>
      </c>
      <c r="F101" s="31" t="inlineStr">
        <is>
          <t>pharmaceuticals - indian - bulk drugs &amp; formln</t>
        </is>
      </c>
      <c r="G101" s="31" t="inlineStr">
        <is>
          <t>largecap</t>
        </is>
      </c>
      <c r="H101" s="32" t="n">
        <v>100038.02</v>
      </c>
      <c r="I101" s="32" t="n">
        <v>1787.3</v>
      </c>
      <c r="J101" s="32" t="n">
        <v>-3.48</v>
      </c>
      <c r="K101" s="32" t="n">
        <v>3126171</v>
      </c>
      <c r="L101" s="31" t="n">
        <v>80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79.64</v>
      </c>
      <c r="P101" s="32" t="n">
        <v>64.89</v>
      </c>
      <c r="Q101" s="32" t="n">
        <v>1580.78</v>
      </c>
      <c r="R101" s="31" t="inlineStr">
        <is>
          <t>Near 52W High Breakout</t>
        </is>
      </c>
      <c r="S101" s="31" t="inlineStr">
        <is>
          <t>Nifty Pharma</t>
        </is>
      </c>
      <c r="T101" s="32" t="n">
        <v>19.38</v>
      </c>
      <c r="U101" s="32" t="n">
        <v>108.28</v>
      </c>
      <c r="V101" s="32" t="n">
        <v>74.45999999999999</v>
      </c>
      <c r="W101" s="32" t="n">
        <v>23.73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Yes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Annuity, Lower One Time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Yes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IF(B102=0,"",RANK(B102,$B$2:$B$371,0))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DREDGECORP</t>
        </is>
      </c>
      <c r="D102" s="31" t="inlineStr">
        <is>
          <t>Dredging Corporation Of India Limited</t>
        </is>
      </c>
      <c r="E102" s="31" t="inlineStr">
        <is>
          <t>miscellaneous</t>
        </is>
      </c>
      <c r="F102" s="31" t="inlineStr">
        <is>
          <t>miscellaneous</t>
        </is>
      </c>
      <c r="G102" s="31" t="inlineStr">
        <is>
          <t>smallcap</t>
        </is>
      </c>
      <c r="H102" s="32" t="n">
        <v>2980.32</v>
      </c>
      <c r="I102" s="32" t="n">
        <v>1166.4</v>
      </c>
      <c r="J102" s="32" t="n">
        <v>9.58</v>
      </c>
      <c r="K102" s="32" t="n">
        <v>1436038</v>
      </c>
      <c r="L102" s="31" t="n">
        <v>75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59.46</v>
      </c>
      <c r="P102" s="32" t="n">
        <v>38.57</v>
      </c>
      <c r="Q102" s="32" t="n">
        <v>807.64</v>
      </c>
      <c r="R102" s="31" t="inlineStr">
        <is>
          <t>Volume Spike &amp; Near 52W High Breakout</t>
        </is>
      </c>
      <c r="S102" s="31" t="inlineStr">
        <is>
          <t>Nifty 50</t>
        </is>
      </c>
      <c r="T102" s="32" t="n">
        <v>-1.08</v>
      </c>
      <c r="U102" s="32" t="n">
        <v>85.97</v>
      </c>
      <c r="V102" s="32" t="n">
        <v>87.98999999999999</v>
      </c>
      <c r="W102" s="32" t="n">
        <v>21.34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Between 0.7 to 1.2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IF(B103=0,"",RANK(B103,$B$2:$B$371,0))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ARIES</t>
        </is>
      </c>
      <c r="D103" s="31" t="inlineStr">
        <is>
          <t>Aries Agro Limited</t>
        </is>
      </c>
      <c r="E103" s="31" t="inlineStr">
        <is>
          <t>chemicals</t>
        </is>
      </c>
      <c r="F103" s="31" t="inlineStr">
        <is>
          <t>fertilizers</t>
        </is>
      </c>
      <c r="G103" s="31" t="inlineStr">
        <is>
          <t>smallcap</t>
        </is>
      </c>
      <c r="H103" s="32" t="n">
        <v>502.1</v>
      </c>
      <c r="I103" s="32" t="n">
        <v>413.5</v>
      </c>
      <c r="J103" s="32" t="n">
        <v>7.1</v>
      </c>
      <c r="K103" s="32" t="n">
        <v>220076</v>
      </c>
      <c r="L103" s="31" t="n">
        <v>24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69.25</v>
      </c>
      <c r="P103" s="32" t="n">
        <v>8.93</v>
      </c>
      <c r="Q103" s="32" t="n">
        <v>326.32</v>
      </c>
      <c r="R103" s="31" t="inlineStr">
        <is>
          <t>Volume Spike &amp; Near 52W High Breakout</t>
        </is>
      </c>
      <c r="S103" s="31" t="inlineStr">
        <is>
          <t>Nifty 50</t>
        </is>
      </c>
      <c r="T103" s="32" t="n">
        <v>-1.08</v>
      </c>
      <c r="U103" s="32" t="n">
        <v>5.9</v>
      </c>
      <c r="V103" s="32" t="n">
        <v>7.05</v>
      </c>
      <c r="W103" s="32" t="n">
        <v>4.85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0 to 20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IF(B104=0,"",RANK(B104,$B$2:$B$371,0))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UNIMECH</t>
        </is>
      </c>
      <c r="D104" s="31" t="inlineStr">
        <is>
          <t>Unimech Aerospace and Manufacturing Ltd</t>
        </is>
      </c>
      <c r="E104" s="31" t="inlineStr">
        <is>
          <t>aerospace &amp; defence</t>
        </is>
      </c>
      <c r="F104" s="31" t="inlineStr">
        <is>
          <t>engineering</t>
        </is>
      </c>
      <c r="G104" s="31" t="inlineStr">
        <is>
          <t>midcap</t>
        </is>
      </c>
      <c r="H104" s="32" t="n">
        <v>7256.77</v>
      </c>
      <c r="I104" s="32" t="n">
        <v>1522.6</v>
      </c>
      <c r="J104" s="32" t="n">
        <v>6.71</v>
      </c>
      <c r="K104" s="32" t="n">
        <v>668970</v>
      </c>
      <c r="L104" s="31" t="n">
        <v>77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72.92</v>
      </c>
      <c r="P104" s="32" t="n">
        <v>33.42</v>
      </c>
      <c r="Q104" s="32" t="n">
        <v>1147.46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-1.08</v>
      </c>
      <c r="U104" s="32" t="n">
        <v>42.78</v>
      </c>
      <c r="V104" s="32" t="n">
        <v>44.33</v>
      </c>
      <c r="W104" s="32" t="n">
        <v>22.29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IF(B105=0,"",RANK(B105,$B$2:$B$371,0))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DIVGIITTS</t>
        </is>
      </c>
      <c r="D105" s="31" t="inlineStr">
        <is>
          <t>Divgi Torqtransfer Systems Ltd</t>
        </is>
      </c>
      <c r="E105" s="31" t="inlineStr">
        <is>
          <t>auto</t>
        </is>
      </c>
      <c r="F105" s="31" t="inlineStr">
        <is>
          <t>auto ancillaries</t>
        </is>
      </c>
      <c r="G105" s="31" t="inlineStr">
        <is>
          <t>smallcap</t>
        </is>
      </c>
      <c r="H105" s="32" t="n">
        <v>3730.35</v>
      </c>
      <c r="I105" s="32" t="n">
        <v>1301.05</v>
      </c>
      <c r="J105" s="32" t="n">
        <v>6.67</v>
      </c>
      <c r="K105" s="32" t="n">
        <v>598493</v>
      </c>
      <c r="L105" s="31" t="inlineStr"/>
      <c r="M105" s="31" t="inlineStr"/>
      <c r="N105" s="32">
        <f>IF(M105="Underperforming",-5,IF(L105&gt;=95,15,IF(L105&gt;=90,10,IF(L105&gt;=80,5,0))))</f>
        <v/>
      </c>
      <c r="O105" s="32" t="n">
        <v>78.06999999999999</v>
      </c>
      <c r="P105" s="32" t="n">
        <v>45.29</v>
      </c>
      <c r="Q105" s="32" t="n">
        <v>1003.17</v>
      </c>
      <c r="R105" s="31" t="inlineStr">
        <is>
          <t>Volume Spike &amp; Near 52W High Breakout</t>
        </is>
      </c>
      <c r="S105" s="31" t="inlineStr">
        <is>
          <t>Nifty Auto</t>
        </is>
      </c>
      <c r="T105" s="32" t="inlineStr"/>
      <c r="U105" s="32" t="inlineStr"/>
      <c r="V105" s="32" t="inlineStr"/>
      <c r="W105" s="32" t="inlineStr"/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Above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IF(B106=0,"",RANK(B106,$B$2:$B$371,0))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UNIVASTU</t>
        </is>
      </c>
      <c r="D106" s="31" t="inlineStr">
        <is>
          <t>Univastu India Ltd</t>
        </is>
      </c>
      <c r="E106" s="31" t="inlineStr">
        <is>
          <t>realty</t>
        </is>
      </c>
      <c r="F106" s="31" t="inlineStr">
        <is>
          <t>construction</t>
        </is>
      </c>
      <c r="G106" s="31" t="inlineStr">
        <is>
          <t>smallcap</t>
        </is>
      </c>
      <c r="H106" s="32" t="n">
        <v>578.34</v>
      </c>
      <c r="I106" s="32" t="n">
        <v>160.69</v>
      </c>
      <c r="J106" s="32" t="n">
        <v>5</v>
      </c>
      <c r="K106" s="32" t="n">
        <v>185012</v>
      </c>
      <c r="L106" s="31" t="inlineStr"/>
      <c r="M106" s="31" t="inlineStr"/>
      <c r="N106" s="32">
        <f>IF(M106="Underperforming",-5,IF(L106&gt;=95,15,IF(L106&gt;=90,10,IF(L106&gt;=80,5,0))))</f>
        <v/>
      </c>
      <c r="O106" s="32" t="n">
        <v>88.86</v>
      </c>
      <c r="P106" s="32" t="n">
        <v>68.45</v>
      </c>
      <c r="Q106" s="32" t="n">
        <v>123.49</v>
      </c>
      <c r="R106" s="31" t="inlineStr">
        <is>
          <t>Near 52W High Breakout</t>
        </is>
      </c>
      <c r="S106" s="31" t="inlineStr">
        <is>
          <t>Nifty Realty</t>
        </is>
      </c>
      <c r="T106" s="32" t="inlineStr"/>
      <c r="U106" s="32" t="inlineStr"/>
      <c r="V106" s="32" t="inlineStr"/>
      <c r="W106" s="32" t="inlineStr"/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IF(B107=0,"",RANK(B107,$B$2:$B$371,0))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KROSS</t>
        </is>
      </c>
      <c r="D107" s="31" t="inlineStr">
        <is>
          <t>Kross Ltd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smallcap</t>
        </is>
      </c>
      <c r="H107" s="32" t="n">
        <v>1309.86</v>
      </c>
      <c r="I107" s="32" t="n">
        <v>210.2</v>
      </c>
      <c r="J107" s="32" t="n">
        <v>3.52</v>
      </c>
      <c r="K107" s="32" t="n">
        <v>826367</v>
      </c>
      <c r="L107" s="31" t="inlineStr"/>
      <c r="M107" s="31" t="inlineStr"/>
      <c r="N107" s="32">
        <f>IF(M107="Underperforming",-5,IF(L107&gt;=95,15,IF(L107&gt;=90,10,IF(L107&gt;=80,5,0))))</f>
        <v/>
      </c>
      <c r="O107" s="32" t="n">
        <v>57.61</v>
      </c>
      <c r="P107" s="32" t="n">
        <v>24.12</v>
      </c>
      <c r="Q107" s="32" t="n">
        <v>156.67</v>
      </c>
      <c r="R107" s="31" t="inlineStr">
        <is>
          <t>Earnings / Momentum Support</t>
        </is>
      </c>
      <c r="S107" s="31" t="inlineStr">
        <is>
          <t>Nifty Auto</t>
        </is>
      </c>
      <c r="T107" s="32" t="inlineStr"/>
      <c r="U107" s="32" t="inlineStr"/>
      <c r="V107" s="32" t="inlineStr"/>
      <c r="W107" s="32" t="inlineStr"/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No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IF(B108=0,"",RANK(B108,$B$2:$B$371,0))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GLOBAL</t>
        </is>
      </c>
      <c r="D108" s="31" t="inlineStr">
        <is>
          <t>Global Education Ltd</t>
        </is>
      </c>
      <c r="E108" s="31" t="inlineStr">
        <is>
          <t>services</t>
        </is>
      </c>
      <c r="F108" s="31" t="inlineStr">
        <is>
          <t>miscellaneous</t>
        </is>
      </c>
      <c r="G108" s="31" t="inlineStr">
        <is>
          <t>smallcap</t>
        </is>
      </c>
      <c r="H108" s="32" t="n">
        <v>521.64</v>
      </c>
      <c r="I108" s="32" t="n">
        <v>105</v>
      </c>
      <c r="J108" s="32" t="n">
        <v>2.46</v>
      </c>
      <c r="K108" s="32" t="n">
        <v>118917</v>
      </c>
      <c r="L108" s="31" t="n">
        <v>50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57.56</v>
      </c>
      <c r="P108" s="32" t="n">
        <v>48.62</v>
      </c>
      <c r="Q108" s="32" t="n">
        <v>77.78</v>
      </c>
      <c r="R108" s="31" t="inlineStr">
        <is>
          <t>Volume Spike / Accumulation</t>
        </is>
      </c>
      <c r="S108" s="31" t="inlineStr">
        <is>
          <t>Nifty 50</t>
        </is>
      </c>
      <c r="T108" s="32" t="n">
        <v>-1.08</v>
      </c>
      <c r="U108" s="32" t="n">
        <v>64.67</v>
      </c>
      <c r="V108" s="32" t="n">
        <v>66.47</v>
      </c>
      <c r="W108" s="32" t="n">
        <v>11.27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Headwind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Less than 50%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IF(B109=0,"",RANK(B109,$B$2:$B$371,0))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AZAD</t>
        </is>
      </c>
      <c r="D109" s="31" t="inlineStr">
        <is>
          <t>Azad Engineering Ltd</t>
        </is>
      </c>
      <c r="E109" s="31" t="inlineStr">
        <is>
          <t>aerospace &amp; defence</t>
        </is>
      </c>
      <c r="F109" s="31" t="inlineStr">
        <is>
          <t>engineering</t>
        </is>
      </c>
      <c r="G109" s="31" t="inlineStr">
        <is>
          <t>midcap</t>
        </is>
      </c>
      <c r="H109" s="32" t="n">
        <v>17211.68</v>
      </c>
      <c r="I109" s="32" t="n">
        <v>2717.8</v>
      </c>
      <c r="J109" s="32" t="n">
        <v>1.98</v>
      </c>
      <c r="K109" s="32" t="n">
        <v>621810</v>
      </c>
      <c r="L109" s="31" t="n">
        <v>71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68.02</v>
      </c>
      <c r="P109" s="32" t="n">
        <v>30.87</v>
      </c>
      <c r="Q109" s="32" t="n">
        <v>2065.12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-1.08</v>
      </c>
      <c r="U109" s="32" t="n">
        <v>75.25</v>
      </c>
      <c r="V109" s="32" t="n">
        <v>77.16</v>
      </c>
      <c r="W109" s="32" t="n">
        <v>18.78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IF(B110=0,"",RANK(B110,$B$2:$B$371,0))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HAL</t>
        </is>
      </c>
      <c r="D110" s="31" t="inlineStr">
        <is>
          <t>Hindustan Aeronautics Ltd</t>
        </is>
      </c>
      <c r="E110" s="31" t="inlineStr">
        <is>
          <t>aerospace &amp; defence</t>
        </is>
      </c>
      <c r="F110" s="31" t="inlineStr">
        <is>
          <t>engineering</t>
        </is>
      </c>
      <c r="G110" s="31" t="inlineStr">
        <is>
          <t>largecap</t>
        </is>
      </c>
      <c r="H110" s="32" t="n">
        <v>330709.24</v>
      </c>
      <c r="I110" s="32" t="n">
        <v>5029.9</v>
      </c>
      <c r="J110" s="32" t="n">
        <v>1.72</v>
      </c>
      <c r="K110" s="32" t="n">
        <v>3037755</v>
      </c>
      <c r="L110" s="31" t="n">
        <v>27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67.84999999999999</v>
      </c>
      <c r="P110" s="32" t="n">
        <v>23.43</v>
      </c>
      <c r="Q110" s="32" t="n">
        <v>4288.16</v>
      </c>
      <c r="R110" s="31" t="inlineStr">
        <is>
          <t>Volume Spike &amp; Near 52W High Breakout</t>
        </is>
      </c>
      <c r="S110" s="31" t="inlineStr">
        <is>
          <t>Nifty 50</t>
        </is>
      </c>
      <c r="T110" s="32" t="n">
        <v>-1.08</v>
      </c>
      <c r="U110" s="32" t="n">
        <v>11.94</v>
      </c>
      <c r="V110" s="32" t="n">
        <v>13.16</v>
      </c>
      <c r="W110" s="32" t="n">
        <v>5.61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Between 12 to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IF(B111=0,"",RANK(B111,$B$2:$B$371,0))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POLYPLEX</t>
        </is>
      </c>
      <c r="D111" s="31" t="inlineStr">
        <is>
          <t>Polyplex Corporation Limited</t>
        </is>
      </c>
      <c r="E111" s="31" t="inlineStr">
        <is>
          <t>industrials</t>
        </is>
      </c>
      <c r="F111" s="31" t="inlineStr">
        <is>
          <t>packaging</t>
        </is>
      </c>
      <c r="G111" s="31" t="inlineStr">
        <is>
          <t>smallcap</t>
        </is>
      </c>
      <c r="H111" s="32" t="n">
        <v>3664.13</v>
      </c>
      <c r="I111" s="32" t="n">
        <v>1181.5</v>
      </c>
      <c r="J111" s="32" t="n">
        <v>1.23</v>
      </c>
      <c r="K111" s="32" t="n">
        <v>116995</v>
      </c>
      <c r="L111" s="31" t="inlineStr"/>
      <c r="M111" s="31" t="inlineStr"/>
      <c r="N111" s="32">
        <f>IF(M111="Underperforming",-5,IF(L111&gt;=95,15,IF(L111&gt;=90,10,IF(L111&gt;=80,5,0))))</f>
        <v/>
      </c>
      <c r="O111" s="32" t="n">
        <v>72.45</v>
      </c>
      <c r="P111" s="32" t="n">
        <v>48.62</v>
      </c>
      <c r="Q111" s="32" t="n">
        <v>950.98</v>
      </c>
      <c r="R111" s="31" t="inlineStr">
        <is>
          <t>Volume Spike &amp; Near 52W High Breakout</t>
        </is>
      </c>
      <c r="S111" s="31" t="inlineStr">
        <is>
          <t>Nifty Infra</t>
        </is>
      </c>
      <c r="T111" s="32" t="inlineStr"/>
      <c r="U111" s="32" t="inlineStr"/>
      <c r="V111" s="32" t="inlineStr"/>
      <c r="W111" s="32" t="inlineStr"/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IF(B112=0,"",RANK(B112,$B$2:$B$371,0))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BHARATSE</t>
        </is>
      </c>
      <c r="D112" s="31" t="inlineStr">
        <is>
          <t>Bharat Seats Ltd</t>
        </is>
      </c>
      <c r="E112" s="31" t="inlineStr">
        <is>
          <t>auto</t>
        </is>
      </c>
      <c r="F112" s="31" t="inlineStr">
        <is>
          <t>auto ancillaries</t>
        </is>
      </c>
      <c r="G112" s="31" t="inlineStr">
        <is>
          <t>smallcap</t>
        </is>
      </c>
      <c r="H112" s="32" t="n">
        <v>1540.17</v>
      </c>
      <c r="I112" s="32" t="n">
        <v>248.05</v>
      </c>
      <c r="J112" s="32" t="n">
        <v>1.14</v>
      </c>
      <c r="K112" s="32" t="n">
        <v>421295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66.54000000000001</v>
      </c>
      <c r="P112" s="32" t="n">
        <v>33.68</v>
      </c>
      <c r="Q112" s="32" t="n">
        <v>172.5</v>
      </c>
      <c r="R112" s="31" t="inlineStr">
        <is>
          <t>Near 52W High Breakout</t>
        </is>
      </c>
      <c r="S112" s="31" t="inlineStr">
        <is>
          <t>Nifty Auto</t>
        </is>
      </c>
      <c r="T112" s="32" t="inlineStr"/>
      <c r="U112" s="32" t="inlineStr"/>
      <c r="V112" s="32" t="inlineStr"/>
      <c r="W112" s="32" t="inlineStr"/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Between 12 to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IF(B113=0,"",RANK(B113,$B$2:$B$371,0))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POWERINDIA</t>
        </is>
      </c>
      <c r="D113" s="31" t="inlineStr">
        <is>
          <t>Hitachi Energy India Ltd</t>
        </is>
      </c>
      <c r="E113" s="31" t="inlineStr">
        <is>
          <t>industrials</t>
        </is>
      </c>
      <c r="F113" s="31" t="inlineStr">
        <is>
          <t>electric equipment</t>
        </is>
      </c>
      <c r="G113" s="31" t="inlineStr">
        <is>
          <t>largecap</t>
        </is>
      </c>
      <c r="H113" s="32" t="n">
        <v>157607.88</v>
      </c>
      <c r="I113" s="32" t="n">
        <v>35700</v>
      </c>
      <c r="J113" s="32" t="n">
        <v>0.96</v>
      </c>
      <c r="K113" s="32" t="n">
        <v>226542</v>
      </c>
      <c r="L113" s="31" t="n">
        <v>60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62.44</v>
      </c>
      <c r="P113" s="32" t="n">
        <v>41.57</v>
      </c>
      <c r="Q113" s="32" t="n">
        <v>30282.94</v>
      </c>
      <c r="R113" s="31" t="inlineStr">
        <is>
          <t>Volume Spike / Accumulation</t>
        </is>
      </c>
      <c r="S113" s="31" t="inlineStr">
        <is>
          <t>Nifty 500</t>
        </is>
      </c>
      <c r="T113" s="32" t="n">
        <v>4.03</v>
      </c>
      <c r="U113" s="32" t="n">
        <v>75.04000000000001</v>
      </c>
      <c r="V113" s="32" t="n">
        <v>68.26000000000001</v>
      </c>
      <c r="W113" s="32" t="n">
        <v>14.85</v>
      </c>
      <c r="X113" s="31" t="inlineStr">
        <is>
          <t>Cyclical in an Upturn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Above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IF(B114=0,"",RANK(B114,$B$2:$B$371,0))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LODHA</t>
        </is>
      </c>
      <c r="D114" s="31" t="inlineStr">
        <is>
          <t>Lodha Developers Ltd</t>
        </is>
      </c>
      <c r="E114" s="31" t="inlineStr">
        <is>
          <t>realty</t>
        </is>
      </c>
      <c r="F114" s="31" t="inlineStr">
        <is>
          <t>construction</t>
        </is>
      </c>
      <c r="G114" s="31" t="inlineStr">
        <is>
          <t>largecap</t>
        </is>
      </c>
      <c r="H114" s="32" t="n">
        <v>123118.41</v>
      </c>
      <c r="I114" s="32" t="n">
        <v>1243.9</v>
      </c>
      <c r="J114" s="32" t="n">
        <v>0.9399999999999999</v>
      </c>
      <c r="K114" s="32" t="n">
        <v>2276719</v>
      </c>
      <c r="L114" s="31" t="inlineStr"/>
      <c r="M114" s="31" t="inlineStr"/>
      <c r="N114" s="32">
        <f>IF(M114="Underperforming",-5,IF(L114&gt;=95,15,IF(L114&gt;=90,10,IF(L114&gt;=80,5,0))))</f>
        <v/>
      </c>
      <c r="O114" s="32" t="n">
        <v>64.08</v>
      </c>
      <c r="P114" s="32" t="n">
        <v>20.54</v>
      </c>
      <c r="Q114" s="32" t="n">
        <v>969.13</v>
      </c>
      <c r="R114" s="31" t="inlineStr">
        <is>
          <t>Near 52W High Breakout</t>
        </is>
      </c>
      <c r="S114" s="31" t="inlineStr">
        <is>
          <t>Nifty Realty</t>
        </is>
      </c>
      <c r="T114" s="32" t="inlineStr"/>
      <c r="U114" s="32" t="inlineStr"/>
      <c r="V114" s="32" t="inlineStr"/>
      <c r="W114" s="32" t="inlineStr"/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IF(B115=0,"",RANK(B115,$B$2:$B$371,0))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IRISDOREME</t>
        </is>
      </c>
      <c r="D115" s="31" t="inlineStr">
        <is>
          <t>Iris Clothings Ltd</t>
        </is>
      </c>
      <c r="E115" s="31" t="inlineStr">
        <is>
          <t>consumer discretionary</t>
        </is>
      </c>
      <c r="F115" s="31" t="inlineStr">
        <is>
          <t>textiles - products</t>
        </is>
      </c>
      <c r="G115" s="31" t="inlineStr">
        <is>
          <t>smallcap</t>
        </is>
      </c>
      <c r="H115" s="32" t="n">
        <v>1094.6</v>
      </c>
      <c r="I115" s="32" t="n">
        <v>58</v>
      </c>
      <c r="J115" s="32" t="n">
        <v>0.85</v>
      </c>
      <c r="K115" s="32" t="n">
        <v>760696</v>
      </c>
      <c r="L115" s="31" t="n">
        <v>82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84.81</v>
      </c>
      <c r="P115" s="32" t="n">
        <v>39.43</v>
      </c>
      <c r="Q115" s="32" t="n">
        <v>44.76</v>
      </c>
      <c r="R115" s="31" t="inlineStr">
        <is>
          <t>Volume Spike &amp; Near 52W High Breakout</t>
        </is>
      </c>
      <c r="S115" s="31" t="inlineStr">
        <is>
          <t>Nifty 50</t>
        </is>
      </c>
      <c r="T115" s="32" t="n">
        <v>-1.08</v>
      </c>
      <c r="U115" s="32" t="n">
        <v>72.41</v>
      </c>
      <c r="V115" s="32" t="n">
        <v>74.29000000000001</v>
      </c>
      <c r="W115" s="32" t="n">
        <v>26.26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Above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Close to 52 week high or retracement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Less than 1.5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IF(B116=0,"",RANK(B116,$B$2:$B$371,0))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GRINDWELL</t>
        </is>
      </c>
      <c r="D116" s="31" t="inlineStr">
        <is>
          <t>Grindwell Norton Limited</t>
        </is>
      </c>
      <c r="E116" s="31" t="inlineStr">
        <is>
          <t>industrials</t>
        </is>
      </c>
      <c r="F116" s="31" t="inlineStr">
        <is>
          <t>abrasives and grinding wheels</t>
        </is>
      </c>
      <c r="G116" s="31" t="inlineStr">
        <is>
          <t>largecap</t>
        </is>
      </c>
      <c r="H116" s="32" t="n">
        <v>23763.83</v>
      </c>
      <c r="I116" s="32" t="n">
        <v>2162</v>
      </c>
      <c r="J116" s="32" t="n">
        <v>0.73</v>
      </c>
      <c r="K116" s="32" t="n">
        <v>53403</v>
      </c>
      <c r="L116" s="31" t="n">
        <v>53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66.09999999999999</v>
      </c>
      <c r="P116" s="32" t="n">
        <v>52.62</v>
      </c>
      <c r="Q116" s="32" t="n">
        <v>1736.32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-1.08</v>
      </c>
      <c r="U116" s="32" t="n">
        <v>49.06</v>
      </c>
      <c r="V116" s="32" t="n">
        <v>50.68</v>
      </c>
      <c r="W116" s="32" t="n">
        <v>12.04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IF(B117=0,"",RANK(B117,$B$2:$B$371,0))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MOTHERSON</t>
        </is>
      </c>
      <c r="D117" s="31" t="inlineStr">
        <is>
          <t>Samvardhana Motherson International Ltd</t>
        </is>
      </c>
      <c r="E117" s="31" t="inlineStr">
        <is>
          <t>auto</t>
        </is>
      </c>
      <c r="F117" s="31" t="inlineStr">
        <is>
          <t>auto ancillaries</t>
        </is>
      </c>
      <c r="G117" s="31" t="inlineStr">
        <is>
          <t>largecap</t>
        </is>
      </c>
      <c r="H117" s="32" t="n">
        <v>176681.37</v>
      </c>
      <c r="I117" s="32" t="n">
        <v>168.3</v>
      </c>
      <c r="J117" s="32" t="n">
        <v>0.54</v>
      </c>
      <c r="K117" s="32" t="n">
        <v>20639081</v>
      </c>
      <c r="L117" s="31" t="inlineStr"/>
      <c r="M117" s="31" t="inlineStr"/>
      <c r="N117" s="32">
        <f>IF(M117="Underperforming",-5,IF(L117&gt;=95,15,IF(L117&gt;=90,10,IF(L117&gt;=80,5,0))))</f>
        <v/>
      </c>
      <c r="O117" s="32" t="n">
        <v>74.34</v>
      </c>
      <c r="P117" s="32" t="n">
        <v>37.34</v>
      </c>
      <c r="Q117" s="32" t="n">
        <v>139.05</v>
      </c>
      <c r="R117" s="31" t="inlineStr">
        <is>
          <t>Near 52W High Breakout</t>
        </is>
      </c>
      <c r="S117" s="31" t="inlineStr">
        <is>
          <t>Nifty Auto</t>
        </is>
      </c>
      <c r="T117" s="32" t="inlineStr"/>
      <c r="U117" s="32" t="inlineStr"/>
      <c r="V117" s="32" t="inlineStr"/>
      <c r="W117" s="32" t="inlineStr"/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IF(B118=0,"",RANK(B118,$B$2:$B$371,0))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SUPRAJIT</t>
        </is>
      </c>
      <c r="D118" s="31" t="inlineStr">
        <is>
          <t>Suprajit Engineering Limited</t>
        </is>
      </c>
      <c r="E118" s="31" t="inlineStr">
        <is>
          <t>auto</t>
        </is>
      </c>
      <c r="F118" s="31" t="inlineStr">
        <is>
          <t>auto ancillaries</t>
        </is>
      </c>
      <c r="G118" s="31" t="inlineStr">
        <is>
          <t>midcap</t>
        </is>
      </c>
      <c r="H118" s="32" t="n">
        <v>7189.83</v>
      </c>
      <c r="I118" s="32" t="n">
        <v>527</v>
      </c>
      <c r="J118" s="32" t="n">
        <v>0.54</v>
      </c>
      <c r="K118" s="32" t="n">
        <v>130968</v>
      </c>
      <c r="L118" s="31" t="inlineStr"/>
      <c r="M118" s="31" t="inlineStr"/>
      <c r="N118" s="32">
        <f>IF(M118="Underperforming",-5,IF(L118&gt;=95,15,IF(L118&gt;=90,10,IF(L118&gt;=80,5,0))))</f>
        <v/>
      </c>
      <c r="O118" s="32" t="n">
        <v>64.67</v>
      </c>
      <c r="P118" s="32" t="n">
        <v>42.82</v>
      </c>
      <c r="Q118" s="32" t="n">
        <v>422.24</v>
      </c>
      <c r="R118" s="31" t="inlineStr">
        <is>
          <t>Near 52W High Breakout</t>
        </is>
      </c>
      <c r="S118" s="31" t="inlineStr">
        <is>
          <t>Nifty Auto</t>
        </is>
      </c>
      <c r="T118" s="32" t="inlineStr"/>
      <c r="U118" s="32" t="inlineStr"/>
      <c r="V118" s="32" t="inlineStr"/>
      <c r="W118" s="32" t="inlineStr"/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Above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IF(B119=0,"",RANK(B119,$B$2:$B$371,0))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TATVA</t>
        </is>
      </c>
      <c r="D119" s="31" t="inlineStr">
        <is>
          <t>Tatva Chintan Pharma Chem Ltd</t>
        </is>
      </c>
      <c r="E119" s="31" t="inlineStr">
        <is>
          <t>chemicals</t>
        </is>
      </c>
      <c r="F119" s="31" t="inlineStr">
        <is>
          <t>chemicals</t>
        </is>
      </c>
      <c r="G119" s="31" t="inlineStr">
        <is>
          <t>smallcap</t>
        </is>
      </c>
      <c r="H119" s="32" t="n">
        <v>3999.11</v>
      </c>
      <c r="I119" s="32" t="n">
        <v>1717.3</v>
      </c>
      <c r="J119" s="32" t="n">
        <v>0.45</v>
      </c>
      <c r="K119" s="32" t="n">
        <v>34277</v>
      </c>
      <c r="L119" s="31" t="n">
        <v>71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70.34999999999999</v>
      </c>
      <c r="P119" s="32" t="n">
        <v>26.15</v>
      </c>
      <c r="Q119" s="32" t="n">
        <v>1356.8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-1.08</v>
      </c>
      <c r="U119" s="32" t="n">
        <v>64.53</v>
      </c>
      <c r="V119" s="32" t="n">
        <v>66.31999999999999</v>
      </c>
      <c r="W119" s="32" t="n">
        <v>18.79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IF(B120=0,"",RANK(B120,$B$2:$B$371,0))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BELRISE</t>
        </is>
      </c>
      <c r="D120" s="31" t="inlineStr">
        <is>
          <t>Belrise Industries Ltd</t>
        </is>
      </c>
      <c r="E120" s="31" t="inlineStr">
        <is>
          <t>auto</t>
        </is>
      </c>
      <c r="F120" s="31" t="inlineStr">
        <is>
          <t>auto ancillaries</t>
        </is>
      </c>
      <c r="G120" s="31" t="inlineStr">
        <is>
          <t>largecap</t>
        </is>
      </c>
      <c r="H120" s="32" t="n">
        <v>24606.28</v>
      </c>
      <c r="I120" s="32" t="n">
        <v>255.35</v>
      </c>
      <c r="J120" s="32" t="n">
        <v>0.37</v>
      </c>
      <c r="K120" s="32" t="n">
        <v>5212387</v>
      </c>
      <c r="L120" s="31" t="inlineStr"/>
      <c r="M120" s="31" t="inlineStr"/>
      <c r="N120" s="32">
        <f>IF(M120="Underperforming",-5,IF(L120&gt;=95,15,IF(L120&gt;=90,10,IF(L120&gt;=80,5,0))))</f>
        <v/>
      </c>
      <c r="O120" s="32" t="n">
        <v>71.79000000000001</v>
      </c>
      <c r="P120" s="32" t="n">
        <v>45.86</v>
      </c>
      <c r="Q120" s="32" t="n">
        <v>207.06</v>
      </c>
      <c r="R120" s="31" t="inlineStr">
        <is>
          <t>Near 52W High Breakout</t>
        </is>
      </c>
      <c r="S120" s="31" t="inlineStr">
        <is>
          <t>Nifty Auto</t>
        </is>
      </c>
      <c r="T120" s="32" t="inlineStr"/>
      <c r="U120" s="32" t="inlineStr"/>
      <c r="V120" s="32" t="inlineStr"/>
      <c r="W120" s="32" t="inlineStr"/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Above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Less than 12%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Yes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IF(B121=0,"",RANK(B121,$B$2:$B$371,0))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NAHARSPING</t>
        </is>
      </c>
      <c r="D121" s="31" t="inlineStr">
        <is>
          <t>Nahar Spinning Mills Limited</t>
        </is>
      </c>
      <c r="E121" s="31" t="inlineStr">
        <is>
          <t>textiles</t>
        </is>
      </c>
      <c r="F121" s="31" t="inlineStr">
        <is>
          <t>textiles - cotton/blended</t>
        </is>
      </c>
      <c r="G121" s="31" t="inlineStr">
        <is>
          <t>smallcap</t>
        </is>
      </c>
      <c r="H121" s="32" t="n">
        <v>1088.27</v>
      </c>
      <c r="I121" s="32" t="n">
        <v>302.5</v>
      </c>
      <c r="J121" s="32" t="n">
        <v>0.25</v>
      </c>
      <c r="K121" s="32" t="n">
        <v>6136</v>
      </c>
      <c r="L121" s="31" t="n">
        <v>56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65.39</v>
      </c>
      <c r="P121" s="32" t="n">
        <v>27.73</v>
      </c>
      <c r="Q121" s="32" t="n">
        <v>244.31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-1.08</v>
      </c>
      <c r="U121" s="32" t="n">
        <v>51.99</v>
      </c>
      <c r="V121" s="32" t="n">
        <v>53.65</v>
      </c>
      <c r="W121" s="32" t="n">
        <v>12.65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IF(B122=0,"",RANK(B122,$B$2:$B$371,0))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MATRIMONY</t>
        </is>
      </c>
      <c r="D122" s="31" t="inlineStr">
        <is>
          <t>Matrimony.com Ltd</t>
        </is>
      </c>
      <c r="E122" s="31" t="inlineStr">
        <is>
          <t>miscellaneous</t>
        </is>
      </c>
      <c r="F122" s="31" t="inlineStr">
        <is>
          <t>miscellaneous</t>
        </is>
      </c>
      <c r="G122" s="31" t="inlineStr">
        <is>
          <t>smallcap</t>
        </is>
      </c>
      <c r="H122" s="32" t="n">
        <v>1112.23</v>
      </c>
      <c r="I122" s="32" t="n">
        <v>538</v>
      </c>
      <c r="J122" s="32" t="n">
        <v>0</v>
      </c>
      <c r="K122" s="32" t="n">
        <v>61606</v>
      </c>
      <c r="L122" s="31" t="n">
        <v>36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68.86</v>
      </c>
      <c r="P122" s="32" t="n">
        <v>20.64</v>
      </c>
      <c r="Q122" s="32" t="n">
        <v>419.57</v>
      </c>
      <c r="R122" s="31" t="inlineStr">
        <is>
          <t>Volume Spike &amp; Near 52W High Breakout</t>
        </is>
      </c>
      <c r="S122" s="31" t="inlineStr">
        <is>
          <t>Nifty 50</t>
        </is>
      </c>
      <c r="T122" s="32" t="n">
        <v>-1.08</v>
      </c>
      <c r="U122" s="32" t="n">
        <v>6.87</v>
      </c>
      <c r="V122" s="32" t="n">
        <v>8.029999999999999</v>
      </c>
      <c r="W122" s="32" t="n">
        <v>7.76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20 to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IF(B123=0,"",RANK(B123,$B$2:$B$371,0))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NYKAA</t>
        </is>
      </c>
      <c r="D123" s="31" t="inlineStr">
        <is>
          <t>FSN E-Commerce Ventures Ltd</t>
        </is>
      </c>
      <c r="E123" s="31" t="inlineStr">
        <is>
          <t>i.t</t>
        </is>
      </c>
      <c r="F123" s="31" t="inlineStr">
        <is>
          <t>trading</t>
        </is>
      </c>
      <c r="G123" s="31" t="inlineStr">
        <is>
          <t>largecap</t>
        </is>
      </c>
      <c r="H123" s="32" t="n">
        <v>94835.53999999999</v>
      </c>
      <c r="I123" s="32" t="n">
        <v>331</v>
      </c>
      <c r="J123" s="32" t="n">
        <v>-0.05</v>
      </c>
      <c r="K123" s="32" t="n">
        <v>4355321</v>
      </c>
      <c r="L123" s="31" t="n">
        <v>58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70.8</v>
      </c>
      <c r="P123" s="32" t="n">
        <v>42.55</v>
      </c>
      <c r="Q123" s="32" t="n">
        <v>284.21</v>
      </c>
      <c r="R123" s="31" t="inlineStr">
        <is>
          <t>Near 52W High Breakout</t>
        </is>
      </c>
      <c r="S123" s="31" t="inlineStr">
        <is>
          <t>Nifty IT</t>
        </is>
      </c>
      <c r="T123" s="32" t="n">
        <v>-9.98</v>
      </c>
      <c r="U123" s="32" t="n">
        <v>53.85</v>
      </c>
      <c r="V123" s="32" t="n">
        <v>70.91</v>
      </c>
      <c r="W123" s="32" t="n">
        <v>13.73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IF(B124=0,"",RANK(B124,$B$2:$B$371,0))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PIDILITIND</t>
        </is>
      </c>
      <c r="D124" s="31" t="inlineStr">
        <is>
          <t>Pidilite Industries Limited</t>
        </is>
      </c>
      <c r="E124" s="31" t="inlineStr">
        <is>
          <t>chemicals</t>
        </is>
      </c>
      <c r="F124" s="31" t="inlineStr">
        <is>
          <t>chemicals</t>
        </is>
      </c>
      <c r="G124" s="31" t="inlineStr">
        <is>
          <t>largecap</t>
        </is>
      </c>
      <c r="H124" s="32" t="n">
        <v>172624.88</v>
      </c>
      <c r="I124" s="32" t="n">
        <v>1693</v>
      </c>
      <c r="J124" s="32" t="n">
        <v>-0.18</v>
      </c>
      <c r="K124" s="32" t="n">
        <v>1319530</v>
      </c>
      <c r="L124" s="31" t="n">
        <v>25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72.88</v>
      </c>
      <c r="P124" s="32" t="n">
        <v>25.95</v>
      </c>
      <c r="Q124" s="32" t="n">
        <v>1491.53</v>
      </c>
      <c r="R124" s="31" t="inlineStr">
        <is>
          <t>Near 52W High Breakout</t>
        </is>
      </c>
      <c r="S124" s="31" t="inlineStr">
        <is>
          <t>Nifty 50</t>
        </is>
      </c>
      <c r="T124" s="32" t="n">
        <v>-1.08</v>
      </c>
      <c r="U124" s="32" t="n">
        <v>9.74</v>
      </c>
      <c r="V124" s="32" t="n">
        <v>10.94</v>
      </c>
      <c r="W124" s="32" t="n">
        <v>5.18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Blue sky scenario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IF(B125=0,"",RANK(B125,$B$2:$B$371,0))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WELCORP</t>
        </is>
      </c>
      <c r="D125" s="31" t="inlineStr">
        <is>
          <t>Welspun Corp Limited</t>
        </is>
      </c>
      <c r="E125" s="31" t="inlineStr">
        <is>
          <t>industrials</t>
        </is>
      </c>
      <c r="F125" s="31" t="inlineStr">
        <is>
          <t>steel - large</t>
        </is>
      </c>
      <c r="G125" s="31" t="inlineStr">
        <is>
          <t>largecap</t>
        </is>
      </c>
      <c r="H125" s="32" t="n">
        <v>49695.52</v>
      </c>
      <c r="I125" s="32" t="n">
        <v>1873.3</v>
      </c>
      <c r="J125" s="32" t="n">
        <v>-0.5600000000000001</v>
      </c>
      <c r="K125" s="32" t="n">
        <v>554574</v>
      </c>
      <c r="L125" s="31" t="inlineStr"/>
      <c r="M125" s="31" t="inlineStr"/>
      <c r="N125" s="32">
        <f>IF(M125="Underperforming",-5,IF(L125&gt;=95,15,IF(L125&gt;=90,10,IF(L125&gt;=80,5,0))))</f>
        <v/>
      </c>
      <c r="O125" s="32" t="n">
        <v>88.86</v>
      </c>
      <c r="P125" s="32" t="n">
        <v>70.78</v>
      </c>
      <c r="Q125" s="32" t="n">
        <v>1559.37</v>
      </c>
      <c r="R125" s="31" t="inlineStr">
        <is>
          <t>Near 52W High Breakout</t>
        </is>
      </c>
      <c r="S125" s="31" t="inlineStr">
        <is>
          <t>Nifty Metal</t>
        </is>
      </c>
      <c r="T125" s="32" t="inlineStr"/>
      <c r="U125" s="32" t="inlineStr"/>
      <c r="V125" s="32" t="inlineStr"/>
      <c r="W125" s="32" t="inlineStr"/>
      <c r="X125" s="31" t="inlineStr">
        <is>
          <t>Cyclical in an Upturn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IF(B126=0,"",RANK(B126,$B$2:$B$371,0))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ARVSMART</t>
        </is>
      </c>
      <c r="D126" s="31" t="inlineStr">
        <is>
          <t>Arvind Smartspaces Limited</t>
        </is>
      </c>
      <c r="E126" s="31" t="inlineStr">
        <is>
          <t>realty</t>
        </is>
      </c>
      <c r="F126" s="31" t="inlineStr">
        <is>
          <t>construction</t>
        </is>
      </c>
      <c r="G126" s="31" t="inlineStr">
        <is>
          <t>smallcap</t>
        </is>
      </c>
      <c r="H126" s="32" t="n">
        <v>3041.67</v>
      </c>
      <c r="I126" s="32" t="n">
        <v>655.6</v>
      </c>
      <c r="J126" s="32" t="n">
        <v>-1.14</v>
      </c>
      <c r="K126" s="32" t="n">
        <v>72163</v>
      </c>
      <c r="L126" s="31" t="inlineStr"/>
      <c r="M126" s="31" t="inlineStr"/>
      <c r="N126" s="32">
        <f>IF(M126="Underperforming",-5,IF(L126&gt;=95,15,IF(L126&gt;=90,10,IF(L126&gt;=80,5,0))))</f>
        <v/>
      </c>
      <c r="O126" s="32" t="n">
        <v>60.67</v>
      </c>
      <c r="P126" s="32" t="n">
        <v>25.99</v>
      </c>
      <c r="Q126" s="32" t="n">
        <v>516.27</v>
      </c>
      <c r="R126" s="31" t="inlineStr">
        <is>
          <t>Near 52W High Breakout</t>
        </is>
      </c>
      <c r="S126" s="31" t="inlineStr">
        <is>
          <t>Nifty Realty</t>
        </is>
      </c>
      <c r="T126" s="32" t="inlineStr"/>
      <c r="U126" s="32" t="inlineStr"/>
      <c r="V126" s="32" t="inlineStr"/>
      <c r="W126" s="32" t="inlineStr"/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IF(B127=0,"",RANK(B127,$B$2:$B$371,0))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CRAFTSMAN</t>
        </is>
      </c>
      <c r="D127" s="31" t="inlineStr">
        <is>
          <t>Craftsman Automation Ltd</t>
        </is>
      </c>
      <c r="E127" s="31" t="inlineStr">
        <is>
          <t>auto</t>
        </is>
      </c>
      <c r="F127" s="31" t="inlineStr">
        <is>
          <t>auto ancillaries</t>
        </is>
      </c>
      <c r="G127" s="31" t="inlineStr">
        <is>
          <t>largecap</t>
        </is>
      </c>
      <c r="H127" s="32" t="n">
        <v>27148.3</v>
      </c>
      <c r="I127" s="32" t="n">
        <v>10251</v>
      </c>
      <c r="J127" s="32" t="n">
        <v>-1.24</v>
      </c>
      <c r="K127" s="32" t="n">
        <v>16672</v>
      </c>
      <c r="L127" s="31" t="inlineStr"/>
      <c r="M127" s="31" t="inlineStr"/>
      <c r="N127" s="32">
        <f>IF(M127="Underperforming",-5,IF(L127&gt;=95,15,IF(L127&gt;=90,10,IF(L127&gt;=80,5,0))))</f>
        <v/>
      </c>
      <c r="O127" s="32" t="n">
        <v>67.33</v>
      </c>
      <c r="P127" s="32" t="n">
        <v>62.39</v>
      </c>
      <c r="Q127" s="32" t="n">
        <v>8521.92</v>
      </c>
      <c r="R127" s="31" t="inlineStr">
        <is>
          <t>Near 52W High Breakout</t>
        </is>
      </c>
      <c r="S127" s="31" t="inlineStr">
        <is>
          <t>Nifty Auto</t>
        </is>
      </c>
      <c r="T127" s="32" t="inlineStr"/>
      <c r="U127" s="32" t="inlineStr"/>
      <c r="V127" s="32" t="inlineStr"/>
      <c r="W127" s="32" t="inlineStr"/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Above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Between 0.7 to 1.2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IF(B128=0,"",RANK(B128,$B$2:$B$371,0))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UNIVCABLES</t>
        </is>
      </c>
      <c r="D128" s="31" t="inlineStr">
        <is>
          <t>Universal Cables Limited</t>
        </is>
      </c>
      <c r="E128" s="31" t="inlineStr">
        <is>
          <t>industrials</t>
        </is>
      </c>
      <c r="F128" s="31" t="inlineStr">
        <is>
          <t>cables - power</t>
        </is>
      </c>
      <c r="G128" s="31" t="inlineStr">
        <is>
          <t>midcap</t>
        </is>
      </c>
      <c r="H128" s="32" t="n">
        <v>5905.85</v>
      </c>
      <c r="I128" s="32" t="n">
        <v>1644.4</v>
      </c>
      <c r="J128" s="32" t="n">
        <v>-3.4</v>
      </c>
      <c r="K128" s="32" t="n">
        <v>132271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76.83</v>
      </c>
      <c r="P128" s="32" t="n">
        <v>58.23</v>
      </c>
      <c r="Q128" s="32" t="n">
        <v>1183.88</v>
      </c>
      <c r="R128" s="31" t="inlineStr">
        <is>
          <t>Volume Spike &amp; Near 52W High Breakout</t>
        </is>
      </c>
      <c r="S128" s="31" t="inlineStr">
        <is>
          <t>Nifty Energy</t>
        </is>
      </c>
      <c r="T128" s="32" t="inlineStr"/>
      <c r="U128" s="32" t="inlineStr"/>
      <c r="V128" s="32" t="inlineStr"/>
      <c r="W128" s="32" t="inlineStr"/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Above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IF(B129=0,"",RANK(B129,$B$2:$B$371,0))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REDINGTON</t>
        </is>
      </c>
      <c r="D129" s="31" t="inlineStr">
        <is>
          <t>Redington (india) Limited</t>
        </is>
      </c>
      <c r="E129" s="31" t="inlineStr">
        <is>
          <t>services</t>
        </is>
      </c>
      <c r="F129" s="31" t="inlineStr">
        <is>
          <t>trading</t>
        </is>
      </c>
      <c r="G129" s="31" t="inlineStr">
        <is>
          <t>largecap</t>
        </is>
      </c>
      <c r="H129" s="32" t="n">
        <v>27049.4</v>
      </c>
      <c r="I129" s="32" t="n">
        <v>334.05</v>
      </c>
      <c r="J129" s="32" t="n">
        <v>-3.45</v>
      </c>
      <c r="K129" s="32" t="n">
        <v>1569673</v>
      </c>
      <c r="L129" s="31" t="n">
        <v>74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66.16</v>
      </c>
      <c r="P129" s="32" t="n">
        <v>31.67</v>
      </c>
      <c r="Q129" s="32" t="n">
        <v>273</v>
      </c>
      <c r="R129" s="31" t="inlineStr">
        <is>
          <t>Earnings / Momentum Support</t>
        </is>
      </c>
      <c r="S129" s="31" t="inlineStr">
        <is>
          <t>Nifty 50</t>
        </is>
      </c>
      <c r="T129" s="32" t="n">
        <v>-1.08</v>
      </c>
      <c r="U129" s="32" t="n">
        <v>43.98</v>
      </c>
      <c r="V129" s="32" t="n">
        <v>45.55</v>
      </c>
      <c r="W129" s="32" t="n">
        <v>21.24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IF(B130=0,"",RANK(B130,$B$2:$B$371,0))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MOREPENLAB</t>
        </is>
      </c>
      <c r="D130" s="31" t="inlineStr">
        <is>
          <t>Morepen Laboratories Limited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smallcap</t>
        </is>
      </c>
      <c r="H130" s="32" t="n">
        <v>4432.4</v>
      </c>
      <c r="I130" s="32" t="n">
        <v>84.19</v>
      </c>
      <c r="J130" s="32" t="n">
        <v>4.08</v>
      </c>
      <c r="K130" s="32" t="n">
        <v>40157885</v>
      </c>
      <c r="L130" s="31" t="n">
        <v>92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79.76000000000001</v>
      </c>
      <c r="P130" s="32" t="n">
        <v>34.5</v>
      </c>
      <c r="Q130" s="32" t="n">
        <v>62.07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19.38</v>
      </c>
      <c r="U130" s="32" t="n">
        <v>82.26000000000001</v>
      </c>
      <c r="V130" s="32" t="n">
        <v>52.67</v>
      </c>
      <c r="W130" s="32" t="n">
        <v>38.75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No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IF(B131=0,"",RANK(B131,$B$2:$B$371,0))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SOFTTECH</t>
        </is>
      </c>
      <c r="D131" s="31" t="inlineStr">
        <is>
          <t>Softtech Engineers Ltd</t>
        </is>
      </c>
      <c r="E131" s="31" t="inlineStr">
        <is>
          <t>i.t</t>
        </is>
      </c>
      <c r="F131" s="31" t="inlineStr">
        <is>
          <t>computers - software - medium / small</t>
        </is>
      </c>
      <c r="G131" s="31" t="inlineStr">
        <is>
          <t>smallcap</t>
        </is>
      </c>
      <c r="H131" s="32" t="n">
        <v>585.9400000000001</v>
      </c>
      <c r="I131" s="32" t="n">
        <v>430.95</v>
      </c>
      <c r="J131" s="32" t="n">
        <v>1.81</v>
      </c>
      <c r="K131" s="32" t="n">
        <v>1340</v>
      </c>
      <c r="L131" s="31" t="n">
        <v>21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59.79</v>
      </c>
      <c r="P131" s="32" t="n">
        <v>34.33</v>
      </c>
      <c r="Q131" s="32" t="n">
        <v>358.81</v>
      </c>
      <c r="R131" s="31" t="inlineStr">
        <is>
          <t>Volume Spike / Accumulation</t>
        </is>
      </c>
      <c r="S131" s="31" t="inlineStr">
        <is>
          <t>Nifty IT</t>
        </is>
      </c>
      <c r="T131" s="32" t="n">
        <v>-9.98</v>
      </c>
      <c r="U131" s="32" t="n">
        <v>15.76</v>
      </c>
      <c r="V131" s="32" t="n">
        <v>28.59</v>
      </c>
      <c r="W131" s="32" t="n">
        <v>4.75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IF(B132=0,"",RANK(B132,$B$2:$B$371,0))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DBOL</t>
        </is>
      </c>
      <c r="D132" s="31" t="inlineStr">
        <is>
          <t>Dhampur Bio Organics Ltd</t>
        </is>
      </c>
      <c r="E132" s="31" t="inlineStr">
        <is>
          <t>fmcg</t>
        </is>
      </c>
      <c r="F132" s="31" t="inlineStr">
        <is>
          <t>sugar</t>
        </is>
      </c>
      <c r="G132" s="31" t="inlineStr">
        <is>
          <t>smallcap</t>
        </is>
      </c>
      <c r="H132" s="32" t="n">
        <v>781.78</v>
      </c>
      <c r="I132" s="32" t="n">
        <v>119.8</v>
      </c>
      <c r="J132" s="32" t="n">
        <v>1.73</v>
      </c>
      <c r="K132" s="32" t="n">
        <v>331662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60.7</v>
      </c>
      <c r="P132" s="32" t="n">
        <v>34.49</v>
      </c>
      <c r="Q132" s="32" t="n">
        <v>87.09</v>
      </c>
      <c r="R132" s="31" t="inlineStr">
        <is>
          <t>Volume Spike &amp; Near 52W High Breakout</t>
        </is>
      </c>
      <c r="S132" s="31" t="inlineStr">
        <is>
          <t>Nifty FMCG</t>
        </is>
      </c>
      <c r="T132" s="32" t="inlineStr"/>
      <c r="U132" s="32" t="inlineStr"/>
      <c r="V132" s="32" t="inlineStr"/>
      <c r="W132" s="32" t="inlineStr"/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B2C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Annuity, Lower One Time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IF(B133=0,"",RANK(B133,$B$2:$B$371,0))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SUBEXLTD</t>
        </is>
      </c>
      <c r="D133" s="31" t="inlineStr">
        <is>
          <t>Subex Ltd</t>
        </is>
      </c>
      <c r="E133" s="31" t="inlineStr">
        <is>
          <t>i.t</t>
        </is>
      </c>
      <c r="F133" s="31" t="inlineStr">
        <is>
          <t>computers - software - medium / small</t>
        </is>
      </c>
      <c r="G133" s="31" t="inlineStr">
        <is>
          <t>smallcap</t>
        </is>
      </c>
      <c r="H133" s="32" t="n">
        <v>771.63</v>
      </c>
      <c r="I133" s="32" t="n">
        <v>13.9</v>
      </c>
      <c r="J133" s="32" t="n">
        <v>1.24</v>
      </c>
      <c r="K133" s="32" t="n">
        <v>489675</v>
      </c>
      <c r="L133" s="31" t="n">
        <v>39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62.88</v>
      </c>
      <c r="P133" s="32" t="n">
        <v>24.63</v>
      </c>
      <c r="Q133" s="32" t="n">
        <v>9.76</v>
      </c>
      <c r="R133" s="31" t="inlineStr">
        <is>
          <t>Near 52W High Breakout</t>
        </is>
      </c>
      <c r="S133" s="31" t="inlineStr">
        <is>
          <t>Nifty IT</t>
        </is>
      </c>
      <c r="T133" s="32" t="n">
        <v>-9.98</v>
      </c>
      <c r="U133" s="32" t="n">
        <v>0.95</v>
      </c>
      <c r="V133" s="32" t="n">
        <v>12.13</v>
      </c>
      <c r="W133" s="32" t="n">
        <v>8.18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Annuity, Lower One Time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Between 12 to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IF(B134=0,"",RANK(B134,$B$2:$B$371,0))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DIAMONDYD</t>
        </is>
      </c>
      <c r="D134" s="31" t="inlineStr">
        <is>
          <t>Prataap Snacks Ltd</t>
        </is>
      </c>
      <c r="E134" s="31" t="inlineStr">
        <is>
          <t>fmcg</t>
        </is>
      </c>
      <c r="F134" s="31" t="inlineStr">
        <is>
          <t>food - processing - indian</t>
        </is>
      </c>
      <c r="G134" s="31" t="inlineStr">
        <is>
          <t>smallcap</t>
        </is>
      </c>
      <c r="H134" s="32" t="n">
        <v>2831.48</v>
      </c>
      <c r="I134" s="32" t="n">
        <v>1191.4</v>
      </c>
      <c r="J134" s="32" t="n">
        <v>0.61</v>
      </c>
      <c r="K134" s="32" t="n">
        <v>19266</v>
      </c>
      <c r="L134" s="31" t="inlineStr"/>
      <c r="M134" s="31" t="inlineStr"/>
      <c r="N134" s="32">
        <f>IF(M134="Underperforming",-5,IF(L134&gt;=95,15,IF(L134&gt;=90,10,IF(L134&gt;=80,5,0))))</f>
        <v/>
      </c>
      <c r="O134" s="32" t="n">
        <v>59.08</v>
      </c>
      <c r="P134" s="32" t="n">
        <v>27.1</v>
      </c>
      <c r="Q134" s="32" t="n">
        <v>985.12</v>
      </c>
      <c r="R134" s="31" t="inlineStr">
        <is>
          <t>Near 52W High Breakout</t>
        </is>
      </c>
      <c r="S134" s="31" t="inlineStr">
        <is>
          <t>Nifty FMCG</t>
        </is>
      </c>
      <c r="T134" s="32" t="inlineStr"/>
      <c r="U134" s="32" t="inlineStr"/>
      <c r="V134" s="32" t="inlineStr"/>
      <c r="W134" s="32" t="inlineStr"/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B2C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Annuity, Lower One Time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Between 50% to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IF(B135=0,"",RANK(B135,$B$2:$B$371,0))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NEULANDLAB</t>
        </is>
      </c>
      <c r="D135" s="31" t="inlineStr">
        <is>
          <t>Neuland Laboratories Limited</t>
        </is>
      </c>
      <c r="E135" s="31" t="inlineStr">
        <is>
          <t>healthcare</t>
        </is>
      </c>
      <c r="F135" s="31" t="inlineStr">
        <is>
          <t>pharmaceuticals - indian - bulk drugs</t>
        </is>
      </c>
      <c r="G135" s="31" t="inlineStr">
        <is>
          <t>largecap</t>
        </is>
      </c>
      <c r="H135" s="32" t="n">
        <v>29774.32</v>
      </c>
      <c r="I135" s="32" t="n">
        <v>23330</v>
      </c>
      <c r="J135" s="32" t="n">
        <v>0.53</v>
      </c>
      <c r="K135" s="32" t="n">
        <v>83749</v>
      </c>
      <c r="L135" s="31" t="n">
        <v>78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77.54000000000001</v>
      </c>
      <c r="P135" s="32" t="n">
        <v>52.42</v>
      </c>
      <c r="Q135" s="32" t="n">
        <v>18728.68</v>
      </c>
      <c r="R135" s="31" t="inlineStr">
        <is>
          <t>Near 52W High Breakout</t>
        </is>
      </c>
      <c r="S135" s="31" t="inlineStr">
        <is>
          <t>Nifty Pharma</t>
        </is>
      </c>
      <c r="T135" s="32" t="n">
        <v>19.38</v>
      </c>
      <c r="U135" s="32" t="n">
        <v>75.95</v>
      </c>
      <c r="V135" s="32" t="n">
        <v>47.39</v>
      </c>
      <c r="W135" s="32" t="n">
        <v>23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Yes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Annuity, Lower One Time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Above 40</t>
        </is>
      </c>
      <c r="AY135" s="31">
        <f>IF(AX135="Above 40",20,IF(AX135="20 to 40",10,IF(AX135="0 to 20",-5,0)))</f>
        <v/>
      </c>
      <c r="AZ135" s="31" t="inlineStr">
        <is>
          <t>Above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IF(B136=0,"",RANK(B136,$B$2:$B$371,0))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DIVISLAB</t>
        </is>
      </c>
      <c r="D136" s="31" t="inlineStr">
        <is>
          <t>Divi's Laboratories Limited</t>
        </is>
      </c>
      <c r="E136" s="31" t="inlineStr">
        <is>
          <t>healthcare</t>
        </is>
      </c>
      <c r="F136" s="31" t="inlineStr">
        <is>
          <t>pharmaceuticals - indian - bulk drugs</t>
        </is>
      </c>
      <c r="G136" s="31" t="inlineStr">
        <is>
          <t>largecap</t>
        </is>
      </c>
      <c r="H136" s="32" t="n">
        <v>225648.29</v>
      </c>
      <c r="I136" s="32" t="n">
        <v>8477</v>
      </c>
      <c r="J136" s="32" t="n">
        <v>-0.27</v>
      </c>
      <c r="K136" s="32" t="n">
        <v>675257</v>
      </c>
      <c r="L136" s="31" t="n">
        <v>55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83.65000000000001</v>
      </c>
      <c r="P136" s="32" t="n">
        <v>31.42</v>
      </c>
      <c r="Q136" s="32" t="n">
        <v>7361.93</v>
      </c>
      <c r="R136" s="31" t="inlineStr">
        <is>
          <t>Near 52W High Breakout</t>
        </is>
      </c>
      <c r="S136" s="31" t="inlineStr">
        <is>
          <t>Nifty Pharma</t>
        </is>
      </c>
      <c r="T136" s="32" t="n">
        <v>19.38</v>
      </c>
      <c r="U136" s="32" t="n">
        <v>38.8</v>
      </c>
      <c r="V136" s="32" t="n">
        <v>16.27</v>
      </c>
      <c r="W136" s="32" t="n">
        <v>12.46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Yes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Annuity, Lower One Time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Above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IF(B137=0,"",RANK(B137,$B$2:$B$371,0))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BLSE</t>
        </is>
      </c>
      <c r="D137" s="31" t="inlineStr">
        <is>
          <t>BLS E-Services Ltd</t>
        </is>
      </c>
      <c r="E137" s="31" t="inlineStr">
        <is>
          <t>i.t</t>
        </is>
      </c>
      <c r="F137" s="31" t="inlineStr">
        <is>
          <t>computers - software - medium / small</t>
        </is>
      </c>
      <c r="G137" s="31" t="inlineStr">
        <is>
          <t>smallcap</t>
        </is>
      </c>
      <c r="H137" s="32" t="n">
        <v>2864.71</v>
      </c>
      <c r="I137" s="32" t="n">
        <v>314.25</v>
      </c>
      <c r="J137" s="32" t="n">
        <v>-0.33</v>
      </c>
      <c r="K137" s="32" t="n">
        <v>842849</v>
      </c>
      <c r="L137" s="31" t="n">
        <v>86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83.34</v>
      </c>
      <c r="P137" s="32" t="n">
        <v>45.88</v>
      </c>
      <c r="Q137" s="32" t="n">
        <v>249.59</v>
      </c>
      <c r="R137" s="31" t="inlineStr">
        <is>
          <t>Near 52W High Breakout</t>
        </is>
      </c>
      <c r="S137" s="31" t="inlineStr">
        <is>
          <t>Nifty IT</t>
        </is>
      </c>
      <c r="T137" s="32" t="n">
        <v>-9.98</v>
      </c>
      <c r="U137" s="32" t="n">
        <v>76.3</v>
      </c>
      <c r="V137" s="32" t="n">
        <v>95.84</v>
      </c>
      <c r="W137" s="32" t="n">
        <v>28.06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Annuity, Lower One Time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Above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IF(B138=0,"",RANK(B138,$B$2:$B$371,0))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DALMIASUG</t>
        </is>
      </c>
      <c r="D138" s="31" t="inlineStr">
        <is>
          <t>Dalmia Bharat Sugar And Industries Limited</t>
        </is>
      </c>
      <c r="E138" s="31" t="inlineStr">
        <is>
          <t>fmcg</t>
        </is>
      </c>
      <c r="F138" s="31" t="inlineStr">
        <is>
          <t>sugar</t>
        </is>
      </c>
      <c r="G138" s="31" t="inlineStr">
        <is>
          <t>smallcap</t>
        </is>
      </c>
      <c r="H138" s="32" t="n">
        <v>3458.94</v>
      </c>
      <c r="I138" s="32" t="n">
        <v>422.4</v>
      </c>
      <c r="J138" s="32" t="n">
        <v>-1.16</v>
      </c>
      <c r="K138" s="32" t="n">
        <v>434147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67.88</v>
      </c>
      <c r="P138" s="32" t="n">
        <v>23.7</v>
      </c>
      <c r="Q138" s="32" t="n">
        <v>317.12</v>
      </c>
      <c r="R138" s="31" t="inlineStr">
        <is>
          <t>Near 52W High Breakout</t>
        </is>
      </c>
      <c r="S138" s="31" t="inlineStr">
        <is>
          <t>Nifty FMCG</t>
        </is>
      </c>
      <c r="T138" s="32" t="inlineStr"/>
      <c r="U138" s="32" t="inlineStr"/>
      <c r="V138" s="32" t="inlineStr"/>
      <c r="W138" s="32" t="inlineStr"/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B2C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Annuity, Lower One Time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Less than 12%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IF(B139=0,"",RANK(B139,$B$2:$B$371,0))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KEI</t>
        </is>
      </c>
      <c r="D139" s="31" t="inlineStr">
        <is>
          <t>Kei Industries Limited</t>
        </is>
      </c>
      <c r="E139" s="31" t="inlineStr">
        <is>
          <t>industrials</t>
        </is>
      </c>
      <c r="F139" s="31" t="inlineStr">
        <is>
          <t>cables - power</t>
        </is>
      </c>
      <c r="G139" s="31" t="inlineStr">
        <is>
          <t>largecap</t>
        </is>
      </c>
      <c r="H139" s="32" t="n">
        <v>55343.18</v>
      </c>
      <c r="I139" s="32" t="n">
        <v>5700</v>
      </c>
      <c r="J139" s="32" t="n">
        <v>-1.54</v>
      </c>
      <c r="K139" s="32" t="n">
        <v>375595</v>
      </c>
      <c r="L139" s="31" t="inlineStr"/>
      <c r="M139" s="31" t="inlineStr"/>
      <c r="N139" s="32">
        <f>IF(M139="Underperforming",-5,IF(L139&gt;=95,15,IF(L139&gt;=90,10,IF(L139&gt;=80,5,0))))</f>
        <v/>
      </c>
      <c r="O139" s="32" t="n">
        <v>65.56999999999999</v>
      </c>
      <c r="P139" s="32" t="n">
        <v>25.72</v>
      </c>
      <c r="Q139" s="32" t="n">
        <v>4579.58</v>
      </c>
      <c r="R139" s="31" t="inlineStr">
        <is>
          <t>Near 52W High Breakout</t>
        </is>
      </c>
      <c r="S139" s="31" t="inlineStr">
        <is>
          <t>Nifty Energy</t>
        </is>
      </c>
      <c r="T139" s="32" t="inlineStr"/>
      <c r="U139" s="32" t="inlineStr"/>
      <c r="V139" s="32" t="inlineStr"/>
      <c r="W139" s="32" t="inlineStr"/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Fully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Yes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Less than 1.5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Yes, More Than 10%</t>
        </is>
      </c>
      <c r="CE139" s="31">
        <f>IF(CD139="Yes, more than 10%",-10,IF(CD139="No",10,0))</f>
        <v/>
      </c>
    </row>
    <row r="140">
      <c r="A140" s="31">
        <f>IF(B140=0,"",RANK(B140,$B$2:$B$371,0))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ENTERO</t>
        </is>
      </c>
      <c r="D140" s="33" t="inlineStr">
        <is>
          <t>Entero Healthcare Solutions Ltd</t>
        </is>
      </c>
      <c r="E140" s="31" t="inlineStr">
        <is>
          <t>healthcare</t>
        </is>
      </c>
      <c r="F140" s="31" t="inlineStr">
        <is>
          <t>trading</t>
        </is>
      </c>
      <c r="G140" s="31" t="inlineStr">
        <is>
          <t>midcap</t>
        </is>
      </c>
      <c r="H140" s="32" t="n">
        <v>6302.14</v>
      </c>
      <c r="I140" s="32" t="n">
        <v>1422</v>
      </c>
      <c r="J140" s="32" t="n">
        <v>-1.8</v>
      </c>
      <c r="K140" s="32" t="n">
        <v>66873</v>
      </c>
      <c r="L140" s="31" t="n">
        <v>34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64.98</v>
      </c>
      <c r="P140" s="32" t="n">
        <v>22.48</v>
      </c>
      <c r="Q140" s="32" t="n">
        <v>1087.85</v>
      </c>
      <c r="R140" s="31" t="inlineStr">
        <is>
          <t>Volume Spike &amp; Near 52W High Breakout</t>
        </is>
      </c>
      <c r="S140" s="31" t="inlineStr">
        <is>
          <t>Nifty Pharma</t>
        </is>
      </c>
      <c r="T140" s="32" t="n">
        <v>19.38</v>
      </c>
      <c r="U140" s="32" t="n">
        <v>17.42</v>
      </c>
      <c r="V140" s="32" t="n">
        <v>-1.64</v>
      </c>
      <c r="W140" s="32" t="n">
        <v>7.36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IF(B141=0,"",RANK(B141,$B$2:$B$371,0))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BAFNAPH</t>
        </is>
      </c>
      <c r="D141" s="31" t="inlineStr">
        <is>
          <t>Bafna Pharmaceuticals Ltd</t>
        </is>
      </c>
      <c r="E141" s="31" t="inlineStr">
        <is>
          <t>healthcare</t>
        </is>
      </c>
      <c r="F141" s="31" t="inlineStr">
        <is>
          <t>pharmaceuticals - indian - formulations</t>
        </is>
      </c>
      <c r="G141" s="31" t="inlineStr">
        <is>
          <t>smallcap</t>
        </is>
      </c>
      <c r="H141" s="32" t="n">
        <v>622.04</v>
      </c>
      <c r="I141" s="32" t="n">
        <v>262.95</v>
      </c>
      <c r="J141" s="32" t="n">
        <v>-1.99</v>
      </c>
      <c r="K141" s="32" t="n">
        <v>2145</v>
      </c>
      <c r="L141" s="31" t="n">
        <v>95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68.87</v>
      </c>
      <c r="P141" s="32" t="n">
        <v>51.68</v>
      </c>
      <c r="Q141" s="32" t="n">
        <v>216.21</v>
      </c>
      <c r="R141" s="31" t="inlineStr">
        <is>
          <t>Earnings / Momentum Support</t>
        </is>
      </c>
      <c r="S141" s="31" t="inlineStr">
        <is>
          <t>Nifty Pharma</t>
        </is>
      </c>
      <c r="T141" s="32" t="n">
        <v>19.38</v>
      </c>
      <c r="U141" s="32" t="n">
        <v>135.51</v>
      </c>
      <c r="V141" s="32" t="n">
        <v>97.28</v>
      </c>
      <c r="W141" s="32" t="n">
        <v>44.83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Yes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Less than 12%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IF(B142=0,"",RANK(B142,$B$2:$B$371,0))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KRN</t>
        </is>
      </c>
      <c r="D142" s="31" t="inlineStr">
        <is>
          <t>KRN Heat Exchanger and Refrigeration Ltd</t>
        </is>
      </c>
      <c r="E142" s="31" t="inlineStr">
        <is>
          <t>industrials</t>
        </is>
      </c>
      <c r="F142" s="31" t="inlineStr">
        <is>
          <t>engineering</t>
        </is>
      </c>
      <c r="G142" s="31" t="inlineStr">
        <is>
          <t>midcap</t>
        </is>
      </c>
      <c r="H142" s="32" t="n">
        <v>9153.709999999999</v>
      </c>
      <c r="I142" s="32" t="n">
        <v>1468.3</v>
      </c>
      <c r="J142" s="32" t="n">
        <v>5</v>
      </c>
      <c r="K142" s="32" t="n">
        <v>407623</v>
      </c>
      <c r="L142" s="31" t="n">
        <v>72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69.95999999999999</v>
      </c>
      <c r="P142" s="32" t="n">
        <v>29.23</v>
      </c>
      <c r="Q142" s="32" t="n">
        <v>1070.1</v>
      </c>
      <c r="R142" s="31" t="inlineStr">
        <is>
          <t>Volume Spike &amp; Near 52W High Breakout</t>
        </is>
      </c>
      <c r="S142" s="31" t="inlineStr">
        <is>
          <t>Nifty 50</t>
        </is>
      </c>
      <c r="T142" s="32" t="n">
        <v>-1.08</v>
      </c>
      <c r="U142" s="32" t="n">
        <v>72.13</v>
      </c>
      <c r="V142" s="32" t="n">
        <v>74.01000000000001</v>
      </c>
      <c r="W142" s="32" t="n">
        <v>19.56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IF(B143=0,"",RANK(B143,$B$2:$B$371,0))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BHAGCHEM</t>
        </is>
      </c>
      <c r="D143" s="31" t="inlineStr">
        <is>
          <t>Bhagiradha Chemicals &amp; Industries Ltd</t>
        </is>
      </c>
      <c r="E143" s="31" t="inlineStr">
        <is>
          <t>chemicals</t>
        </is>
      </c>
      <c r="F143" s="31" t="inlineStr">
        <is>
          <t>pesticides / agrochemicals - indian</t>
        </is>
      </c>
      <c r="G143" s="31" t="inlineStr">
        <is>
          <t>smallcap</t>
        </is>
      </c>
      <c r="H143" s="32" t="n">
        <v>3581.46</v>
      </c>
      <c r="I143" s="32" t="n">
        <v>289.5</v>
      </c>
      <c r="J143" s="32" t="n">
        <v>4.82</v>
      </c>
      <c r="K143" s="32" t="n">
        <v>74103</v>
      </c>
      <c r="L143" s="31" t="n">
        <v>24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62.6</v>
      </c>
      <c r="P143" s="32" t="n">
        <v>25.41</v>
      </c>
      <c r="Q143" s="32" t="n">
        <v>220.25</v>
      </c>
      <c r="R143" s="31" t="inlineStr">
        <is>
          <t>Near 52W High Breakout</t>
        </is>
      </c>
      <c r="S143" s="31" t="inlineStr">
        <is>
          <t>Nifty 50</t>
        </is>
      </c>
      <c r="T143" s="32" t="n">
        <v>-1.08</v>
      </c>
      <c r="U143" s="32" t="n">
        <v>3.63</v>
      </c>
      <c r="V143" s="32" t="n">
        <v>4.76</v>
      </c>
      <c r="W143" s="32" t="n">
        <v>4.87</v>
      </c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IF(B144=0,"",RANK(B144,$B$2:$B$371,0))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3" t="inlineStr">
        <is>
          <t>DPABHUSHAN</t>
        </is>
      </c>
      <c r="D144" s="33" t="inlineStr">
        <is>
          <t>D.P. Abhushan Ltd</t>
        </is>
      </c>
      <c r="E144" s="31" t="inlineStr">
        <is>
          <t>consumer discretionary</t>
        </is>
      </c>
      <c r="F144" s="31" t="inlineStr">
        <is>
          <t>diamond cutting / jewellery</t>
        </is>
      </c>
      <c r="G144" s="31" t="inlineStr">
        <is>
          <t>smallcap</t>
        </is>
      </c>
      <c r="H144" s="32" t="n">
        <v>3116.24</v>
      </c>
      <c r="I144" s="32" t="n">
        <v>1429.3</v>
      </c>
      <c r="J144" s="32" t="n">
        <v>4.7</v>
      </c>
      <c r="K144" s="32" t="n">
        <v>35776</v>
      </c>
      <c r="L144" s="31" t="n">
        <v>51</v>
      </c>
      <c r="M144" s="31" t="inlineStr">
        <is>
          <t>Underperforming</t>
        </is>
      </c>
      <c r="N144" s="32">
        <f>IF(M144="Underperforming",-5,IF(L144&gt;=95,15,IF(L144&gt;=90,10,IF(L144&gt;=80,5,0))))</f>
        <v/>
      </c>
      <c r="O144" s="32" t="n">
        <v>65.65000000000001</v>
      </c>
      <c r="P144" s="32" t="n">
        <v>33.87</v>
      </c>
      <c r="Q144" s="32" t="n">
        <v>1032.49</v>
      </c>
      <c r="R144" s="31" t="inlineStr">
        <is>
          <t>Earnings / Momentum Support</t>
        </is>
      </c>
      <c r="S144" s="31" t="inlineStr">
        <is>
          <t>Nifty 50</t>
        </is>
      </c>
      <c r="T144" s="32" t="n">
        <v>-1.08</v>
      </c>
      <c r="U144" s="32" t="n">
        <v>-11.77</v>
      </c>
      <c r="V144" s="32" t="n">
        <v>-10.81</v>
      </c>
      <c r="W144" s="32" t="n">
        <v>11.74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No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IF(B145=0,"",RANK(B145,$B$2:$B$371,0))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PRIMO</t>
        </is>
      </c>
      <c r="D145" s="31" t="inlineStr">
        <is>
          <t>Primo Chemicals Ltd</t>
        </is>
      </c>
      <c r="E145" s="31" t="inlineStr">
        <is>
          <t>chemicals</t>
        </is>
      </c>
      <c r="F145" s="31" t="inlineStr">
        <is>
          <t>chlor alkali / soda ash</t>
        </is>
      </c>
      <c r="G145" s="31" t="inlineStr">
        <is>
          <t>smallcap</t>
        </is>
      </c>
      <c r="H145" s="32" t="n">
        <v>593.01</v>
      </c>
      <c r="I145" s="32" t="n">
        <v>25.62</v>
      </c>
      <c r="J145" s="32" t="n">
        <v>4.7</v>
      </c>
      <c r="K145" s="32" t="n">
        <v>1300998</v>
      </c>
      <c r="L145" s="31" t="n">
        <v>9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55.97</v>
      </c>
      <c r="P145" s="32" t="n">
        <v>21.58</v>
      </c>
      <c r="Q145" s="32" t="n">
        <v>17.69</v>
      </c>
      <c r="R145" s="31" t="inlineStr">
        <is>
          <t>Volume Spike &amp; Near 52W High Breakout</t>
        </is>
      </c>
      <c r="S145" s="31" t="inlineStr">
        <is>
          <t>Nifty IT</t>
        </is>
      </c>
      <c r="T145" s="32" t="n">
        <v>-9.98</v>
      </c>
      <c r="U145" s="32" t="n">
        <v>-5.81</v>
      </c>
      <c r="V145" s="32" t="n">
        <v>4.63</v>
      </c>
      <c r="W145" s="32" t="n">
        <v>0.53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IF(B146=0,"",RANK(B146,$B$2:$B$371,0))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AYMSYNTEX</t>
        </is>
      </c>
      <c r="D146" s="31" t="inlineStr">
        <is>
          <t>Aym Syntex Limited</t>
        </is>
      </c>
      <c r="E146" s="31" t="inlineStr">
        <is>
          <t>textiles</t>
        </is>
      </c>
      <c r="F146" s="31" t="inlineStr">
        <is>
          <t>textiles - processing</t>
        </is>
      </c>
      <c r="G146" s="31" t="inlineStr">
        <is>
          <t>smallcap</t>
        </is>
      </c>
      <c r="H146" s="32" t="n">
        <v>1506.24</v>
      </c>
      <c r="I146" s="32" t="n">
        <v>266.8</v>
      </c>
      <c r="J146" s="32" t="n">
        <v>4.04</v>
      </c>
      <c r="K146" s="32" t="n">
        <v>110188</v>
      </c>
      <c r="L146" s="31" t="n">
        <v>48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63.69</v>
      </c>
      <c r="P146" s="32" t="n">
        <v>32.72</v>
      </c>
      <c r="Q146" s="32" t="n">
        <v>186.56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-1.08</v>
      </c>
      <c r="U146" s="32" t="n">
        <v>38.75</v>
      </c>
      <c r="V146" s="32" t="n">
        <v>40.26</v>
      </c>
      <c r="W146" s="32" t="n">
        <v>10.86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IF(B147=0,"",RANK(B147,$B$2:$B$371,0))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NRAIL</t>
        </is>
      </c>
      <c r="D147" s="31" t="inlineStr">
        <is>
          <t>N R Agarwal Industries Ltd</t>
        </is>
      </c>
      <c r="E147" s="31" t="inlineStr">
        <is>
          <t>building materials</t>
        </is>
      </c>
      <c r="F147" s="31" t="inlineStr">
        <is>
          <t>paper</t>
        </is>
      </c>
      <c r="G147" s="31" t="inlineStr">
        <is>
          <t>smallcap</t>
        </is>
      </c>
      <c r="H147" s="32" t="n">
        <v>859.21</v>
      </c>
      <c r="I147" s="32" t="n">
        <v>524</v>
      </c>
      <c r="J147" s="32" t="n">
        <v>3.79</v>
      </c>
      <c r="K147" s="32" t="n">
        <v>11295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59.13</v>
      </c>
      <c r="P147" s="32" t="n">
        <v>23.66</v>
      </c>
      <c r="Q147" s="32" t="n">
        <v>386.42</v>
      </c>
      <c r="R147" s="31" t="inlineStr">
        <is>
          <t>Near 52W High Breakout</t>
        </is>
      </c>
      <c r="S147" s="31" t="inlineStr">
        <is>
          <t>Nifty Infra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IF(B148=0,"",RANK(B148,$B$2:$B$371,0))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SANSERA</t>
        </is>
      </c>
      <c r="D148" s="31" t="inlineStr">
        <is>
          <t>Sansera Engineering Ltd</t>
        </is>
      </c>
      <c r="E148" s="31" t="inlineStr">
        <is>
          <t>auto</t>
        </is>
      </c>
      <c r="F148" s="31" t="inlineStr">
        <is>
          <t>auto ancillaries</t>
        </is>
      </c>
      <c r="G148" s="31" t="inlineStr">
        <is>
          <t>largecap</t>
        </is>
      </c>
      <c r="H148" s="32" t="n">
        <v>23625.99</v>
      </c>
      <c r="I148" s="32" t="n">
        <v>3924.6</v>
      </c>
      <c r="J148" s="32" t="n">
        <v>3.66</v>
      </c>
      <c r="K148" s="32" t="n">
        <v>688026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83.40000000000001</v>
      </c>
      <c r="P148" s="32" t="n">
        <v>56.36</v>
      </c>
      <c r="Q148" s="32" t="n">
        <v>3131.32</v>
      </c>
      <c r="R148" s="31" t="inlineStr">
        <is>
          <t>Volume Spike &amp; Near 52W High Breakout</t>
        </is>
      </c>
      <c r="S148" s="31" t="inlineStr">
        <is>
          <t>Nifty Auto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Above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IF(B149=0,"",RANK(B149,$B$2:$B$371,0))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HEG</t>
        </is>
      </c>
      <c r="D149" s="31" t="inlineStr">
        <is>
          <t>Heg Limited</t>
        </is>
      </c>
      <c r="E149" s="31" t="inlineStr">
        <is>
          <t>industrials</t>
        </is>
      </c>
      <c r="F149" s="31" t="inlineStr">
        <is>
          <t>electrodes - graphites</t>
        </is>
      </c>
      <c r="G149" s="31" t="inlineStr">
        <is>
          <t>midcap</t>
        </is>
      </c>
      <c r="H149" s="32" t="n">
        <v>13257.56</v>
      </c>
      <c r="I149" s="32" t="n">
        <v>701</v>
      </c>
      <c r="J149" s="32" t="n">
        <v>2.04</v>
      </c>
      <c r="K149" s="32" t="n">
        <v>3739359</v>
      </c>
      <c r="L149" s="31" t="n">
        <v>44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68.13</v>
      </c>
      <c r="P149" s="32" t="n">
        <v>26.97</v>
      </c>
      <c r="Q149" s="32" t="n">
        <v>544.45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-1.08</v>
      </c>
      <c r="U149" s="32" t="n">
        <v>39.79</v>
      </c>
      <c r="V149" s="32" t="n">
        <v>41.31</v>
      </c>
      <c r="W149" s="32" t="n">
        <v>9.74</v>
      </c>
      <c r="X149" s="31" t="inlineStr">
        <is>
          <t>Cyclical in an Upturn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Between 12 to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IF(B150=0,"",RANK(B150,$B$2:$B$371,0))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LMW</t>
        </is>
      </c>
      <c r="D150" s="31" t="inlineStr">
        <is>
          <t>LMW Ltd</t>
        </is>
      </c>
      <c r="E150" s="31" t="inlineStr">
        <is>
          <t>industrials</t>
        </is>
      </c>
      <c r="F150" s="31" t="inlineStr">
        <is>
          <t>textile machinery</t>
        </is>
      </c>
      <c r="G150" s="31" t="inlineStr">
        <is>
          <t>largecap</t>
        </is>
      </c>
      <c r="H150" s="32" t="n">
        <v>20027.42</v>
      </c>
      <c r="I150" s="32" t="n">
        <v>19100</v>
      </c>
      <c r="J150" s="32" t="n">
        <v>1.88</v>
      </c>
      <c r="K150" s="32" t="n">
        <v>11969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72.20999999999999</v>
      </c>
      <c r="P150" s="32" t="n">
        <v>34.19</v>
      </c>
      <c r="Q150" s="32" t="n">
        <v>15491.27</v>
      </c>
      <c r="R150" s="31" t="inlineStr">
        <is>
          <t>Volume Spike &amp; Near 52W High Breakout</t>
        </is>
      </c>
      <c r="S150" s="31" t="inlineStr">
        <is>
          <t>Nifty Infra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IF(B151=0,"",RANK(B151,$B$2:$B$371,0))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INDIGOPNTS</t>
        </is>
      </c>
      <c r="D151" s="31" t="inlineStr">
        <is>
          <t>Indigo Paints Ltd</t>
        </is>
      </c>
      <c r="E151" s="31" t="inlineStr">
        <is>
          <t>building materials</t>
        </is>
      </c>
      <c r="F151" s="31" t="inlineStr">
        <is>
          <t>paints / varnishes</t>
        </is>
      </c>
      <c r="G151" s="31" t="inlineStr">
        <is>
          <t>midcap</t>
        </is>
      </c>
      <c r="H151" s="32" t="n">
        <v>5389.26</v>
      </c>
      <c r="I151" s="32" t="n">
        <v>1148.7</v>
      </c>
      <c r="J151" s="32" t="n">
        <v>1.62</v>
      </c>
      <c r="K151" s="32" t="n">
        <v>2405565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65.04000000000001</v>
      </c>
      <c r="P151" s="32" t="n">
        <v>13.84</v>
      </c>
      <c r="Q151" s="32" t="n">
        <v>915.28</v>
      </c>
      <c r="R151" s="31" t="inlineStr">
        <is>
          <t>Volume Spike / Accumulation</t>
        </is>
      </c>
      <c r="S151" s="31" t="inlineStr">
        <is>
          <t>Nifty Infra</t>
        </is>
      </c>
      <c r="T151" s="32" t="inlineStr"/>
      <c r="U151" s="32" t="inlineStr"/>
      <c r="V151" s="32" t="inlineStr"/>
      <c r="W151" s="32" t="inlineStr"/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0 to 20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Less than 1.5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IF(B152=0,"",RANK(B152,$B$2:$B$371,0))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ANDHRSUGAR</t>
        </is>
      </c>
      <c r="D152" s="31" t="inlineStr">
        <is>
          <t>The Andhra Sugars Limited</t>
        </is>
      </c>
      <c r="E152" s="31" t="inlineStr">
        <is>
          <t>chemicals</t>
        </is>
      </c>
      <c r="F152" s="31" t="inlineStr">
        <is>
          <t>chlor alkali / soda ash</t>
        </is>
      </c>
      <c r="G152" s="31" t="inlineStr">
        <is>
          <t>smallcap</t>
        </is>
      </c>
      <c r="H152" s="32" t="n">
        <v>1361.18</v>
      </c>
      <c r="I152" s="32" t="n">
        <v>101.62</v>
      </c>
      <c r="J152" s="32" t="n">
        <v>1.18</v>
      </c>
      <c r="K152" s="32" t="n">
        <v>601583</v>
      </c>
      <c r="L152" s="31" t="n">
        <v>36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65.90000000000001</v>
      </c>
      <c r="P152" s="32" t="n">
        <v>14.29</v>
      </c>
      <c r="Q152" s="32" t="n">
        <v>77.43000000000001</v>
      </c>
      <c r="R152" s="31" t="inlineStr">
        <is>
          <t>Volume Spike &amp; Near 52W High Breakout</t>
        </is>
      </c>
      <c r="S152" s="31" t="inlineStr">
        <is>
          <t>Nifty 50</t>
        </is>
      </c>
      <c r="T152" s="32" t="n">
        <v>-1.08</v>
      </c>
      <c r="U152" s="32" t="n">
        <v>27.17</v>
      </c>
      <c r="V152" s="32" t="n">
        <v>28.55</v>
      </c>
      <c r="W152" s="32" t="n">
        <v>7.87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IF(B153=0,"",RANK(B153,$B$2:$B$371,0))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TTKHLTCARE</t>
        </is>
      </c>
      <c r="D153" s="31" t="inlineStr">
        <is>
          <t>Ttk Healthcare Limited</t>
        </is>
      </c>
      <c r="E153" s="31" t="inlineStr">
        <is>
          <t>miscellaneous</t>
        </is>
      </c>
      <c r="F153" s="31" t="inlineStr">
        <is>
          <t>diversified - medium / small</t>
        </is>
      </c>
      <c r="G153" s="31" t="inlineStr">
        <is>
          <t>smallcap</t>
        </is>
      </c>
      <c r="H153" s="32" t="n">
        <v>1609.59</v>
      </c>
      <c r="I153" s="32" t="n">
        <v>1152</v>
      </c>
      <c r="J153" s="32" t="n">
        <v>1.13</v>
      </c>
      <c r="K153" s="32" t="n">
        <v>28739</v>
      </c>
      <c r="L153" s="31" t="n">
        <v>36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70.84999999999999</v>
      </c>
      <c r="P153" s="32" t="n">
        <v>18.85</v>
      </c>
      <c r="Q153" s="32" t="n">
        <v>897.65</v>
      </c>
      <c r="R153" s="31" t="inlineStr">
        <is>
          <t>Near 52W High Breakout</t>
        </is>
      </c>
      <c r="S153" s="31" t="inlineStr">
        <is>
          <t>Nifty 50</t>
        </is>
      </c>
      <c r="T153" s="32" t="n">
        <v>-1.08</v>
      </c>
      <c r="U153" s="32" t="n">
        <v>3.43</v>
      </c>
      <c r="V153" s="32" t="n">
        <v>4.55</v>
      </c>
      <c r="W153" s="32" t="n">
        <v>7.88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0 to 20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Less than 1.5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IF(B154=0,"",RANK(B154,$B$2:$B$371,0))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ACE</t>
        </is>
      </c>
      <c r="D154" s="31" t="inlineStr">
        <is>
          <t>Action Construction Equipment Limited</t>
        </is>
      </c>
      <c r="E154" s="31" t="inlineStr">
        <is>
          <t>industrials</t>
        </is>
      </c>
      <c r="F154" s="31" t="inlineStr">
        <is>
          <t>engineering</t>
        </is>
      </c>
      <c r="G154" s="31" t="inlineStr">
        <is>
          <t>midcap</t>
        </is>
      </c>
      <c r="H154" s="32" t="n">
        <v>12840.74</v>
      </c>
      <c r="I154" s="32" t="n">
        <v>1090.5</v>
      </c>
      <c r="J154" s="32" t="n">
        <v>1.13</v>
      </c>
      <c r="K154" s="32" t="n">
        <v>153417</v>
      </c>
      <c r="L154" s="31" t="n">
        <v>37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66.89</v>
      </c>
      <c r="P154" s="32" t="n">
        <v>22.45</v>
      </c>
      <c r="Q154" s="32" t="n">
        <v>887.33</v>
      </c>
      <c r="R154" s="31" t="inlineStr">
        <is>
          <t>Earnings / Momentum Support</t>
        </is>
      </c>
      <c r="S154" s="31" t="inlineStr">
        <is>
          <t>Nifty 50</t>
        </is>
      </c>
      <c r="T154" s="32" t="n">
        <v>-1.08</v>
      </c>
      <c r="U154" s="32" t="n">
        <v>16.43</v>
      </c>
      <c r="V154" s="32" t="n">
        <v>17.7</v>
      </c>
      <c r="W154" s="32" t="n">
        <v>8.029999999999999</v>
      </c>
      <c r="X154" s="31" t="inlineStr">
        <is>
          <t>Cyclical in an Upturn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IF(B155=0,"",RANK(B155,$B$2:$B$371,0))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KRISHANA</t>
        </is>
      </c>
      <c r="D155" s="31" t="inlineStr">
        <is>
          <t>Krishana Phoschem Ltd</t>
        </is>
      </c>
      <c r="E155" s="31" t="inlineStr">
        <is>
          <t>chemicals</t>
        </is>
      </c>
      <c r="F155" s="31" t="inlineStr">
        <is>
          <t>fertilizers</t>
        </is>
      </c>
      <c r="G155" s="31" t="inlineStr">
        <is>
          <t>smallcap</t>
        </is>
      </c>
      <c r="H155" s="32" t="n">
        <v>1168.17</v>
      </c>
      <c r="I155" s="32" t="n">
        <v>190.4</v>
      </c>
      <c r="J155" s="32" t="n">
        <v>0.77</v>
      </c>
      <c r="K155" s="32" t="n">
        <v>806599</v>
      </c>
      <c r="L155" s="31" t="n">
        <v>76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79.43000000000001</v>
      </c>
      <c r="P155" s="32" t="n">
        <v>46.33</v>
      </c>
      <c r="Q155" s="32" t="n">
        <v>150.15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-1.08</v>
      </c>
      <c r="U155" s="32" t="n">
        <v>75.39</v>
      </c>
      <c r="V155" s="32" t="n">
        <v>77.3</v>
      </c>
      <c r="W155" s="32" t="n">
        <v>21.96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Above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Less than 1.5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More than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IF(B156=0,"",RANK(B156,$B$2:$B$371,0))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SETL</t>
        </is>
      </c>
      <c r="D156" s="31" t="inlineStr">
        <is>
          <t>Standard Enginnering Technology Ltd</t>
        </is>
      </c>
      <c r="E156" s="31" t="inlineStr">
        <is>
          <t>industrials</t>
        </is>
      </c>
      <c r="F156" s="31" t="inlineStr">
        <is>
          <t>engineering</t>
        </is>
      </c>
      <c r="G156" s="31" t="inlineStr">
        <is>
          <t>midcap</t>
        </is>
      </c>
      <c r="H156" s="32" t="n">
        <v>5937.87</v>
      </c>
      <c r="I156" s="32" t="n">
        <v>298.4</v>
      </c>
      <c r="J156" s="32" t="n">
        <v>0.25</v>
      </c>
      <c r="K156" s="32" t="n">
        <v>408670</v>
      </c>
      <c r="L156" s="31" t="inlineStr"/>
      <c r="M156" s="31" t="inlineStr"/>
      <c r="N156" s="32">
        <f>IF(M156="Underperforming",-5,IF(L156&gt;=95,15,IF(L156&gt;=90,10,IF(L156&gt;=80,5,0))))</f>
        <v/>
      </c>
      <c r="O156" s="32" t="n">
        <v>80.58</v>
      </c>
      <c r="P156" s="32" t="n">
        <v>47.51</v>
      </c>
      <c r="Q156" s="32" t="n">
        <v>223.68</v>
      </c>
      <c r="R156" s="31" t="inlineStr">
        <is>
          <t>Near 52W High Breakout</t>
        </is>
      </c>
      <c r="S156" s="31" t="inlineStr">
        <is>
          <t>Nifty Infra</t>
        </is>
      </c>
      <c r="T156" s="32" t="inlineStr"/>
      <c r="U156" s="32" t="inlineStr"/>
      <c r="V156" s="32" t="inlineStr"/>
      <c r="W156" s="32" t="inlineStr"/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Above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IF(B157=0,"",RANK(B157,$B$2:$B$371,0))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PDSL</t>
        </is>
      </c>
      <c r="D157" s="31" t="inlineStr">
        <is>
          <t>PDS Ltd</t>
        </is>
      </c>
      <c r="E157" s="31" t="inlineStr">
        <is>
          <t>textiles</t>
        </is>
      </c>
      <c r="F157" s="31" t="inlineStr">
        <is>
          <t>trading</t>
        </is>
      </c>
      <c r="G157" s="31" t="inlineStr">
        <is>
          <t>midcap</t>
        </is>
      </c>
      <c r="H157" s="32" t="n">
        <v>5263.77</v>
      </c>
      <c r="I157" s="32" t="n">
        <v>372</v>
      </c>
      <c r="J157" s="32" t="n">
        <v>-0.04</v>
      </c>
      <c r="K157" s="32" t="n">
        <v>29630</v>
      </c>
      <c r="L157" s="31" t="n">
        <v>51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60.95</v>
      </c>
      <c r="P157" s="32" t="n">
        <v>33.83</v>
      </c>
      <c r="Q157" s="32" t="n">
        <v>271.34</v>
      </c>
      <c r="R157" s="31" t="inlineStr">
        <is>
          <t>Earnings / Momentum Support</t>
        </is>
      </c>
      <c r="S157" s="31" t="inlineStr">
        <is>
          <t>Nifty 50</t>
        </is>
      </c>
      <c r="T157" s="32" t="n">
        <v>-1.08</v>
      </c>
      <c r="U157" s="32" t="n">
        <v>17.95</v>
      </c>
      <c r="V157" s="32" t="n">
        <v>19.23</v>
      </c>
      <c r="W157" s="32" t="n">
        <v>11.69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IF(B158=0,"",RANK(B158,$B$2:$B$371,0))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EICHERMOT</t>
        </is>
      </c>
      <c r="D158" s="31" t="inlineStr">
        <is>
          <t>Eicher Motors Limited</t>
        </is>
      </c>
      <c r="E158" s="31" t="inlineStr">
        <is>
          <t>auto</t>
        </is>
      </c>
      <c r="F158" s="31" t="inlineStr">
        <is>
          <t>automobiles - motorcycles / mopeds</t>
        </is>
      </c>
      <c r="G158" s="31" t="inlineStr">
        <is>
          <t>largecap</t>
        </is>
      </c>
      <c r="H158" s="32" t="n">
        <v>222343</v>
      </c>
      <c r="I158" s="32" t="n">
        <v>8066.5</v>
      </c>
      <c r="J158" s="32" t="n">
        <v>-0.41</v>
      </c>
      <c r="K158" s="32" t="n">
        <v>584584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65.59999999999999</v>
      </c>
      <c r="P158" s="32" t="n">
        <v>8.84</v>
      </c>
      <c r="Q158" s="32" t="n">
        <v>6961.45</v>
      </c>
      <c r="R158" s="31" t="inlineStr">
        <is>
          <t>Near 52W High Breakout</t>
        </is>
      </c>
      <c r="S158" s="31" t="inlineStr">
        <is>
          <t>Nifty Auto</t>
        </is>
      </c>
      <c r="T158" s="32" t="inlineStr"/>
      <c r="U158" s="32" t="inlineStr"/>
      <c r="V158" s="32" t="inlineStr"/>
      <c r="W158" s="32" t="inlineStr"/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0 to 20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Blue sky scenario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Between 1.5 to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IF(B159=0,"",RANK(B159,$B$2:$B$371,0))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STEELCAS</t>
        </is>
      </c>
      <c r="D159" s="31" t="inlineStr">
        <is>
          <t>Steelcast Ltd</t>
        </is>
      </c>
      <c r="E159" s="31" t="inlineStr">
        <is>
          <t>industrials</t>
        </is>
      </c>
      <c r="F159" s="31" t="inlineStr">
        <is>
          <t>castings &amp; forgings</t>
        </is>
      </c>
      <c r="G159" s="31" t="inlineStr">
        <is>
          <t>smallcap</t>
        </is>
      </c>
      <c r="H159" s="32" t="n">
        <v>3584</v>
      </c>
      <c r="I159" s="32" t="n">
        <v>351.85</v>
      </c>
      <c r="J159" s="32" t="n">
        <v>-0.65</v>
      </c>
      <c r="K159" s="32" t="n">
        <v>120698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79.31</v>
      </c>
      <c r="P159" s="32" t="n">
        <v>40.67</v>
      </c>
      <c r="Q159" s="32" t="n">
        <v>272.72</v>
      </c>
      <c r="R159" s="31" t="inlineStr">
        <is>
          <t>Near 52W High Breakout</t>
        </is>
      </c>
      <c r="S159" s="31" t="inlineStr">
        <is>
          <t>Nifty Infra</t>
        </is>
      </c>
      <c r="T159" s="32" t="inlineStr"/>
      <c r="U159" s="32" t="inlineStr"/>
      <c r="V159" s="32" t="inlineStr"/>
      <c r="W159" s="32" t="inlineStr"/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Above 40</t>
        </is>
      </c>
      <c r="AY159" s="31">
        <f>IF(AX159="Above 40",20,IF(AX159="20 to 40",10,IF(AX159="0 to 20",-5,0)))</f>
        <v/>
      </c>
      <c r="AZ159" s="31" t="inlineStr">
        <is>
          <t>Above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Blue sky scenario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IF(B160=0,"",RANK(B160,$B$2:$B$371,0))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ENRIN</t>
        </is>
      </c>
      <c r="D160" s="31" t="inlineStr">
        <is>
          <t>Siemens Energy India Ltd</t>
        </is>
      </c>
      <c r="E160" s="31" t="inlineStr">
        <is>
          <t>power &amp; utilities</t>
        </is>
      </c>
      <c r="F160" s="31" t="inlineStr">
        <is>
          <t>power generation and supply</t>
        </is>
      </c>
      <c r="G160" s="31" t="inlineStr">
        <is>
          <t>largecap</t>
        </is>
      </c>
      <c r="H160" s="32" t="n">
        <v>126821.63</v>
      </c>
      <c r="I160" s="32" t="n">
        <v>3536.3</v>
      </c>
      <c r="J160" s="32" t="n">
        <v>-0.7</v>
      </c>
      <c r="K160" s="32" t="n">
        <v>190996</v>
      </c>
      <c r="L160" s="31" t="n">
        <v>28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56.01</v>
      </c>
      <c r="P160" s="32" t="n">
        <v>23.54</v>
      </c>
      <c r="Q160" s="32" t="n">
        <v>2973.2</v>
      </c>
      <c r="R160" s="31" t="inlineStr">
        <is>
          <t>Earnings / Momentum Support</t>
        </is>
      </c>
      <c r="S160" s="31" t="inlineStr">
        <is>
          <t>Nifty IT</t>
        </is>
      </c>
      <c r="T160" s="32" t="n">
        <v>-9.98</v>
      </c>
      <c r="U160" s="32" t="n">
        <v>11.62</v>
      </c>
      <c r="V160" s="32" t="n">
        <v>23.99</v>
      </c>
      <c r="W160" s="32" t="n">
        <v>5.74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No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IF(B161=0,"",RANK(B161,$B$2:$B$371,0))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KALYANKJIL</t>
        </is>
      </c>
      <c r="D161" s="31" t="inlineStr">
        <is>
          <t>Kalyan Jewellers India Ltd</t>
        </is>
      </c>
      <c r="E161" s="31" t="inlineStr">
        <is>
          <t>consumer discretionary</t>
        </is>
      </c>
      <c r="F161" s="31" t="inlineStr">
        <is>
          <t>diamond cutting / jewellery</t>
        </is>
      </c>
      <c r="G161" s="31" t="inlineStr">
        <is>
          <t>largecap</t>
        </is>
      </c>
      <c r="H161" s="32" t="n">
        <v>63348.28</v>
      </c>
      <c r="I161" s="32" t="n">
        <v>608.25</v>
      </c>
      <c r="J161" s="32" t="n">
        <v>-0.84</v>
      </c>
      <c r="K161" s="32" t="n">
        <v>14329432</v>
      </c>
      <c r="L161" s="31" t="n">
        <v>75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71.84</v>
      </c>
      <c r="P161" s="32" t="n">
        <v>33.13</v>
      </c>
      <c r="Q161" s="32" t="n">
        <v>464.43</v>
      </c>
      <c r="R161" s="31" t="inlineStr">
        <is>
          <t>Near 52W High Breakout</t>
        </is>
      </c>
      <c r="S161" s="31" t="inlineStr">
        <is>
          <t>Nifty 500</t>
        </is>
      </c>
      <c r="T161" s="32" t="n">
        <v>4.03</v>
      </c>
      <c r="U161" s="32" t="n">
        <v>14.34</v>
      </c>
      <c r="V161" s="32" t="n">
        <v>9.91</v>
      </c>
      <c r="W161" s="32" t="n">
        <v>21.31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IF(B162=0,"",RANK(B162,$B$2:$B$371,0))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SHAILY</t>
        </is>
      </c>
      <c r="D162" s="31" t="inlineStr">
        <is>
          <t>Shaily Engineering Plastics Ltd</t>
        </is>
      </c>
      <c r="E162" s="31" t="inlineStr">
        <is>
          <t>plastic products</t>
        </is>
      </c>
      <c r="F162" s="31" t="inlineStr">
        <is>
          <t>plastics products</t>
        </is>
      </c>
      <c r="G162" s="31" t="inlineStr">
        <is>
          <t>midcap</t>
        </is>
      </c>
      <c r="H162" s="32" t="n">
        <v>15670.12</v>
      </c>
      <c r="I162" s="32" t="n">
        <v>3365</v>
      </c>
      <c r="J162" s="32" t="n">
        <v>-1.23</v>
      </c>
      <c r="K162" s="32" t="n">
        <v>62751</v>
      </c>
      <c r="L162" s="31" t="n">
        <v>73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70.56</v>
      </c>
      <c r="P162" s="32" t="n">
        <v>29.37</v>
      </c>
      <c r="Q162" s="32" t="n">
        <v>2489.88</v>
      </c>
      <c r="R162" s="31" t="inlineStr">
        <is>
          <t>Near 52W High Breakout</t>
        </is>
      </c>
      <c r="S162" s="31" t="inlineStr">
        <is>
          <t>Nifty 50</t>
        </is>
      </c>
      <c r="T162" s="32" t="n">
        <v>-1.08</v>
      </c>
      <c r="U162" s="32" t="n">
        <v>83.67</v>
      </c>
      <c r="V162" s="32" t="n">
        <v>85.67</v>
      </c>
      <c r="W162" s="32" t="n">
        <v>20.17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Blue sky scenario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Between 12 to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IF(B163=0,"",RANK(B163,$B$2:$B$371,0))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CHENNPETRO</t>
        </is>
      </c>
      <c r="D163" s="31" t="inlineStr">
        <is>
          <t>Chennai Petroleum Corporation Limited</t>
        </is>
      </c>
      <c r="E163" s="31" t="inlineStr">
        <is>
          <t>energy</t>
        </is>
      </c>
      <c r="F163" s="31" t="inlineStr">
        <is>
          <t>refineries</t>
        </is>
      </c>
      <c r="G163" s="31" t="inlineStr">
        <is>
          <t>midcap</t>
        </is>
      </c>
      <c r="H163" s="32" t="n">
        <v>19980.93</v>
      </c>
      <c r="I163" s="32" t="n">
        <v>1321.9</v>
      </c>
      <c r="J163" s="32" t="n">
        <v>-1.48</v>
      </c>
      <c r="K163" s="32" t="n">
        <v>755166</v>
      </c>
      <c r="L163" s="31" t="inlineStr"/>
      <c r="M163" s="31" t="inlineStr"/>
      <c r="N163" s="32">
        <f>IF(M163="Underperforming",-5,IF(L163&gt;=95,15,IF(L163&gt;=90,10,IF(L163&gt;=80,5,0))))</f>
        <v/>
      </c>
      <c r="O163" s="32" t="n">
        <v>72.45999999999999</v>
      </c>
      <c r="P163" s="32" t="n">
        <v>49.4</v>
      </c>
      <c r="Q163" s="32" t="n">
        <v>968.62</v>
      </c>
      <c r="R163" s="31" t="inlineStr">
        <is>
          <t>Volume Spike &amp; Near 52W High Breakout</t>
        </is>
      </c>
      <c r="S163" s="31" t="inlineStr">
        <is>
          <t>Nifty Energy</t>
        </is>
      </c>
      <c r="T163" s="32" t="inlineStr"/>
      <c r="U163" s="32" t="inlineStr"/>
      <c r="V163" s="32" t="inlineStr"/>
      <c r="W163" s="32" t="inlineStr"/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Oligopoly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Yes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Cyclical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Volatile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IF(B164=0,"",RANK(B164,$B$2:$B$371,0))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YASHO</t>
        </is>
      </c>
      <c r="D164" s="31" t="inlineStr">
        <is>
          <t>Yasho Industries Ltd</t>
        </is>
      </c>
      <c r="E164" s="31" t="inlineStr">
        <is>
          <t>chemicals</t>
        </is>
      </c>
      <c r="F164" s="31" t="inlineStr">
        <is>
          <t>chemicals</t>
        </is>
      </c>
      <c r="G164" s="31" t="inlineStr">
        <is>
          <t>midcap</t>
        </is>
      </c>
      <c r="H164" s="32" t="n">
        <v>5156.22</v>
      </c>
      <c r="I164" s="32" t="n">
        <v>4210</v>
      </c>
      <c r="J164" s="32" t="n">
        <v>-1.56</v>
      </c>
      <c r="K164" s="32" t="n">
        <v>49734</v>
      </c>
      <c r="L164" s="31" t="n">
        <v>98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91.79000000000001</v>
      </c>
      <c r="P164" s="32" t="n">
        <v>65.09</v>
      </c>
      <c r="Q164" s="32" t="n">
        <v>3225.63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-1.08</v>
      </c>
      <c r="U164" s="32" t="n">
        <v>141.89</v>
      </c>
      <c r="V164" s="32" t="n">
        <v>144.52</v>
      </c>
      <c r="W164" s="32" t="n">
        <v>59.9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Blue sky scenario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More than 1.2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IF(B165=0,"",RANK(B165,$B$2:$B$371,0))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RRKABEL</t>
        </is>
      </c>
      <c r="D165" s="31" t="inlineStr">
        <is>
          <t>R R Kabel Ltd</t>
        </is>
      </c>
      <c r="E165" s="31" t="inlineStr">
        <is>
          <t>industrials</t>
        </is>
      </c>
      <c r="F165" s="31" t="inlineStr">
        <is>
          <t>cables - power</t>
        </is>
      </c>
      <c r="G165" s="31" t="inlineStr">
        <is>
          <t>largecap</t>
        </is>
      </c>
      <c r="H165" s="32" t="n">
        <v>32056.36</v>
      </c>
      <c r="I165" s="32" t="n">
        <v>2785.6</v>
      </c>
      <c r="J165" s="32" t="n">
        <v>-1.71</v>
      </c>
      <c r="K165" s="32" t="n">
        <v>202776</v>
      </c>
      <c r="L165" s="31" t="inlineStr"/>
      <c r="M165" s="31" t="inlineStr"/>
      <c r="N165" s="32">
        <f>IF(M165="Underperforming",-5,IF(L165&gt;=95,15,IF(L165&gt;=90,10,IF(L165&gt;=80,5,0))))</f>
        <v/>
      </c>
      <c r="O165" s="32" t="n">
        <v>77.43000000000001</v>
      </c>
      <c r="P165" s="32" t="n">
        <v>67.23999999999999</v>
      </c>
      <c r="Q165" s="32" t="n">
        <v>2226.92</v>
      </c>
      <c r="R165" s="31" t="inlineStr">
        <is>
          <t>Near 52W High Breakout</t>
        </is>
      </c>
      <c r="S165" s="31" t="inlineStr">
        <is>
          <t>Nifty Energy</t>
        </is>
      </c>
      <c r="T165" s="32" t="inlineStr"/>
      <c r="U165" s="32" t="inlineStr"/>
      <c r="V165" s="32" t="inlineStr"/>
      <c r="W165" s="32" t="inlineStr"/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IF(B166=0,"",RANK(B166,$B$2:$B$371,0))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STLTECH</t>
        </is>
      </c>
      <c r="D166" s="31" t="inlineStr">
        <is>
          <t>Sterlite Technologies Limited</t>
        </is>
      </c>
      <c r="E166" s="31" t="inlineStr">
        <is>
          <t>industrials</t>
        </is>
      </c>
      <c r="F166" s="31" t="inlineStr">
        <is>
          <t>cables - telephone</t>
        </is>
      </c>
      <c r="G166" s="31" t="inlineStr">
        <is>
          <t>largecap</t>
        </is>
      </c>
      <c r="H166" s="32" t="n">
        <v>33958.26</v>
      </c>
      <c r="I166" s="32" t="n">
        <v>647.75</v>
      </c>
      <c r="J166" s="32" t="n">
        <v>-1.97</v>
      </c>
      <c r="K166" s="32" t="n">
        <v>1136337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74.27</v>
      </c>
      <c r="P166" s="32" t="n">
        <v>80.28</v>
      </c>
      <c r="Q166" s="32" t="n">
        <v>452.92</v>
      </c>
      <c r="R166" s="31" t="inlineStr">
        <is>
          <t>Near 52W High Breakout</t>
        </is>
      </c>
      <c r="S166" s="31" t="inlineStr">
        <is>
          <t>Nifty Infra</t>
        </is>
      </c>
      <c r="T166" s="32" t="inlineStr"/>
      <c r="U166" s="32" t="inlineStr"/>
      <c r="V166" s="32" t="inlineStr"/>
      <c r="W166" s="32" t="inlineStr"/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Above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Between 0.7 to 1.2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IF(B167=0,"",RANK(B167,$B$2:$B$371,0))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TRAVELFOOD</t>
        </is>
      </c>
      <c r="D167" s="31" t="inlineStr">
        <is>
          <t>Travel Food Services Ltd</t>
        </is>
      </c>
      <c r="E167" s="31" t="inlineStr">
        <is>
          <t>consumer discretionary</t>
        </is>
      </c>
      <c r="F167" s="31" t="inlineStr">
        <is>
          <t>hotels</t>
        </is>
      </c>
      <c r="G167" s="31" t="inlineStr">
        <is>
          <t>midcap</t>
        </is>
      </c>
      <c r="H167" s="32" t="n">
        <v>18360.07</v>
      </c>
      <c r="I167" s="32" t="n">
        <v>1364.9</v>
      </c>
      <c r="J167" s="32" t="n">
        <v>-2.11</v>
      </c>
      <c r="K167" s="32" t="n">
        <v>70685</v>
      </c>
      <c r="L167" s="31" t="n">
        <v>43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57.83</v>
      </c>
      <c r="P167" s="32" t="n">
        <v>12.93</v>
      </c>
      <c r="Q167" s="32" t="n">
        <v>1143.07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-1.08</v>
      </c>
      <c r="U167" s="32" t="n">
        <v>22.18</v>
      </c>
      <c r="V167" s="32" t="n">
        <v>23.51</v>
      </c>
      <c r="W167" s="32" t="n">
        <v>9.67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0 to 20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Less than 1.5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IF(B168=0,"",RANK(B168,$B$2:$B$371,0))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PRECWIRE</t>
        </is>
      </c>
      <c r="D168" s="31" t="inlineStr">
        <is>
          <t>Precision Wires India Limited</t>
        </is>
      </c>
      <c r="E168" s="31" t="inlineStr">
        <is>
          <t>metals &amp; mining</t>
        </is>
      </c>
      <c r="F168" s="31" t="inlineStr">
        <is>
          <t>mining / minerals / metals</t>
        </is>
      </c>
      <c r="G168" s="31" t="inlineStr">
        <is>
          <t>midcap</t>
        </is>
      </c>
      <c r="H168" s="32" t="n">
        <v>8567.299999999999</v>
      </c>
      <c r="I168" s="32" t="n">
        <v>458.35</v>
      </c>
      <c r="J168" s="32" t="n">
        <v>-2.2</v>
      </c>
      <c r="K168" s="32" t="n">
        <v>830387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66.31999999999999</v>
      </c>
      <c r="P168" s="32" t="n">
        <v>43.67</v>
      </c>
      <c r="Q168" s="32" t="n">
        <v>333.65</v>
      </c>
      <c r="R168" s="31" t="inlineStr">
        <is>
          <t>Volume Spike &amp; Near 52W High Breakout</t>
        </is>
      </c>
      <c r="S168" s="31" t="inlineStr">
        <is>
          <t>Nifty Metal</t>
        </is>
      </c>
      <c r="T168" s="32" t="inlineStr"/>
      <c r="U168" s="32" t="inlineStr"/>
      <c r="V168" s="32" t="inlineStr"/>
      <c r="W168" s="32" t="inlineStr"/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Cyclical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Volatile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Above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Yes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IF(B169=0,"",RANK(B169,$B$2:$B$371,0))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KINGFA</t>
        </is>
      </c>
      <c r="D169" s="31" t="inlineStr">
        <is>
          <t>Kingfa Science &amp; Technology (india) Limited</t>
        </is>
      </c>
      <c r="E169" s="31" t="inlineStr">
        <is>
          <t>plastic products</t>
        </is>
      </c>
      <c r="F169" s="31" t="inlineStr">
        <is>
          <t>plastics products</t>
        </is>
      </c>
      <c r="G169" s="31" t="inlineStr">
        <is>
          <t>midcap</t>
        </is>
      </c>
      <c r="H169" s="32" t="n">
        <v>8169.45</v>
      </c>
      <c r="I169" s="32" t="n">
        <v>5870</v>
      </c>
      <c r="J169" s="32" t="n">
        <v>-2.63</v>
      </c>
      <c r="K169" s="32" t="n">
        <v>27699</v>
      </c>
      <c r="L169" s="31" t="n">
        <v>52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68.31999999999999</v>
      </c>
      <c r="P169" s="32" t="n">
        <v>31.21</v>
      </c>
      <c r="Q169" s="32" t="n">
        <v>4671.11</v>
      </c>
      <c r="R169" s="31" t="inlineStr">
        <is>
          <t>Volume Spike &amp; Near 52W High Breakout</t>
        </is>
      </c>
      <c r="S169" s="31" t="inlineStr">
        <is>
          <t>Nifty 50</t>
        </is>
      </c>
      <c r="T169" s="32" t="n">
        <v>-1.08</v>
      </c>
      <c r="U169" s="32" t="n">
        <v>53.75</v>
      </c>
      <c r="V169" s="32" t="n">
        <v>55.43</v>
      </c>
      <c r="W169" s="32" t="n">
        <v>11.94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Between 1.5 to 2</t>
        </is>
      </c>
      <c r="BU169" s="31">
        <f>IF(BT169="Above 2",0,IF(BT169="Between 1.5 to 2",5,IF(BT169="Less than 1.5",10,0)))</f>
        <v/>
      </c>
      <c r="BV169" s="31" t="inlineStr">
        <is>
          <t>Less than 50%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IF(B170=0,"",RANK(B170,$B$2:$B$371,0))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CYIENTDLM</t>
        </is>
      </c>
      <c r="D170" s="31" t="inlineStr">
        <is>
          <t>Cyient DLM Ltd</t>
        </is>
      </c>
      <c r="E170" s="31" t="inlineStr">
        <is>
          <t>aerospace &amp; defence</t>
        </is>
      </c>
      <c r="F170" s="31" t="inlineStr">
        <is>
          <t>electronics - components</t>
        </is>
      </c>
      <c r="G170" s="31" t="inlineStr">
        <is>
          <t>midcap</t>
        </is>
      </c>
      <c r="H170" s="32" t="n">
        <v>5780.3</v>
      </c>
      <c r="I170" s="32" t="n">
        <v>696.65</v>
      </c>
      <c r="J170" s="32" t="n">
        <v>-4.33</v>
      </c>
      <c r="K170" s="32" t="n">
        <v>391201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84.27</v>
      </c>
      <c r="P170" s="32" t="n">
        <v>59.63</v>
      </c>
      <c r="Q170" s="32" t="n">
        <v>545.78</v>
      </c>
      <c r="R170" s="31" t="inlineStr">
        <is>
          <t>Near 52W High Breakout</t>
        </is>
      </c>
      <c r="S170" s="31" t="inlineStr">
        <is>
          <t>Nifty Infra</t>
        </is>
      </c>
      <c r="T170" s="32" t="inlineStr"/>
      <c r="U170" s="32" t="inlineStr"/>
      <c r="V170" s="32" t="inlineStr"/>
      <c r="W170" s="32" t="inlineStr"/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Above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IF(B171=0,"",RANK(B171,$B$2:$B$371,0))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3" t="inlineStr">
        <is>
          <t>VALIANTORG</t>
        </is>
      </c>
      <c r="D171" s="33" t="inlineStr">
        <is>
          <t>Valiant Organics Ltd</t>
        </is>
      </c>
      <c r="E171" s="31" t="inlineStr">
        <is>
          <t>chemicals</t>
        </is>
      </c>
      <c r="F171" s="31" t="inlineStr">
        <is>
          <t>chemicals</t>
        </is>
      </c>
      <c r="G171" s="31" t="inlineStr">
        <is>
          <t>smallcap</t>
        </is>
      </c>
      <c r="H171" s="32" t="n">
        <v>957.52</v>
      </c>
      <c r="I171" s="32" t="n">
        <v>324.5</v>
      </c>
      <c r="J171" s="32" t="n">
        <v>-4.99</v>
      </c>
      <c r="K171" s="32" t="n">
        <v>29133</v>
      </c>
      <c r="L171" s="31" t="n">
        <v>7</v>
      </c>
      <c r="M171" s="31" t="inlineStr">
        <is>
          <t>Underperforming</t>
        </is>
      </c>
      <c r="N171" s="32">
        <f>IF(M171="Underperforming",-5,IF(L171&gt;=95,15,IF(L171&gt;=90,10,IF(L171&gt;=80,5,0))))</f>
        <v/>
      </c>
      <c r="O171" s="32" t="n">
        <v>61.45</v>
      </c>
      <c r="P171" s="32" t="n">
        <v>30.44</v>
      </c>
      <c r="Q171" s="32" t="n">
        <v>233.71</v>
      </c>
      <c r="R171" s="31" t="inlineStr">
        <is>
          <t>Volume Spike / Accumulation</t>
        </is>
      </c>
      <c r="S171" s="31" t="inlineStr">
        <is>
          <t>Nifty 50</t>
        </is>
      </c>
      <c r="T171" s="32" t="n">
        <v>-1.08</v>
      </c>
      <c r="U171" s="32" t="n">
        <v>-11.95</v>
      </c>
      <c r="V171" s="32" t="n">
        <v>-10.99</v>
      </c>
      <c r="W171" s="32" t="n">
        <v>0.16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IF(B172=0,"",RANK(B172,$B$2:$B$371,0))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MANORAMA</t>
        </is>
      </c>
      <c r="D172" s="31" t="inlineStr">
        <is>
          <t>Manorama Industries Ltd</t>
        </is>
      </c>
      <c r="E172" s="31" t="inlineStr">
        <is>
          <t>fmcg</t>
        </is>
      </c>
      <c r="F172" s="31" t="inlineStr">
        <is>
          <t>food - processing - indian</t>
        </is>
      </c>
      <c r="G172" s="31" t="inlineStr">
        <is>
          <t>midcap</t>
        </is>
      </c>
      <c r="H172" s="32" t="n">
        <v>9637.549999999999</v>
      </c>
      <c r="I172" s="32" t="n">
        <v>1737.1</v>
      </c>
      <c r="J172" s="32" t="n">
        <v>7.62</v>
      </c>
      <c r="K172" s="32" t="n">
        <v>7298442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67.86</v>
      </c>
      <c r="P172" s="32" t="n">
        <v>16.14</v>
      </c>
      <c r="Q172" s="32" t="n">
        <v>1352.12</v>
      </c>
      <c r="R172" s="31" t="inlineStr">
        <is>
          <t>Volume Spike &amp; Near 52W High Breakout</t>
        </is>
      </c>
      <c r="S172" s="31" t="inlineStr">
        <is>
          <t>Nifty FMCG</t>
        </is>
      </c>
      <c r="T172" s="32" t="inlineStr"/>
      <c r="U172" s="32" t="inlineStr"/>
      <c r="V172" s="32" t="inlineStr"/>
      <c r="W172" s="32" t="inlineStr"/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B2C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Annuity, Lower One Time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Between 1.5 to 2</t>
        </is>
      </c>
      <c r="BU172" s="31">
        <f>IF(BT172="Above 2",0,IF(BT172="Between 1.5 to 2",5,IF(BT172="Less than 1.5",10,0)))</f>
        <v/>
      </c>
      <c r="BV172" s="31" t="inlineStr">
        <is>
          <t>Between 50% to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IF(B173=0,"",RANK(B173,$B$2:$B$371,0))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UNITDSPR</t>
        </is>
      </c>
      <c r="D173" s="31" t="inlineStr">
        <is>
          <t>United Spirits Ltd</t>
        </is>
      </c>
      <c r="E173" s="31" t="inlineStr">
        <is>
          <t>fmcg</t>
        </is>
      </c>
      <c r="F173" s="31" t="inlineStr">
        <is>
          <t>breweries &amp; distilleries</t>
        </is>
      </c>
      <c r="G173" s="31" t="inlineStr">
        <is>
          <t>largecap</t>
        </is>
      </c>
      <c r="H173" s="32" t="n">
        <v>110193.65</v>
      </c>
      <c r="I173" s="32" t="n">
        <v>1536</v>
      </c>
      <c r="J173" s="32" t="n">
        <v>1.39</v>
      </c>
      <c r="K173" s="32" t="n">
        <v>1190421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67.59999999999999</v>
      </c>
      <c r="P173" s="32" t="n">
        <v>21.63</v>
      </c>
      <c r="Q173" s="32" t="n">
        <v>1332.85</v>
      </c>
      <c r="R173" s="31" t="inlineStr">
        <is>
          <t>Near 52W High Breakout</t>
        </is>
      </c>
      <c r="S173" s="31" t="inlineStr">
        <is>
          <t>Nifty FMCG</t>
        </is>
      </c>
      <c r="T173" s="32" t="inlineStr"/>
      <c r="U173" s="32" t="inlineStr"/>
      <c r="V173" s="32" t="inlineStr"/>
      <c r="W173" s="32" t="inlineStr"/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B2C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IF(B174=0,"",RANK(B174,$B$2:$B$371,0))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LTFOODS</t>
        </is>
      </c>
      <c r="D174" s="31" t="inlineStr">
        <is>
          <t>L T Foods Ltd</t>
        </is>
      </c>
      <c r="E174" s="31" t="inlineStr">
        <is>
          <t>fmcg</t>
        </is>
      </c>
      <c r="F174" s="31" t="inlineStr">
        <is>
          <t>food - processing - indian</t>
        </is>
      </c>
      <c r="G174" s="31" t="inlineStr">
        <is>
          <t>midcap</t>
        </is>
      </c>
      <c r="H174" s="32" t="n">
        <v>14548.16</v>
      </c>
      <c r="I174" s="32" t="n">
        <v>419.8</v>
      </c>
      <c r="J174" s="32" t="n">
        <v>0.2</v>
      </c>
      <c r="K174" s="32" t="n">
        <v>345320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56.96</v>
      </c>
      <c r="P174" s="32" t="n">
        <v>14.68</v>
      </c>
      <c r="Q174" s="32" t="n">
        <v>348.12</v>
      </c>
      <c r="R174" s="31" t="inlineStr">
        <is>
          <t>Earnings / Momentum Support</t>
        </is>
      </c>
      <c r="S174" s="31" t="inlineStr">
        <is>
          <t>Nifty FMCG</t>
        </is>
      </c>
      <c r="T174" s="32" t="inlineStr"/>
      <c r="U174" s="32" t="inlineStr"/>
      <c r="V174" s="32" t="inlineStr"/>
      <c r="W174" s="32" t="inlineStr"/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B2C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IF(B175=0,"",RANK(B175,$B$2:$B$371,0))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PPLPHARMA</t>
        </is>
      </c>
      <c r="D175" s="33" t="inlineStr">
        <is>
          <t>Piramal Pharma Ltd</t>
        </is>
      </c>
      <c r="E175" s="31" t="inlineStr">
        <is>
          <t>healthcare</t>
        </is>
      </c>
      <c r="F175" s="31" t="inlineStr">
        <is>
          <t>pharmaceuticals - indian - bulk drugs &amp; formln</t>
        </is>
      </c>
      <c r="G175" s="31" t="inlineStr">
        <is>
          <t>largecap</t>
        </is>
      </c>
      <c r="H175" s="32" t="n">
        <v>28313.78</v>
      </c>
      <c r="I175" s="32" t="n">
        <v>206.64</v>
      </c>
      <c r="J175" s="32" t="n">
        <v>-2.84</v>
      </c>
      <c r="K175" s="32" t="n">
        <v>11440858</v>
      </c>
      <c r="L175" s="31" t="n">
        <v>28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68.8</v>
      </c>
      <c r="P175" s="32" t="n">
        <v>25.6</v>
      </c>
      <c r="Q175" s="32" t="n">
        <v>165.63</v>
      </c>
      <c r="R175" s="31" t="inlineStr">
        <is>
          <t>Near 52W High Breakout</t>
        </is>
      </c>
      <c r="S175" s="31" t="inlineStr">
        <is>
          <t>Nifty Pharma</t>
        </is>
      </c>
      <c r="T175" s="32" t="n">
        <v>19.38</v>
      </c>
      <c r="U175" s="32" t="n">
        <v>8.74</v>
      </c>
      <c r="V175" s="32" t="n">
        <v>-8.92</v>
      </c>
      <c r="W175" s="32" t="n">
        <v>5.87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IF(B176=0,"",RANK(B176,$B$2:$B$371,0))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JBCHEPHARM</t>
        </is>
      </c>
      <c r="D176" s="31" t="inlineStr">
        <is>
          <t>Jb Chemicals &amp; Pharmaceuticals Limited</t>
        </is>
      </c>
      <c r="E176" s="31" t="inlineStr">
        <is>
          <t>healthcare</t>
        </is>
      </c>
      <c r="F176" s="31" t="inlineStr">
        <is>
          <t>pharmaceuticals - indian - bulk drugs &amp; formln</t>
        </is>
      </c>
      <c r="G176" s="31" t="inlineStr">
        <is>
          <t>largecap</t>
        </is>
      </c>
      <c r="H176" s="32" t="n">
        <v>38676.99</v>
      </c>
      <c r="I176" s="32" t="n">
        <v>2408.9</v>
      </c>
      <c r="J176" s="32" t="n">
        <v>-3.87</v>
      </c>
      <c r="K176" s="32" t="n">
        <v>14337672</v>
      </c>
      <c r="L176" s="31" t="n">
        <v>52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73.05</v>
      </c>
      <c r="P176" s="32" t="n">
        <v>47.41</v>
      </c>
      <c r="Q176" s="32" t="n">
        <v>2117.28</v>
      </c>
      <c r="R176" s="31" t="inlineStr">
        <is>
          <t>Near 52W High Breakout</t>
        </is>
      </c>
      <c r="S176" s="31" t="inlineStr">
        <is>
          <t>Nifty Pharma</t>
        </is>
      </c>
      <c r="T176" s="32" t="n">
        <v>12.73</v>
      </c>
      <c r="U176" s="32" t="n">
        <v>43.13</v>
      </c>
      <c r="V176" s="32" t="n">
        <v>26.97</v>
      </c>
      <c r="W176" s="32" t="n">
        <v>11.82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Yes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Between 50% to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IF(B177=0,"",RANK(B177,$B$2:$B$371,0))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3" t="inlineStr">
        <is>
          <t>MOTISONS</t>
        </is>
      </c>
      <c r="D177" s="33" t="inlineStr">
        <is>
          <t>Motisons Jewellers Ltd</t>
        </is>
      </c>
      <c r="E177" s="31" t="inlineStr">
        <is>
          <t>consumer discretionary</t>
        </is>
      </c>
      <c r="F177" s="31" t="inlineStr">
        <is>
          <t>diamond cutting / jewellery</t>
        </is>
      </c>
      <c r="G177" s="31" t="inlineStr">
        <is>
          <t>smallcap</t>
        </is>
      </c>
      <c r="H177" s="32" t="n">
        <v>1663.03</v>
      </c>
      <c r="I177" s="32" t="n">
        <v>16.75</v>
      </c>
      <c r="J177" s="32" t="n">
        <v>14.57</v>
      </c>
      <c r="K177" s="32" t="n">
        <v>410441404</v>
      </c>
      <c r="L177" s="31" t="n">
        <v>42</v>
      </c>
      <c r="M177" s="31" t="inlineStr">
        <is>
          <t>Underperforming</t>
        </is>
      </c>
      <c r="N177" s="32">
        <f>IF(M177="Underperforming",-5,IF(L177&gt;=95,15,IF(L177&gt;=90,10,IF(L177&gt;=80,5,0))))</f>
        <v/>
      </c>
      <c r="O177" s="32" t="n">
        <v>63.16</v>
      </c>
      <c r="P177" s="32" t="n">
        <v>19.29</v>
      </c>
      <c r="Q177" s="32" t="n">
        <v>11.6</v>
      </c>
      <c r="R177" s="31" t="inlineStr">
        <is>
          <t>Volume Spike / Accumulation</t>
        </is>
      </c>
      <c r="S177" s="31" t="inlineStr">
        <is>
          <t>Nifty 50</t>
        </is>
      </c>
      <c r="T177" s="32" t="n">
        <v>-1.08</v>
      </c>
      <c r="U177" s="32" t="n">
        <v>-8.17</v>
      </c>
      <c r="V177" s="32" t="n">
        <v>-7.17</v>
      </c>
      <c r="W177" s="32" t="n">
        <v>9.119999999999999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IF(B178=0,"",RANK(B178,$B$2:$B$371,0))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HONASA</t>
        </is>
      </c>
      <c r="D178" s="31" t="inlineStr">
        <is>
          <t>Honasa Consumer Ltd</t>
        </is>
      </c>
      <c r="E178" s="31" t="inlineStr">
        <is>
          <t>services</t>
        </is>
      </c>
      <c r="F178" s="31" t="inlineStr">
        <is>
          <t>trading</t>
        </is>
      </c>
      <c r="G178" s="31" t="inlineStr">
        <is>
          <t>midcap</t>
        </is>
      </c>
      <c r="H178" s="32" t="n">
        <v>15631.23</v>
      </c>
      <c r="I178" s="32" t="n">
        <v>502.8</v>
      </c>
      <c r="J178" s="32" t="n">
        <v>4.87</v>
      </c>
      <c r="K178" s="32" t="n">
        <v>22425106</v>
      </c>
      <c r="L178" s="31" t="n">
        <v>76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78.87</v>
      </c>
      <c r="P178" s="32" t="n">
        <v>58.18</v>
      </c>
      <c r="Q178" s="32" t="n">
        <v>411.34</v>
      </c>
      <c r="R178" s="31" t="inlineStr">
        <is>
          <t>Volume Spike &amp; Near 52W High Breakout</t>
        </is>
      </c>
      <c r="S178" s="31" t="inlineStr">
        <is>
          <t>Nifty 50</t>
        </is>
      </c>
      <c r="T178" s="32" t="n">
        <v>-1.08</v>
      </c>
      <c r="U178" s="32" t="n">
        <v>79.89</v>
      </c>
      <c r="V178" s="32" t="n">
        <v>81.84999999999999</v>
      </c>
      <c r="W178" s="32" t="n">
        <v>21.84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Above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Yes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Between 50% to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IF(B179=0,"",RANK(B179,$B$2:$B$371,0))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MANINDS</t>
        </is>
      </c>
      <c r="D179" s="31" t="inlineStr">
        <is>
          <t>Man Industries (india) Limited</t>
        </is>
      </c>
      <c r="E179" s="31" t="inlineStr">
        <is>
          <t>metals &amp; mining</t>
        </is>
      </c>
      <c r="F179" s="31" t="inlineStr">
        <is>
          <t>steel - medium / small</t>
        </is>
      </c>
      <c r="G179" s="31" t="inlineStr">
        <is>
          <t>smallcap</t>
        </is>
      </c>
      <c r="H179" s="32" t="n">
        <v>4321.68</v>
      </c>
      <c r="I179" s="32" t="n">
        <v>599.45</v>
      </c>
      <c r="J179" s="32" t="n">
        <v>4.04</v>
      </c>
      <c r="K179" s="32" t="n">
        <v>1277039</v>
      </c>
      <c r="L179" s="31" t="inlineStr"/>
      <c r="M179" s="31" t="inlineStr"/>
      <c r="N179" s="32">
        <f>IF(M179="Underperforming",-5,IF(L179&gt;=95,15,IF(L179&gt;=90,10,IF(L179&gt;=80,5,0))))</f>
        <v/>
      </c>
      <c r="O179" s="32" t="n">
        <v>62.78</v>
      </c>
      <c r="P179" s="32" t="n">
        <v>28.3</v>
      </c>
      <c r="Q179" s="32" t="n">
        <v>437.01</v>
      </c>
      <c r="R179" s="31" t="inlineStr">
        <is>
          <t>Volume Spike &amp; Near 52W High Breakout</t>
        </is>
      </c>
      <c r="S179" s="31" t="inlineStr">
        <is>
          <t>Nifty Metal</t>
        </is>
      </c>
      <c r="T179" s="32" t="inlineStr"/>
      <c r="U179" s="32" t="inlineStr"/>
      <c r="V179" s="32" t="inlineStr"/>
      <c r="W179" s="32" t="inlineStr"/>
      <c r="X179" s="31" t="inlineStr">
        <is>
          <t>Cyclical in an Upturn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Cyclical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Volatile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Less than 1.5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IF(B180=0,"",RANK(B180,$B$2:$B$371,0))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GANESHBE</t>
        </is>
      </c>
      <c r="D180" s="31" t="inlineStr">
        <is>
          <t>Ganesh Benzoplast Ltd</t>
        </is>
      </c>
      <c r="E180" s="31" t="inlineStr">
        <is>
          <t>miscellaneous</t>
        </is>
      </c>
      <c r="F180" s="31" t="inlineStr">
        <is>
          <t>miscellaneous</t>
        </is>
      </c>
      <c r="G180" s="31" t="inlineStr">
        <is>
          <t>smallcap</t>
        </is>
      </c>
      <c r="H180" s="32" t="n">
        <v>817.3</v>
      </c>
      <c r="I180" s="32" t="n">
        <v>118</v>
      </c>
      <c r="J180" s="32" t="n">
        <v>3.94</v>
      </c>
      <c r="K180" s="32" t="n">
        <v>104225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64.88</v>
      </c>
      <c r="P180" s="32" t="n">
        <v>29.62</v>
      </c>
      <c r="Q180" s="32" t="n">
        <v>86.63</v>
      </c>
      <c r="R180" s="31" t="inlineStr">
        <is>
          <t>Near 52W High Breakout</t>
        </is>
      </c>
      <c r="S180" s="31" t="inlineStr">
        <is>
          <t>Nifty Energy</t>
        </is>
      </c>
      <c r="T180" s="32" t="inlineStr"/>
      <c r="U180" s="32" t="inlineStr"/>
      <c r="V180" s="32" t="inlineStr"/>
      <c r="W180" s="32" t="inlineStr"/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IF(B181=0,"",RANK(B181,$B$2:$B$371,0))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3" t="inlineStr">
        <is>
          <t>COSMOFIRST</t>
        </is>
      </c>
      <c r="D181" s="33" t="inlineStr">
        <is>
          <t>Cosmo First Ltd</t>
        </is>
      </c>
      <c r="E181" s="31" t="inlineStr">
        <is>
          <t>industrials</t>
        </is>
      </c>
      <c r="F181" s="31" t="inlineStr">
        <is>
          <t>packaging</t>
        </is>
      </c>
      <c r="G181" s="31" t="inlineStr">
        <is>
          <t>smallcap</t>
        </is>
      </c>
      <c r="H181" s="32" t="n">
        <v>2397.39</v>
      </c>
      <c r="I181" s="32" t="n">
        <v>938.35</v>
      </c>
      <c r="J181" s="32" t="n">
        <v>2.74</v>
      </c>
      <c r="K181" s="32" t="n">
        <v>153451</v>
      </c>
      <c r="L181" s="31" t="n">
        <v>19</v>
      </c>
      <c r="M181" s="31" t="inlineStr">
        <is>
          <t>Underperforming</t>
        </is>
      </c>
      <c r="N181" s="32">
        <f>IF(M181="Underperforming",-5,IF(L181&gt;=95,15,IF(L181&gt;=90,10,IF(L181&gt;=80,5,0))))</f>
        <v/>
      </c>
      <c r="O181" s="32" t="n">
        <v>68.45999999999999</v>
      </c>
      <c r="P181" s="32" t="n">
        <v>43.19</v>
      </c>
      <c r="Q181" s="32" t="n">
        <v>723.23</v>
      </c>
      <c r="R181" s="31" t="inlineStr">
        <is>
          <t>Earnings / Momentum Support</t>
        </is>
      </c>
      <c r="S181" s="31" t="inlineStr">
        <is>
          <t>Nifty 50</t>
        </is>
      </c>
      <c r="T181" s="32" t="n">
        <v>-1.08</v>
      </c>
      <c r="U181" s="32" t="n">
        <v>-7.3</v>
      </c>
      <c r="V181" s="32" t="n">
        <v>-6.3</v>
      </c>
      <c r="W181" s="32" t="n">
        <v>4.43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No</t>
        </is>
      </c>
      <c r="BS181" s="31">
        <f>IF(BR181="NO",5,0)</f>
        <v/>
      </c>
      <c r="BT181" s="31" t="inlineStr">
        <is>
          <t>Less than 1.5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Between 0.7 to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IF(B182=0,"",RANK(B182,$B$2:$B$371,0))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THEJO</t>
        </is>
      </c>
      <c r="D182" s="31" t="inlineStr">
        <is>
          <t>Thejo Engineering Ltd</t>
        </is>
      </c>
      <c r="E182" s="31" t="inlineStr">
        <is>
          <t>industrials</t>
        </is>
      </c>
      <c r="F182" s="31" t="inlineStr">
        <is>
          <t>engineering</t>
        </is>
      </c>
      <c r="G182" s="31" t="inlineStr">
        <is>
          <t>smallcap</t>
        </is>
      </c>
      <c r="H182" s="32" t="n">
        <v>2248.25</v>
      </c>
      <c r="I182" s="32" t="n">
        <v>2099</v>
      </c>
      <c r="J182" s="32" t="n">
        <v>1.27</v>
      </c>
      <c r="K182" s="32" t="n">
        <v>4614</v>
      </c>
      <c r="L182" s="31" t="n">
        <v>32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63.5</v>
      </c>
      <c r="P182" s="32" t="n">
        <v>25</v>
      </c>
      <c r="Q182" s="32" t="n">
        <v>1744.83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-1.08</v>
      </c>
      <c r="U182" s="32" t="n">
        <v>11.47</v>
      </c>
      <c r="V182" s="32" t="n">
        <v>12.68</v>
      </c>
      <c r="W182" s="32" t="n">
        <v>7.16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IF(B183=0,"",RANK(B183,$B$2:$B$371,0))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BEPL</t>
        </is>
      </c>
      <c r="D183" s="31" t="inlineStr">
        <is>
          <t>Bhansali Engineering Polymers Limited</t>
        </is>
      </c>
      <c r="E183" s="31" t="inlineStr">
        <is>
          <t>energy</t>
        </is>
      </c>
      <c r="F183" s="31" t="inlineStr">
        <is>
          <t>petrochemicals</t>
        </is>
      </c>
      <c r="G183" s="31" t="inlineStr">
        <is>
          <t>smallcap</t>
        </is>
      </c>
      <c r="H183" s="32" t="n">
        <v>3043.54</v>
      </c>
      <c r="I183" s="32" t="n">
        <v>123.69</v>
      </c>
      <c r="J183" s="32" t="n">
        <v>1.14</v>
      </c>
      <c r="K183" s="32" t="n">
        <v>742789</v>
      </c>
      <c r="L183" s="31" t="inlineStr"/>
      <c r="M183" s="31" t="inlineStr"/>
      <c r="N183" s="32">
        <f>IF(M183="Underperforming",-5,IF(L183&gt;=95,15,IF(L183&gt;=90,10,IF(L183&gt;=80,5,0))))</f>
        <v/>
      </c>
      <c r="O183" s="32" t="n">
        <v>68.73999999999999</v>
      </c>
      <c r="P183" s="32" t="n">
        <v>47.1</v>
      </c>
      <c r="Q183" s="32" t="n">
        <v>95.79000000000001</v>
      </c>
      <c r="R183" s="31" t="inlineStr">
        <is>
          <t>Near 52W High Breakout</t>
        </is>
      </c>
      <c r="S183" s="31" t="inlineStr">
        <is>
          <t>Nifty Energy</t>
        </is>
      </c>
      <c r="T183" s="32" t="inlineStr"/>
      <c r="U183" s="32" t="inlineStr"/>
      <c r="V183" s="32" t="inlineStr"/>
      <c r="W183" s="32" t="inlineStr"/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Oligopoly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Yes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Cyclical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Volatile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IF(B184=0,"",RANK(B184,$B$2:$B$371,0))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MUNJALAU</t>
        </is>
      </c>
      <c r="D184" s="31" t="inlineStr">
        <is>
          <t>Munjal Auto Industries Limited</t>
        </is>
      </c>
      <c r="E184" s="31" t="inlineStr">
        <is>
          <t>auto</t>
        </is>
      </c>
      <c r="F184" s="31" t="inlineStr">
        <is>
          <t>auto ancillaries</t>
        </is>
      </c>
      <c r="G184" s="31" t="inlineStr">
        <is>
          <t>smallcap</t>
        </is>
      </c>
      <c r="H184" s="32" t="n">
        <v>1193.7</v>
      </c>
      <c r="I184" s="32" t="n">
        <v>120.53</v>
      </c>
      <c r="J184" s="32" t="n">
        <v>0.97</v>
      </c>
      <c r="K184" s="32" t="n">
        <v>24017645</v>
      </c>
      <c r="L184" s="31" t="inlineStr"/>
      <c r="M184" s="31" t="inlineStr"/>
      <c r="N184" s="32">
        <f>IF(M184="Underperforming",-5,IF(L184&gt;=95,15,IF(L184&gt;=90,10,IF(L184&gt;=80,5,0))))</f>
        <v/>
      </c>
      <c r="O184" s="32" t="n">
        <v>76.51000000000001</v>
      </c>
      <c r="P184" s="32" t="n">
        <v>46.28</v>
      </c>
      <c r="Q184" s="32" t="n">
        <v>90.66</v>
      </c>
      <c r="R184" s="31" t="inlineStr">
        <is>
          <t>Volume Spike &amp; Near 52W High Breakout</t>
        </is>
      </c>
      <c r="S184" s="31" t="inlineStr">
        <is>
          <t>Nifty Auto</t>
        </is>
      </c>
      <c r="T184" s="32" t="inlineStr"/>
      <c r="U184" s="32" t="inlineStr"/>
      <c r="V184" s="32" t="inlineStr"/>
      <c r="W184" s="32" t="inlineStr"/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Between 0.7 to 1.2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IF(B185=0,"",RANK(B185,$B$2:$B$371,0))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KMEW</t>
        </is>
      </c>
      <c r="D185" s="31" t="inlineStr">
        <is>
          <t>Knowledge Marine &amp; Engineering Works Ltd</t>
        </is>
      </c>
      <c r="E185" s="31" t="inlineStr">
        <is>
          <t>transportation</t>
        </is>
      </c>
      <c r="F185" s="31" t="inlineStr">
        <is>
          <t>miscellaneous</t>
        </is>
      </c>
      <c r="G185" s="31" t="inlineStr">
        <is>
          <t>midcap</t>
        </is>
      </c>
      <c r="H185" s="32" t="n">
        <v>6623.86</v>
      </c>
      <c r="I185" s="32" t="n">
        <v>2730.8</v>
      </c>
      <c r="J185" s="32" t="n">
        <v>0.78</v>
      </c>
      <c r="K185" s="32" t="n">
        <v>159236</v>
      </c>
      <c r="L185" s="31" t="n">
        <v>91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77.16</v>
      </c>
      <c r="P185" s="32" t="n">
        <v>50.51</v>
      </c>
      <c r="Q185" s="32" t="n">
        <v>2004.24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-1.08</v>
      </c>
      <c r="U185" s="32" t="n">
        <v>227.22</v>
      </c>
      <c r="V185" s="32" t="n">
        <v>230.78</v>
      </c>
      <c r="W185" s="32" t="n">
        <v>35.93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Above 40</t>
        </is>
      </c>
      <c r="AY185" s="31">
        <f>IF(AX185="Above 40",20,IF(AX185="20 to 40",10,IF(AX185="0 to 20",-5,0)))</f>
        <v/>
      </c>
      <c r="AZ185" s="31" t="inlineStr">
        <is>
          <t>Above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Negative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IF(B186=0,"",RANK(B186,$B$2:$B$371,0))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BOSCHLTD</t>
        </is>
      </c>
      <c r="D186" s="31" t="inlineStr">
        <is>
          <t>Bosch Limited</t>
        </is>
      </c>
      <c r="E186" s="31" t="inlineStr">
        <is>
          <t>auto</t>
        </is>
      </c>
      <c r="F186" s="31" t="inlineStr">
        <is>
          <t>auto ancillaries</t>
        </is>
      </c>
      <c r="G186" s="31" t="inlineStr">
        <is>
          <t>largecap</t>
        </is>
      </c>
      <c r="H186" s="32" t="n">
        <v>137894.27</v>
      </c>
      <c r="I186" s="32" t="n">
        <v>47100</v>
      </c>
      <c r="J186" s="32" t="n">
        <v>0.75</v>
      </c>
      <c r="K186" s="32" t="n">
        <v>66782</v>
      </c>
      <c r="L186" s="31" t="inlineStr"/>
      <c r="M186" s="31" t="inlineStr"/>
      <c r="N186" s="32">
        <f>IF(M186="Underperforming",-5,IF(L186&gt;=95,15,IF(L186&gt;=90,10,IF(L186&gt;=80,5,0))))</f>
        <v/>
      </c>
      <c r="O186" s="32" t="n">
        <v>74.38</v>
      </c>
      <c r="P186" s="32" t="n">
        <v>30.58</v>
      </c>
      <c r="Q186" s="32" t="n">
        <v>39882.83</v>
      </c>
      <c r="R186" s="31" t="inlineStr">
        <is>
          <t>Volume Spike &amp; Near 52W High Breakout</t>
        </is>
      </c>
      <c r="S186" s="31" t="inlineStr">
        <is>
          <t>Nifty Auto</t>
        </is>
      </c>
      <c r="T186" s="32" t="inlineStr"/>
      <c r="U186" s="32" t="inlineStr"/>
      <c r="V186" s="32" t="inlineStr"/>
      <c r="W186" s="32" t="inlineStr"/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Yes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IF(B187=0,"",RANK(B187,$B$2:$B$371,0))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MACPOWER</t>
        </is>
      </c>
      <c r="D187" s="31" t="inlineStr">
        <is>
          <t>Macpower CNC Machines Ltd</t>
        </is>
      </c>
      <c r="E187" s="31" t="inlineStr">
        <is>
          <t>industrials</t>
        </is>
      </c>
      <c r="F187" s="31" t="inlineStr">
        <is>
          <t>engineering</t>
        </is>
      </c>
      <c r="G187" s="31" t="inlineStr">
        <is>
          <t>smallcap</t>
        </is>
      </c>
      <c r="H187" s="32" t="n">
        <v>1747.03</v>
      </c>
      <c r="I187" s="32" t="n">
        <v>1749.3</v>
      </c>
      <c r="J187" s="32" t="n">
        <v>0.17</v>
      </c>
      <c r="K187" s="32" t="n">
        <v>18031</v>
      </c>
      <c r="L187" s="31" t="n">
        <v>88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75.06999999999999</v>
      </c>
      <c r="P187" s="32" t="n">
        <v>31.31</v>
      </c>
      <c r="Q187" s="32" t="n">
        <v>1256.16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-1.08</v>
      </c>
      <c r="U187" s="32" t="n">
        <v>105.45</v>
      </c>
      <c r="V187" s="32" t="n">
        <v>107.68</v>
      </c>
      <c r="W187" s="32" t="n">
        <v>29.62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20 to 40</t>
        </is>
      </c>
      <c r="AY187" s="31">
        <f>IF(AX187="Above 40",20,IF(AX187="20 to 40",10,IF(AX187="0 to 20",-5,0)))</f>
        <v/>
      </c>
      <c r="AZ187" s="31" t="inlineStr">
        <is>
          <t>Above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Blue sky scenario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IF(B188=0,"",RANK(B188,$B$2:$B$371,0))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VISAKAIND</t>
        </is>
      </c>
      <c r="D188" s="31" t="inlineStr">
        <is>
          <t>Visaka Industries Limited</t>
        </is>
      </c>
      <c r="E188" s="31" t="inlineStr">
        <is>
          <t>building materials</t>
        </is>
      </c>
      <c r="F188" s="31" t="inlineStr">
        <is>
          <t>cement products</t>
        </is>
      </c>
      <c r="G188" s="31" t="inlineStr">
        <is>
          <t>smallcap</t>
        </is>
      </c>
      <c r="H188" s="32" t="n">
        <v>825.25</v>
      </c>
      <c r="I188" s="32" t="n">
        <v>95.45999999999999</v>
      </c>
      <c r="J188" s="32" t="n">
        <v>-0.05</v>
      </c>
      <c r="K188" s="32" t="n">
        <v>233915</v>
      </c>
      <c r="L188" s="31" t="inlineStr"/>
      <c r="M188" s="31" t="inlineStr"/>
      <c r="N188" s="32">
        <f>IF(M188="Underperforming",-5,IF(L188&gt;=95,15,IF(L188&gt;=90,10,IF(L188&gt;=80,5,0))))</f>
        <v/>
      </c>
      <c r="O188" s="32" t="n">
        <v>75.28</v>
      </c>
      <c r="P188" s="32" t="n">
        <v>41.41</v>
      </c>
      <c r="Q188" s="32" t="n">
        <v>76.28</v>
      </c>
      <c r="R188" s="31" t="inlineStr">
        <is>
          <t>Volume Spike &amp; Near 52W High Breakout</t>
        </is>
      </c>
      <c r="S188" s="31" t="inlineStr">
        <is>
          <t>Nifty Infra</t>
        </is>
      </c>
      <c r="T188" s="32" t="inlineStr"/>
      <c r="U188" s="32" t="inlineStr"/>
      <c r="V188" s="32" t="inlineStr"/>
      <c r="W188" s="32" t="inlineStr"/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Less than 12%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IF(B189=0,"",RANK(B189,$B$2:$B$371,0))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TITAN</t>
        </is>
      </c>
      <c r="D189" s="31" t="inlineStr">
        <is>
          <t>Titan Company Limited</t>
        </is>
      </c>
      <c r="E189" s="31" t="inlineStr">
        <is>
          <t>consumer discretionary</t>
        </is>
      </c>
      <c r="F189" s="31" t="inlineStr">
        <is>
          <t>diamond cutting / jewellery</t>
        </is>
      </c>
      <c r="G189" s="31" t="inlineStr">
        <is>
          <t>largecap</t>
        </is>
      </c>
      <c r="H189" s="32" t="n">
        <v>449548.28</v>
      </c>
      <c r="I189" s="32" t="n">
        <v>5056.2</v>
      </c>
      <c r="J189" s="32" t="n">
        <v>-0.15</v>
      </c>
      <c r="K189" s="32" t="n">
        <v>1143523</v>
      </c>
      <c r="L189" s="31" t="n">
        <v>54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71.7</v>
      </c>
      <c r="P189" s="32" t="n">
        <v>23.84</v>
      </c>
      <c r="Q189" s="32" t="n">
        <v>4411.63</v>
      </c>
      <c r="R189" s="31" t="inlineStr">
        <is>
          <t>Volume Spike &amp; Near 52W High Breakout</t>
        </is>
      </c>
      <c r="S189" s="31" t="inlineStr">
        <is>
          <t>Nifty 50</t>
        </is>
      </c>
      <c r="T189" s="32" t="n">
        <v>-1.08</v>
      </c>
      <c r="U189" s="32" t="n">
        <v>45.38</v>
      </c>
      <c r="V189" s="32" t="n">
        <v>46.96</v>
      </c>
      <c r="W189" s="32" t="n">
        <v>12.4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20 to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More than 1.2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IF(B190=0,"",RANK(B190,$B$2:$B$371,0))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ARE&amp;M</t>
        </is>
      </c>
      <c r="D190" s="31" t="inlineStr">
        <is>
          <t>Amara Raja Energy &amp; Mobility Ltd</t>
        </is>
      </c>
      <c r="E190" s="31" t="inlineStr">
        <is>
          <t>auto</t>
        </is>
      </c>
      <c r="F190" s="31" t="inlineStr">
        <is>
          <t>auto ancillaries</t>
        </is>
      </c>
      <c r="G190" s="31" t="inlineStr">
        <is>
          <t>midcap</t>
        </is>
      </c>
      <c r="H190" s="32" t="n">
        <v>17365.45</v>
      </c>
      <c r="I190" s="32" t="n">
        <v>945.95</v>
      </c>
      <c r="J190" s="32" t="n">
        <v>-0.3</v>
      </c>
      <c r="K190" s="32" t="n">
        <v>491377</v>
      </c>
      <c r="L190" s="31" t="inlineStr"/>
      <c r="M190" s="31" t="inlineStr"/>
      <c r="N190" s="32">
        <f>IF(M190="Underperforming",-5,IF(L190&gt;=95,15,IF(L190&gt;=90,10,IF(L190&gt;=80,5,0))))</f>
        <v/>
      </c>
      <c r="O190" s="32" t="n">
        <v>60.86</v>
      </c>
      <c r="P190" s="32" t="n">
        <v>14.72</v>
      </c>
      <c r="Q190" s="32" t="n">
        <v>762.49</v>
      </c>
      <c r="R190" s="31" t="inlineStr">
        <is>
          <t>Volume Spike / Accumulation</t>
        </is>
      </c>
      <c r="S190" s="31" t="inlineStr">
        <is>
          <t>Nifty Auto</t>
        </is>
      </c>
      <c r="T190" s="32" t="inlineStr"/>
      <c r="U190" s="32" t="inlineStr"/>
      <c r="V190" s="32" t="inlineStr"/>
      <c r="W190" s="32" t="inlineStr"/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0 to 20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Between 12 to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IF(B191=0,"",RANK(B191,$B$2:$B$371,0))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BERGEPAINT</t>
        </is>
      </c>
      <c r="D191" s="31" t="inlineStr">
        <is>
          <t>Berger Paints (i) Limited</t>
        </is>
      </c>
      <c r="E191" s="31" t="inlineStr">
        <is>
          <t>building materials</t>
        </is>
      </c>
      <c r="F191" s="31" t="inlineStr">
        <is>
          <t>paints / varnishes</t>
        </is>
      </c>
      <c r="G191" s="31" t="inlineStr">
        <is>
          <t>largecap</t>
        </is>
      </c>
      <c r="H191" s="32" t="n">
        <v>63704.56</v>
      </c>
      <c r="I191" s="32" t="n">
        <v>544.4</v>
      </c>
      <c r="J191" s="32" t="n">
        <v>-0.36</v>
      </c>
      <c r="K191" s="32" t="n">
        <v>891866</v>
      </c>
      <c r="L191" s="31" t="inlineStr"/>
      <c r="M191" s="31" t="inlineStr"/>
      <c r="N191" s="32">
        <f>IF(M191="Underperforming",-5,IF(L191&gt;=95,15,IF(L191&gt;=90,10,IF(L191&gt;=80,5,0))))</f>
        <v/>
      </c>
      <c r="O191" s="32" t="n">
        <v>60.53</v>
      </c>
      <c r="P191" s="32" t="n">
        <v>20.3</v>
      </c>
      <c r="Q191" s="32" t="n">
        <v>445.43</v>
      </c>
      <c r="R191" s="31" t="inlineStr">
        <is>
          <t>Earnings / Momentum Support</t>
        </is>
      </c>
      <c r="S191" s="31" t="inlineStr">
        <is>
          <t>Nifty Infra</t>
        </is>
      </c>
      <c r="T191" s="32" t="inlineStr"/>
      <c r="U191" s="32" t="inlineStr"/>
      <c r="V191" s="32" t="inlineStr"/>
      <c r="W191" s="32" t="inlineStr"/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Yes</t>
        </is>
      </c>
      <c r="BS191" s="31">
        <f>IF(BR191="NO",5,0)</f>
        <v/>
      </c>
      <c r="BT191" s="31" t="inlineStr">
        <is>
          <t>Between 1.5 to 2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IF(B192=0,"",RANK(B192,$B$2:$B$371,0))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1" t="inlineStr">
        <is>
          <t>AARTIIND</t>
        </is>
      </c>
      <c r="D192" s="31" t="inlineStr">
        <is>
          <t>Aarti Industries Limited</t>
        </is>
      </c>
      <c r="E192" s="31" t="inlineStr">
        <is>
          <t>chemicals</t>
        </is>
      </c>
      <c r="F192" s="31" t="inlineStr">
        <is>
          <t>chemicals</t>
        </is>
      </c>
      <c r="G192" s="31" t="inlineStr">
        <is>
          <t>midcap</t>
        </is>
      </c>
      <c r="H192" s="32" t="n">
        <v>19521.95</v>
      </c>
      <c r="I192" s="32" t="n">
        <v>534.1</v>
      </c>
      <c r="J192" s="32" t="n">
        <v>-0.76</v>
      </c>
      <c r="K192" s="32" t="n">
        <v>2578695</v>
      </c>
      <c r="L192" s="31" t="n">
        <v>46</v>
      </c>
      <c r="M192" s="31" t="inlineStr">
        <is>
          <t>Outperforming</t>
        </is>
      </c>
      <c r="N192" s="32">
        <f>IF(M192="Underperforming",-5,IF(L192&gt;=95,15,IF(L192&gt;=90,10,IF(L192&gt;=80,5,0))))</f>
        <v/>
      </c>
      <c r="O192" s="32" t="n">
        <v>66.22</v>
      </c>
      <c r="P192" s="32" t="n">
        <v>22.96</v>
      </c>
      <c r="Q192" s="32" t="n">
        <v>424.93</v>
      </c>
      <c r="R192" s="31" t="inlineStr">
        <is>
          <t>Volume Spike &amp; Near 52W High Breakout</t>
        </is>
      </c>
      <c r="S192" s="31" t="inlineStr">
        <is>
          <t>Nifty 50</t>
        </is>
      </c>
      <c r="T192" s="32" t="n">
        <v>-1.08</v>
      </c>
      <c r="U192" s="32" t="n">
        <v>42.39</v>
      </c>
      <c r="V192" s="32" t="n">
        <v>43.94</v>
      </c>
      <c r="W192" s="32" t="n">
        <v>10.38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Between 0.7 to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IF(B193=0,"",RANK(B193,$B$2:$B$371,0))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SIEMENS</t>
        </is>
      </c>
      <c r="D193" s="31" t="inlineStr">
        <is>
          <t>Siemens Limited</t>
        </is>
      </c>
      <c r="E193" s="31" t="inlineStr">
        <is>
          <t>industrials</t>
        </is>
      </c>
      <c r="F193" s="31" t="inlineStr">
        <is>
          <t>electric equipment</t>
        </is>
      </c>
      <c r="G193" s="31" t="inlineStr">
        <is>
          <t>largecap</t>
        </is>
      </c>
      <c r="H193" s="32" t="n">
        <v>141985.25</v>
      </c>
      <c r="I193" s="32" t="n">
        <v>3940</v>
      </c>
      <c r="J193" s="32" t="n">
        <v>-1.18</v>
      </c>
      <c r="K193" s="32" t="n">
        <v>597471</v>
      </c>
      <c r="L193" s="31" t="n">
        <v>32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63.38</v>
      </c>
      <c r="P193" s="32" t="n">
        <v>23.43</v>
      </c>
      <c r="Q193" s="32" t="n">
        <v>3210.65</v>
      </c>
      <c r="R193" s="31" t="inlineStr">
        <is>
          <t>Near 52W High Breakout</t>
        </is>
      </c>
      <c r="S193" s="31" t="inlineStr">
        <is>
          <t>Nifty 50</t>
        </is>
      </c>
      <c r="T193" s="32" t="n">
        <v>-1.08</v>
      </c>
      <c r="U193" s="32" t="n">
        <v>24.94</v>
      </c>
      <c r="V193" s="32" t="n">
        <v>26.3</v>
      </c>
      <c r="W193" s="32" t="n">
        <v>6.84</v>
      </c>
      <c r="X193" s="31" t="inlineStr">
        <is>
          <t>Cyclical in an Upturn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Yes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IF(B194=0,"",RANK(B194,$B$2:$B$371,0))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VRLLOG</t>
        </is>
      </c>
      <c r="D194" s="31" t="inlineStr">
        <is>
          <t>Vrl Logistics Limited</t>
        </is>
      </c>
      <c r="E194" s="31" t="inlineStr">
        <is>
          <t>transportation</t>
        </is>
      </c>
      <c r="F194" s="31" t="inlineStr">
        <is>
          <t>miscellaneous</t>
        </is>
      </c>
      <c r="G194" s="31" t="inlineStr">
        <is>
          <t>midcap</t>
        </is>
      </c>
      <c r="H194" s="32" t="n">
        <v>5276.97</v>
      </c>
      <c r="I194" s="32" t="n">
        <v>296.3</v>
      </c>
      <c r="J194" s="32" t="n">
        <v>-1.77</v>
      </c>
      <c r="K194" s="32" t="n">
        <v>137126</v>
      </c>
      <c r="L194" s="31" t="n">
        <v>29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66.81999999999999</v>
      </c>
      <c r="P194" s="32" t="n">
        <v>13.17</v>
      </c>
      <c r="Q194" s="32" t="n">
        <v>240.96</v>
      </c>
      <c r="R194" s="31" t="inlineStr">
        <is>
          <t>Volume Spike &amp; Near 52W High Breakout</t>
        </is>
      </c>
      <c r="S194" s="31" t="inlineStr">
        <is>
          <t>Nifty 50</t>
        </is>
      </c>
      <c r="T194" s="32" t="n">
        <v>-1.08</v>
      </c>
      <c r="U194" s="32" t="n">
        <v>7.51</v>
      </c>
      <c r="V194" s="32" t="n">
        <v>8.68</v>
      </c>
      <c r="W194" s="32" t="n">
        <v>5.95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Blue sky scenario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Less than 1.5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IF(B195=0,"",RANK(B195,$B$2:$B$371,0))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NELCO</t>
        </is>
      </c>
      <c r="D195" s="31" t="inlineStr">
        <is>
          <t>Nelco Limited</t>
        </is>
      </c>
      <c r="E195" s="31" t="inlineStr">
        <is>
          <t>telecom</t>
        </is>
      </c>
      <c r="F195" s="31" t="inlineStr">
        <is>
          <t>telecommunications - service provider</t>
        </is>
      </c>
      <c r="G195" s="31" t="inlineStr">
        <is>
          <t>smallcap</t>
        </is>
      </c>
      <c r="H195" s="32" t="n">
        <v>2390.23</v>
      </c>
      <c r="I195" s="32" t="n">
        <v>1024.6</v>
      </c>
      <c r="J195" s="32" t="n">
        <v>-2.19</v>
      </c>
      <c r="K195" s="32" t="n">
        <v>409461</v>
      </c>
      <c r="L195" s="31" t="n">
        <v>66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66.45</v>
      </c>
      <c r="P195" s="32" t="n">
        <v>32.49</v>
      </c>
      <c r="Q195" s="32" t="n">
        <v>767.59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-1.08</v>
      </c>
      <c r="U195" s="32" t="n">
        <v>20.95</v>
      </c>
      <c r="V195" s="32" t="n">
        <v>22.27</v>
      </c>
      <c r="W195" s="32" t="n">
        <v>17.23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Oligopoly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Yes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IF(B196=0,"",RANK(B196,$B$2:$B$371,0))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CARBORUNIV</t>
        </is>
      </c>
      <c r="D196" s="31" t="inlineStr">
        <is>
          <t>Carborundum Universal Limited</t>
        </is>
      </c>
      <c r="E196" s="31" t="inlineStr">
        <is>
          <t>industrials</t>
        </is>
      </c>
      <c r="F196" s="31" t="inlineStr">
        <is>
          <t>abrasives and grinding wheels</t>
        </is>
      </c>
      <c r="G196" s="31" t="inlineStr">
        <is>
          <t>largecap</t>
        </is>
      </c>
      <c r="H196" s="32" t="n">
        <v>22565.86</v>
      </c>
      <c r="I196" s="32" t="n">
        <v>1153.8</v>
      </c>
      <c r="J196" s="32" t="n">
        <v>-2.6</v>
      </c>
      <c r="K196" s="32" t="n">
        <v>227617</v>
      </c>
      <c r="L196" s="31" t="n">
        <v>38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63.3</v>
      </c>
      <c r="P196" s="32" t="n">
        <v>47.41</v>
      </c>
      <c r="Q196" s="32" t="n">
        <v>985.52</v>
      </c>
      <c r="R196" s="31" t="inlineStr">
        <is>
          <t>Earnings / Momentum Support</t>
        </is>
      </c>
      <c r="S196" s="31" t="inlineStr">
        <is>
          <t>Nifty 50</t>
        </is>
      </c>
      <c r="T196" s="32" t="n">
        <v>-1.08</v>
      </c>
      <c r="U196" s="32" t="n">
        <v>35.87</v>
      </c>
      <c r="V196" s="32" t="n">
        <v>37.35</v>
      </c>
      <c r="W196" s="32" t="n">
        <v>8.08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Above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IF(B197=0,"",RANK(B197,$B$2:$B$371,0))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PAYTM</t>
        </is>
      </c>
      <c r="D197" s="31" t="inlineStr">
        <is>
          <t>One 97 Communications Ltd</t>
        </is>
      </c>
      <c r="E197" s="31" t="inlineStr">
        <is>
          <t>i.t</t>
        </is>
      </c>
      <c r="F197" s="31" t="inlineStr">
        <is>
          <t>miscellaneous</t>
        </is>
      </c>
      <c r="G197" s="31" t="inlineStr">
        <is>
          <t>largecap</t>
        </is>
      </c>
      <c r="H197" s="32" t="n">
        <v>105623.59</v>
      </c>
      <c r="I197" s="32" t="n">
        <v>1603</v>
      </c>
      <c r="J197" s="32" t="n">
        <v>-2.82</v>
      </c>
      <c r="K197" s="32" t="n">
        <v>6331605</v>
      </c>
      <c r="L197" s="31" t="n">
        <v>65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73.48999999999999</v>
      </c>
      <c r="P197" s="32" t="n">
        <v>18.6</v>
      </c>
      <c r="Q197" s="32" t="n">
        <v>1276.88</v>
      </c>
      <c r="R197" s="31" t="inlineStr">
        <is>
          <t>Volume Spike &amp; Near 52W High Breakout</t>
        </is>
      </c>
      <c r="S197" s="31" t="inlineStr">
        <is>
          <t>Nifty IT</t>
        </is>
      </c>
      <c r="T197" s="32" t="n">
        <v>-9.98</v>
      </c>
      <c r="U197" s="32" t="n">
        <v>39.23</v>
      </c>
      <c r="V197" s="32" t="n">
        <v>54.67</v>
      </c>
      <c r="W197" s="32" t="n">
        <v>16.68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Between 1.5 to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Less than 0.7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IF(B198=0,"",RANK(B198,$B$2:$B$371,0))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SIGMAADV</t>
        </is>
      </c>
      <c r="D198" s="31" t="inlineStr">
        <is>
          <t>Sigma Advanced System Ltd</t>
        </is>
      </c>
      <c r="E198" s="31" t="inlineStr">
        <is>
          <t>aerospace &amp; defence</t>
        </is>
      </c>
      <c r="F198" s="31" t="inlineStr">
        <is>
          <t>electronics - components</t>
        </is>
      </c>
      <c r="G198" s="31" t="inlineStr">
        <is>
          <t>midcap</t>
        </is>
      </c>
      <c r="H198" s="32" t="n">
        <v>13021.23</v>
      </c>
      <c r="I198" s="32" t="n">
        <v>660.1</v>
      </c>
      <c r="J198" s="32" t="n">
        <v>-3.94</v>
      </c>
      <c r="K198" s="32" t="n">
        <v>367776</v>
      </c>
      <c r="L198" s="31" t="n">
        <v>99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72.59</v>
      </c>
      <c r="P198" s="32" t="n">
        <v>67.7</v>
      </c>
      <c r="Q198" s="32" t="n">
        <v>518.9400000000001</v>
      </c>
      <c r="R198" s="31" t="inlineStr">
        <is>
          <t>Earnings / Momentum Support</t>
        </is>
      </c>
      <c r="S198" s="31" t="inlineStr">
        <is>
          <t>Nifty 50</t>
        </is>
      </c>
      <c r="T198" s="32" t="n">
        <v>-1.08</v>
      </c>
      <c r="U198" s="32" t="n">
        <v>484.52</v>
      </c>
      <c r="V198" s="32" t="n">
        <v>490.89</v>
      </c>
      <c r="W198" s="32" t="n">
        <v>71.01000000000001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Above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Yes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Negative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IF(B199=0,"",RANK(B199,$B$2:$B$371,0))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TARSONS</t>
        </is>
      </c>
      <c r="D199" s="33" t="inlineStr">
        <is>
          <t>Tarsons Products Ltd</t>
        </is>
      </c>
      <c r="E199" s="31" t="inlineStr">
        <is>
          <t>healthcare</t>
        </is>
      </c>
      <c r="F199" s="31" t="inlineStr">
        <is>
          <t>miscellaneous</t>
        </is>
      </c>
      <c r="G199" s="31" t="inlineStr">
        <is>
          <t>smallcap</t>
        </is>
      </c>
      <c r="H199" s="32" t="n">
        <v>1663.76</v>
      </c>
      <c r="I199" s="32" t="n">
        <v>360.3</v>
      </c>
      <c r="J199" s="32" t="n">
        <v>15.22</v>
      </c>
      <c r="K199" s="32" t="n">
        <v>9830522</v>
      </c>
      <c r="L199" s="31" t="n">
        <v>74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74.62</v>
      </c>
      <c r="P199" s="32" t="n">
        <v>38.06</v>
      </c>
      <c r="Q199" s="32" t="n">
        <v>259.64</v>
      </c>
      <c r="R199" s="31" t="inlineStr">
        <is>
          <t>Volume Spike &amp; Near 52W High Breakout</t>
        </is>
      </c>
      <c r="S199" s="31" t="inlineStr">
        <is>
          <t>Nifty Pharma</t>
        </is>
      </c>
      <c r="T199" s="32" t="n">
        <v>19.38</v>
      </c>
      <c r="U199" s="32" t="n">
        <v>4.75</v>
      </c>
      <c r="V199" s="32" t="n">
        <v>-12.25</v>
      </c>
      <c r="W199" s="32" t="n">
        <v>20.95</v>
      </c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Yes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Annuity, Lower One Time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IF(B200=0,"",RANK(B200,$B$2:$B$371,0))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SBCL</t>
        </is>
      </c>
      <c r="D200" s="31" t="inlineStr">
        <is>
          <t>Shivalik Bimetal Controls Ltd</t>
        </is>
      </c>
      <c r="E200" s="31" t="inlineStr">
        <is>
          <t>metals &amp; mining</t>
        </is>
      </c>
      <c r="F200" s="31" t="inlineStr">
        <is>
          <t>mining / minerals / metals</t>
        </is>
      </c>
      <c r="G200" s="31" t="inlineStr">
        <is>
          <t>midcap</t>
        </is>
      </c>
      <c r="H200" s="32" t="n">
        <v>5810.25</v>
      </c>
      <c r="I200" s="32" t="n">
        <v>1040.1</v>
      </c>
      <c r="J200" s="32" t="n">
        <v>3.12</v>
      </c>
      <c r="K200" s="32" t="n">
        <v>270334</v>
      </c>
      <c r="L200" s="31" t="inlineStr"/>
      <c r="M200" s="31" t="inlineStr"/>
      <c r="N200" s="32">
        <f>IF(M200="Underperforming",-5,IF(L200&gt;=95,15,IF(L200&gt;=90,10,IF(L200&gt;=80,5,0))))</f>
        <v/>
      </c>
      <c r="O200" s="32" t="n">
        <v>80.7</v>
      </c>
      <c r="P200" s="32" t="n">
        <v>46.52</v>
      </c>
      <c r="Q200" s="32" t="n">
        <v>797.3200000000001</v>
      </c>
      <c r="R200" s="31" t="inlineStr">
        <is>
          <t>Volume Spike &amp; Near 52W High Breakout</t>
        </is>
      </c>
      <c r="S200" s="31" t="inlineStr">
        <is>
          <t>Nifty Metal</t>
        </is>
      </c>
      <c r="T200" s="32" t="inlineStr"/>
      <c r="U200" s="32" t="inlineStr"/>
      <c r="V200" s="32" t="inlineStr"/>
      <c r="W200" s="32" t="inlineStr"/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Monopoly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Shallow Cyclical (2 to 3 Years Growth)</t>
        </is>
      </c>
      <c r="AG200" s="31">
        <f>IF(AF200="Structural (10 Years Consistency)",10,IF(AF200="Shallow Cyclical (2 to 3 years growth)",5,0))</f>
        <v/>
      </c>
      <c r="AH200" s="31" t="inlineStr">
        <is>
          <t>Yes due to Product Mix change or Operating Leverage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Fully One Time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Yes</t>
        </is>
      </c>
      <c r="BQ200" s="31">
        <f>IF(BP200="No",10,0)</f>
        <v/>
      </c>
      <c r="BR200" s="31" t="inlineStr">
        <is>
          <t>No</t>
        </is>
      </c>
      <c r="BS200" s="31">
        <f>IF(BR200="NO",5,0)</f>
        <v/>
      </c>
      <c r="BT200" s="31" t="inlineStr">
        <is>
          <t>Between 1.5 to 2</t>
        </is>
      </c>
      <c r="BU200" s="31">
        <f>IF(BT200="Above 2",0,IF(BT200="Between 1.5 to 2",5,IF(BT200="Less than 1.5",10,0)))</f>
        <v/>
      </c>
      <c r="BV200" s="31" t="inlineStr">
        <is>
          <t>Less than 50%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IF(B201=0,"",RANK(B201,$B$2:$B$371,0))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KRISHIVAL</t>
        </is>
      </c>
      <c r="D201" s="31" t="inlineStr">
        <is>
          <t>Empyrean Cashews Ltd</t>
        </is>
      </c>
      <c r="E201" s="31" t="inlineStr">
        <is>
          <t>fmcg</t>
        </is>
      </c>
      <c r="F201" s="31" t="inlineStr">
        <is>
          <t>food - processing - indian</t>
        </is>
      </c>
      <c r="G201" s="31" t="inlineStr">
        <is>
          <t>smallcap</t>
        </is>
      </c>
      <c r="H201" s="32" t="n">
        <v>1040.25</v>
      </c>
      <c r="I201" s="32" t="n">
        <v>409.4</v>
      </c>
      <c r="J201" s="32" t="n">
        <v>0.86</v>
      </c>
      <c r="K201" s="32" t="n">
        <v>12851</v>
      </c>
      <c r="L201" s="31" t="inlineStr"/>
      <c r="M201" s="31" t="inlineStr"/>
      <c r="N201" s="32">
        <f>IF(M201="Underperforming",-5,IF(L201&gt;=95,15,IF(L201&gt;=90,10,IF(L201&gt;=80,5,0))))</f>
        <v/>
      </c>
      <c r="O201" s="32" t="n">
        <v>62.36</v>
      </c>
      <c r="P201" s="32" t="n">
        <v>33.84</v>
      </c>
      <c r="Q201" s="32" t="n">
        <v>342.99</v>
      </c>
      <c r="R201" s="31" t="inlineStr">
        <is>
          <t>Earnings / Momentum Support</t>
        </is>
      </c>
      <c r="S201" s="31" t="inlineStr">
        <is>
          <t>Nifty FMCG</t>
        </is>
      </c>
      <c r="T201" s="32" t="inlineStr"/>
      <c r="U201" s="32" t="inlineStr"/>
      <c r="V201" s="32" t="inlineStr"/>
      <c r="W201" s="32" t="inlineStr"/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B2C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Annuity, Lower One Time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Between 12 to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IF(B202=0,"",RANK(B202,$B$2:$B$371,0))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TATATECH</t>
        </is>
      </c>
      <c r="D202" s="31" t="inlineStr">
        <is>
          <t>Tata Technologies Ltd</t>
        </is>
      </c>
      <c r="E202" s="31" t="inlineStr">
        <is>
          <t>i.t</t>
        </is>
      </c>
      <c r="F202" s="31" t="inlineStr">
        <is>
          <t>computers - software - medium / small</t>
        </is>
      </c>
      <c r="G202" s="31" t="inlineStr">
        <is>
          <t>largecap</t>
        </is>
      </c>
      <c r="H202" s="32" t="n">
        <v>35261.54</v>
      </c>
      <c r="I202" s="32" t="n">
        <v>867.9</v>
      </c>
      <c r="J202" s="32" t="n">
        <v>-0.06</v>
      </c>
      <c r="K202" s="32" t="n">
        <v>795292</v>
      </c>
      <c r="L202" s="31" t="n">
        <v>63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72.02</v>
      </c>
      <c r="P202" s="32" t="n">
        <v>33.2</v>
      </c>
      <c r="Q202" s="32" t="n">
        <v>696.73</v>
      </c>
      <c r="R202" s="31" t="inlineStr">
        <is>
          <t>Near 52W High Breakout</t>
        </is>
      </c>
      <c r="S202" s="31" t="inlineStr">
        <is>
          <t>Nifty IT</t>
        </is>
      </c>
      <c r="T202" s="32" t="n">
        <v>-9.98</v>
      </c>
      <c r="U202" s="32" t="n">
        <v>32.85</v>
      </c>
      <c r="V202" s="32" t="n">
        <v>47.57</v>
      </c>
      <c r="W202" s="32" t="n">
        <v>15.65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Annuity, Lower One Time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Less than 12%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IF(B203=0,"",RANK(B203,$B$2:$B$371,0))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SAILIFE</t>
        </is>
      </c>
      <c r="D203" s="31" t="inlineStr">
        <is>
          <t>Sai Life Sciences Ltd</t>
        </is>
      </c>
      <c r="E203" s="31" t="inlineStr">
        <is>
          <t>healthcare</t>
        </is>
      </c>
      <c r="F203" s="31" t="inlineStr">
        <is>
          <t>pharmaceuticals - indian - bulk drugs &amp; formln</t>
        </is>
      </c>
      <c r="G203" s="31" t="inlineStr">
        <is>
          <t>largecap</t>
        </is>
      </c>
      <c r="H203" s="32" t="n">
        <v>30806.95</v>
      </c>
      <c r="I203" s="32" t="n">
        <v>1449.9</v>
      </c>
      <c r="J203" s="32" t="n">
        <v>-0.09</v>
      </c>
      <c r="K203" s="32" t="n">
        <v>142029</v>
      </c>
      <c r="L203" s="31" t="n">
        <v>67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80.29000000000001</v>
      </c>
      <c r="P203" s="32" t="n">
        <v>31.27</v>
      </c>
      <c r="Q203" s="32" t="n">
        <v>1199.02</v>
      </c>
      <c r="R203" s="31" t="inlineStr">
        <is>
          <t>Volume Spike &amp; Near 52W High Breakout</t>
        </is>
      </c>
      <c r="S203" s="31" t="inlineStr">
        <is>
          <t>Nifty Pharma</t>
        </is>
      </c>
      <c r="T203" s="32" t="n">
        <v>19.38</v>
      </c>
      <c r="U203" s="32" t="n">
        <v>63.34</v>
      </c>
      <c r="V203" s="32" t="n">
        <v>36.82</v>
      </c>
      <c r="W203" s="32" t="n">
        <v>17.64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Yes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Annuity, Lower One Time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Above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Blue sky scenario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IF(B204=0,"",RANK(B204,$B$2:$B$371,0))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COFORGE</t>
        </is>
      </c>
      <c r="D204" s="31" t="inlineStr">
        <is>
          <t>Coforge (Niit Tech) Ltd</t>
        </is>
      </c>
      <c r="E204" s="31" t="inlineStr">
        <is>
          <t>i.t</t>
        </is>
      </c>
      <c r="F204" s="31" t="inlineStr">
        <is>
          <t>computers - software - large</t>
        </is>
      </c>
      <c r="G204" s="31" t="inlineStr">
        <is>
          <t>largecap</t>
        </is>
      </c>
      <c r="H204" s="32" t="n">
        <v>80968.14999999999</v>
      </c>
      <c r="I204" s="32" t="n">
        <v>1812</v>
      </c>
      <c r="J204" s="32" t="n">
        <v>-0.93</v>
      </c>
      <c r="K204" s="32" t="n">
        <v>3122395</v>
      </c>
      <c r="L204" s="31" t="n">
        <v>56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67.97</v>
      </c>
      <c r="P204" s="32" t="n">
        <v>11.27</v>
      </c>
      <c r="Q204" s="32" t="n">
        <v>1435.82</v>
      </c>
      <c r="R204" s="31" t="inlineStr">
        <is>
          <t>Earnings / Momentum Support</t>
        </is>
      </c>
      <c r="S204" s="31" t="inlineStr">
        <is>
          <t>Nifty IT</t>
        </is>
      </c>
      <c r="T204" s="32" t="n">
        <v>-9.98</v>
      </c>
      <c r="U204" s="32" t="n">
        <v>11.38</v>
      </c>
      <c r="V204" s="32" t="n">
        <v>23.72</v>
      </c>
      <c r="W204" s="32" t="n">
        <v>12.76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Annuity, Lower One Time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IF(B205=0,"",RANK(B205,$B$2:$B$371,0))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GUFICBIO</t>
        </is>
      </c>
      <c r="D205" s="33" t="inlineStr">
        <is>
          <t>Gufic Biosciences Limited</t>
        </is>
      </c>
      <c r="E205" s="31" t="inlineStr">
        <is>
          <t>healthcare</t>
        </is>
      </c>
      <c r="F205" s="31" t="inlineStr">
        <is>
          <t>pharmaceuticals - indian - bulk drugs &amp; formln</t>
        </is>
      </c>
      <c r="G205" s="31" t="inlineStr">
        <is>
          <t>smallcap</t>
        </is>
      </c>
      <c r="H205" s="32" t="n">
        <v>4314.65</v>
      </c>
      <c r="I205" s="32" t="n">
        <v>422.2</v>
      </c>
      <c r="J205" s="32" t="n">
        <v>-1.87</v>
      </c>
      <c r="K205" s="32" t="n">
        <v>166064</v>
      </c>
      <c r="L205" s="31" t="n">
        <v>62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70.84999999999999</v>
      </c>
      <c r="P205" s="32" t="n">
        <v>47.86</v>
      </c>
      <c r="Q205" s="32" t="n">
        <v>328.06</v>
      </c>
      <c r="R205" s="31" t="inlineStr">
        <is>
          <t>Near 52W High Breakout</t>
        </is>
      </c>
      <c r="S205" s="31" t="inlineStr">
        <is>
          <t>Nifty Pharma</t>
        </is>
      </c>
      <c r="T205" s="32" t="n">
        <v>19.38</v>
      </c>
      <c r="U205" s="32" t="n">
        <v>18.46</v>
      </c>
      <c r="V205" s="32" t="n">
        <v>-0.77</v>
      </c>
      <c r="W205" s="32" t="n">
        <v>15.42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Yes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Annuity, Lower One Time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Less than 50%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IF(B206=0,"",RANK(B206,$B$2:$B$371,0))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AARTIPHARM</t>
        </is>
      </c>
      <c r="D206" s="33" t="inlineStr">
        <is>
          <t>Aarti Pharmalabs Ltd</t>
        </is>
      </c>
      <c r="E206" s="31" t="inlineStr">
        <is>
          <t>healthcare</t>
        </is>
      </c>
      <c r="F206" s="31" t="inlineStr">
        <is>
          <t>pharmaceuticals - indian - bulk drugs &amp; formln</t>
        </is>
      </c>
      <c r="G206" s="31" t="inlineStr">
        <is>
          <t>midcap</t>
        </is>
      </c>
      <c r="H206" s="32" t="n">
        <v>7922.24</v>
      </c>
      <c r="I206" s="32" t="n">
        <v>851.2</v>
      </c>
      <c r="J206" s="32" t="n">
        <v>-2.57</v>
      </c>
      <c r="K206" s="32" t="n">
        <v>395281</v>
      </c>
      <c r="L206" s="31" t="n">
        <v>31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66.7</v>
      </c>
      <c r="P206" s="32" t="n">
        <v>10.38</v>
      </c>
      <c r="Q206" s="32" t="n">
        <v>650.59</v>
      </c>
      <c r="R206" s="31" t="inlineStr">
        <is>
          <t>Volume Spike / Accumulation</t>
        </is>
      </c>
      <c r="S206" s="31" t="inlineStr">
        <is>
          <t>Nifty Pharma</t>
        </is>
      </c>
      <c r="T206" s="32" t="n">
        <v>19.38</v>
      </c>
      <c r="U206" s="32" t="n">
        <v>12.91</v>
      </c>
      <c r="V206" s="32" t="n">
        <v>-5.43</v>
      </c>
      <c r="W206" s="32" t="n">
        <v>6.72</v>
      </c>
      <c r="X206" s="31" t="inlineStr">
        <is>
          <t>Growing Industry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Yes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Annuity, Lower One Time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Close to 52 week high or retracement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IF(B207=0,"",RANK(B207,$B$2:$B$371,0))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TVSSRICHAK</t>
        </is>
      </c>
      <c r="D207" s="31" t="inlineStr">
        <is>
          <t>Tvs Srichakra Limited</t>
        </is>
      </c>
      <c r="E207" s="31" t="inlineStr">
        <is>
          <t>auto</t>
        </is>
      </c>
      <c r="F207" s="31" t="inlineStr">
        <is>
          <t>tyres</t>
        </is>
      </c>
      <c r="G207" s="31" t="inlineStr">
        <is>
          <t>smallcap</t>
        </is>
      </c>
      <c r="H207" s="32" t="n">
        <v>3058.91</v>
      </c>
      <c r="I207" s="32" t="n">
        <v>4478.1</v>
      </c>
      <c r="J207" s="32" t="n">
        <v>12.1</v>
      </c>
      <c r="K207" s="32" t="n">
        <v>711409</v>
      </c>
      <c r="L207" s="31" t="inlineStr"/>
      <c r="M207" s="31" t="inlineStr"/>
      <c r="N207" s="32">
        <f>IF(M207="Underperforming",-5,IF(L207&gt;=95,15,IF(L207&gt;=90,10,IF(L207&gt;=80,5,0))))</f>
        <v/>
      </c>
      <c r="O207" s="32" t="n">
        <v>63.48</v>
      </c>
      <c r="P207" s="32" t="n">
        <v>19.47</v>
      </c>
      <c r="Q207" s="32" t="n">
        <v>3520.35</v>
      </c>
      <c r="R207" s="31" t="inlineStr">
        <is>
          <t>Volume Spike &amp; Near 52W High Breakout</t>
        </is>
      </c>
      <c r="S207" s="31" t="inlineStr">
        <is>
          <t>Nifty Auto</t>
        </is>
      </c>
      <c r="T207" s="32" t="inlineStr"/>
      <c r="U207" s="32" t="inlineStr"/>
      <c r="V207" s="32" t="inlineStr"/>
      <c r="W207" s="32" t="inlineStr"/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0 to 20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Blue sky scenario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IF(B208=0,"",RANK(B208,$B$2:$B$371,0))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ARROWGREEN</t>
        </is>
      </c>
      <c r="D208" s="31" t="inlineStr">
        <is>
          <t>Arrow Greentech Limited</t>
        </is>
      </c>
      <c r="E208" s="31" t="inlineStr">
        <is>
          <t>plastic products</t>
        </is>
      </c>
      <c r="F208" s="31" t="inlineStr">
        <is>
          <t>plastics products</t>
        </is>
      </c>
      <c r="G208" s="31" t="inlineStr">
        <is>
          <t>smallcap</t>
        </is>
      </c>
      <c r="H208" s="32" t="n">
        <v>1180.63</v>
      </c>
      <c r="I208" s="32" t="n">
        <v>820</v>
      </c>
      <c r="J208" s="32" t="n">
        <v>4.79</v>
      </c>
      <c r="K208" s="32" t="n">
        <v>121485</v>
      </c>
      <c r="L208" s="31" t="inlineStr"/>
      <c r="M208" s="31" t="inlineStr"/>
      <c r="N208" s="32">
        <f>IF(M208="Underperforming",-5,IF(L208&gt;=95,15,IF(L208&gt;=90,10,IF(L208&gt;=80,5,0))))</f>
        <v/>
      </c>
      <c r="O208" s="32" t="n">
        <v>73.95</v>
      </c>
      <c r="P208" s="32" t="n">
        <v>35.3</v>
      </c>
      <c r="Q208" s="32" t="n">
        <v>611.42</v>
      </c>
      <c r="R208" s="31" t="inlineStr">
        <is>
          <t>Near 52W High Breakout</t>
        </is>
      </c>
      <c r="S208" s="31" t="inlineStr">
        <is>
          <t>Nifty Infra</t>
        </is>
      </c>
      <c r="T208" s="32" t="inlineStr"/>
      <c r="U208" s="32" t="inlineStr"/>
      <c r="V208" s="32" t="inlineStr"/>
      <c r="W208" s="32" t="inlineStr"/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IF(B209=0,"",RANK(B209,$B$2:$B$371,0))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DYNAMATECH</t>
        </is>
      </c>
      <c r="D209" s="31" t="inlineStr">
        <is>
          <t>Dynamatic Technologies Limited</t>
        </is>
      </c>
      <c r="E209" s="31" t="inlineStr">
        <is>
          <t>industrials</t>
        </is>
      </c>
      <c r="F209" s="31" t="inlineStr">
        <is>
          <t>engineering</t>
        </is>
      </c>
      <c r="G209" s="31" t="inlineStr">
        <is>
          <t>midcap</t>
        </is>
      </c>
      <c r="H209" s="32" t="n">
        <v>7341.55</v>
      </c>
      <c r="I209" s="32" t="n">
        <v>11188</v>
      </c>
      <c r="J209" s="32" t="n">
        <v>3.5</v>
      </c>
      <c r="K209" s="32" t="n">
        <v>25182</v>
      </c>
      <c r="L209" s="31" t="n">
        <v>58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56.48</v>
      </c>
      <c r="P209" s="32" t="n">
        <v>20.33</v>
      </c>
      <c r="Q209" s="32" t="n">
        <v>8143.18</v>
      </c>
      <c r="R209" s="31" t="inlineStr">
        <is>
          <t>Volume Spike / Accumulation</t>
        </is>
      </c>
      <c r="S209" s="31" t="inlineStr">
        <is>
          <t>Nifty 50</t>
        </is>
      </c>
      <c r="T209" s="32" t="n">
        <v>-1.08</v>
      </c>
      <c r="U209" s="32" t="n">
        <v>73.73999999999999</v>
      </c>
      <c r="V209" s="32" t="n">
        <v>75.63</v>
      </c>
      <c r="W209" s="32" t="n">
        <v>14.03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Between 1.5 to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Between 0.7 to 1.2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IF(B210=0,"",RANK(B210,$B$2:$B$371,0))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NEOGEN</t>
        </is>
      </c>
      <c r="D210" s="31" t="inlineStr">
        <is>
          <t>Neogen Chemicals Ltd</t>
        </is>
      </c>
      <c r="E210" s="31" t="inlineStr">
        <is>
          <t>chemicals</t>
        </is>
      </c>
      <c r="F210" s="31" t="inlineStr">
        <is>
          <t>chemicals</t>
        </is>
      </c>
      <c r="G210" s="31" t="inlineStr">
        <is>
          <t>midcap</t>
        </is>
      </c>
      <c r="H210" s="32" t="n">
        <v>5856.67</v>
      </c>
      <c r="I210" s="32" t="n">
        <v>2204.9</v>
      </c>
      <c r="J210" s="32" t="n">
        <v>3.09</v>
      </c>
      <c r="K210" s="32" t="n">
        <v>176489</v>
      </c>
      <c r="L210" s="31" t="n">
        <v>67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67.3</v>
      </c>
      <c r="P210" s="32" t="n">
        <v>52.32</v>
      </c>
      <c r="Q210" s="32" t="n">
        <v>1635.24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-1.08</v>
      </c>
      <c r="U210" s="32" t="n">
        <v>57.85</v>
      </c>
      <c r="V210" s="32" t="n">
        <v>59.57</v>
      </c>
      <c r="W210" s="32" t="n">
        <v>17.44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Above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More than 1.2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IF(B211=0,"",RANK(B211,$B$2:$B$371,0))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COMSYN</t>
        </is>
      </c>
      <c r="D211" s="31" t="inlineStr">
        <is>
          <t>Commercial Syn Bags Ltd</t>
        </is>
      </c>
      <c r="E211" s="31" t="inlineStr">
        <is>
          <t>industrials</t>
        </is>
      </c>
      <c r="F211" s="31" t="inlineStr">
        <is>
          <t>packaging</t>
        </is>
      </c>
      <c r="G211" s="31" t="inlineStr">
        <is>
          <t>smallcap</t>
        </is>
      </c>
      <c r="H211" s="32" t="n">
        <v>1140.23</v>
      </c>
      <c r="I211" s="32" t="n">
        <v>288.33</v>
      </c>
      <c r="J211" s="32" t="n">
        <v>2.01</v>
      </c>
      <c r="K211" s="32" t="n">
        <v>398994</v>
      </c>
      <c r="L211" s="31" t="n">
        <v>92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81.61</v>
      </c>
      <c r="P211" s="32" t="n">
        <v>60.86</v>
      </c>
      <c r="Q211" s="32" t="n">
        <v>217.98</v>
      </c>
      <c r="R211" s="31" t="inlineStr">
        <is>
          <t>Volume Spike &amp; Near 52W High Breakout</t>
        </is>
      </c>
      <c r="S211" s="31" t="inlineStr">
        <is>
          <t>Nifty 50</t>
        </is>
      </c>
      <c r="T211" s="32" t="n">
        <v>-1.08</v>
      </c>
      <c r="U211" s="32" t="n">
        <v>103.96</v>
      </c>
      <c r="V211" s="32" t="n">
        <v>106.18</v>
      </c>
      <c r="W211" s="32" t="n">
        <v>37.94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Above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IF(B212=0,"",RANK(B212,$B$2:$B$371,0))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LUMAXTECH</t>
        </is>
      </c>
      <c r="D212" s="31" t="inlineStr">
        <is>
          <t>Lumax Auto Technologies Limited</t>
        </is>
      </c>
      <c r="E212" s="31" t="inlineStr">
        <is>
          <t>auto</t>
        </is>
      </c>
      <c r="F212" s="31" t="inlineStr">
        <is>
          <t>auto ancillaries</t>
        </is>
      </c>
      <c r="G212" s="31" t="inlineStr">
        <is>
          <t>midcap</t>
        </is>
      </c>
      <c r="H212" s="32" t="n">
        <v>13546.34</v>
      </c>
      <c r="I212" s="32" t="n">
        <v>2018</v>
      </c>
      <c r="J212" s="32" t="n">
        <v>1.53</v>
      </c>
      <c r="K212" s="32" t="n">
        <v>261553</v>
      </c>
      <c r="L212" s="31" t="inlineStr"/>
      <c r="M212" s="31" t="inlineStr"/>
      <c r="N212" s="32">
        <f>IF(M212="Underperforming",-5,IF(L212&gt;=95,15,IF(L212&gt;=90,10,IF(L212&gt;=80,5,0))))</f>
        <v/>
      </c>
      <c r="O212" s="32" t="n">
        <v>67.64</v>
      </c>
      <c r="P212" s="32" t="n">
        <v>14.45</v>
      </c>
      <c r="Q212" s="32" t="n">
        <v>1517.74</v>
      </c>
      <c r="R212" s="31" t="inlineStr">
        <is>
          <t>Volume Spike &amp; Near 52W High Breakout</t>
        </is>
      </c>
      <c r="S212" s="31" t="inlineStr">
        <is>
          <t>Nifty Auto</t>
        </is>
      </c>
      <c r="T212" s="32" t="inlineStr"/>
      <c r="U212" s="32" t="inlineStr"/>
      <c r="V212" s="32" t="inlineStr"/>
      <c r="W212" s="32" t="inlineStr"/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Yes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Between 0.7 to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IF(B213=0,"",RANK(B213,$B$2:$B$371,0))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KAPSTON</t>
        </is>
      </c>
      <c r="D213" s="31" t="inlineStr">
        <is>
          <t>Kapston Services Ltd</t>
        </is>
      </c>
      <c r="E213" s="31" t="inlineStr">
        <is>
          <t>miscellaneous</t>
        </is>
      </c>
      <c r="F213" s="31" t="inlineStr">
        <is>
          <t>miscellaneous</t>
        </is>
      </c>
      <c r="G213" s="31" t="inlineStr">
        <is>
          <t>smallcap</t>
        </is>
      </c>
      <c r="H213" s="32" t="n">
        <v>1780.59</v>
      </c>
      <c r="I213" s="32" t="n">
        <v>590.5</v>
      </c>
      <c r="J213" s="32" t="n">
        <v>0.92</v>
      </c>
      <c r="K213" s="32" t="n">
        <v>56503</v>
      </c>
      <c r="L213" s="31" t="n">
        <v>93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84.33</v>
      </c>
      <c r="P213" s="32" t="n">
        <v>30.19</v>
      </c>
      <c r="Q213" s="32" t="n">
        <v>463.98</v>
      </c>
      <c r="R213" s="31" t="inlineStr">
        <is>
          <t>Volume Spike &amp; Near 52W High Breakout</t>
        </is>
      </c>
      <c r="S213" s="31" t="inlineStr">
        <is>
          <t>Nifty 50</t>
        </is>
      </c>
      <c r="T213" s="32" t="n">
        <v>-1.08</v>
      </c>
      <c r="U213" s="32" t="n">
        <v>140.29</v>
      </c>
      <c r="V213" s="32" t="n">
        <v>142.91</v>
      </c>
      <c r="W213" s="32" t="n">
        <v>39.23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Above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Between 1.5 to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More than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IF(B214=0,"",RANK(B214,$B$2:$B$371,0))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GNA</t>
        </is>
      </c>
      <c r="D214" s="31" t="inlineStr">
        <is>
          <t>Gna Axles Limited</t>
        </is>
      </c>
      <c r="E214" s="31" t="inlineStr">
        <is>
          <t>auto</t>
        </is>
      </c>
      <c r="F214" s="31" t="inlineStr">
        <is>
          <t>auto ancillaries</t>
        </is>
      </c>
      <c r="G214" s="31" t="inlineStr">
        <is>
          <t>smallcap</t>
        </is>
      </c>
      <c r="H214" s="32" t="n">
        <v>2312.47</v>
      </c>
      <c r="I214" s="32" t="n">
        <v>542.7</v>
      </c>
      <c r="J214" s="32" t="n">
        <v>0.75</v>
      </c>
      <c r="K214" s="32" t="n">
        <v>283278</v>
      </c>
      <c r="L214" s="31" t="inlineStr"/>
      <c r="M214" s="31" t="inlineStr"/>
      <c r="N214" s="32">
        <f>IF(M214="Underperforming",-5,IF(L214&gt;=95,15,IF(L214&gt;=90,10,IF(L214&gt;=80,5,0))))</f>
        <v/>
      </c>
      <c r="O214" s="32" t="n">
        <v>67.31</v>
      </c>
      <c r="P214" s="32" t="n">
        <v>31.1</v>
      </c>
      <c r="Q214" s="32" t="n">
        <v>420.94</v>
      </c>
      <c r="R214" s="31" t="inlineStr">
        <is>
          <t>Near 52W High Breakout</t>
        </is>
      </c>
      <c r="S214" s="31" t="inlineStr">
        <is>
          <t>Nifty Auto</t>
        </is>
      </c>
      <c r="T214" s="32" t="inlineStr"/>
      <c r="U214" s="32" t="inlineStr"/>
      <c r="V214" s="32" t="inlineStr"/>
      <c r="W214" s="32" t="inlineStr"/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Negative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IF(B215=0,"",RANK(B215,$B$2:$B$371,0))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ANANTRAJ</t>
        </is>
      </c>
      <c r="D215" s="31" t="inlineStr">
        <is>
          <t>Anant Raj Limited</t>
        </is>
      </c>
      <c r="E215" s="31" t="inlineStr">
        <is>
          <t>realty</t>
        </is>
      </c>
      <c r="F215" s="31" t="inlineStr">
        <is>
          <t>construction</t>
        </is>
      </c>
      <c r="G215" s="31" t="inlineStr">
        <is>
          <t>largecap</t>
        </is>
      </c>
      <c r="H215" s="32" t="n">
        <v>22566.08</v>
      </c>
      <c r="I215" s="32" t="n">
        <v>629.95</v>
      </c>
      <c r="J215" s="32" t="n">
        <v>0.46</v>
      </c>
      <c r="K215" s="32" t="n">
        <v>1472651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61.67</v>
      </c>
      <c r="P215" s="32" t="n">
        <v>20.98</v>
      </c>
      <c r="Q215" s="32" t="n">
        <v>486.1</v>
      </c>
      <c r="R215" s="31" t="inlineStr">
        <is>
          <t>Earnings / Momentum Support</t>
        </is>
      </c>
      <c r="S215" s="31" t="inlineStr">
        <is>
          <t>Nifty Realty</t>
        </is>
      </c>
      <c r="T215" s="32" t="inlineStr"/>
      <c r="U215" s="32" t="inlineStr"/>
      <c r="V215" s="32" t="inlineStr"/>
      <c r="W215" s="32" t="inlineStr"/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No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Between 12 to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IF(B216=0,"",RANK(B216,$B$2:$B$371,0))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NAZARA</t>
        </is>
      </c>
      <c r="D216" s="31" t="inlineStr">
        <is>
          <t>Nazara Technologies Ltd</t>
        </is>
      </c>
      <c r="E216" s="31" t="inlineStr">
        <is>
          <t>i.t</t>
        </is>
      </c>
      <c r="F216" s="31" t="inlineStr">
        <is>
          <t>telecommunications - service provider</t>
        </is>
      </c>
      <c r="G216" s="31" t="inlineStr">
        <is>
          <t>midcap</t>
        </is>
      </c>
      <c r="H216" s="32" t="n">
        <v>13632.43</v>
      </c>
      <c r="I216" s="32" t="n">
        <v>355.9</v>
      </c>
      <c r="J216" s="32" t="n">
        <v>0.2</v>
      </c>
      <c r="K216" s="32" t="n">
        <v>1553469</v>
      </c>
      <c r="L216" s="31" t="n">
        <v>23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73.13</v>
      </c>
      <c r="P216" s="32" t="n">
        <v>19.55</v>
      </c>
      <c r="Q216" s="32" t="n">
        <v>289.36</v>
      </c>
      <c r="R216" s="31" t="inlineStr">
        <is>
          <t>Near 52W High Breakout</t>
        </is>
      </c>
      <c r="S216" s="31" t="inlineStr">
        <is>
          <t>Nifty IT</t>
        </is>
      </c>
      <c r="T216" s="32" t="n">
        <v>-9.98</v>
      </c>
      <c r="U216" s="32" t="n">
        <v>0.64</v>
      </c>
      <c r="V216" s="32" t="n">
        <v>11.79</v>
      </c>
      <c r="W216" s="32" t="n">
        <v>4.83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Oligopoly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Yes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IF(B217=0,"",RANK(B217,$B$2:$B$371,0))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MAHLIFE</t>
        </is>
      </c>
      <c r="D217" s="31" t="inlineStr">
        <is>
          <t>Mahindra Lifespace Developers Limited</t>
        </is>
      </c>
      <c r="E217" s="31" t="inlineStr">
        <is>
          <t>realty</t>
        </is>
      </c>
      <c r="F217" s="31" t="inlineStr">
        <is>
          <t>construction</t>
        </is>
      </c>
      <c r="G217" s="31" t="inlineStr">
        <is>
          <t>midcap</t>
        </is>
      </c>
      <c r="H217" s="32" t="n">
        <v>8187.03</v>
      </c>
      <c r="I217" s="32" t="n">
        <v>384.3</v>
      </c>
      <c r="J217" s="32" t="n">
        <v>0.14</v>
      </c>
      <c r="K217" s="32" t="n">
        <v>43479</v>
      </c>
      <c r="L217" s="31" t="inlineStr"/>
      <c r="M217" s="31" t="inlineStr"/>
      <c r="N217" s="32">
        <f>IF(M217="Underperforming",-5,IF(L217&gt;=95,15,IF(L217&gt;=90,10,IF(L217&gt;=80,5,0))))</f>
        <v/>
      </c>
      <c r="O217" s="32" t="n">
        <v>59.73</v>
      </c>
      <c r="P217" s="32" t="n">
        <v>15.52</v>
      </c>
      <c r="Q217" s="32" t="n">
        <v>320.96</v>
      </c>
      <c r="R217" s="31" t="inlineStr">
        <is>
          <t>Earnings / Momentum Support</t>
        </is>
      </c>
      <c r="S217" s="31" t="inlineStr">
        <is>
          <t>Nifty Realty</t>
        </is>
      </c>
      <c r="T217" s="32" t="inlineStr"/>
      <c r="U217" s="32" t="inlineStr"/>
      <c r="V217" s="32" t="inlineStr"/>
      <c r="W217" s="32" t="inlineStr"/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0 to 20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Less than 1.5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IF(B218=0,"",RANK(B218,$B$2:$B$371,0))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MMP</t>
        </is>
      </c>
      <c r="D218" s="31" t="inlineStr">
        <is>
          <t>MMP Industries Ltd</t>
        </is>
      </c>
      <c r="E218" s="31" t="inlineStr">
        <is>
          <t>metals &amp; mining</t>
        </is>
      </c>
      <c r="F218" s="31" t="inlineStr">
        <is>
          <t>aluminium and aluminium products</t>
        </is>
      </c>
      <c r="G218" s="31" t="inlineStr">
        <is>
          <t>smallcap</t>
        </is>
      </c>
      <c r="H218" s="32" t="n">
        <v>639.33</v>
      </c>
      <c r="I218" s="32" t="n">
        <v>337.5</v>
      </c>
      <c r="J218" s="32" t="n">
        <v>-0.12</v>
      </c>
      <c r="K218" s="32" t="n">
        <v>46279</v>
      </c>
      <c r="L218" s="31" t="inlineStr"/>
      <c r="M218" s="31" t="inlineStr"/>
      <c r="N218" s="32">
        <f>IF(M218="Underperforming",-5,IF(L218&gt;=95,15,IF(L218&gt;=90,10,IF(L218&gt;=80,5,0))))</f>
        <v/>
      </c>
      <c r="O218" s="32" t="n">
        <v>70.23</v>
      </c>
      <c r="P218" s="32" t="n">
        <v>38.12</v>
      </c>
      <c r="Q218" s="32" t="n">
        <v>254.66</v>
      </c>
      <c r="R218" s="31" t="inlineStr">
        <is>
          <t>Volume Spike &amp; Near 52W High Breakout</t>
        </is>
      </c>
      <c r="S218" s="31" t="inlineStr">
        <is>
          <t>Nifty Metal</t>
        </is>
      </c>
      <c r="T218" s="32" t="inlineStr"/>
      <c r="U218" s="32" t="inlineStr"/>
      <c r="V218" s="32" t="inlineStr"/>
      <c r="W218" s="32" t="inlineStr"/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IF(B219=0,"",RANK(B219,$B$2:$B$371,0))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INGERRAND</t>
        </is>
      </c>
      <c r="D219" s="31" t="inlineStr">
        <is>
          <t>Ingersoll Rand (india) Limited</t>
        </is>
      </c>
      <c r="E219" s="31" t="inlineStr">
        <is>
          <t>industrials</t>
        </is>
      </c>
      <c r="F219" s="31" t="inlineStr">
        <is>
          <t>compressors / drilling equipment</t>
        </is>
      </c>
      <c r="G219" s="31" t="inlineStr">
        <is>
          <t>midcap</t>
        </is>
      </c>
      <c r="H219" s="32" t="n">
        <v>14541.48</v>
      </c>
      <c r="I219" s="32" t="n">
        <v>4600</v>
      </c>
      <c r="J219" s="32" t="n">
        <v>-0.14</v>
      </c>
      <c r="K219" s="32" t="n">
        <v>127789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59.91</v>
      </c>
      <c r="P219" s="32" t="n">
        <v>24.57</v>
      </c>
      <c r="Q219" s="32" t="n">
        <v>3697.4</v>
      </c>
      <c r="R219" s="31" t="inlineStr">
        <is>
          <t>Volume Spike &amp; Near 52W High Breakout</t>
        </is>
      </c>
      <c r="S219" s="31" t="inlineStr">
        <is>
          <t>Nifty Infra</t>
        </is>
      </c>
      <c r="T219" s="32" t="inlineStr"/>
      <c r="U219" s="32" t="inlineStr"/>
      <c r="V219" s="32" t="inlineStr"/>
      <c r="W219" s="32" t="inlineStr"/>
      <c r="X219" s="31" t="inlineStr">
        <is>
          <t>Cyclical in an Upturn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Yes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IF(B220=0,"",RANK(B220,$B$2:$B$371,0))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VMART</t>
        </is>
      </c>
      <c r="D220" s="31" t="inlineStr">
        <is>
          <t>V-mart Retail Limited</t>
        </is>
      </c>
      <c r="E220" s="31" t="inlineStr">
        <is>
          <t>consumer discretionary</t>
        </is>
      </c>
      <c r="F220" s="31" t="inlineStr">
        <is>
          <t>trading</t>
        </is>
      </c>
      <c r="G220" s="31" t="inlineStr">
        <is>
          <t>midcap</t>
        </is>
      </c>
      <c r="H220" s="32" t="n">
        <v>6421.91</v>
      </c>
      <c r="I220" s="32" t="n">
        <v>802</v>
      </c>
      <c r="J220" s="32" t="n">
        <v>-0.66</v>
      </c>
      <c r="K220" s="32" t="n">
        <v>68695</v>
      </c>
      <c r="L220" s="31" t="n">
        <v>39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63.03</v>
      </c>
      <c r="P220" s="32" t="n">
        <v>26.8</v>
      </c>
      <c r="Q220" s="32" t="n">
        <v>631.8200000000001</v>
      </c>
      <c r="R220" s="31" t="inlineStr">
        <is>
          <t>Earnings / Momentum Support</t>
        </is>
      </c>
      <c r="S220" s="31" t="inlineStr">
        <is>
          <t>Nifty 50</t>
        </is>
      </c>
      <c r="T220" s="32" t="n">
        <v>-1.08</v>
      </c>
      <c r="U220" s="32" t="n">
        <v>9.09</v>
      </c>
      <c r="V220" s="32" t="n">
        <v>10.28</v>
      </c>
      <c r="W220" s="32" t="n">
        <v>8.539999999999999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Yes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Between 0.7 to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IF(B221=0,"",RANK(B221,$B$2:$B$371,0))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ASKAUTOLTD</t>
        </is>
      </c>
      <c r="D221" s="31" t="inlineStr">
        <is>
          <t>ASK Automotive Ltd</t>
        </is>
      </c>
      <c r="E221" s="31" t="inlineStr">
        <is>
          <t>auto</t>
        </is>
      </c>
      <c r="F221" s="31" t="inlineStr">
        <is>
          <t>auto ancillaries</t>
        </is>
      </c>
      <c r="G221" s="31" t="inlineStr">
        <is>
          <t>midcap</t>
        </is>
      </c>
      <c r="H221" s="32" t="n">
        <v>12803.43</v>
      </c>
      <c r="I221" s="32" t="n">
        <v>644.7</v>
      </c>
      <c r="J221" s="32" t="n">
        <v>-0.73</v>
      </c>
      <c r="K221" s="32" t="n">
        <v>148256</v>
      </c>
      <c r="L221" s="31" t="inlineStr"/>
      <c r="M221" s="31" t="inlineStr"/>
      <c r="N221" s="32">
        <f>IF(M221="Underperforming",-5,IF(L221&gt;=95,15,IF(L221&gt;=90,10,IF(L221&gt;=80,5,0))))</f>
        <v/>
      </c>
      <c r="O221" s="32" t="n">
        <v>80.3</v>
      </c>
      <c r="P221" s="32" t="n">
        <v>19.56</v>
      </c>
      <c r="Q221" s="32" t="n">
        <v>520.59</v>
      </c>
      <c r="R221" s="31" t="inlineStr">
        <is>
          <t>Near 52W High Breakout</t>
        </is>
      </c>
      <c r="S221" s="31" t="inlineStr">
        <is>
          <t>Nifty Auto</t>
        </is>
      </c>
      <c r="T221" s="32" t="inlineStr"/>
      <c r="U221" s="32" t="inlineStr"/>
      <c r="V221" s="32" t="inlineStr"/>
      <c r="W221" s="32" t="inlineStr"/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Less than 1.5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IF(B222=0,"",RANK(B222,$B$2:$B$371,0))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GULFOILLUB</t>
        </is>
      </c>
      <c r="D222" s="31" t="inlineStr">
        <is>
          <t>Gulf Oil Lubricants India Limited</t>
        </is>
      </c>
      <c r="E222" s="31" t="inlineStr">
        <is>
          <t>chemicals</t>
        </is>
      </c>
      <c r="F222" s="31" t="inlineStr">
        <is>
          <t>chemicals</t>
        </is>
      </c>
      <c r="G222" s="31" t="inlineStr">
        <is>
          <t>midcap</t>
        </is>
      </c>
      <c r="H222" s="32" t="n">
        <v>5826.64</v>
      </c>
      <c r="I222" s="32" t="n">
        <v>1162.1</v>
      </c>
      <c r="J222" s="32" t="n">
        <v>-1.24</v>
      </c>
      <c r="K222" s="32" t="n">
        <v>49652</v>
      </c>
      <c r="L222" s="31" t="inlineStr"/>
      <c r="M222" s="31" t="inlineStr"/>
      <c r="N222" s="32">
        <f>IF(M222="Underperforming",-5,IF(L222&gt;=95,15,IF(L222&gt;=90,10,IF(L222&gt;=80,5,0))))</f>
        <v/>
      </c>
      <c r="O222" s="32" t="n">
        <v>60.57</v>
      </c>
      <c r="P222" s="32" t="n">
        <v>19.81</v>
      </c>
      <c r="Q222" s="32" t="n">
        <v>966.87</v>
      </c>
      <c r="R222" s="31" t="inlineStr">
        <is>
          <t>Earnings / Momentum Support</t>
        </is>
      </c>
      <c r="S222" s="31" t="inlineStr">
        <is>
          <t>Nifty Energy</t>
        </is>
      </c>
      <c r="T222" s="32" t="inlineStr"/>
      <c r="U222" s="32" t="inlineStr"/>
      <c r="V222" s="32" t="inlineStr"/>
      <c r="W222" s="32" t="inlineStr"/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IF(B223=0,"",RANK(B223,$B$2:$B$371,0))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SICALLOG</t>
        </is>
      </c>
      <c r="D223" s="31" t="inlineStr">
        <is>
          <t>Sical Logistics Ltd</t>
        </is>
      </c>
      <c r="E223" s="31" t="inlineStr">
        <is>
          <t>transportation</t>
        </is>
      </c>
      <c r="F223" s="31" t="inlineStr">
        <is>
          <t>miscellaneous</t>
        </is>
      </c>
      <c r="G223" s="31" t="inlineStr">
        <is>
          <t>smallcap</t>
        </is>
      </c>
      <c r="H223" s="32" t="n">
        <v>936.67</v>
      </c>
      <c r="I223" s="32" t="n">
        <v>115.73</v>
      </c>
      <c r="J223" s="32" t="n">
        <v>-1.42</v>
      </c>
      <c r="K223" s="32" t="n">
        <v>47020</v>
      </c>
      <c r="L223" s="31" t="n">
        <v>77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66.93000000000001</v>
      </c>
      <c r="P223" s="32" t="n">
        <v>29.48</v>
      </c>
      <c r="Q223" s="32" t="n">
        <v>84.73999999999999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-1.08</v>
      </c>
      <c r="U223" s="32" t="n">
        <v>10.27</v>
      </c>
      <c r="V223" s="32" t="n">
        <v>11.47</v>
      </c>
      <c r="W223" s="32" t="n">
        <v>22.93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Between 50% to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More than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IF(B224=0,"",RANK(B224,$B$2:$B$371,0))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MOLDTECH</t>
        </is>
      </c>
      <c r="D224" s="31" t="inlineStr">
        <is>
          <t>Mold-tek Technologies Limited</t>
        </is>
      </c>
      <c r="E224" s="31" t="inlineStr">
        <is>
          <t>realty</t>
        </is>
      </c>
      <c r="F224" s="31" t="inlineStr">
        <is>
          <t>engineering - turnkey services</t>
        </is>
      </c>
      <c r="G224" s="31" t="inlineStr">
        <is>
          <t>smallcap</t>
        </is>
      </c>
      <c r="H224" s="32" t="n">
        <v>542.75</v>
      </c>
      <c r="I224" s="32" t="n">
        <v>185.54</v>
      </c>
      <c r="J224" s="32" t="n">
        <v>-1.53</v>
      </c>
      <c r="K224" s="32" t="n">
        <v>38979</v>
      </c>
      <c r="L224" s="31" t="inlineStr"/>
      <c r="M224" s="31" t="inlineStr"/>
      <c r="N224" s="32">
        <f>IF(M224="Underperforming",-5,IF(L224&gt;=95,15,IF(L224&gt;=90,10,IF(L224&gt;=80,5,0))))</f>
        <v/>
      </c>
      <c r="O224" s="32" t="n">
        <v>68.98</v>
      </c>
      <c r="P224" s="32" t="n">
        <v>27.71</v>
      </c>
      <c r="Q224" s="32" t="n">
        <v>138.46</v>
      </c>
      <c r="R224" s="31" t="inlineStr">
        <is>
          <t>Earnings / Momentum Support</t>
        </is>
      </c>
      <c r="S224" s="31" t="inlineStr">
        <is>
          <t>Nifty Realty</t>
        </is>
      </c>
      <c r="T224" s="32" t="inlineStr"/>
      <c r="U224" s="32" t="inlineStr"/>
      <c r="V224" s="32" t="inlineStr"/>
      <c r="W224" s="32" t="inlineStr"/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IF(B225=0,"",RANK(B225,$B$2:$B$371,0))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RAYMOND</t>
        </is>
      </c>
      <c r="D225" s="31" t="inlineStr">
        <is>
          <t>Raymond Limited</t>
        </is>
      </c>
      <c r="E225" s="31" t="inlineStr">
        <is>
          <t>transportation</t>
        </is>
      </c>
      <c r="F225" s="31" t="inlineStr">
        <is>
          <t>transport - airlines</t>
        </is>
      </c>
      <c r="G225" s="31" t="inlineStr">
        <is>
          <t>smallcap</t>
        </is>
      </c>
      <c r="H225" s="32" t="n">
        <v>4274.03</v>
      </c>
      <c r="I225" s="32" t="n">
        <v>632</v>
      </c>
      <c r="J225" s="32" t="n">
        <v>-1.56</v>
      </c>
      <c r="K225" s="32" t="n">
        <v>273396</v>
      </c>
      <c r="L225" s="31" t="n">
        <v>49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63.75</v>
      </c>
      <c r="P225" s="32" t="n">
        <v>39.75</v>
      </c>
      <c r="Q225" s="32" t="n">
        <v>485.45</v>
      </c>
      <c r="R225" s="31" t="inlineStr">
        <is>
          <t>Near 52W High Breakout</t>
        </is>
      </c>
      <c r="S225" s="31" t="inlineStr">
        <is>
          <t>Nifty 50</t>
        </is>
      </c>
      <c r="T225" s="32" t="n">
        <v>-1.08</v>
      </c>
      <c r="U225" s="32" t="n">
        <v>3.84</v>
      </c>
      <c r="V225" s="32" t="n">
        <v>4.97</v>
      </c>
      <c r="W225" s="32" t="n">
        <v>11.14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IF(B226=0,"",RANK(B226,$B$2:$B$371,0))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DMCC</t>
        </is>
      </c>
      <c r="D226" s="33" t="inlineStr">
        <is>
          <t>DMCC Speciality Chemicals Ltd</t>
        </is>
      </c>
      <c r="E226" s="31" t="inlineStr">
        <is>
          <t>chemicals</t>
        </is>
      </c>
      <c r="F226" s="31" t="inlineStr">
        <is>
          <t>chemicals</t>
        </is>
      </c>
      <c r="G226" s="31" t="inlineStr">
        <is>
          <t>smallcap</t>
        </is>
      </c>
      <c r="H226" s="32" t="n">
        <v>749.45</v>
      </c>
      <c r="I226" s="32" t="n">
        <v>292.3</v>
      </c>
      <c r="J226" s="32" t="n">
        <v>-2.73</v>
      </c>
      <c r="K226" s="32" t="n">
        <v>51685</v>
      </c>
      <c r="L226" s="31" t="n">
        <v>1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59.17</v>
      </c>
      <c r="P226" s="32" t="n">
        <v>24.92</v>
      </c>
      <c r="Q226" s="32" t="n">
        <v>227.39</v>
      </c>
      <c r="R226" s="31" t="inlineStr">
        <is>
          <t>Volume Spike / Accumulation</t>
        </is>
      </c>
      <c r="S226" s="31" t="inlineStr">
        <is>
          <t>Nifty 50</t>
        </is>
      </c>
      <c r="T226" s="32" t="n">
        <v>-1.08</v>
      </c>
      <c r="U226" s="32" t="n">
        <v>-13.66</v>
      </c>
      <c r="V226" s="32" t="n">
        <v>-12.72</v>
      </c>
      <c r="W226" s="32" t="n">
        <v>-3.02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IF(B227=0,"",RANK(B227,$B$2:$B$371,0))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KANPRPLA</t>
        </is>
      </c>
      <c r="D227" s="31" t="inlineStr">
        <is>
          <t>Kanpur Plastipack Ltd</t>
        </is>
      </c>
      <c r="E227" s="31" t="inlineStr">
        <is>
          <t>industrials</t>
        </is>
      </c>
      <c r="F227" s="31" t="inlineStr">
        <is>
          <t>packaging</t>
        </is>
      </c>
      <c r="G227" s="31" t="inlineStr">
        <is>
          <t>smallcap</t>
        </is>
      </c>
      <c r="H227" s="32" t="n">
        <v>637.38</v>
      </c>
      <c r="I227" s="32" t="n">
        <v>251.18</v>
      </c>
      <c r="J227" s="32" t="n">
        <v>-3.53</v>
      </c>
      <c r="K227" s="32" t="n">
        <v>88216</v>
      </c>
      <c r="L227" s="31" t="n">
        <v>40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68.79000000000001</v>
      </c>
      <c r="P227" s="32" t="n">
        <v>15.09</v>
      </c>
      <c r="Q227" s="32" t="n">
        <v>175.12</v>
      </c>
      <c r="R227" s="31" t="inlineStr">
        <is>
          <t>Volume Spike &amp; Near 52W High Breakout</t>
        </is>
      </c>
      <c r="S227" s="31" t="inlineStr">
        <is>
          <t>Nifty 50</t>
        </is>
      </c>
      <c r="T227" s="32" t="n">
        <v>-1.08</v>
      </c>
      <c r="U227" s="32" t="n">
        <v>16.82</v>
      </c>
      <c r="V227" s="32" t="n">
        <v>18.09</v>
      </c>
      <c r="W227" s="32" t="n">
        <v>8.83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IF(B228=0,"",RANK(B228,$B$2:$B$371,0))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TCPLPACK</t>
        </is>
      </c>
      <c r="D228" s="31" t="inlineStr">
        <is>
          <t>TCPL Packaging Ltd</t>
        </is>
      </c>
      <c r="E228" s="31" t="inlineStr">
        <is>
          <t>industrials</t>
        </is>
      </c>
      <c r="F228" s="31" t="inlineStr">
        <is>
          <t>packaging</t>
        </is>
      </c>
      <c r="G228" s="31" t="inlineStr">
        <is>
          <t>smallcap</t>
        </is>
      </c>
      <c r="H228" s="32" t="n">
        <v>3872.23</v>
      </c>
      <c r="I228" s="32" t="n">
        <v>4088.8</v>
      </c>
      <c r="J228" s="32" t="n">
        <v>-3.91</v>
      </c>
      <c r="K228" s="32" t="n">
        <v>15485</v>
      </c>
      <c r="L228" s="31" t="inlineStr"/>
      <c r="M228" s="31" t="inlineStr"/>
      <c r="N228" s="32">
        <f>IF(M228="Underperforming",-5,IF(L228&gt;=95,15,IF(L228&gt;=90,10,IF(L228&gt;=80,5,0))))</f>
        <v/>
      </c>
      <c r="O228" s="32" t="n">
        <v>77.05</v>
      </c>
      <c r="P228" s="32" t="n">
        <v>25.55</v>
      </c>
      <c r="Q228" s="32" t="n">
        <v>3120.69</v>
      </c>
      <c r="R228" s="31" t="inlineStr">
        <is>
          <t>Volume Spike &amp; Near 52W High Breakout</t>
        </is>
      </c>
      <c r="S228" s="31" t="inlineStr">
        <is>
          <t>Nifty Infra</t>
        </is>
      </c>
      <c r="T228" s="32" t="inlineStr"/>
      <c r="U228" s="32" t="inlineStr"/>
      <c r="V228" s="32" t="inlineStr"/>
      <c r="W228" s="32" t="inlineStr"/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20 to 40</t>
        </is>
      </c>
      <c r="AY228" s="31">
        <f>IF(AX228="Above 40",20,IF(AX228="20 to 40",10,IF(AX228="0 to 20",-5,0)))</f>
        <v/>
      </c>
      <c r="AZ228" s="31" t="inlineStr">
        <is>
          <t>Above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Between 0.7 to 1.2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IF(B229=0,"",RANK(B229,$B$2:$B$371,0))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UEL</t>
        </is>
      </c>
      <c r="D229" s="31" t="inlineStr">
        <is>
          <t>Ujaas Energy Ltd</t>
        </is>
      </c>
      <c r="E229" s="31" t="inlineStr">
        <is>
          <t>power &amp; utilities</t>
        </is>
      </c>
      <c r="F229" s="31" t="inlineStr">
        <is>
          <t>power generation and supply</t>
        </is>
      </c>
      <c r="G229" s="31" t="inlineStr">
        <is>
          <t>smallcap</t>
        </is>
      </c>
      <c r="H229" s="32" t="n">
        <v>3288.26</v>
      </c>
      <c r="I229" s="32" t="n">
        <v>234.18</v>
      </c>
      <c r="J229" s="32" t="n">
        <v>-5</v>
      </c>
      <c r="K229" s="32" t="n">
        <v>2897</v>
      </c>
      <c r="L229" s="31" t="n">
        <v>89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69.58</v>
      </c>
      <c r="P229" s="32" t="n">
        <v>15.64</v>
      </c>
      <c r="Q229" s="32" t="n">
        <v>180.07</v>
      </c>
      <c r="R229" s="31" t="inlineStr">
        <is>
          <t>Volume Spike / Accumulation</t>
        </is>
      </c>
      <c r="S229" s="31" t="inlineStr">
        <is>
          <t>Nifty IT</t>
        </is>
      </c>
      <c r="T229" s="32" t="n">
        <v>-9.98</v>
      </c>
      <c r="U229" s="32" t="n">
        <v>91.61</v>
      </c>
      <c r="V229" s="32" t="n">
        <v>112.85</v>
      </c>
      <c r="W229" s="32" t="n">
        <v>29.68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0 to 20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IF(B230=0,"",RANK(B230,$B$2:$B$371,0))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UGARSUGAR</t>
        </is>
      </c>
      <c r="D230" s="31" t="inlineStr">
        <is>
          <t>The Ugar Sugar Works Limited</t>
        </is>
      </c>
      <c r="E230" s="31" t="inlineStr">
        <is>
          <t>fmcg</t>
        </is>
      </c>
      <c r="F230" s="31" t="inlineStr">
        <is>
          <t>sugar</t>
        </is>
      </c>
      <c r="G230" s="31" t="inlineStr">
        <is>
          <t>smallcap</t>
        </is>
      </c>
      <c r="H230" s="32" t="n">
        <v>523.01</v>
      </c>
      <c r="I230" s="32" t="n">
        <v>48.19</v>
      </c>
      <c r="J230" s="32" t="n">
        <v>3.66</v>
      </c>
      <c r="K230" s="32" t="n">
        <v>1339458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70.64</v>
      </c>
      <c r="P230" s="32" t="n">
        <v>14.68</v>
      </c>
      <c r="Q230" s="32" t="n">
        <v>36.45</v>
      </c>
      <c r="R230" s="31" t="inlineStr">
        <is>
          <t>Volume Spike &amp; Near 52W High Breakout</t>
        </is>
      </c>
      <c r="S230" s="31" t="inlineStr">
        <is>
          <t>Nifty FMCG</t>
        </is>
      </c>
      <c r="T230" s="32" t="inlineStr"/>
      <c r="U230" s="32" t="inlineStr"/>
      <c r="V230" s="32" t="inlineStr"/>
      <c r="W230" s="32" t="inlineStr"/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B2C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More than 1.2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IF(B231=0,"",RANK(B231,$B$2:$B$371,0))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3" t="inlineStr">
        <is>
          <t>ANTHEM</t>
        </is>
      </c>
      <c r="D231" s="33" t="inlineStr">
        <is>
          <t>Anthem Biosciences Ltd</t>
        </is>
      </c>
      <c r="E231" s="31" t="inlineStr">
        <is>
          <t>healthcare</t>
        </is>
      </c>
      <c r="F231" s="31" t="inlineStr">
        <is>
          <t>pharmaceuticals - indian - bulk drugs &amp; formln</t>
        </is>
      </c>
      <c r="G231" s="31" t="inlineStr">
        <is>
          <t>largecap</t>
        </is>
      </c>
      <c r="H231" s="32" t="n">
        <v>49290.53</v>
      </c>
      <c r="I231" s="32" t="n">
        <v>890.1</v>
      </c>
      <c r="J231" s="32" t="n">
        <v>1.74</v>
      </c>
      <c r="K231" s="32" t="n">
        <v>390266</v>
      </c>
      <c r="L231" s="31" t="n">
        <v>24</v>
      </c>
      <c r="M231" s="31" t="inlineStr">
        <is>
          <t>Underperforming</t>
        </is>
      </c>
      <c r="N231" s="32">
        <f>IF(M231="Underperforming",-5,IF(L231&gt;=95,15,IF(L231&gt;=90,10,IF(L231&gt;=80,5,0))))</f>
        <v/>
      </c>
      <c r="O231" s="32" t="n">
        <v>70.77</v>
      </c>
      <c r="P231" s="32" t="n">
        <v>37.4</v>
      </c>
      <c r="Q231" s="32" t="n">
        <v>745.21</v>
      </c>
      <c r="R231" s="31" t="inlineStr">
        <is>
          <t>Near 52W High Breakout</t>
        </is>
      </c>
      <c r="S231" s="31" t="inlineStr">
        <is>
          <t>Nifty Pharma</t>
        </is>
      </c>
      <c r="T231" s="32" t="n">
        <v>19.38</v>
      </c>
      <c r="U231" s="32" t="n">
        <v>8.18</v>
      </c>
      <c r="V231" s="32" t="n">
        <v>-9.390000000000001</v>
      </c>
      <c r="W231" s="32" t="n">
        <v>5.06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IF(B232=0,"",RANK(B232,$B$2:$B$371,0))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3" t="inlineStr">
        <is>
          <t>MEDANTA</t>
        </is>
      </c>
      <c r="D232" s="33" t="inlineStr">
        <is>
          <t>Global Health Ltd</t>
        </is>
      </c>
      <c r="E232" s="31" t="inlineStr">
        <is>
          <t>healthcare</t>
        </is>
      </c>
      <c r="F232" s="31" t="inlineStr">
        <is>
          <t>healthcare</t>
        </is>
      </c>
      <c r="G232" s="31" t="inlineStr">
        <is>
          <t>largecap</t>
        </is>
      </c>
      <c r="H232" s="32" t="n">
        <v>37921.68</v>
      </c>
      <c r="I232" s="32" t="n">
        <v>1422.6</v>
      </c>
      <c r="J232" s="32" t="n">
        <v>0.87</v>
      </c>
      <c r="K232" s="32" t="n">
        <v>296265</v>
      </c>
      <c r="L232" s="31" t="n">
        <v>19</v>
      </c>
      <c r="M232" s="31" t="inlineStr">
        <is>
          <t>Underperforming</t>
        </is>
      </c>
      <c r="N232" s="32">
        <f>IF(M232="Underperforming",-5,IF(L232&gt;=95,15,IF(L232&gt;=90,10,IF(L232&gt;=80,5,0))))</f>
        <v/>
      </c>
      <c r="O232" s="32" t="n">
        <v>67.04000000000001</v>
      </c>
      <c r="P232" s="32" t="n">
        <v>21.86</v>
      </c>
      <c r="Q232" s="32" t="n">
        <v>1225.11</v>
      </c>
      <c r="R232" s="31" t="inlineStr">
        <is>
          <t>Near 52W High Breakout</t>
        </is>
      </c>
      <c r="S232" s="31" t="inlineStr">
        <is>
          <t>Nifty Pharma</t>
        </is>
      </c>
      <c r="T232" s="32" t="n">
        <v>19.38</v>
      </c>
      <c r="U232" s="32" t="n">
        <v>3.57</v>
      </c>
      <c r="V232" s="32" t="n">
        <v>-13.25</v>
      </c>
      <c r="W232" s="32" t="n">
        <v>4.11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IF(B233=0,"",RANK(B233,$B$2:$B$371,0))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3" t="inlineStr">
        <is>
          <t>GLAXO</t>
        </is>
      </c>
      <c r="D233" s="33" t="inlineStr">
        <is>
          <t>Glaxosmithkline Pharmaceuticals Limited</t>
        </is>
      </c>
      <c r="E233" s="31" t="inlineStr">
        <is>
          <t>healthcare</t>
        </is>
      </c>
      <c r="F233" s="31" t="inlineStr">
        <is>
          <t>pharmaceuticals - multinational</t>
        </is>
      </c>
      <c r="G233" s="31" t="inlineStr">
        <is>
          <t>largecap</t>
        </is>
      </c>
      <c r="H233" s="32" t="n">
        <v>45192.45</v>
      </c>
      <c r="I233" s="32" t="n">
        <v>2688.8</v>
      </c>
      <c r="J233" s="32" t="n">
        <v>0.79</v>
      </c>
      <c r="K233" s="32" t="n">
        <v>94952</v>
      </c>
      <c r="L233" s="31" t="n">
        <v>16</v>
      </c>
      <c r="M233" s="31" t="inlineStr">
        <is>
          <t>Underperforming</t>
        </is>
      </c>
      <c r="N233" s="32">
        <f>IF(M233="Underperforming",-5,IF(L233&gt;=95,15,IF(L233&gt;=90,10,IF(L233&gt;=80,5,0))))</f>
        <v/>
      </c>
      <c r="O233" s="32" t="n">
        <v>63.66</v>
      </c>
      <c r="P233" s="32" t="n">
        <v>20.57</v>
      </c>
      <c r="Q233" s="32" t="n">
        <v>2267.42</v>
      </c>
      <c r="R233" s="31" t="inlineStr">
        <is>
          <t>Near 52W High Breakout</t>
        </is>
      </c>
      <c r="S233" s="31" t="inlineStr">
        <is>
          <t>Nifty Pharma</t>
        </is>
      </c>
      <c r="T233" s="32" t="n">
        <v>19.38</v>
      </c>
      <c r="U233" s="32" t="n">
        <v>-0.45</v>
      </c>
      <c r="V233" s="32" t="n">
        <v>-16.61</v>
      </c>
      <c r="W233" s="32" t="n">
        <v>2.86</v>
      </c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Yes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Annuity, Lower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Between 12 to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Above 70%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IF(B234=0,"",RANK(B234,$B$2:$B$371,0))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MAGADSUGAR</t>
        </is>
      </c>
      <c r="D234" s="31" t="inlineStr">
        <is>
          <t>Magadh Sugar &amp; Energy Ltd</t>
        </is>
      </c>
      <c r="E234" s="31" t="inlineStr">
        <is>
          <t>fmcg</t>
        </is>
      </c>
      <c r="F234" s="31" t="inlineStr">
        <is>
          <t>sugar</t>
        </is>
      </c>
      <c r="G234" s="31" t="inlineStr">
        <is>
          <t>smallcap</t>
        </is>
      </c>
      <c r="H234" s="32" t="n">
        <v>764.96</v>
      </c>
      <c r="I234" s="32" t="n">
        <v>543.95</v>
      </c>
      <c r="J234" s="32" t="n">
        <v>0.2</v>
      </c>
      <c r="K234" s="32" t="n">
        <v>26991</v>
      </c>
      <c r="L234" s="31" t="inlineStr"/>
      <c r="M234" s="31" t="inlineStr"/>
      <c r="N234" s="32">
        <f>IF(M234="Underperforming",-5,IF(L234&gt;=95,15,IF(L234&gt;=90,10,IF(L234&gt;=80,5,0))))</f>
        <v/>
      </c>
      <c r="O234" s="32" t="n">
        <v>65.76000000000001</v>
      </c>
      <c r="P234" s="32" t="n">
        <v>14.73</v>
      </c>
      <c r="Q234" s="32" t="n">
        <v>421.99</v>
      </c>
      <c r="R234" s="31" t="inlineStr">
        <is>
          <t>Near 52W High Breakout</t>
        </is>
      </c>
      <c r="S234" s="31" t="inlineStr">
        <is>
          <t>Nifty FMCG</t>
        </is>
      </c>
      <c r="T234" s="32" t="inlineStr"/>
      <c r="U234" s="32" t="inlineStr"/>
      <c r="V234" s="32" t="inlineStr"/>
      <c r="W234" s="32" t="inlineStr"/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B2C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0 to 20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IF(B235=0,"",RANK(B235,$B$2:$B$371,0))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3IINFOLTD</t>
        </is>
      </c>
      <c r="D235" s="31" t="inlineStr">
        <is>
          <t>3i Infotech Ltd</t>
        </is>
      </c>
      <c r="E235" s="31" t="inlineStr">
        <is>
          <t>i.t</t>
        </is>
      </c>
      <c r="F235" s="31" t="inlineStr">
        <is>
          <t>computers - software - medium / small</t>
        </is>
      </c>
      <c r="G235" s="31" t="inlineStr">
        <is>
          <t>smallcap</t>
        </is>
      </c>
      <c r="H235" s="32" t="n">
        <v>558.54</v>
      </c>
      <c r="I235" s="32" t="n">
        <v>26.95</v>
      </c>
      <c r="J235" s="32" t="n">
        <v>0.07000000000000001</v>
      </c>
      <c r="K235" s="32" t="n">
        <v>735206</v>
      </c>
      <c r="L235" s="31" t="n">
        <v>67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82.19</v>
      </c>
      <c r="P235" s="32" t="n">
        <v>39.86</v>
      </c>
      <c r="Q235" s="32" t="n">
        <v>21.87</v>
      </c>
      <c r="R235" s="31" t="inlineStr">
        <is>
          <t>Volume Spike &amp; Near 52W High Breakout</t>
        </is>
      </c>
      <c r="S235" s="31" t="inlineStr">
        <is>
          <t>Nifty IT</t>
        </is>
      </c>
      <c r="T235" s="32" t="n">
        <v>-9.98</v>
      </c>
      <c r="U235" s="32" t="n">
        <v>21.4</v>
      </c>
      <c r="V235" s="32" t="n">
        <v>34.85</v>
      </c>
      <c r="W235" s="32" t="n">
        <v>17.3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Above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IF(B236=0,"",RANK(B236,$B$2:$B$371,0))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GLENMARK</t>
        </is>
      </c>
      <c r="D236" s="33" t="inlineStr">
        <is>
          <t>Glenmark Pharmaceuticals Limited</t>
        </is>
      </c>
      <c r="E236" s="31" t="inlineStr">
        <is>
          <t>healthcare</t>
        </is>
      </c>
      <c r="F236" s="31" t="inlineStr">
        <is>
          <t>pharmaceuticals - indian - bulk drugs &amp; formln</t>
        </is>
      </c>
      <c r="G236" s="31" t="inlineStr">
        <is>
          <t>largecap</t>
        </is>
      </c>
      <c r="H236" s="32" t="n">
        <v>65470.59</v>
      </c>
      <c r="I236" s="32" t="n">
        <v>2318.4</v>
      </c>
      <c r="J236" s="32" t="n">
        <v>-0.07000000000000001</v>
      </c>
      <c r="K236" s="32" t="n">
        <v>1256057</v>
      </c>
      <c r="L236" s="31" t="n">
        <v>15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59.95</v>
      </c>
      <c r="P236" s="32" t="n">
        <v>18.92</v>
      </c>
      <c r="Q236" s="32" t="n">
        <v>1958.81</v>
      </c>
      <c r="R236" s="31" t="inlineStr">
        <is>
          <t>Near 52W High Breakout</t>
        </is>
      </c>
      <c r="S236" s="31" t="inlineStr">
        <is>
          <t>Nifty Pharma</t>
        </is>
      </c>
      <c r="T236" s="32" t="n">
        <v>19.38</v>
      </c>
      <c r="U236" s="32" t="n">
        <v>13.67</v>
      </c>
      <c r="V236" s="32" t="n">
        <v>-4.79</v>
      </c>
      <c r="W236" s="32" t="n">
        <v>2.82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No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IF(B237=0,"",RANK(B237,$B$2:$B$371,0))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RGL</t>
        </is>
      </c>
      <c r="D237" s="31" t="inlineStr">
        <is>
          <t>Renaissance Global Ltd</t>
        </is>
      </c>
      <c r="E237" s="31" t="inlineStr">
        <is>
          <t>consumer discretionary</t>
        </is>
      </c>
      <c r="F237" s="31" t="inlineStr">
        <is>
          <t>diamond cutting / jewellery</t>
        </is>
      </c>
      <c r="G237" s="31" t="inlineStr">
        <is>
          <t>smallcap</t>
        </is>
      </c>
      <c r="H237" s="32" t="n">
        <v>1193.29</v>
      </c>
      <c r="I237" s="32" t="n">
        <v>123.03</v>
      </c>
      <c r="J237" s="32" t="n">
        <v>10.7</v>
      </c>
      <c r="K237" s="32" t="n">
        <v>5685158</v>
      </c>
      <c r="L237" s="31" t="n">
        <v>40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58.14</v>
      </c>
      <c r="P237" s="32" t="n">
        <v>14.88</v>
      </c>
      <c r="Q237" s="32" t="n">
        <v>89.72</v>
      </c>
      <c r="R237" s="31" t="inlineStr">
        <is>
          <t>Volume Spike / Accumulation</t>
        </is>
      </c>
      <c r="S237" s="31" t="inlineStr">
        <is>
          <t>Nifty 50</t>
        </is>
      </c>
      <c r="T237" s="32" t="n">
        <v>-1.08</v>
      </c>
      <c r="U237" s="32" t="n">
        <v>16.42</v>
      </c>
      <c r="V237" s="32" t="n">
        <v>17.69</v>
      </c>
      <c r="W237" s="32" t="n">
        <v>8.720000000000001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IF(B238=0,"",RANK(B238,$B$2:$B$371,0))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VSSL</t>
        </is>
      </c>
      <c r="D238" s="31" t="inlineStr">
        <is>
          <t>Vardhman Special Steels Limited</t>
        </is>
      </c>
      <c r="E238" s="31" t="inlineStr">
        <is>
          <t>metals &amp; mining</t>
        </is>
      </c>
      <c r="F238" s="31" t="inlineStr">
        <is>
          <t>steel - medium / small</t>
        </is>
      </c>
      <c r="G238" s="31" t="inlineStr">
        <is>
          <t>smallcap</t>
        </is>
      </c>
      <c r="H238" s="32" t="n">
        <v>3163.07</v>
      </c>
      <c r="I238" s="32" t="n">
        <v>353.35</v>
      </c>
      <c r="J238" s="32" t="n">
        <v>8.01</v>
      </c>
      <c r="K238" s="32" t="n">
        <v>784944</v>
      </c>
      <c r="L238" s="31" t="inlineStr"/>
      <c r="M238" s="31" t="inlineStr"/>
      <c r="N238" s="32">
        <f>IF(M238="Underperforming",-5,IF(L238&gt;=95,15,IF(L238&gt;=90,10,IF(L238&gt;=80,5,0))))</f>
        <v/>
      </c>
      <c r="O238" s="32" t="n">
        <v>76.81</v>
      </c>
      <c r="P238" s="32" t="n">
        <v>24.7</v>
      </c>
      <c r="Q238" s="32" t="n">
        <v>283.81</v>
      </c>
      <c r="R238" s="31" t="inlineStr">
        <is>
          <t>Volume Spike &amp; Near 52W High Breakout</t>
        </is>
      </c>
      <c r="S238" s="31" t="inlineStr">
        <is>
          <t>Nifty Metal</t>
        </is>
      </c>
      <c r="T238" s="32" t="inlineStr"/>
      <c r="U238" s="32" t="inlineStr"/>
      <c r="V238" s="32" t="inlineStr"/>
      <c r="W238" s="32" t="inlineStr"/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Cyclical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Volatile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Above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IF(B239=0,"",RANK(B239,$B$2:$B$371,0))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KABRAEXTRU</t>
        </is>
      </c>
      <c r="D239" s="31" t="inlineStr">
        <is>
          <t>Kabra Extrusion Technik Limited</t>
        </is>
      </c>
      <c r="E239" s="31" t="inlineStr">
        <is>
          <t>industrials</t>
        </is>
      </c>
      <c r="F239" s="31" t="inlineStr">
        <is>
          <t>engineering</t>
        </is>
      </c>
      <c r="G239" s="31" t="inlineStr">
        <is>
          <t>smallcap</t>
        </is>
      </c>
      <c r="H239" s="32" t="n">
        <v>1693.73</v>
      </c>
      <c r="I239" s="32" t="n">
        <v>517.4</v>
      </c>
      <c r="J239" s="32" t="n">
        <v>6.83</v>
      </c>
      <c r="K239" s="32" t="n">
        <v>485598</v>
      </c>
      <c r="L239" s="31" t="inlineStr"/>
      <c r="M239" s="31" t="inlineStr"/>
      <c r="N239" s="32">
        <f>IF(M239="Underperforming",-5,IF(L239&gt;=95,15,IF(L239&gt;=90,10,IF(L239&gt;=80,5,0))))</f>
        <v/>
      </c>
      <c r="O239" s="32" t="n">
        <v>84.75</v>
      </c>
      <c r="P239" s="32" t="n">
        <v>33.69</v>
      </c>
      <c r="Q239" s="32" t="n">
        <v>390.79</v>
      </c>
      <c r="R239" s="31" t="inlineStr">
        <is>
          <t>Volume Spike &amp; Near 52W High Breakout</t>
        </is>
      </c>
      <c r="S239" s="31" t="inlineStr">
        <is>
          <t>Nifty Infra</t>
        </is>
      </c>
      <c r="T239" s="32" t="inlineStr"/>
      <c r="U239" s="32" t="inlineStr"/>
      <c r="V239" s="32" t="inlineStr"/>
      <c r="W239" s="32" t="inlineStr"/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Above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Yes</t>
        </is>
      </c>
      <c r="BS239" s="31">
        <f>IF(BR239="NO",5,0)</f>
        <v/>
      </c>
      <c r="BT239" s="31" t="inlineStr">
        <is>
          <t>Above 2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IF(B240=0,"",RANK(B240,$B$2:$B$371,0))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DOLPHIN</t>
        </is>
      </c>
      <c r="D240" s="31" t="inlineStr">
        <is>
          <t>Dolphin Offshore Enterprises (India) Ltd</t>
        </is>
      </c>
      <c r="E240" s="31" t="inlineStr">
        <is>
          <t>energy</t>
        </is>
      </c>
      <c r="F240" s="31" t="inlineStr">
        <is>
          <t>oil drilling / allied services</t>
        </is>
      </c>
      <c r="G240" s="31" t="inlineStr">
        <is>
          <t>smallcap</t>
        </is>
      </c>
      <c r="H240" s="32" t="n">
        <v>1939.82</v>
      </c>
      <c r="I240" s="32" t="n">
        <v>508.1</v>
      </c>
      <c r="J240" s="32" t="n">
        <v>4.78</v>
      </c>
      <c r="K240" s="32" t="n">
        <v>56787</v>
      </c>
      <c r="L240" s="31" t="inlineStr"/>
      <c r="M240" s="31" t="inlineStr"/>
      <c r="N240" s="32">
        <f>IF(M240="Underperforming",-5,IF(L240&gt;=95,15,IF(L240&gt;=90,10,IF(L240&gt;=80,5,0))))</f>
        <v/>
      </c>
      <c r="O240" s="32" t="n">
        <v>71.95</v>
      </c>
      <c r="P240" s="32" t="n">
        <v>27.74</v>
      </c>
      <c r="Q240" s="32" t="n">
        <v>379.8</v>
      </c>
      <c r="R240" s="31" t="inlineStr">
        <is>
          <t>Volume Spike &amp; Near 52W High Breakout</t>
        </is>
      </c>
      <c r="S240" s="31" t="inlineStr">
        <is>
          <t>Nifty Energy</t>
        </is>
      </c>
      <c r="T240" s="32" t="inlineStr"/>
      <c r="U240" s="32" t="inlineStr"/>
      <c r="V240" s="32" t="inlineStr"/>
      <c r="W240" s="32" t="inlineStr"/>
      <c r="X240" s="31" t="inlineStr">
        <is>
          <t>Cyclical in an Upturn</t>
        </is>
      </c>
      <c r="Y240" s="31">
        <f>IF(X240="Growing Industry",10,IF(X240="Cyclical in an Upturn",5,0))</f>
        <v/>
      </c>
      <c r="Z240" s="31" t="inlineStr">
        <is>
          <t>Oligopoly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Cyclical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Volatile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IF(B241=0,"",RANK(B241,$B$2:$B$371,0))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SUMICHEM</t>
        </is>
      </c>
      <c r="D241" s="33" t="inlineStr">
        <is>
          <t>Sumitomo Chemical India Ltd</t>
        </is>
      </c>
      <c r="E241" s="31" t="inlineStr">
        <is>
          <t>chemicals</t>
        </is>
      </c>
      <c r="F241" s="31" t="inlineStr">
        <is>
          <t>pesticides / agrochemicals - indian</t>
        </is>
      </c>
      <c r="G241" s="31" t="inlineStr">
        <is>
          <t>largecap</t>
        </is>
      </c>
      <c r="H241" s="32" t="n">
        <v>27103.61</v>
      </c>
      <c r="I241" s="32" t="n">
        <v>564.95</v>
      </c>
      <c r="J241" s="32" t="n">
        <v>4.04</v>
      </c>
      <c r="K241" s="32" t="n">
        <v>487672</v>
      </c>
      <c r="L241" s="31" t="n">
        <v>26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65.19</v>
      </c>
      <c r="P241" s="32" t="n">
        <v>32.95</v>
      </c>
      <c r="Q241" s="32" t="n">
        <v>442.77</v>
      </c>
      <c r="R241" s="31" t="inlineStr">
        <is>
          <t>Earnings / Momentum Support</t>
        </is>
      </c>
      <c r="S241" s="31" t="inlineStr">
        <is>
          <t>Nifty 50</t>
        </is>
      </c>
      <c r="T241" s="32" t="n">
        <v>-1.08</v>
      </c>
      <c r="U241" s="32" t="n">
        <v>-3.43</v>
      </c>
      <c r="V241" s="32" t="n">
        <v>-2.38</v>
      </c>
      <c r="W241" s="32" t="n">
        <v>5.29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No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IF(B242=0,"",RANK(B242,$B$2:$B$371,0))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INDOTECH</t>
        </is>
      </c>
      <c r="D242" s="31" t="inlineStr">
        <is>
          <t>Indo Tech Transformers Limited</t>
        </is>
      </c>
      <c r="E242" s="31" t="inlineStr">
        <is>
          <t>industrials</t>
        </is>
      </c>
      <c r="F242" s="31" t="inlineStr">
        <is>
          <t>electric equipment</t>
        </is>
      </c>
      <c r="G242" s="31" t="inlineStr">
        <is>
          <t>smallcap</t>
        </is>
      </c>
      <c r="H242" s="32" t="n">
        <v>3658.8</v>
      </c>
      <c r="I242" s="32" t="n">
        <v>3558.1</v>
      </c>
      <c r="J242" s="32" t="n">
        <v>3.28</v>
      </c>
      <c r="K242" s="32" t="n">
        <v>23021</v>
      </c>
      <c r="L242" s="31" t="n">
        <v>84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71.04000000000001</v>
      </c>
      <c r="P242" s="32" t="n">
        <v>49.93</v>
      </c>
      <c r="Q242" s="32" t="n">
        <v>2786.78</v>
      </c>
      <c r="R242" s="31" t="inlineStr">
        <is>
          <t>Earnings / Momentum Support</t>
        </is>
      </c>
      <c r="S242" s="31" t="inlineStr">
        <is>
          <t>Nifty 50</t>
        </is>
      </c>
      <c r="T242" s="32" t="n">
        <v>-1.08</v>
      </c>
      <c r="U242" s="32" t="n">
        <v>86.67</v>
      </c>
      <c r="V242" s="32" t="n">
        <v>88.7</v>
      </c>
      <c r="W242" s="32" t="n">
        <v>26.85</v>
      </c>
      <c r="X242" s="31" t="inlineStr">
        <is>
          <t>Cyclical in an Upturn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Above 40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Between 12 to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Less than 50%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IF(B243=0,"",RANK(B243,$B$2:$B$371,0))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PREMIERPOL</t>
        </is>
      </c>
      <c r="D243" s="31" t="inlineStr">
        <is>
          <t>Premier Polyfilm Limited</t>
        </is>
      </c>
      <c r="E243" s="31" t="inlineStr">
        <is>
          <t>plastic products</t>
        </is>
      </c>
      <c r="F243" s="31" t="inlineStr">
        <is>
          <t>plastics products</t>
        </is>
      </c>
      <c r="G243" s="31" t="inlineStr">
        <is>
          <t>smallcap</t>
        </is>
      </c>
      <c r="H243" s="32" t="n">
        <v>759.17</v>
      </c>
      <c r="I243" s="32" t="n">
        <v>74.5</v>
      </c>
      <c r="J243" s="32" t="n">
        <v>2.79</v>
      </c>
      <c r="K243" s="32" t="n">
        <v>122816</v>
      </c>
      <c r="L243" s="31" t="n">
        <v>70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62.6</v>
      </c>
      <c r="P243" s="32" t="n">
        <v>49.67</v>
      </c>
      <c r="Q243" s="32" t="n">
        <v>54.37</v>
      </c>
      <c r="R243" s="31" t="inlineStr">
        <is>
          <t>Earnings / Momentum Support</t>
        </is>
      </c>
      <c r="S243" s="31" t="inlineStr">
        <is>
          <t>Nifty 50</t>
        </is>
      </c>
      <c r="T243" s="32" t="n">
        <v>-1.08</v>
      </c>
      <c r="U243" s="32" t="n">
        <v>54.07</v>
      </c>
      <c r="V243" s="32" t="n">
        <v>55.74</v>
      </c>
      <c r="W243" s="32" t="n">
        <v>18.65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Above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IF(B244=0,"",RANK(B244,$B$2:$B$371,0))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TBOTEK</t>
        </is>
      </c>
      <c r="D244" s="31" t="inlineStr">
        <is>
          <t>TBO Tek Ltd</t>
        </is>
      </c>
      <c r="E244" s="31" t="inlineStr">
        <is>
          <t>i.t</t>
        </is>
      </c>
      <c r="F244" s="31" t="inlineStr">
        <is>
          <t>travel agencies</t>
        </is>
      </c>
      <c r="G244" s="31" t="inlineStr">
        <is>
          <t>midcap</t>
        </is>
      </c>
      <c r="H244" s="32" t="n">
        <v>17427.25</v>
      </c>
      <c r="I244" s="32" t="n">
        <v>1633.3</v>
      </c>
      <c r="J244" s="32" t="n">
        <v>1.77</v>
      </c>
      <c r="K244" s="32" t="n">
        <v>224149</v>
      </c>
      <c r="L244" s="31" t="n">
        <v>53</v>
      </c>
      <c r="M244" s="31" t="inlineStr">
        <is>
          <t>Outperforming</t>
        </is>
      </c>
      <c r="N244" s="32">
        <f>IF(M244="Underperforming",-5,IF(L244&gt;=95,15,IF(L244&gt;=90,10,IF(L244&gt;=80,5,0))))</f>
        <v/>
      </c>
      <c r="O244" s="32" t="n">
        <v>64.98999999999999</v>
      </c>
      <c r="P244" s="32" t="n">
        <v>19.95</v>
      </c>
      <c r="Q244" s="32" t="n">
        <v>1274.53</v>
      </c>
      <c r="R244" s="31" t="inlineStr">
        <is>
          <t>Near 52W High Breakout</t>
        </is>
      </c>
      <c r="S244" s="31" t="inlineStr">
        <is>
          <t>Nifty IT</t>
        </is>
      </c>
      <c r="T244" s="32" t="n">
        <v>-9.98</v>
      </c>
      <c r="U244" s="32" t="n">
        <v>13.11</v>
      </c>
      <c r="V244" s="32" t="n">
        <v>25.65</v>
      </c>
      <c r="W244" s="32" t="n">
        <v>12.11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Above 2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IF(B245=0,"",RANK(B245,$B$2:$B$371,0))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ROSSTECH</t>
        </is>
      </c>
      <c r="D245" s="31" t="inlineStr">
        <is>
          <t>Rossell Techsys Ltd</t>
        </is>
      </c>
      <c r="E245" s="31" t="inlineStr">
        <is>
          <t>aerospace &amp; defence</t>
        </is>
      </c>
      <c r="F245" s="31" t="inlineStr">
        <is>
          <t>engineering</t>
        </is>
      </c>
      <c r="G245" s="31" t="inlineStr">
        <is>
          <t>smallcap</t>
        </is>
      </c>
      <c r="H245" s="32" t="n">
        <v>3985.08</v>
      </c>
      <c r="I245" s="32" t="n">
        <v>1073.45</v>
      </c>
      <c r="J245" s="32" t="n">
        <v>1.54</v>
      </c>
      <c r="K245" s="32" t="n">
        <v>156621</v>
      </c>
      <c r="L245" s="31" t="n">
        <v>65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61.52</v>
      </c>
      <c r="P245" s="32" t="n">
        <v>28.79</v>
      </c>
      <c r="Q245" s="32" t="n">
        <v>754.3099999999999</v>
      </c>
      <c r="R245" s="31" t="inlineStr">
        <is>
          <t>Near 52W High Breakout</t>
        </is>
      </c>
      <c r="S245" s="31" t="inlineStr">
        <is>
          <t>Nifty 50</t>
        </is>
      </c>
      <c r="T245" s="32" t="n">
        <v>-1.08</v>
      </c>
      <c r="U245" s="32" t="n">
        <v>75.81</v>
      </c>
      <c r="V245" s="32" t="n">
        <v>77.72</v>
      </c>
      <c r="W245" s="32" t="n">
        <v>16.51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Blue sky scenario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More than 1.2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IF(B246=0,"",RANK(B246,$B$2:$B$371,0))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AARTISURF</t>
        </is>
      </c>
      <c r="D246" s="31" t="inlineStr">
        <is>
          <t>Aarti Surfactants Ltd</t>
        </is>
      </c>
      <c r="E246" s="31" t="inlineStr">
        <is>
          <t>chemicals</t>
        </is>
      </c>
      <c r="F246" s="31" t="inlineStr">
        <is>
          <t>chemicals</t>
        </is>
      </c>
      <c r="G246" s="31" t="inlineStr">
        <is>
          <t>smallcap</t>
        </is>
      </c>
      <c r="H246" s="32" t="n">
        <v>547.09</v>
      </c>
      <c r="I246" s="32" t="n">
        <v>651.3</v>
      </c>
      <c r="J246" s="32" t="n">
        <v>0.84</v>
      </c>
      <c r="K246" s="32" t="n">
        <v>103714</v>
      </c>
      <c r="L246" s="31" t="n">
        <v>80</v>
      </c>
      <c r="M246" s="31" t="inlineStr">
        <is>
          <t>Outperforming</t>
        </is>
      </c>
      <c r="N246" s="32">
        <f>IF(M246="Underperforming",-5,IF(L246&gt;=95,15,IF(L246&gt;=90,10,IF(L246&gt;=80,5,0))))</f>
        <v/>
      </c>
      <c r="O246" s="32" t="n">
        <v>78.93000000000001</v>
      </c>
      <c r="P246" s="32" t="n">
        <v>14.06</v>
      </c>
      <c r="Q246" s="32" t="n">
        <v>498.53</v>
      </c>
      <c r="R246" s="31" t="inlineStr">
        <is>
          <t>Volume Spike &amp; Near 52W High Breakout</t>
        </is>
      </c>
      <c r="S246" s="31" t="inlineStr">
        <is>
          <t>Nifty 50</t>
        </is>
      </c>
      <c r="T246" s="32" t="n">
        <v>-1.08</v>
      </c>
      <c r="U246" s="32" t="n">
        <v>39.93</v>
      </c>
      <c r="V246" s="32" t="n">
        <v>41.45</v>
      </c>
      <c r="W246" s="32" t="n">
        <v>23.37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Above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IF(B247=0,"",RANK(B247,$B$2:$B$371,0))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RAMRAT</t>
        </is>
      </c>
      <c r="D247" s="31" t="inlineStr">
        <is>
          <t>Ram Ratna Wires Ltd</t>
        </is>
      </c>
      <c r="E247" s="31" t="inlineStr">
        <is>
          <t>metals &amp; mining</t>
        </is>
      </c>
      <c r="F247" s="31" t="inlineStr">
        <is>
          <t>mining / minerals / metals</t>
        </is>
      </c>
      <c r="G247" s="31" t="inlineStr">
        <is>
          <t>smallcap</t>
        </is>
      </c>
      <c r="H247" s="32" t="n">
        <v>4400.01</v>
      </c>
      <c r="I247" s="32" t="n">
        <v>475.05</v>
      </c>
      <c r="J247" s="32" t="n">
        <v>0.79</v>
      </c>
      <c r="K247" s="32" t="n">
        <v>138081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69.52</v>
      </c>
      <c r="P247" s="32" t="n">
        <v>42.79</v>
      </c>
      <c r="Q247" s="32" t="n">
        <v>354.93</v>
      </c>
      <c r="R247" s="31" t="inlineStr">
        <is>
          <t>Near 52W High Breakout</t>
        </is>
      </c>
      <c r="S247" s="31" t="inlineStr">
        <is>
          <t>Nifty Metal</t>
        </is>
      </c>
      <c r="T247" s="32" t="inlineStr"/>
      <c r="U247" s="32" t="inlineStr"/>
      <c r="V247" s="32" t="inlineStr"/>
      <c r="W247" s="32" t="inlineStr"/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IF(B248=0,"",RANK(B248,$B$2:$B$371,0))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OMAXE</t>
        </is>
      </c>
      <c r="D248" s="31" t="inlineStr">
        <is>
          <t>Omaxe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smallcap</t>
        </is>
      </c>
      <c r="H248" s="32" t="n">
        <v>1799.19</v>
      </c>
      <c r="I248" s="32" t="n">
        <v>99.14</v>
      </c>
      <c r="J248" s="32" t="n">
        <v>0.78</v>
      </c>
      <c r="K248" s="32" t="n">
        <v>18269195</v>
      </c>
      <c r="L248" s="31" t="inlineStr"/>
      <c r="M248" s="31" t="inlineStr"/>
      <c r="N248" s="32">
        <f>IF(M248="Underperforming",-5,IF(L248&gt;=95,15,IF(L248&gt;=90,10,IF(L248&gt;=80,5,0))))</f>
        <v/>
      </c>
      <c r="O248" s="32" t="n">
        <v>66.16</v>
      </c>
      <c r="P248" s="32" t="n">
        <v>24.81</v>
      </c>
      <c r="Q248" s="32" t="n">
        <v>68.08</v>
      </c>
      <c r="R248" s="31" t="inlineStr">
        <is>
          <t>Volume Spike &amp; Near 52W High Breakout</t>
        </is>
      </c>
      <c r="S248" s="31" t="inlineStr">
        <is>
          <t>Nifty Realty</t>
        </is>
      </c>
      <c r="T248" s="32" t="inlineStr"/>
      <c r="U248" s="32" t="inlineStr"/>
      <c r="V248" s="32" t="inlineStr"/>
      <c r="W248" s="32" t="inlineStr"/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Negative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IF(B249=0,"",RANK(B249,$B$2:$B$371,0))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VARROC</t>
        </is>
      </c>
      <c r="D249" s="31" t="inlineStr">
        <is>
          <t>Varroc Engineering Ltd</t>
        </is>
      </c>
      <c r="E249" s="31" t="inlineStr">
        <is>
          <t>auto</t>
        </is>
      </c>
      <c r="F249" s="31" t="inlineStr">
        <is>
          <t>auto ancillaries</t>
        </is>
      </c>
      <c r="G249" s="31" t="inlineStr">
        <is>
          <t>midcap</t>
        </is>
      </c>
      <c r="H249" s="32" t="n">
        <v>12863.85</v>
      </c>
      <c r="I249" s="32" t="n">
        <v>847.9</v>
      </c>
      <c r="J249" s="32" t="n">
        <v>0.71</v>
      </c>
      <c r="K249" s="32" t="n">
        <v>385330</v>
      </c>
      <c r="L249" s="31" t="inlineStr"/>
      <c r="M249" s="31" t="inlineStr"/>
      <c r="N249" s="32">
        <f>IF(M249="Underperforming",-5,IF(L249&gt;=95,15,IF(L249&gt;=90,10,IF(L249&gt;=80,5,0))))</f>
        <v/>
      </c>
      <c r="O249" s="32" t="n">
        <v>81.31999999999999</v>
      </c>
      <c r="P249" s="32" t="n">
        <v>39.33</v>
      </c>
      <c r="Q249" s="32" t="n">
        <v>691.05</v>
      </c>
      <c r="R249" s="31" t="inlineStr">
        <is>
          <t>Near 52W High Breakout</t>
        </is>
      </c>
      <c r="S249" s="31" t="inlineStr">
        <is>
          <t>Nifty Auto</t>
        </is>
      </c>
      <c r="T249" s="32" t="inlineStr"/>
      <c r="U249" s="32" t="inlineStr"/>
      <c r="V249" s="32" t="inlineStr"/>
      <c r="W249" s="32" t="inlineStr"/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Above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Blue sky scenario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Yes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IF(B250=0,"",RANK(B250,$B$2:$B$371,0))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MANAKSTEEL</t>
        </is>
      </c>
      <c r="D250" s="31" t="inlineStr">
        <is>
          <t>Manaksia Steels Limited</t>
        </is>
      </c>
      <c r="E250" s="31" t="inlineStr">
        <is>
          <t>metals &amp; mining</t>
        </is>
      </c>
      <c r="F250" s="31" t="inlineStr">
        <is>
          <t>steel - medium / small</t>
        </is>
      </c>
      <c r="G250" s="31" t="inlineStr">
        <is>
          <t>smallcap</t>
        </is>
      </c>
      <c r="H250" s="32" t="n">
        <v>559.79</v>
      </c>
      <c r="I250" s="32" t="n">
        <v>86</v>
      </c>
      <c r="J250" s="32" t="n">
        <v>0.68</v>
      </c>
      <c r="K250" s="32" t="n">
        <v>40175</v>
      </c>
      <c r="L250" s="31" t="inlineStr"/>
      <c r="M250" s="31" t="inlineStr"/>
      <c r="N250" s="32">
        <f>IF(M250="Underperforming",-5,IF(L250&gt;=95,15,IF(L250&gt;=90,10,IF(L250&gt;=80,5,0))))</f>
        <v/>
      </c>
      <c r="O250" s="32" t="n">
        <v>65.95999999999999</v>
      </c>
      <c r="P250" s="32" t="n">
        <v>38.81</v>
      </c>
      <c r="Q250" s="32" t="n">
        <v>59.95</v>
      </c>
      <c r="R250" s="31" t="inlineStr">
        <is>
          <t>Volume Spike &amp; Near 52W High Breakout</t>
        </is>
      </c>
      <c r="S250" s="31" t="inlineStr">
        <is>
          <t>Nifty Metal</t>
        </is>
      </c>
      <c r="T250" s="32" t="inlineStr"/>
      <c r="U250" s="32" t="inlineStr"/>
      <c r="V250" s="32" t="inlineStr"/>
      <c r="W250" s="32" t="inlineStr"/>
      <c r="X250" s="31" t="inlineStr">
        <is>
          <t>Cyclical in an Upturn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Cyclical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Volatile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Yes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Blue sky scenario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IF(B251=0,"",RANK(B251,$B$2:$B$371,0))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BHEL</t>
        </is>
      </c>
      <c r="D251" s="31" t="inlineStr">
        <is>
          <t>Bharat Heavy Electricals Limited</t>
        </is>
      </c>
      <c r="E251" s="31" t="inlineStr">
        <is>
          <t>industrials</t>
        </is>
      </c>
      <c r="F251" s="31" t="inlineStr">
        <is>
          <t>electric equipment</t>
        </is>
      </c>
      <c r="G251" s="31" t="inlineStr">
        <is>
          <t>largecap</t>
        </is>
      </c>
      <c r="H251" s="32" t="n">
        <v>146246.66</v>
      </c>
      <c r="I251" s="32" t="n">
        <v>421.7</v>
      </c>
      <c r="J251" s="32" t="n">
        <v>0.4</v>
      </c>
      <c r="K251" s="32" t="n">
        <v>22626132</v>
      </c>
      <c r="L251" s="31" t="n">
        <v>66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65.66</v>
      </c>
      <c r="P251" s="32" t="n">
        <v>42.28</v>
      </c>
      <c r="Q251" s="32" t="n">
        <v>337.14</v>
      </c>
      <c r="R251" s="31" t="inlineStr">
        <is>
          <t>Near 52W High Breakout</t>
        </is>
      </c>
      <c r="S251" s="31" t="inlineStr">
        <is>
          <t>Nifty 500</t>
        </is>
      </c>
      <c r="T251" s="32" t="n">
        <v>4.03</v>
      </c>
      <c r="U251" s="32" t="n">
        <v>91.14</v>
      </c>
      <c r="V251" s="32" t="n">
        <v>83.73</v>
      </c>
      <c r="W251" s="32" t="n">
        <v>17.24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Above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Negative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Yes</t>
        </is>
      </c>
      <c r="BS251" s="31">
        <f>IF(BR251="NO",5,0)</f>
        <v/>
      </c>
      <c r="BT251" s="31" t="inlineStr">
        <is>
          <t>Between 1.5 to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IF(B252=0,"",RANK(B252,$B$2:$B$371,0))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GANDHAR</t>
        </is>
      </c>
      <c r="D252" s="31" t="inlineStr">
        <is>
          <t>Gandhar Oil Refinery (India) Ltd</t>
        </is>
      </c>
      <c r="E252" s="31" t="inlineStr">
        <is>
          <t>energy</t>
        </is>
      </c>
      <c r="F252" s="31" t="inlineStr">
        <is>
          <t>refineries</t>
        </is>
      </c>
      <c r="G252" s="31" t="inlineStr">
        <is>
          <t>smallcap</t>
        </is>
      </c>
      <c r="H252" s="32" t="n">
        <v>2395.6</v>
      </c>
      <c r="I252" s="32" t="n">
        <v>245.57</v>
      </c>
      <c r="J252" s="32" t="n">
        <v>0.34</v>
      </c>
      <c r="K252" s="32" t="n">
        <v>807585</v>
      </c>
      <c r="L252" s="31" t="inlineStr"/>
      <c r="M252" s="31" t="inlineStr"/>
      <c r="N252" s="32">
        <f>IF(M252="Underperforming",-5,IF(L252&gt;=95,15,IF(L252&gt;=90,10,IF(L252&gt;=80,5,0))))</f>
        <v/>
      </c>
      <c r="O252" s="32" t="n">
        <v>66.28</v>
      </c>
      <c r="P252" s="32" t="n">
        <v>60.44</v>
      </c>
      <c r="Q252" s="32" t="n">
        <v>208.06</v>
      </c>
      <c r="R252" s="31" t="inlineStr">
        <is>
          <t>Earnings / Momentum Support</t>
        </is>
      </c>
      <c r="S252" s="31" t="inlineStr">
        <is>
          <t>Nifty Energy</t>
        </is>
      </c>
      <c r="T252" s="32" t="inlineStr"/>
      <c r="U252" s="32" t="inlineStr"/>
      <c r="V252" s="32" t="inlineStr"/>
      <c r="W252" s="32" t="inlineStr"/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Oligopoly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Yes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Cyclical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Volatile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Above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IF(B253=0,"",RANK(B253,$B$2:$B$371,0))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FINEORG</t>
        </is>
      </c>
      <c r="D253" s="31" t="inlineStr">
        <is>
          <t>Fine Organic Industries Ltd</t>
        </is>
      </c>
      <c r="E253" s="31" t="inlineStr">
        <is>
          <t>chemicals</t>
        </is>
      </c>
      <c r="F253" s="31" t="inlineStr">
        <is>
          <t>chemicals</t>
        </is>
      </c>
      <c r="G253" s="31" t="inlineStr">
        <is>
          <t>midcap</t>
        </is>
      </c>
      <c r="H253" s="32" t="n">
        <v>15819.32</v>
      </c>
      <c r="I253" s="32" t="n">
        <v>5160.3</v>
      </c>
      <c r="J253" s="32" t="n">
        <v>0.01</v>
      </c>
      <c r="K253" s="32" t="n">
        <v>26767</v>
      </c>
      <c r="L253" s="31" t="n">
        <v>17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59.75</v>
      </c>
      <c r="P253" s="32" t="n">
        <v>11.94</v>
      </c>
      <c r="Q253" s="32" t="n">
        <v>4244.79</v>
      </c>
      <c r="R253" s="31" t="inlineStr">
        <is>
          <t>Volume Spike &amp; Near 52W High Breakout</t>
        </is>
      </c>
      <c r="S253" s="31" t="inlineStr">
        <is>
          <t>Nifty IT</t>
        </is>
      </c>
      <c r="T253" s="32" t="n">
        <v>-9.98</v>
      </c>
      <c r="U253" s="32" t="n">
        <v>7.35</v>
      </c>
      <c r="V253" s="32" t="n">
        <v>19.25</v>
      </c>
      <c r="W253" s="32" t="n">
        <v>3.86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Between 12 to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IF(B254=0,"",RANK(B254,$B$2:$B$371,0))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MBAPL</t>
        </is>
      </c>
      <c r="D254" s="31" t="inlineStr">
        <is>
          <t>Madhya Bharat Agro Products Ltd</t>
        </is>
      </c>
      <c r="E254" s="31" t="inlineStr">
        <is>
          <t>chemicals</t>
        </is>
      </c>
      <c r="F254" s="31" t="inlineStr">
        <is>
          <t>fertilizers</t>
        </is>
      </c>
      <c r="G254" s="31" t="inlineStr">
        <is>
          <t>smallcap</t>
        </is>
      </c>
      <c r="H254" s="32" t="n">
        <v>1473.18</v>
      </c>
      <c r="I254" s="32" t="n">
        <v>168</v>
      </c>
      <c r="J254" s="32" t="n">
        <v>-0.07000000000000001</v>
      </c>
      <c r="K254" s="32" t="n">
        <v>428268</v>
      </c>
      <c r="L254" s="31" t="n">
        <v>86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81.73999999999999</v>
      </c>
      <c r="P254" s="32" t="n">
        <v>65.77</v>
      </c>
      <c r="Q254" s="32" t="n">
        <v>134.83</v>
      </c>
      <c r="R254" s="31" t="inlineStr">
        <is>
          <t>Near 52W High Breakout</t>
        </is>
      </c>
      <c r="S254" s="31" t="inlineStr">
        <is>
          <t>Nifty 50</t>
        </is>
      </c>
      <c r="T254" s="32" t="n">
        <v>-1.08</v>
      </c>
      <c r="U254" s="32" t="n">
        <v>99.98</v>
      </c>
      <c r="V254" s="32" t="n">
        <v>102.16</v>
      </c>
      <c r="W254" s="32" t="n">
        <v>28.17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Above 40</t>
        </is>
      </c>
      <c r="AY254" s="31">
        <f>IF(AX254="Above 40",20,IF(AX254="20 to 40",10,IF(AX254="0 to 20",-5,0)))</f>
        <v/>
      </c>
      <c r="AZ254" s="31" t="inlineStr">
        <is>
          <t>Above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Blue sky scenario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Between 12 to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More than 1.2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IF(B255=0,"",RANK(B255,$B$2:$B$371,0))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PITTIENG</t>
        </is>
      </c>
      <c r="D255" s="31" t="inlineStr">
        <is>
          <t>Pitti Engineering Ltd</t>
        </is>
      </c>
      <c r="E255" s="31" t="inlineStr">
        <is>
          <t>industrials</t>
        </is>
      </c>
      <c r="F255" s="31" t="inlineStr">
        <is>
          <t>engineering</t>
        </is>
      </c>
      <c r="G255" s="31" t="inlineStr">
        <is>
          <t>smallcap</t>
        </is>
      </c>
      <c r="H255" s="32" t="n">
        <v>3998.06</v>
      </c>
      <c r="I255" s="32" t="n">
        <v>1059.8</v>
      </c>
      <c r="J255" s="32" t="n">
        <v>-0.19</v>
      </c>
      <c r="K255" s="32" t="n">
        <v>111330</v>
      </c>
      <c r="L255" s="31" t="inlineStr"/>
      <c r="M255" s="31" t="inlineStr"/>
      <c r="N255" s="32">
        <f>IF(M255="Underperforming",-5,IF(L255&gt;=95,15,IF(L255&gt;=90,10,IF(L255&gt;=80,5,0))))</f>
        <v/>
      </c>
      <c r="O255" s="32" t="n">
        <v>64.17</v>
      </c>
      <c r="P255" s="32" t="n">
        <v>6.89</v>
      </c>
      <c r="Q255" s="32" t="n">
        <v>832.26</v>
      </c>
      <c r="R255" s="31" t="inlineStr">
        <is>
          <t>Volume Spike &amp; Near 52W High Breakout</t>
        </is>
      </c>
      <c r="S255" s="31" t="inlineStr">
        <is>
          <t>Nifty Infra</t>
        </is>
      </c>
      <c r="T255" s="32" t="inlineStr"/>
      <c r="U255" s="32" t="inlineStr"/>
      <c r="V255" s="32" t="inlineStr"/>
      <c r="W255" s="32" t="inlineStr"/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Less than 1.5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IF(B256=0,"",RANK(B256,$B$2:$B$371,0))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ALKYLAMINE</t>
        </is>
      </c>
      <c r="D256" s="33" t="inlineStr">
        <is>
          <t>Alkyl Amines Chemicals Limited</t>
        </is>
      </c>
      <c r="E256" s="31" t="inlineStr">
        <is>
          <t>chemicals</t>
        </is>
      </c>
      <c r="F256" s="31" t="inlineStr">
        <is>
          <t>chemicals</t>
        </is>
      </c>
      <c r="G256" s="31" t="inlineStr">
        <is>
          <t>midcap</t>
        </is>
      </c>
      <c r="H256" s="32" t="n">
        <v>9835.92</v>
      </c>
      <c r="I256" s="32" t="n">
        <v>1916.9</v>
      </c>
      <c r="J256" s="32" t="n">
        <v>-0.32</v>
      </c>
      <c r="K256" s="32" t="n">
        <v>35382</v>
      </c>
      <c r="L256" s="31" t="n">
        <v>13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63.11</v>
      </c>
      <c r="P256" s="32" t="n">
        <v>40.77</v>
      </c>
      <c r="Q256" s="32" t="n">
        <v>1486.43</v>
      </c>
      <c r="R256" s="31" t="inlineStr">
        <is>
          <t>Earnings / Momentum Support</t>
        </is>
      </c>
      <c r="S256" s="31" t="inlineStr">
        <is>
          <t>Nifty 50</t>
        </is>
      </c>
      <c r="T256" s="32" t="n">
        <v>-1.08</v>
      </c>
      <c r="U256" s="32" t="n">
        <v>-7.02</v>
      </c>
      <c r="V256" s="32" t="n">
        <v>-6.01</v>
      </c>
      <c r="W256" s="32" t="n">
        <v>1.67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Above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IF(B257=0,"",RANK(B257,$B$2:$B$371,0))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ABB</t>
        </is>
      </c>
      <c r="D257" s="31" t="inlineStr">
        <is>
          <t>Abb India Limited</t>
        </is>
      </c>
      <c r="E257" s="31" t="inlineStr">
        <is>
          <t>industrials</t>
        </is>
      </c>
      <c r="F257" s="31" t="inlineStr">
        <is>
          <t>electric equipment</t>
        </is>
      </c>
      <c r="G257" s="31" t="inlineStr">
        <is>
          <t>largecap</t>
        </is>
      </c>
      <c r="H257" s="32" t="n">
        <v>163381.36</v>
      </c>
      <c r="I257" s="32" t="n">
        <v>7649</v>
      </c>
      <c r="J257" s="32" t="n">
        <v>-0.79</v>
      </c>
      <c r="K257" s="32" t="n">
        <v>324691</v>
      </c>
      <c r="L257" s="31" t="n">
        <v>57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64.51000000000001</v>
      </c>
      <c r="P257" s="32" t="n">
        <v>29.29</v>
      </c>
      <c r="Q257" s="32" t="n">
        <v>6206.82</v>
      </c>
      <c r="R257" s="31" t="inlineStr">
        <is>
          <t>Near 52W High Breakout</t>
        </is>
      </c>
      <c r="S257" s="31" t="inlineStr">
        <is>
          <t>Nifty 50</t>
        </is>
      </c>
      <c r="T257" s="32" t="n">
        <v>-1.08</v>
      </c>
      <c r="U257" s="32" t="n">
        <v>54.49</v>
      </c>
      <c r="V257" s="32" t="n">
        <v>56.17</v>
      </c>
      <c r="W257" s="32" t="n">
        <v>13.72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Less than 12%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IF(B258=0,"",RANK(B258,$B$2:$B$371,0))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SUNDRMFAST</t>
        </is>
      </c>
      <c r="D258" s="31" t="inlineStr">
        <is>
          <t>Sundram Fasteners Limited</t>
        </is>
      </c>
      <c r="E258" s="31" t="inlineStr">
        <is>
          <t>auto</t>
        </is>
      </c>
      <c r="F258" s="31" t="inlineStr">
        <is>
          <t>auto ancillaries</t>
        </is>
      </c>
      <c r="G258" s="31" t="inlineStr">
        <is>
          <t>largecap</t>
        </is>
      </c>
      <c r="H258" s="32" t="n">
        <v>25824.78</v>
      </c>
      <c r="I258" s="32" t="n">
        <v>1218.2</v>
      </c>
      <c r="J258" s="32" t="n">
        <v>-0.88</v>
      </c>
      <c r="K258" s="32" t="n">
        <v>139225</v>
      </c>
      <c r="L258" s="31" t="inlineStr"/>
      <c r="M258" s="31" t="inlineStr"/>
      <c r="N258" s="32">
        <f>IF(M258="Underperforming",-5,IF(L258&gt;=95,15,IF(L258&gt;=90,10,IF(L258&gt;=80,5,0))))</f>
        <v/>
      </c>
      <c r="O258" s="32" t="n">
        <v>81.7</v>
      </c>
      <c r="P258" s="32" t="n">
        <v>22.03</v>
      </c>
      <c r="Q258" s="32" t="n">
        <v>1027.46</v>
      </c>
      <c r="R258" s="31" t="inlineStr">
        <is>
          <t>Volume Spike &amp; Near 52W High Breakout</t>
        </is>
      </c>
      <c r="S258" s="31" t="inlineStr">
        <is>
          <t>Nifty Auto</t>
        </is>
      </c>
      <c r="T258" s="32" t="inlineStr"/>
      <c r="U258" s="32" t="inlineStr"/>
      <c r="V258" s="32" t="inlineStr"/>
      <c r="W258" s="32" t="inlineStr"/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Yes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Above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Between 12 to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IF(B259=0,"",RANK(B259,$B$2:$B$371,0))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MMFL</t>
        </is>
      </c>
      <c r="D259" s="31" t="inlineStr">
        <is>
          <t>Mm Forgings Limited</t>
        </is>
      </c>
      <c r="E259" s="31" t="inlineStr">
        <is>
          <t>industrials</t>
        </is>
      </c>
      <c r="F259" s="31" t="inlineStr">
        <is>
          <t>castings &amp; forgings</t>
        </is>
      </c>
      <c r="G259" s="31" t="inlineStr">
        <is>
          <t>smallcap</t>
        </is>
      </c>
      <c r="H259" s="32" t="n">
        <v>3001.18</v>
      </c>
      <c r="I259" s="32" t="n">
        <v>589.75</v>
      </c>
      <c r="J259" s="32" t="n">
        <v>-5.12</v>
      </c>
      <c r="K259" s="32" t="n">
        <v>242898</v>
      </c>
      <c r="L259" s="31" t="n">
        <v>80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67.52</v>
      </c>
      <c r="P259" s="32" t="n">
        <v>21.15</v>
      </c>
      <c r="Q259" s="32" t="n">
        <v>485.47</v>
      </c>
      <c r="R259" s="31" t="inlineStr">
        <is>
          <t>Earnings / Momentum Support</t>
        </is>
      </c>
      <c r="S259" s="31" t="inlineStr">
        <is>
          <t>Nifty 50</t>
        </is>
      </c>
      <c r="T259" s="32" t="n">
        <v>-1.08</v>
      </c>
      <c r="U259" s="32" t="n">
        <v>99.53</v>
      </c>
      <c r="V259" s="32" t="n">
        <v>101.7</v>
      </c>
      <c r="W259" s="32" t="n">
        <v>23.6</v>
      </c>
      <c r="X259" s="31" t="inlineStr">
        <is>
          <t>Cyclical in an Upturn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20 to 40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More than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IF(B260=0,"",RANK(B260,$B$2:$B$371,0))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APEX</t>
        </is>
      </c>
      <c r="D260" s="31" t="inlineStr">
        <is>
          <t>Apex Frozen Foods Ltd</t>
        </is>
      </c>
      <c r="E260" s="31" t="inlineStr">
        <is>
          <t>fmcg</t>
        </is>
      </c>
      <c r="F260" s="31" t="inlineStr">
        <is>
          <t>aquaculture</t>
        </is>
      </c>
      <c r="G260" s="31" t="inlineStr">
        <is>
          <t>smallcap</t>
        </is>
      </c>
      <c r="H260" s="32" t="n">
        <v>1149.06</v>
      </c>
      <c r="I260" s="32" t="n">
        <v>426.35</v>
      </c>
      <c r="J260" s="32" t="n">
        <v>15.95</v>
      </c>
      <c r="K260" s="32" t="n">
        <v>9316207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57.16</v>
      </c>
      <c r="P260" s="32" t="n">
        <v>25.13</v>
      </c>
      <c r="Q260" s="32" t="n">
        <v>338.58</v>
      </c>
      <c r="R260" s="31" t="inlineStr">
        <is>
          <t>Volume Spike / Accumulation</t>
        </is>
      </c>
      <c r="S260" s="31" t="inlineStr">
        <is>
          <t>Nifty FMCG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Headwind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B2C</t>
        </is>
      </c>
      <c r="AO260" s="31">
        <f>IF(AN260="B2C",10,IF(AN260="B2B",5,0))</f>
        <v/>
      </c>
      <c r="AP260" s="31" t="inlineStr">
        <is>
          <t>Yes</t>
        </is>
      </c>
      <c r="AQ260" s="31">
        <f>IF(AP260="Yes",10,0)</f>
        <v/>
      </c>
      <c r="AR260" s="31" t="inlineStr">
        <is>
          <t>Higher Annuity, Lower One Time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1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IF(B261=0,"",RANK(B261,$B$2:$B$371,0))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1" t="inlineStr">
        <is>
          <t>TI</t>
        </is>
      </c>
      <c r="D261" s="31" t="inlineStr">
        <is>
          <t>Tilaknagar Industries Limited</t>
        </is>
      </c>
      <c r="E261" s="31" t="inlineStr">
        <is>
          <t>fmcg</t>
        </is>
      </c>
      <c r="F261" s="31" t="inlineStr">
        <is>
          <t>breweries &amp; distilleries</t>
        </is>
      </c>
      <c r="G261" s="31" t="inlineStr">
        <is>
          <t>midcap</t>
        </is>
      </c>
      <c r="H261" s="32" t="n">
        <v>13702.63</v>
      </c>
      <c r="I261" s="32" t="n">
        <v>568.75</v>
      </c>
      <c r="J261" s="32" t="n">
        <v>2.72</v>
      </c>
      <c r="K261" s="32" t="n">
        <v>3914329</v>
      </c>
      <c r="L261" s="31" t="inlineStr"/>
      <c r="M261" s="31" t="inlineStr"/>
      <c r="N261" s="32">
        <f>IF(M261="Underperforming",-5,IF(L261&gt;=95,15,IF(L261&gt;=90,10,IF(L261&gt;=80,5,0))))</f>
        <v/>
      </c>
      <c r="O261" s="32" t="n">
        <v>72.8</v>
      </c>
      <c r="P261" s="32" t="n">
        <v>10.37</v>
      </c>
      <c r="Q261" s="32" t="n">
        <v>458.02</v>
      </c>
      <c r="R261" s="31" t="inlineStr">
        <is>
          <t>Volume Spike &amp; Near 52W High Breakout</t>
        </is>
      </c>
      <c r="S261" s="31" t="inlineStr">
        <is>
          <t>Nifty FMCG</t>
        </is>
      </c>
      <c r="T261" s="32" t="inlineStr"/>
      <c r="U261" s="32" t="inlineStr"/>
      <c r="V261" s="32" t="inlineStr"/>
      <c r="W261" s="32" t="inlineStr"/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B2C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Blue sky scenario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Above 2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Between 0.7 to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IF(B262=0,"",RANK(B262,$B$2:$B$371,0))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AVADHSUGAR</t>
        </is>
      </c>
      <c r="D262" s="31" t="inlineStr">
        <is>
          <t>Avadh Sugar &amp; Energy</t>
        </is>
      </c>
      <c r="E262" s="31" t="inlineStr">
        <is>
          <t>fmcg</t>
        </is>
      </c>
      <c r="F262" s="31" t="inlineStr">
        <is>
          <t>sugar</t>
        </is>
      </c>
      <c r="G262" s="31" t="inlineStr">
        <is>
          <t>smallcap</t>
        </is>
      </c>
      <c r="H262" s="32" t="n">
        <v>1275.57</v>
      </c>
      <c r="I262" s="32" t="n">
        <v>653.15</v>
      </c>
      <c r="J262" s="32" t="n">
        <v>2.5</v>
      </c>
      <c r="K262" s="32" t="n">
        <v>118094</v>
      </c>
      <c r="L262" s="31" t="inlineStr"/>
      <c r="M262" s="31" t="inlineStr"/>
      <c r="N262" s="32">
        <f>IF(M262="Underperforming",-5,IF(L262&gt;=95,15,IF(L262&gt;=90,10,IF(L262&gt;=80,5,0))))</f>
        <v/>
      </c>
      <c r="O262" s="32" t="n">
        <v>78.53</v>
      </c>
      <c r="P262" s="32" t="n">
        <v>37.54</v>
      </c>
      <c r="Q262" s="32" t="n">
        <v>503.61</v>
      </c>
      <c r="R262" s="31" t="inlineStr">
        <is>
          <t>Near 52W High Breakout</t>
        </is>
      </c>
      <c r="S262" s="31" t="inlineStr">
        <is>
          <t>Nifty FMCG</t>
        </is>
      </c>
      <c r="T262" s="32" t="inlineStr"/>
      <c r="U262" s="32" t="inlineStr"/>
      <c r="V262" s="32" t="inlineStr"/>
      <c r="W262" s="32" t="inlineStr"/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B2C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Annuity, Lower One Time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Above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More than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IF(B263=0,"",RANK(B263,$B$2:$B$371,0))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APLAPOLLO</t>
        </is>
      </c>
      <c r="D263" s="31" t="inlineStr">
        <is>
          <t>Apl Apollo Tubes Limited</t>
        </is>
      </c>
      <c r="E263" s="31" t="inlineStr">
        <is>
          <t>industrials</t>
        </is>
      </c>
      <c r="F263" s="31" t="inlineStr">
        <is>
          <t>steel - large</t>
        </is>
      </c>
      <c r="G263" s="31" t="inlineStr">
        <is>
          <t>largecap</t>
        </is>
      </c>
      <c r="H263" s="32" t="n">
        <v>57317.02</v>
      </c>
      <c r="I263" s="32" t="n">
        <v>2083.3</v>
      </c>
      <c r="J263" s="32" t="n">
        <v>0.92</v>
      </c>
      <c r="K263" s="32" t="n">
        <v>1161018</v>
      </c>
      <c r="L263" s="31" t="inlineStr"/>
      <c r="M263" s="31" t="inlineStr"/>
      <c r="N263" s="32">
        <f>IF(M263="Underperforming",-5,IF(L263&gt;=95,15,IF(L263&gt;=90,10,IF(L263&gt;=80,5,0))))</f>
        <v/>
      </c>
      <c r="O263" s="32" t="n">
        <v>62.11</v>
      </c>
      <c r="P263" s="32" t="n">
        <v>11.7</v>
      </c>
      <c r="Q263" s="32" t="n">
        <v>1745.55</v>
      </c>
      <c r="R263" s="31" t="inlineStr">
        <is>
          <t>Earnings / Momentum Support</t>
        </is>
      </c>
      <c r="S263" s="31" t="inlineStr">
        <is>
          <t>Nifty Metal</t>
        </is>
      </c>
      <c r="T263" s="32" t="inlineStr"/>
      <c r="U263" s="32" t="inlineStr"/>
      <c r="V263" s="32" t="inlineStr"/>
      <c r="W263" s="32" t="inlineStr"/>
      <c r="X263" s="31" t="inlineStr">
        <is>
          <t>Cyclical in an Upturn</t>
        </is>
      </c>
      <c r="Y263" s="31">
        <f>IF(X263="Growing Industry",10,IF(X263="Cyclical in an Upturn",5,0))</f>
        <v/>
      </c>
      <c r="Z263" s="31" t="inlineStr">
        <is>
          <t>Oligopoly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Cyclical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B2C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Fully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Above 40</t>
        </is>
      </c>
      <c r="AY263" s="31">
        <f>IF(AX263="Above 40",20,IF(AX263="20 to 40",10,IF(AX263="0 to 20",-5,0)))</f>
        <v/>
      </c>
      <c r="AZ263" s="31" t="inlineStr">
        <is>
          <t>Above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More than 20%</t>
        </is>
      </c>
      <c r="BO263" s="31">
        <f>IF(BN263="More than 20%",10,IF(BN263="Between 12 to 20%",5,IF(BN263="Less than 12%",0,0)))</f>
        <v/>
      </c>
      <c r="BP263" s="31" t="inlineStr">
        <is>
          <t>Yes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Between 1.5 to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IF(B264=0,"",RANK(B264,$B$2:$B$371,0))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1" t="inlineStr">
        <is>
          <t>APOLLOTYRE</t>
        </is>
      </c>
      <c r="D264" s="31" t="inlineStr">
        <is>
          <t>Apollo Tyres Limited</t>
        </is>
      </c>
      <c r="E264" s="31" t="inlineStr">
        <is>
          <t>auto</t>
        </is>
      </c>
      <c r="F264" s="31" t="inlineStr">
        <is>
          <t>tyres</t>
        </is>
      </c>
      <c r="G264" s="31" t="inlineStr">
        <is>
          <t>largecap</t>
        </is>
      </c>
      <c r="H264" s="32" t="n">
        <v>28138.15</v>
      </c>
      <c r="I264" s="32" t="n">
        <v>444.1</v>
      </c>
      <c r="J264" s="32" t="n">
        <v>0.24</v>
      </c>
      <c r="K264" s="32" t="n">
        <v>274430</v>
      </c>
      <c r="L264" s="31" t="inlineStr"/>
      <c r="M264" s="31" t="inlineStr"/>
      <c r="N264" s="32">
        <f>IF(M264="Underperforming",-5,IF(L264&gt;=95,15,IF(L264&gt;=90,10,IF(L264&gt;=80,5,0))))</f>
        <v/>
      </c>
      <c r="O264" s="32" t="n">
        <v>54.07</v>
      </c>
      <c r="P264" s="32" t="n">
        <v>16.91</v>
      </c>
      <c r="Q264" s="32" t="n">
        <v>366.63</v>
      </c>
      <c r="R264" s="31" t="inlineStr">
        <is>
          <t>Earnings / Momentum Support</t>
        </is>
      </c>
      <c r="S264" s="31" t="inlineStr">
        <is>
          <t>Nifty Auto</t>
        </is>
      </c>
      <c r="T264" s="32" t="inlineStr"/>
      <c r="U264" s="32" t="inlineStr"/>
      <c r="V264" s="32" t="inlineStr"/>
      <c r="W264" s="32" t="inlineStr"/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Oligopoly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Cyclical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B2C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Fully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Above 40</t>
        </is>
      </c>
      <c r="AY264" s="31">
        <f>IF(AX264="Above 40",20,IF(AX264="20 to 40",10,IF(AX264="0 to 20",-5,0)))</f>
        <v/>
      </c>
      <c r="AZ264" s="31" t="inlineStr">
        <is>
          <t>Above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Yes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Between 1.5 to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IF(B265=0,"",RANK(B265,$B$2:$B$371,0))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POLYMED</t>
        </is>
      </c>
      <c r="D265" s="33" t="inlineStr">
        <is>
          <t>Poly Medicure Limited</t>
        </is>
      </c>
      <c r="E265" s="31" t="inlineStr">
        <is>
          <t>healthcare</t>
        </is>
      </c>
      <c r="F265" s="31" t="inlineStr">
        <is>
          <t>healthcare</t>
        </is>
      </c>
      <c r="G265" s="31" t="inlineStr">
        <is>
          <t>midcap</t>
        </is>
      </c>
      <c r="H265" s="32" t="n">
        <v>18374.45</v>
      </c>
      <c r="I265" s="32" t="n">
        <v>1786.2</v>
      </c>
      <c r="J265" s="32" t="n">
        <v>-1.47</v>
      </c>
      <c r="K265" s="32" t="n">
        <v>139114</v>
      </c>
      <c r="L265" s="31" t="n">
        <v>20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61.05</v>
      </c>
      <c r="P265" s="32" t="n">
        <v>21.45</v>
      </c>
      <c r="Q265" s="32" t="n">
        <v>1336.4</v>
      </c>
      <c r="R265" s="31" t="inlineStr">
        <is>
          <t>Volume Spike / Accumulation</t>
        </is>
      </c>
      <c r="S265" s="31" t="inlineStr">
        <is>
          <t>Nifty Pharma</t>
        </is>
      </c>
      <c r="T265" s="32" t="n">
        <v>19.38</v>
      </c>
      <c r="U265" s="32" t="n">
        <v>-5.94</v>
      </c>
      <c r="V265" s="32" t="n">
        <v>-21.21</v>
      </c>
      <c r="W265" s="32" t="n">
        <v>4.65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IF(B266=0,"",RANK(B266,$B$2:$B$371,0))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GALAXYSURF</t>
        </is>
      </c>
      <c r="D266" s="31" t="inlineStr">
        <is>
          <t>Galaxy Surfactants Ltd</t>
        </is>
      </c>
      <c r="E266" s="31" t="inlineStr">
        <is>
          <t>chemicals</t>
        </is>
      </c>
      <c r="F266" s="31" t="inlineStr">
        <is>
          <t>chemicals</t>
        </is>
      </c>
      <c r="G266" s="31" t="inlineStr">
        <is>
          <t>midcap</t>
        </is>
      </c>
      <c r="H266" s="32" t="n">
        <v>7411.46</v>
      </c>
      <c r="I266" s="32" t="n">
        <v>2508.4</v>
      </c>
      <c r="J266" s="32" t="n">
        <v>20</v>
      </c>
      <c r="K266" s="32" t="n">
        <v>632653</v>
      </c>
      <c r="L266" s="31" t="n">
        <v>50</v>
      </c>
      <c r="M266" s="31" t="inlineStr">
        <is>
          <t>Outperforming</t>
        </is>
      </c>
      <c r="N266" s="32">
        <f>IF(M266="Underperforming",-5,IF(L266&gt;=95,15,IF(L266&gt;=90,10,IF(L266&gt;=80,5,0))))</f>
        <v/>
      </c>
      <c r="O266" s="32" t="n">
        <v>73.56999999999999</v>
      </c>
      <c r="P266" s="32" t="n">
        <v>16.22</v>
      </c>
      <c r="Q266" s="32" t="n">
        <v>2045.79</v>
      </c>
      <c r="R266" s="31" t="inlineStr">
        <is>
          <t>Volume Spike &amp; Near 52W High Breakout</t>
        </is>
      </c>
      <c r="S266" s="31" t="inlineStr">
        <is>
          <t>Nifty IT</t>
        </is>
      </c>
      <c r="T266" s="32" t="n">
        <v>-9.98</v>
      </c>
      <c r="U266" s="32" t="n">
        <v>11.82</v>
      </c>
      <c r="V266" s="32" t="n">
        <v>24.22</v>
      </c>
      <c r="W266" s="32" t="n">
        <v>11.52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IF(B267=0,"",RANK(B267,$B$2:$B$371,0))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1" t="inlineStr">
        <is>
          <t>EIMCOELECO</t>
        </is>
      </c>
      <c r="D267" s="31" t="inlineStr">
        <is>
          <t>Eimco Elecon (india) Limited</t>
        </is>
      </c>
      <c r="E267" s="31" t="inlineStr">
        <is>
          <t>industrials</t>
        </is>
      </c>
      <c r="F267" s="31" t="inlineStr">
        <is>
          <t>engineering</t>
        </is>
      </c>
      <c r="G267" s="31" t="inlineStr">
        <is>
          <t>smallcap</t>
        </is>
      </c>
      <c r="H267" s="32" t="n">
        <v>1092.47</v>
      </c>
      <c r="I267" s="32" t="n">
        <v>2018</v>
      </c>
      <c r="J267" s="32" t="n">
        <v>6.55</v>
      </c>
      <c r="K267" s="32" t="n">
        <v>179465</v>
      </c>
      <c r="L267" s="31" t="inlineStr"/>
      <c r="M267" s="31" t="inlineStr"/>
      <c r="N267" s="32">
        <f>IF(M267="Underperforming",-5,IF(L267&gt;=95,15,IF(L267&gt;=90,10,IF(L267&gt;=80,5,0))))</f>
        <v/>
      </c>
      <c r="O267" s="32" t="n">
        <v>65.08</v>
      </c>
      <c r="P267" s="32" t="n">
        <v>33.2</v>
      </c>
      <c r="Q267" s="32" t="n">
        <v>1492.99</v>
      </c>
      <c r="R267" s="31" t="inlineStr">
        <is>
          <t>Earnings / Momentum Support</t>
        </is>
      </c>
      <c r="S267" s="31" t="inlineStr">
        <is>
          <t>Nifty Infra</t>
        </is>
      </c>
      <c r="T267" s="32" t="inlineStr"/>
      <c r="U267" s="32" t="inlineStr"/>
      <c r="V267" s="32" t="inlineStr"/>
      <c r="W267" s="32" t="inlineStr"/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IF(B268=0,"",RANK(B268,$B$2:$B$371,0))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ELGIEQUIP</t>
        </is>
      </c>
      <c r="D268" s="31" t="inlineStr">
        <is>
          <t>Elgi Equipments Limited</t>
        </is>
      </c>
      <c r="E268" s="31" t="inlineStr">
        <is>
          <t>industrials</t>
        </is>
      </c>
      <c r="F268" s="31" t="inlineStr">
        <is>
          <t>compressors / drilling equipment</t>
        </is>
      </c>
      <c r="G268" s="31" t="inlineStr">
        <is>
          <t>midcap</t>
        </is>
      </c>
      <c r="H268" s="32" t="n">
        <v>18271.39</v>
      </c>
      <c r="I268" s="32" t="n">
        <v>609.5</v>
      </c>
      <c r="J268" s="32" t="n">
        <v>5.72</v>
      </c>
      <c r="K268" s="32" t="n">
        <v>6010479</v>
      </c>
      <c r="L268" s="31" t="n">
        <v>37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63.19</v>
      </c>
      <c r="P268" s="32" t="n">
        <v>19.94</v>
      </c>
      <c r="Q268" s="32" t="n">
        <v>497.69</v>
      </c>
      <c r="R268" s="31" t="inlineStr">
        <is>
          <t>Volume Spike &amp; Near 52W High Breakout</t>
        </is>
      </c>
      <c r="S268" s="31" t="inlineStr">
        <is>
          <t>Nifty 50</t>
        </is>
      </c>
      <c r="T268" s="32" t="n">
        <v>-1.08</v>
      </c>
      <c r="U268" s="32" t="n">
        <v>24.18</v>
      </c>
      <c r="V268" s="32" t="n">
        <v>25.53</v>
      </c>
      <c r="W268" s="32" t="n">
        <v>8.01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Yes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IF(B269=0,"",RANK(B269,$B$2:$B$371,0))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SHALPAINTS</t>
        </is>
      </c>
      <c r="D269" s="31" t="inlineStr">
        <is>
          <t>Shalimar Paints Limited</t>
        </is>
      </c>
      <c r="E269" s="31" t="inlineStr">
        <is>
          <t>building materials</t>
        </is>
      </c>
      <c r="F269" s="31" t="inlineStr">
        <is>
          <t>paints / varnishes</t>
        </is>
      </c>
      <c r="G269" s="31" t="inlineStr">
        <is>
          <t>smallcap</t>
        </is>
      </c>
      <c r="H269" s="32" t="n">
        <v>728.62</v>
      </c>
      <c r="I269" s="32" t="n">
        <v>91.39</v>
      </c>
      <c r="J269" s="32" t="n">
        <v>5</v>
      </c>
      <c r="K269" s="32" t="n">
        <v>202435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74.19</v>
      </c>
      <c r="P269" s="32" t="n">
        <v>18.26</v>
      </c>
      <c r="Q269" s="32" t="n">
        <v>66.75</v>
      </c>
      <c r="R269" s="31" t="inlineStr">
        <is>
          <t>Near 52W High Breakout</t>
        </is>
      </c>
      <c r="S269" s="31" t="inlineStr">
        <is>
          <t>Nifty Infra</t>
        </is>
      </c>
      <c r="T269" s="32" t="inlineStr"/>
      <c r="U269" s="32" t="inlineStr"/>
      <c r="V269" s="32" t="inlineStr"/>
      <c r="W269" s="32" t="inlineStr"/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Less than 1.5</t>
        </is>
      </c>
      <c r="BU269" s="31">
        <f>IF(BT269="Above 2",0,IF(BT269="Between 1.5 to 2",5,IF(BT269="Less than 1.5",10,0)))</f>
        <v/>
      </c>
      <c r="BV269" s="31" t="inlineStr">
        <is>
          <t>Negative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IF(B270=0,"",RANK(B270,$B$2:$B$371,0))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RATNAVEER</t>
        </is>
      </c>
      <c r="D270" s="31" t="inlineStr">
        <is>
          <t>Ratnaveer Precision Engineering Ltd</t>
        </is>
      </c>
      <c r="E270" s="31" t="inlineStr">
        <is>
          <t>metals &amp; mining</t>
        </is>
      </c>
      <c r="F270" s="31" t="inlineStr">
        <is>
          <t>steel - medium / small</t>
        </is>
      </c>
      <c r="G270" s="31" t="inlineStr">
        <is>
          <t>smallcap</t>
        </is>
      </c>
      <c r="H270" s="32" t="n">
        <v>1571.39</v>
      </c>
      <c r="I270" s="32" t="n">
        <v>230.16</v>
      </c>
      <c r="J270" s="32" t="n">
        <v>4.62</v>
      </c>
      <c r="K270" s="32" t="n">
        <v>21537789</v>
      </c>
      <c r="L270" s="31" t="inlineStr"/>
      <c r="M270" s="31" t="inlineStr"/>
      <c r="N270" s="32">
        <f>IF(M270="Underperforming",-5,IF(L270&gt;=95,15,IF(L270&gt;=90,10,IF(L270&gt;=80,5,0))))</f>
        <v/>
      </c>
      <c r="O270" s="32" t="n">
        <v>72.51000000000001</v>
      </c>
      <c r="P270" s="32" t="n">
        <v>50.29</v>
      </c>
      <c r="Q270" s="32" t="n">
        <v>168.84</v>
      </c>
      <c r="R270" s="31" t="inlineStr">
        <is>
          <t>Volume Spike &amp; Near 52W High Breakout</t>
        </is>
      </c>
      <c r="S270" s="31" t="inlineStr">
        <is>
          <t>Nifty Metal</t>
        </is>
      </c>
      <c r="T270" s="32" t="inlineStr"/>
      <c r="U270" s="32" t="inlineStr"/>
      <c r="V270" s="32" t="inlineStr"/>
      <c r="W270" s="32" t="inlineStr"/>
      <c r="X270" s="31" t="inlineStr">
        <is>
          <t>Cyclical in an Upturn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Cyclical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Volatile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Above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IF(B271=0,"",RANK(B271,$B$2:$B$371,0))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ASAHIINDIA</t>
        </is>
      </c>
      <c r="D271" s="31" t="inlineStr">
        <is>
          <t>Asahi India Glass Limited</t>
        </is>
      </c>
      <c r="E271" s="31" t="inlineStr">
        <is>
          <t>building materials</t>
        </is>
      </c>
      <c r="F271" s="31" t="inlineStr">
        <is>
          <t>glass &amp; glass products</t>
        </is>
      </c>
      <c r="G271" s="31" t="inlineStr">
        <is>
          <t>largecap</t>
        </is>
      </c>
      <c r="H271" s="32" t="n">
        <v>22968.94</v>
      </c>
      <c r="I271" s="32" t="n">
        <v>939.2</v>
      </c>
      <c r="J271" s="32" t="n">
        <v>4.24</v>
      </c>
      <c r="K271" s="32" t="n">
        <v>643817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58.06</v>
      </c>
      <c r="P271" s="32" t="n">
        <v>20.42</v>
      </c>
      <c r="Q271" s="32" t="n">
        <v>748.23</v>
      </c>
      <c r="R271" s="31" t="inlineStr">
        <is>
          <t>Earnings / Momentum Support</t>
        </is>
      </c>
      <c r="S271" s="31" t="inlineStr">
        <is>
          <t>Nifty Infra</t>
        </is>
      </c>
      <c r="T271" s="32" t="inlineStr"/>
      <c r="U271" s="32" t="inlineStr"/>
      <c r="V271" s="32" t="inlineStr"/>
      <c r="W271" s="32" t="inlineStr"/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Headwind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IF(B272=0,"",RANK(B272,$B$2:$B$371,0))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ZENTEC</t>
        </is>
      </c>
      <c r="D272" s="31" t="inlineStr">
        <is>
          <t>Zen Technologies Limited</t>
        </is>
      </c>
      <c r="E272" s="31" t="inlineStr">
        <is>
          <t>aerospace &amp; defence</t>
        </is>
      </c>
      <c r="F272" s="31" t="inlineStr">
        <is>
          <t>miscellaneous</t>
        </is>
      </c>
      <c r="G272" s="31" t="inlineStr">
        <is>
          <t>midcap</t>
        </is>
      </c>
      <c r="H272" s="32" t="n">
        <v>16539.39</v>
      </c>
      <c r="I272" s="32" t="n">
        <v>1857.2</v>
      </c>
      <c r="J272" s="32" t="n">
        <v>1.39</v>
      </c>
      <c r="K272" s="32" t="n">
        <v>410907</v>
      </c>
      <c r="L272" s="31" t="n">
        <v>46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58.88</v>
      </c>
      <c r="P272" s="32" t="n">
        <v>32.13</v>
      </c>
      <c r="Q272" s="32" t="n">
        <v>1539.09</v>
      </c>
      <c r="R272" s="31" t="inlineStr">
        <is>
          <t>Earnings / Momentum Support</t>
        </is>
      </c>
      <c r="S272" s="31" t="inlineStr">
        <is>
          <t>Nifty 50</t>
        </is>
      </c>
      <c r="T272" s="32" t="n">
        <v>-1.08</v>
      </c>
      <c r="U272" s="32" t="n">
        <v>32.03</v>
      </c>
      <c r="V272" s="32" t="n">
        <v>33.47</v>
      </c>
      <c r="W272" s="32" t="n">
        <v>10.16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No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IF(B273=0,"",RANK(B273,$B$2:$B$371,0))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KECL</t>
        </is>
      </c>
      <c r="D273" s="31" t="inlineStr">
        <is>
          <t>Kirloskar Electric Company Limited</t>
        </is>
      </c>
      <c r="E273" s="31" t="inlineStr">
        <is>
          <t>industrials</t>
        </is>
      </c>
      <c r="F273" s="31" t="inlineStr">
        <is>
          <t>electric equipment</t>
        </is>
      </c>
      <c r="G273" s="31" t="inlineStr">
        <is>
          <t>smallcap</t>
        </is>
      </c>
      <c r="H273" s="32" t="n">
        <v>948.39</v>
      </c>
      <c r="I273" s="32" t="n">
        <v>143.56</v>
      </c>
      <c r="J273" s="32" t="n">
        <v>0.53</v>
      </c>
      <c r="K273" s="32" t="n">
        <v>373367</v>
      </c>
      <c r="L273" s="31" t="inlineStr"/>
      <c r="M273" s="31" t="inlineStr"/>
      <c r="N273" s="32">
        <f>IF(M273="Underperforming",-5,IF(L273&gt;=95,15,IF(L273&gt;=90,10,IF(L273&gt;=80,5,0))))</f>
        <v/>
      </c>
      <c r="O273" s="32" t="n">
        <v>66.02</v>
      </c>
      <c r="P273" s="32" t="n">
        <v>26.8</v>
      </c>
      <c r="Q273" s="32" t="n">
        <v>101.28</v>
      </c>
      <c r="R273" s="31" t="inlineStr">
        <is>
          <t>Volume Spike &amp; Near 52W High Breakout</t>
        </is>
      </c>
      <c r="S273" s="31" t="inlineStr">
        <is>
          <t>Nifty Infra</t>
        </is>
      </c>
      <c r="T273" s="32" t="inlineStr"/>
      <c r="U273" s="32" t="inlineStr"/>
      <c r="V273" s="32" t="inlineStr"/>
      <c r="W273" s="32" t="inlineStr"/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Between 50% to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Between 0.7 to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IF(B274=0,"",RANK(B274,$B$2:$B$371,0))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DIACABS</t>
        </is>
      </c>
      <c r="D274" s="31" t="inlineStr">
        <is>
          <t>Diamond Power Infrastructure Ltd</t>
        </is>
      </c>
      <c r="E274" s="31" t="inlineStr">
        <is>
          <t>industrials</t>
        </is>
      </c>
      <c r="F274" s="31" t="inlineStr">
        <is>
          <t>cables - power</t>
        </is>
      </c>
      <c r="G274" s="31" t="inlineStr">
        <is>
          <t>midcap</t>
        </is>
      </c>
      <c r="H274" s="32" t="n">
        <v>19366.19</v>
      </c>
      <c r="I274" s="32" t="n">
        <v>368.5</v>
      </c>
      <c r="J274" s="32" t="n">
        <v>0.27</v>
      </c>
      <c r="K274" s="32" t="n">
        <v>1892473</v>
      </c>
      <c r="L274" s="31" t="inlineStr"/>
      <c r="M274" s="31" t="inlineStr"/>
      <c r="N274" s="32">
        <f>IF(M274="Underperforming",-5,IF(L274&gt;=95,15,IF(L274&gt;=90,10,IF(L274&gt;=80,5,0))))</f>
        <v/>
      </c>
      <c r="O274" s="32" t="n">
        <v>88.84999999999999</v>
      </c>
      <c r="P274" s="32" t="n">
        <v>62.77</v>
      </c>
      <c r="Q274" s="32" t="n">
        <v>284.45</v>
      </c>
      <c r="R274" s="31" t="inlineStr">
        <is>
          <t>Near 52W High Breakout</t>
        </is>
      </c>
      <c r="S274" s="31" t="inlineStr">
        <is>
          <t>Nifty Energy</t>
        </is>
      </c>
      <c r="T274" s="32" t="inlineStr"/>
      <c r="U274" s="32" t="inlineStr"/>
      <c r="V274" s="32" t="inlineStr"/>
      <c r="W274" s="32" t="inlineStr"/>
      <c r="X274" s="31" t="inlineStr">
        <is>
          <t>Cyclical in an Upturn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Above 40</t>
        </is>
      </c>
      <c r="AY274" s="31">
        <f>IF(AX274="Above 40",20,IF(AX274="20 to 40",10,IF(AX274="0 to 20",-5,0)))</f>
        <v/>
      </c>
      <c r="AZ274" s="31" t="inlineStr">
        <is>
          <t>Above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Blue sky scenario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Yes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Negative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IF(B275=0,"",RANK(B275,$B$2:$B$371,0))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MARINE</t>
        </is>
      </c>
      <c r="D275" s="31" t="inlineStr">
        <is>
          <t>Marine Electricals (India) Ltd</t>
        </is>
      </c>
      <c r="E275" s="31" t="inlineStr">
        <is>
          <t>industrials</t>
        </is>
      </c>
      <c r="F275" s="31" t="inlineStr">
        <is>
          <t>electric equipment</t>
        </is>
      </c>
      <c r="G275" s="31" t="inlineStr">
        <is>
          <t>midcap</t>
        </is>
      </c>
      <c r="H275" s="32" t="n">
        <v>5194.74</v>
      </c>
      <c r="I275" s="32" t="n">
        <v>370.7</v>
      </c>
      <c r="J275" s="32" t="n">
        <v>-0.13</v>
      </c>
      <c r="K275" s="32" t="n">
        <v>1686077</v>
      </c>
      <c r="L275" s="31" t="n">
        <v>92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75.55</v>
      </c>
      <c r="P275" s="32" t="n">
        <v>33.93</v>
      </c>
      <c r="Q275" s="32" t="n">
        <v>273.75</v>
      </c>
      <c r="R275" s="31" t="inlineStr">
        <is>
          <t>Near 52W High Breakout</t>
        </is>
      </c>
      <c r="S275" s="31" t="inlineStr">
        <is>
          <t>Nifty 50</t>
        </is>
      </c>
      <c r="T275" s="32" t="n">
        <v>-1.08</v>
      </c>
      <c r="U275" s="32" t="n">
        <v>123.92</v>
      </c>
      <c r="V275" s="32" t="n">
        <v>126.36</v>
      </c>
      <c r="W275" s="32" t="n">
        <v>36.56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More than 20%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Negative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IF(B276=0,"",RANK(B276,$B$2:$B$371,0))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TVSMOTOR</t>
        </is>
      </c>
      <c r="D276" s="31" t="inlineStr">
        <is>
          <t>Tvs Motor Company Limited</t>
        </is>
      </c>
      <c r="E276" s="31" t="inlineStr">
        <is>
          <t>auto</t>
        </is>
      </c>
      <c r="F276" s="31" t="inlineStr">
        <is>
          <t>automobiles - motorcycles / mopeds</t>
        </is>
      </c>
      <c r="G276" s="31" t="inlineStr">
        <is>
          <t>largecap</t>
        </is>
      </c>
      <c r="H276" s="32" t="n">
        <v>206292.33</v>
      </c>
      <c r="I276" s="32" t="n">
        <v>4307</v>
      </c>
      <c r="J276" s="32" t="n">
        <v>-0.8100000000000001</v>
      </c>
      <c r="K276" s="32" t="n">
        <v>1106443</v>
      </c>
      <c r="L276" s="31" t="inlineStr"/>
      <c r="M276" s="31" t="inlineStr"/>
      <c r="N276" s="32">
        <f>IF(M276="Underperforming",-5,IF(L276&gt;=95,15,IF(L276&gt;=90,10,IF(L276&gt;=80,5,0))))</f>
        <v/>
      </c>
      <c r="O276" s="32" t="n">
        <v>67.48999999999999</v>
      </c>
      <c r="P276" s="32" t="n">
        <v>19.73</v>
      </c>
      <c r="Q276" s="32" t="n">
        <v>3743.97</v>
      </c>
      <c r="R276" s="31" t="inlineStr">
        <is>
          <t>Near 52W High Breakout</t>
        </is>
      </c>
      <c r="S276" s="31" t="inlineStr">
        <is>
          <t>Nifty Auto</t>
        </is>
      </c>
      <c r="T276" s="32" t="inlineStr"/>
      <c r="U276" s="32" t="inlineStr"/>
      <c r="V276" s="32" t="inlineStr"/>
      <c r="W276" s="32" t="inlineStr"/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Yes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0 to 20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Blue sky scenario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More than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IF(B277=0,"",RANK(B277,$B$2:$B$371,0))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LUMAXIND</t>
        </is>
      </c>
      <c r="D277" s="31" t="inlineStr">
        <is>
          <t>Lumax Industries Limited</t>
        </is>
      </c>
      <c r="E277" s="31" t="inlineStr">
        <is>
          <t>auto</t>
        </is>
      </c>
      <c r="F277" s="31" t="inlineStr">
        <is>
          <t>auto ancillaries</t>
        </is>
      </c>
      <c r="G277" s="31" t="inlineStr">
        <is>
          <t>midcap</t>
        </is>
      </c>
      <c r="H277" s="32" t="n">
        <v>5467.49</v>
      </c>
      <c r="I277" s="32" t="n">
        <v>5800</v>
      </c>
      <c r="J277" s="32" t="n">
        <v>-0.84</v>
      </c>
      <c r="K277" s="32" t="n">
        <v>13047</v>
      </c>
      <c r="L277" s="31" t="inlineStr"/>
      <c r="M277" s="31" t="inlineStr"/>
      <c r="N277" s="32">
        <f>IF(M277="Underperforming",-5,IF(L277&gt;=95,15,IF(L277&gt;=90,10,IF(L277&gt;=80,5,0))))</f>
        <v/>
      </c>
      <c r="O277" s="32" t="n">
        <v>59.55</v>
      </c>
      <c r="P277" s="32" t="n">
        <v>10.88</v>
      </c>
      <c r="Q277" s="32" t="n">
        <v>4341.29</v>
      </c>
      <c r="R277" s="31" t="inlineStr">
        <is>
          <t>Volume Spike / Accumulation</t>
        </is>
      </c>
      <c r="S277" s="31" t="inlineStr">
        <is>
          <t>Nifty Auto</t>
        </is>
      </c>
      <c r="T277" s="32" t="inlineStr"/>
      <c r="U277" s="32" t="inlineStr"/>
      <c r="V277" s="32" t="inlineStr"/>
      <c r="W277" s="32" t="inlineStr"/>
      <c r="X277" s="31" t="inlineStr">
        <is>
          <t>Growing Industry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Headwind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More than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Less than 1.5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Between 0.7 to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IF(B278=0,"",RANK(B278,$B$2:$B$371,0))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EMIL</t>
        </is>
      </c>
      <c r="D278" s="31" t="inlineStr">
        <is>
          <t>Electronics Mart India Ltd</t>
        </is>
      </c>
      <c r="E278" s="31" t="inlineStr">
        <is>
          <t>consumer discretionary</t>
        </is>
      </c>
      <c r="F278" s="31" t="inlineStr">
        <is>
          <t>trading</t>
        </is>
      </c>
      <c r="G278" s="31" t="inlineStr">
        <is>
          <t>midcap</t>
        </is>
      </c>
      <c r="H278" s="32" t="n">
        <v>7378.71</v>
      </c>
      <c r="I278" s="32" t="n">
        <v>189.44</v>
      </c>
      <c r="J278" s="32" t="n">
        <v>-1.22</v>
      </c>
      <c r="K278" s="32" t="n">
        <v>3872427</v>
      </c>
      <c r="L278" s="31" t="n">
        <v>81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77.44</v>
      </c>
      <c r="P278" s="32" t="n">
        <v>27.33</v>
      </c>
      <c r="Q278" s="32" t="n">
        <v>144.2</v>
      </c>
      <c r="R278" s="31" t="inlineStr">
        <is>
          <t>Volume Spike &amp; Near 52W High Breakout</t>
        </is>
      </c>
      <c r="S278" s="31" t="inlineStr">
        <is>
          <t>Nifty 50</t>
        </is>
      </c>
      <c r="T278" s="32" t="n">
        <v>-1.08</v>
      </c>
      <c r="U278" s="32" t="n">
        <v>58.9</v>
      </c>
      <c r="V278" s="32" t="n">
        <v>60.63</v>
      </c>
      <c r="W278" s="32" t="n">
        <v>24.32</v>
      </c>
      <c r="X278" s="31" t="inlineStr">
        <is>
          <t>Growing Industry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20 to 40</t>
        </is>
      </c>
      <c r="AY278" s="31">
        <f>IF(AX278="Above 40",20,IF(AX278="20 to 40",10,IF(AX278="0 to 20",-5,0)))</f>
        <v/>
      </c>
      <c r="AZ278" s="31" t="inlineStr">
        <is>
          <t>Above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More than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IF(B279=0,"",RANK(B279,$B$2:$B$371,0))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CONCOR</t>
        </is>
      </c>
      <c r="D279" s="31" t="inlineStr">
        <is>
          <t>Container Corporation Of India Limited</t>
        </is>
      </c>
      <c r="E279" s="31" t="inlineStr">
        <is>
          <t>transportation</t>
        </is>
      </c>
      <c r="F279" s="31" t="inlineStr">
        <is>
          <t>miscellaneous</t>
        </is>
      </c>
      <c r="G279" s="31" t="inlineStr">
        <is>
          <t>largecap</t>
        </is>
      </c>
      <c r="H279" s="32" t="n">
        <v>40643.74</v>
      </c>
      <c r="I279" s="32" t="n">
        <v>527</v>
      </c>
      <c r="J279" s="32" t="n">
        <v>-1.25</v>
      </c>
      <c r="K279" s="32" t="n">
        <v>5246472</v>
      </c>
      <c r="L279" s="31" t="n">
        <v>9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57.4</v>
      </c>
      <c r="P279" s="32" t="n">
        <v>13.61</v>
      </c>
      <c r="Q279" s="32" t="n">
        <v>431.16</v>
      </c>
      <c r="R279" s="31" t="inlineStr">
        <is>
          <t>Near 52W High Breakout</t>
        </is>
      </c>
      <c r="S279" s="31" t="inlineStr">
        <is>
          <t>Nifty 50</t>
        </is>
      </c>
      <c r="T279" s="32" t="n">
        <v>-1.08</v>
      </c>
      <c r="U279" s="32" t="n">
        <v>0.57</v>
      </c>
      <c r="V279" s="32" t="n">
        <v>1.67</v>
      </c>
      <c r="W279" s="32" t="n">
        <v>0.53</v>
      </c>
      <c r="X279" s="31" t="inlineStr">
        <is>
          <t>Growing Industry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Less than 12%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IF(B280=0,"",RANK(B280,$B$2:$B$371,0))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BASF</t>
        </is>
      </c>
      <c r="D280" s="31" t="inlineStr">
        <is>
          <t>Basf India Limited</t>
        </is>
      </c>
      <c r="E280" s="31" t="inlineStr">
        <is>
          <t>chemicals</t>
        </is>
      </c>
      <c r="F280" s="31" t="inlineStr">
        <is>
          <t>chemicals</t>
        </is>
      </c>
      <c r="G280" s="31" t="inlineStr">
        <is>
          <t>midcap</t>
        </is>
      </c>
      <c r="H280" s="32" t="n">
        <v>17895.15</v>
      </c>
      <c r="I280" s="32" t="n">
        <v>4077.9</v>
      </c>
      <c r="J280" s="32" t="n">
        <v>-1.36</v>
      </c>
      <c r="K280" s="32" t="n">
        <v>25091</v>
      </c>
      <c r="L280" s="31" t="n">
        <v>6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61.81</v>
      </c>
      <c r="P280" s="32" t="n">
        <v>15.47</v>
      </c>
      <c r="Q280" s="32" t="n">
        <v>3285.03</v>
      </c>
      <c r="R280" s="31" t="inlineStr">
        <is>
          <t>Earnings / Momentum Support</t>
        </is>
      </c>
      <c r="S280" s="31" t="inlineStr">
        <is>
          <t>Nifty IT</t>
        </is>
      </c>
      <c r="T280" s="32" t="n">
        <v>-9.98</v>
      </c>
      <c r="U280" s="32" t="n">
        <v>-9.279999999999999</v>
      </c>
      <c r="V280" s="32" t="n">
        <v>0.77</v>
      </c>
      <c r="W280" s="32" t="n">
        <v>-0.24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IF(B281=0,"",RANK(B281,$B$2:$B$371,0))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QPOWER</t>
        </is>
      </c>
      <c r="D281" s="31" t="inlineStr">
        <is>
          <t>Quality Power Electrical Equipments Ltd</t>
        </is>
      </c>
      <c r="E281" s="31" t="inlineStr">
        <is>
          <t>industrials</t>
        </is>
      </c>
      <c r="F281" s="31" t="inlineStr">
        <is>
          <t>electric equipment</t>
        </is>
      </c>
      <c r="G281" s="31" t="inlineStr">
        <is>
          <t>midcap</t>
        </is>
      </c>
      <c r="H281" s="32" t="n">
        <v>9898.129999999999</v>
      </c>
      <c r="I281" s="32" t="n">
        <v>1249.3</v>
      </c>
      <c r="J281" s="32" t="n">
        <v>-2.25</v>
      </c>
      <c r="K281" s="32" t="n">
        <v>190213</v>
      </c>
      <c r="L281" s="31" t="n">
        <v>57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58.58</v>
      </c>
      <c r="P281" s="32" t="n">
        <v>13.82</v>
      </c>
      <c r="Q281" s="32" t="n">
        <v>918.74</v>
      </c>
      <c r="R281" s="31" t="inlineStr">
        <is>
          <t>Volume Spike / Accumulation</t>
        </is>
      </c>
      <c r="S281" s="31" t="inlineStr">
        <is>
          <t>Nifty 50</t>
        </is>
      </c>
      <c r="T281" s="32" t="n">
        <v>-1.08</v>
      </c>
      <c r="U281" s="32" t="n">
        <v>61.2</v>
      </c>
      <c r="V281" s="32" t="n">
        <v>62.95</v>
      </c>
      <c r="W281" s="32" t="n">
        <v>13.58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More than 20%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Less than 1.5</t>
        </is>
      </c>
      <c r="BU281" s="31">
        <f>IF(BT281="Above 2",0,IF(BT281="Between 1.5 to 2",5,IF(BT281="Less than 1.5",10,0)))</f>
        <v/>
      </c>
      <c r="BV281" s="31" t="inlineStr">
        <is>
          <t>Less than 50%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IF(B282=0,"",RANK(B282,$B$2:$B$371,0))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ENDURANCE</t>
        </is>
      </c>
      <c r="D282" s="31" t="inlineStr">
        <is>
          <t>Endurance Technologies Limited</t>
        </is>
      </c>
      <c r="E282" s="31" t="inlineStr">
        <is>
          <t>auto</t>
        </is>
      </c>
      <c r="F282" s="31" t="inlineStr">
        <is>
          <t>auto ancillaries</t>
        </is>
      </c>
      <c r="G282" s="31" t="inlineStr">
        <is>
          <t>largecap</t>
        </is>
      </c>
      <c r="H282" s="32" t="n">
        <v>41851.42</v>
      </c>
      <c r="I282" s="32" t="n">
        <v>2899</v>
      </c>
      <c r="J282" s="32" t="n">
        <v>-2.56</v>
      </c>
      <c r="K282" s="32" t="n">
        <v>204866</v>
      </c>
      <c r="L282" s="31" t="inlineStr"/>
      <c r="M282" s="31" t="inlineStr"/>
      <c r="N282" s="32">
        <f>IF(M282="Underperforming",-5,IF(L282&gt;=95,15,IF(L282&gt;=90,10,IF(L282&gt;=80,5,0))))</f>
        <v/>
      </c>
      <c r="O282" s="32" t="n">
        <v>63.16</v>
      </c>
      <c r="P282" s="32" t="n">
        <v>17.24</v>
      </c>
      <c r="Q282" s="32" t="n">
        <v>2352.7</v>
      </c>
      <c r="R282" s="31" t="inlineStr">
        <is>
          <t>Near 52W High Breakout</t>
        </is>
      </c>
      <c r="S282" s="31" t="inlineStr">
        <is>
          <t>Nifty Auto</t>
        </is>
      </c>
      <c r="T282" s="32" t="inlineStr"/>
      <c r="U282" s="32" t="inlineStr"/>
      <c r="V282" s="32" t="inlineStr"/>
      <c r="W282" s="32" t="inlineStr"/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0 to 20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Blue sky scenario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IF(B283=0,"",RANK(B283,$B$2:$B$371,0))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KOLTEPATIL</t>
        </is>
      </c>
      <c r="D283" s="31" t="inlineStr">
        <is>
          <t>Kolte - Patil Developers Limited</t>
        </is>
      </c>
      <c r="E283" s="31" t="inlineStr">
        <is>
          <t>realty</t>
        </is>
      </c>
      <c r="F283" s="31" t="inlineStr">
        <is>
          <t>construction</t>
        </is>
      </c>
      <c r="G283" s="31" t="inlineStr">
        <is>
          <t>smallcap</t>
        </is>
      </c>
      <c r="H283" s="32" t="n">
        <v>4362.17</v>
      </c>
      <c r="I283" s="32" t="n">
        <v>477.7</v>
      </c>
      <c r="J283" s="32" t="n">
        <v>-2.89</v>
      </c>
      <c r="K283" s="32" t="n">
        <v>162701</v>
      </c>
      <c r="L283" s="31" t="inlineStr"/>
      <c r="M283" s="31" t="inlineStr"/>
      <c r="N283" s="32">
        <f>IF(M283="Underperforming",-5,IF(L283&gt;=95,15,IF(L283&gt;=90,10,IF(L283&gt;=80,5,0))))</f>
        <v/>
      </c>
      <c r="O283" s="32" t="n">
        <v>72.23</v>
      </c>
      <c r="P283" s="32" t="n">
        <v>16.25</v>
      </c>
      <c r="Q283" s="32" t="n">
        <v>367.82</v>
      </c>
      <c r="R283" s="31" t="inlineStr">
        <is>
          <t>Volume Spike &amp; Near 52W High Breakout</t>
        </is>
      </c>
      <c r="S283" s="31" t="inlineStr">
        <is>
          <t>Nifty Realty</t>
        </is>
      </c>
      <c r="T283" s="32" t="inlineStr"/>
      <c r="U283" s="32" t="inlineStr"/>
      <c r="V283" s="32" t="inlineStr"/>
      <c r="W283" s="32" t="inlineStr"/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IF(B284=0,"",RANK(B284,$B$2:$B$371,0))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PVP</t>
        </is>
      </c>
      <c r="D284" s="31" t="inlineStr">
        <is>
          <t>Pvp Ventures Limited</t>
        </is>
      </c>
      <c r="E284" s="31" t="inlineStr">
        <is>
          <t>realty</t>
        </is>
      </c>
      <c r="F284" s="31" t="inlineStr">
        <is>
          <t>construction</t>
        </is>
      </c>
      <c r="G284" s="31" t="inlineStr">
        <is>
          <t>smallcap</t>
        </is>
      </c>
      <c r="H284" s="32" t="n">
        <v>954.9</v>
      </c>
      <c r="I284" s="32" t="n">
        <v>35.43</v>
      </c>
      <c r="J284" s="32" t="n">
        <v>-3.38</v>
      </c>
      <c r="K284" s="32" t="n">
        <v>577134</v>
      </c>
      <c r="L284" s="31" t="inlineStr"/>
      <c r="M284" s="31" t="inlineStr"/>
      <c r="N284" s="32">
        <f>IF(M284="Underperforming",-5,IF(L284&gt;=95,15,IF(L284&gt;=90,10,IF(L284&gt;=80,5,0))))</f>
        <v/>
      </c>
      <c r="O284" s="32" t="n">
        <v>61.2</v>
      </c>
      <c r="P284" s="32" t="n">
        <v>11.51</v>
      </c>
      <c r="Q284" s="32" t="n">
        <v>23.55</v>
      </c>
      <c r="R284" s="31" t="inlineStr">
        <is>
          <t>Volume Spike / Accumulation</t>
        </is>
      </c>
      <c r="S284" s="31" t="inlineStr">
        <is>
          <t>Nifty Realty</t>
        </is>
      </c>
      <c r="T284" s="32" t="inlineStr"/>
      <c r="U284" s="32" t="inlineStr"/>
      <c r="V284" s="32" t="inlineStr"/>
      <c r="W284" s="32" t="inlineStr"/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IF(B285=0,"",RANK(B285,$B$2:$B$371,0))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UTTAMSUGAR</t>
        </is>
      </c>
      <c r="D285" s="31" t="inlineStr">
        <is>
          <t>Uttam Sugar Mills Limited</t>
        </is>
      </c>
      <c r="E285" s="31" t="inlineStr">
        <is>
          <t>fmcg</t>
        </is>
      </c>
      <c r="F285" s="31" t="inlineStr">
        <is>
          <t>sugar</t>
        </is>
      </c>
      <c r="G285" s="31" t="inlineStr">
        <is>
          <t>smallcap</t>
        </is>
      </c>
      <c r="H285" s="32" t="n">
        <v>1010.62</v>
      </c>
      <c r="I285" s="32" t="n">
        <v>264.29</v>
      </c>
      <c r="J285" s="32" t="n">
        <v>-0.26</v>
      </c>
      <c r="K285" s="32" t="n">
        <v>364608</v>
      </c>
      <c r="L285" s="31" t="inlineStr"/>
      <c r="M285" s="31" t="inlineStr"/>
      <c r="N285" s="32">
        <f>IF(M285="Underperforming",-5,IF(L285&gt;=95,15,IF(L285&gt;=90,10,IF(L285&gt;=80,5,0))))</f>
        <v/>
      </c>
      <c r="O285" s="32" t="n">
        <v>60.15</v>
      </c>
      <c r="P285" s="32" t="n">
        <v>12.37</v>
      </c>
      <c r="Q285" s="32" t="n">
        <v>194.41</v>
      </c>
      <c r="R285" s="31" t="inlineStr">
        <is>
          <t>Volume Spike &amp; Near 52W High Breakout</t>
        </is>
      </c>
      <c r="S285" s="31" t="inlineStr">
        <is>
          <t>Nifty FMCG</t>
        </is>
      </c>
      <c r="T285" s="32" t="inlineStr"/>
      <c r="U285" s="32" t="inlineStr"/>
      <c r="V285" s="32" t="inlineStr"/>
      <c r="W285" s="32" t="inlineStr"/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B2C</t>
        </is>
      </c>
      <c r="AO285" s="31">
        <f>IF(AN285="B2C",10,IF(AN285="B2B",5,0))</f>
        <v/>
      </c>
      <c r="AP285" s="31" t="inlineStr">
        <is>
          <t>Yes</t>
        </is>
      </c>
      <c r="AQ285" s="31">
        <f>IF(AP285="Yes",10,0)</f>
        <v/>
      </c>
      <c r="AR285" s="31" t="inlineStr">
        <is>
          <t>Higher Annuity, Lower One Time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Less than 12%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Between 0.7 to 1.2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IF(B286=0,"",RANK(B286,$B$2:$B$371,0))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DHAMPURSUG</t>
        </is>
      </c>
      <c r="D286" s="31" t="inlineStr">
        <is>
          <t>Dhampur Sugar Mills Limited</t>
        </is>
      </c>
      <c r="E286" s="31" t="inlineStr">
        <is>
          <t>fmcg</t>
        </is>
      </c>
      <c r="F286" s="31" t="inlineStr">
        <is>
          <t>sugar</t>
        </is>
      </c>
      <c r="G286" s="31" t="inlineStr">
        <is>
          <t>smallcap</t>
        </is>
      </c>
      <c r="H286" s="32" t="n">
        <v>1040.03</v>
      </c>
      <c r="I286" s="32" t="n">
        <v>160.93</v>
      </c>
      <c r="J286" s="32" t="n">
        <v>-0.49</v>
      </c>
      <c r="K286" s="32" t="n">
        <v>575804</v>
      </c>
      <c r="L286" s="31" t="inlineStr"/>
      <c r="M286" s="31" t="inlineStr"/>
      <c r="N286" s="32">
        <f>IF(M286="Underperforming",-5,IF(L286&gt;=95,15,IF(L286&gt;=90,10,IF(L286&gt;=80,5,0))))</f>
        <v/>
      </c>
      <c r="O286" s="32" t="n">
        <v>66.72</v>
      </c>
      <c r="P286" s="32" t="n">
        <v>15.69</v>
      </c>
      <c r="Q286" s="32" t="n">
        <v>124.47</v>
      </c>
      <c r="R286" s="31" t="inlineStr">
        <is>
          <t>Volume Spike &amp; Near 52W High Breakout</t>
        </is>
      </c>
      <c r="S286" s="31" t="inlineStr">
        <is>
          <t>Nifty FMCG</t>
        </is>
      </c>
      <c r="T286" s="32" t="inlineStr"/>
      <c r="U286" s="32" t="inlineStr"/>
      <c r="V286" s="32" t="inlineStr"/>
      <c r="W286" s="32" t="inlineStr"/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B2C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Annuity, Lower One Time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Between 0.7 to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IF(B287=0,"",RANK(B287,$B$2:$B$371,0))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PVRINOX</t>
        </is>
      </c>
      <c r="D287" s="31" t="inlineStr">
        <is>
          <t>PVR Inox Ltd</t>
        </is>
      </c>
      <c r="E287" s="31" t="inlineStr">
        <is>
          <t>media</t>
        </is>
      </c>
      <c r="F287" s="31" t="inlineStr">
        <is>
          <t>entertainment / electronic media software</t>
        </is>
      </c>
      <c r="G287" s="31" t="inlineStr">
        <is>
          <t>midcap</t>
        </is>
      </c>
      <c r="H287" s="32" t="n">
        <v>11549.3</v>
      </c>
      <c r="I287" s="32" t="n">
        <v>1165</v>
      </c>
      <c r="J287" s="32" t="n">
        <v>-0.9399999999999999</v>
      </c>
      <c r="K287" s="32" t="n">
        <v>125565</v>
      </c>
      <c r="L287" s="31" t="n">
        <v>25</v>
      </c>
      <c r="M287" s="31" t="inlineStr">
        <is>
          <t>Outperforming</t>
        </is>
      </c>
      <c r="N287" s="32">
        <f>IF(M287="Underperforming",-5,IF(L287&gt;=95,15,IF(L287&gt;=90,10,IF(L287&gt;=80,5,0))))</f>
        <v/>
      </c>
      <c r="O287" s="32" t="n">
        <v>68.44</v>
      </c>
      <c r="P287" s="32" t="n">
        <v>14.77</v>
      </c>
      <c r="Q287" s="32" t="n">
        <v>978.16</v>
      </c>
      <c r="R287" s="31" t="inlineStr">
        <is>
          <t>Near 52W High Breakout</t>
        </is>
      </c>
      <c r="S287" s="31" t="inlineStr">
        <is>
          <t>Nifty IT</t>
        </is>
      </c>
      <c r="T287" s="32" t="n">
        <v>-9.98</v>
      </c>
      <c r="U287" s="32" t="n">
        <v>8.800000000000001</v>
      </c>
      <c r="V287" s="32" t="n">
        <v>20.86</v>
      </c>
      <c r="W287" s="32" t="n">
        <v>5.2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Too Many Players with High ROCE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Higher Annuity, Lower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0 to 20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IF(B288=0,"",RANK(B288,$B$2:$B$371,0))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TIIL</t>
        </is>
      </c>
      <c r="D288" s="31" t="inlineStr">
        <is>
          <t>Technocraft Industries (india) Limited</t>
        </is>
      </c>
      <c r="E288" s="31" t="inlineStr">
        <is>
          <t>metals &amp; mining</t>
        </is>
      </c>
      <c r="F288" s="31" t="inlineStr">
        <is>
          <t>steel - medium / small</t>
        </is>
      </c>
      <c r="G288" s="31" t="inlineStr">
        <is>
          <t>midcap</t>
        </is>
      </c>
      <c r="H288" s="32" t="n">
        <v>6547</v>
      </c>
      <c r="I288" s="32" t="n">
        <v>3088.7</v>
      </c>
      <c r="J288" s="32" t="n">
        <v>6.96</v>
      </c>
      <c r="K288" s="32" t="n">
        <v>697944</v>
      </c>
      <c r="L288" s="31" t="inlineStr"/>
      <c r="M288" s="31" t="inlineStr"/>
      <c r="N288" s="32">
        <f>IF(M288="Underperforming",-5,IF(L288&gt;=95,15,IF(L288&gt;=90,10,IF(L288&gt;=80,5,0))))</f>
        <v/>
      </c>
      <c r="O288" s="32" t="n">
        <v>72.09</v>
      </c>
      <c r="P288" s="32" t="n">
        <v>26.75</v>
      </c>
      <c r="Q288" s="32" t="n">
        <v>2421.25</v>
      </c>
      <c r="R288" s="31" t="inlineStr">
        <is>
          <t>Volume Spike &amp; Near 52W High Breakout</t>
        </is>
      </c>
      <c r="S288" s="31" t="inlineStr">
        <is>
          <t>Nifty Metal</t>
        </is>
      </c>
      <c r="T288" s="32" t="inlineStr"/>
      <c r="U288" s="32" t="inlineStr"/>
      <c r="V288" s="32" t="inlineStr"/>
      <c r="W288" s="32" t="inlineStr"/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20 to 40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Between 12 to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Between 1.5 to 2</t>
        </is>
      </c>
      <c r="BU288" s="31">
        <f>IF(BT288="Above 2",0,IF(BT288="Between 1.5 to 2",5,IF(BT288="Less than 1.5",10,0)))</f>
        <v/>
      </c>
      <c r="BV288" s="31" t="inlineStr">
        <is>
          <t>Between 50% to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IF(B289=0,"",RANK(B289,$B$2:$B$371,0))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AEROFLEX</t>
        </is>
      </c>
      <c r="D289" s="31" t="inlineStr">
        <is>
          <t>Aeroflex Industries Ltd</t>
        </is>
      </c>
      <c r="E289" s="31" t="inlineStr">
        <is>
          <t>metals &amp; mining</t>
        </is>
      </c>
      <c r="F289" s="31" t="inlineStr">
        <is>
          <t>steel - medium / small</t>
        </is>
      </c>
      <c r="G289" s="31" t="inlineStr">
        <is>
          <t>midcap</t>
        </is>
      </c>
      <c r="H289" s="32" t="n">
        <v>5931.73</v>
      </c>
      <c r="I289" s="32" t="n">
        <v>459.85</v>
      </c>
      <c r="J289" s="32" t="n">
        <v>2.59</v>
      </c>
      <c r="K289" s="32" t="n">
        <v>1134930</v>
      </c>
      <c r="L289" s="31" t="inlineStr"/>
      <c r="M289" s="31" t="inlineStr"/>
      <c r="N289" s="32">
        <f>IF(M289="Underperforming",-5,IF(L289&gt;=95,15,IF(L289&gt;=90,10,IF(L289&gt;=80,5,0))))</f>
        <v/>
      </c>
      <c r="O289" s="32" t="n">
        <v>64.89</v>
      </c>
      <c r="P289" s="32" t="n">
        <v>65.81999999999999</v>
      </c>
      <c r="Q289" s="32" t="n">
        <v>358.25</v>
      </c>
      <c r="R289" s="31" t="inlineStr">
        <is>
          <t>Earnings / Momentum Support</t>
        </is>
      </c>
      <c r="S289" s="31" t="inlineStr">
        <is>
          <t>Nifty Metal</t>
        </is>
      </c>
      <c r="T289" s="32" t="inlineStr"/>
      <c r="U289" s="32" t="inlineStr"/>
      <c r="V289" s="32" t="inlineStr"/>
      <c r="W289" s="32" t="inlineStr"/>
      <c r="X289" s="31" t="inlineStr">
        <is>
          <t>Cyclical in an Upturn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Cyclical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Above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Yes</t>
        </is>
      </c>
      <c r="BS289" s="31">
        <f>IF(BR289="NO",5,0)</f>
        <v/>
      </c>
      <c r="BT289" s="31" t="inlineStr">
        <is>
          <t>Above 2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IF(B290=0,"",RANK(B290,$B$2:$B$371,0))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SOTL</t>
        </is>
      </c>
      <c r="D290" s="31" t="inlineStr">
        <is>
          <t>Savita Oil Technologies Limited</t>
        </is>
      </c>
      <c r="E290" s="31" t="inlineStr">
        <is>
          <t>energy</t>
        </is>
      </c>
      <c r="F290" s="31" t="inlineStr">
        <is>
          <t>petrochemicals</t>
        </is>
      </c>
      <c r="G290" s="31" t="inlineStr">
        <is>
          <t>smallcap</t>
        </is>
      </c>
      <c r="H290" s="32" t="n">
        <v>4675.13</v>
      </c>
      <c r="I290" s="32" t="n">
        <v>699.15</v>
      </c>
      <c r="J290" s="32" t="n">
        <v>2.53</v>
      </c>
      <c r="K290" s="32" t="n">
        <v>302022</v>
      </c>
      <c r="L290" s="31" t="inlineStr"/>
      <c r="M290" s="31" t="inlineStr"/>
      <c r="N290" s="32">
        <f>IF(M290="Underperforming",-5,IF(L290&gt;=95,15,IF(L290&gt;=90,10,IF(L290&gt;=80,5,0))))</f>
        <v/>
      </c>
      <c r="O290" s="32" t="n">
        <v>65.81</v>
      </c>
      <c r="P290" s="32" t="n">
        <v>50.07</v>
      </c>
      <c r="Q290" s="32" t="n">
        <v>546.38</v>
      </c>
      <c r="R290" s="31" t="inlineStr">
        <is>
          <t>Earnings / Momentum Support</t>
        </is>
      </c>
      <c r="S290" s="31" t="inlineStr">
        <is>
          <t>Nifty Energy</t>
        </is>
      </c>
      <c r="T290" s="32" t="inlineStr"/>
      <c r="U290" s="32" t="inlineStr"/>
      <c r="V290" s="32" t="inlineStr"/>
      <c r="W290" s="32" t="inlineStr"/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Oligopoly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Yes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Volatile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Above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IF(B291=0,"",RANK(B291,$B$2:$B$371,0))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FOSECOIND</t>
        </is>
      </c>
      <c r="D291" s="31" t="inlineStr">
        <is>
          <t>Foseco India Limited</t>
        </is>
      </c>
      <c r="E291" s="31" t="inlineStr">
        <is>
          <t>chemicals</t>
        </is>
      </c>
      <c r="F291" s="31" t="inlineStr">
        <is>
          <t>chemicals</t>
        </is>
      </c>
      <c r="G291" s="31" t="inlineStr">
        <is>
          <t>smallcap</t>
        </is>
      </c>
      <c r="H291" s="32" t="n">
        <v>4173.76</v>
      </c>
      <c r="I291" s="32" t="n">
        <v>5655</v>
      </c>
      <c r="J291" s="32" t="n">
        <v>2.12</v>
      </c>
      <c r="K291" s="32" t="n">
        <v>41930</v>
      </c>
      <c r="L291" s="31" t="n">
        <v>29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63.95</v>
      </c>
      <c r="P291" s="32" t="n">
        <v>19.03</v>
      </c>
      <c r="Q291" s="32" t="n">
        <v>4505.59</v>
      </c>
      <c r="R291" s="31" t="inlineStr">
        <is>
          <t>Volume Spike / Accumulation</t>
        </is>
      </c>
      <c r="S291" s="31" t="inlineStr">
        <is>
          <t>Nifty IT</t>
        </is>
      </c>
      <c r="T291" s="32" t="n">
        <v>-9.98</v>
      </c>
      <c r="U291" s="32" t="n">
        <v>16.42</v>
      </c>
      <c r="V291" s="32" t="n">
        <v>29.33</v>
      </c>
      <c r="W291" s="32" t="n">
        <v>5.91</v>
      </c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Less than 0.7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IF(B292=0,"",RANK(B292,$B$2:$B$371,0))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ENGINERSIN</t>
        </is>
      </c>
      <c r="D292" s="31" t="inlineStr">
        <is>
          <t>Engineers India Limited</t>
        </is>
      </c>
      <c r="E292" s="31" t="inlineStr">
        <is>
          <t>realty</t>
        </is>
      </c>
      <c r="F292" s="31" t="inlineStr">
        <is>
          <t>engineering - turnkey services</t>
        </is>
      </c>
      <c r="G292" s="31" t="inlineStr">
        <is>
          <t>midcap</t>
        </is>
      </c>
      <c r="H292" s="32" t="n">
        <v>13521.62</v>
      </c>
      <c r="I292" s="32" t="n">
        <v>243.68</v>
      </c>
      <c r="J292" s="32" t="n">
        <v>1.29</v>
      </c>
      <c r="K292" s="32" t="n">
        <v>7323273</v>
      </c>
      <c r="L292" s="31" t="inlineStr"/>
      <c r="M292" s="31" t="inlineStr"/>
      <c r="N292" s="32">
        <f>IF(M292="Underperforming",-5,IF(L292&gt;=95,15,IF(L292&gt;=90,10,IF(L292&gt;=80,5,0))))</f>
        <v/>
      </c>
      <c r="O292" s="32" t="n">
        <v>57.12</v>
      </c>
      <c r="P292" s="32" t="n">
        <v>11.6</v>
      </c>
      <c r="Q292" s="32" t="n">
        <v>195.92</v>
      </c>
      <c r="R292" s="31" t="inlineStr">
        <is>
          <t>Near 52W High Breakout</t>
        </is>
      </c>
      <c r="S292" s="31" t="inlineStr">
        <is>
          <t>Nifty Realty</t>
        </is>
      </c>
      <c r="T292" s="32" t="inlineStr"/>
      <c r="U292" s="32" t="inlineStr"/>
      <c r="V292" s="32" t="inlineStr"/>
      <c r="W292" s="32" t="inlineStr"/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Blue sky scenario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Less than 12%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No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Less than 50%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IF(B293=0,"",RANK(B293,$B$2:$B$371,0))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RBA</t>
        </is>
      </c>
      <c r="D293" s="31" t="inlineStr">
        <is>
          <t>Restaurant Brands Asia Ltd</t>
        </is>
      </c>
      <c r="E293" s="31" t="inlineStr">
        <is>
          <t>consumer discretionary</t>
        </is>
      </c>
      <c r="F293" s="31" t="inlineStr">
        <is>
          <t>hotels</t>
        </is>
      </c>
      <c r="G293" s="31" t="inlineStr">
        <is>
          <t>midcap</t>
        </is>
      </c>
      <c r="H293" s="32" t="n">
        <v>6999.76</v>
      </c>
      <c r="I293" s="32" t="n">
        <v>99.08</v>
      </c>
      <c r="J293" s="32" t="n">
        <v>0.74</v>
      </c>
      <c r="K293" s="32" t="n">
        <v>12304317</v>
      </c>
      <c r="L293" s="31" t="n">
        <v>63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75.34</v>
      </c>
      <c r="P293" s="32" t="n">
        <v>28.38</v>
      </c>
      <c r="Q293" s="32" t="n">
        <v>78.72</v>
      </c>
      <c r="R293" s="31" t="inlineStr">
        <is>
          <t>Near 52W High Breakout</t>
        </is>
      </c>
      <c r="S293" s="31" t="inlineStr">
        <is>
          <t>Nifty 50</t>
        </is>
      </c>
      <c r="T293" s="32" t="n">
        <v>-1.08</v>
      </c>
      <c r="U293" s="32" t="n">
        <v>25.75</v>
      </c>
      <c r="V293" s="32" t="n">
        <v>27.12</v>
      </c>
      <c r="W293" s="32" t="n">
        <v>15.98</v>
      </c>
      <c r="X293" s="31" t="inlineStr">
        <is>
          <t>Growing Industry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Above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IF(B294=0,"",RANK(B294,$B$2:$B$371,0))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MANALIPETC</t>
        </is>
      </c>
      <c r="D294" s="31" t="inlineStr">
        <is>
          <t>Manali Petrochemicals Limited</t>
        </is>
      </c>
      <c r="E294" s="31" t="inlineStr">
        <is>
          <t>energy</t>
        </is>
      </c>
      <c r="F294" s="31" t="inlineStr">
        <is>
          <t>petrochemicals</t>
        </is>
      </c>
      <c r="G294" s="31" t="inlineStr">
        <is>
          <t>smallcap</t>
        </is>
      </c>
      <c r="H294" s="32" t="n">
        <v>1183.87</v>
      </c>
      <c r="I294" s="32" t="n">
        <v>69.27</v>
      </c>
      <c r="J294" s="32" t="n">
        <v>0.64</v>
      </c>
      <c r="K294" s="32" t="n">
        <v>4377026</v>
      </c>
      <c r="L294" s="31" t="inlineStr"/>
      <c r="M294" s="31" t="inlineStr"/>
      <c r="N294" s="32">
        <f>IF(M294="Underperforming",-5,IF(L294&gt;=95,15,IF(L294&gt;=90,10,IF(L294&gt;=80,5,0))))</f>
        <v/>
      </c>
      <c r="O294" s="32" t="n">
        <v>62.47</v>
      </c>
      <c r="P294" s="32" t="n">
        <v>30.89</v>
      </c>
      <c r="Q294" s="32" t="n">
        <v>51.18</v>
      </c>
      <c r="R294" s="31" t="inlineStr">
        <is>
          <t>Volume Spike / Accumulation</t>
        </is>
      </c>
      <c r="S294" s="31" t="inlineStr">
        <is>
          <t>Nifty Energy</t>
        </is>
      </c>
      <c r="T294" s="32" t="inlineStr"/>
      <c r="U294" s="32" t="inlineStr"/>
      <c r="V294" s="32" t="inlineStr"/>
      <c r="W294" s="32" t="inlineStr"/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Oligopoly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Cyclical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Volatile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Close to 52 week high or retracement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IF(B295=0,"",RANK(B295,$B$2:$B$371,0))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ETERNAL</t>
        </is>
      </c>
      <c r="D295" s="31" t="inlineStr">
        <is>
          <t>Eternal Ltd</t>
        </is>
      </c>
      <c r="E295" s="31" t="inlineStr">
        <is>
          <t>i.t</t>
        </is>
      </c>
      <c r="F295" s="31" t="inlineStr">
        <is>
          <t>miscellaneous</t>
        </is>
      </c>
      <c r="G295" s="31" t="inlineStr">
        <is>
          <t>largecap</t>
        </is>
      </c>
      <c r="H295" s="32" t="n">
        <v>306881.15</v>
      </c>
      <c r="I295" s="32" t="n">
        <v>318.5</v>
      </c>
      <c r="J295" s="32" t="n">
        <v>0.16</v>
      </c>
      <c r="K295" s="32" t="n">
        <v>59798748</v>
      </c>
      <c r="L295" s="31" t="n">
        <v>35</v>
      </c>
      <c r="M295" s="31" t="inlineStr">
        <is>
          <t>Outperforming</t>
        </is>
      </c>
      <c r="N295" s="32">
        <f>IF(M295="Underperforming",-5,IF(L295&gt;=95,15,IF(L295&gt;=90,10,IF(L295&gt;=80,5,0))))</f>
        <v/>
      </c>
      <c r="O295" s="32" t="n">
        <v>65.98</v>
      </c>
      <c r="P295" s="32" t="n">
        <v>18.64</v>
      </c>
      <c r="Q295" s="32" t="n">
        <v>254.17</v>
      </c>
      <c r="R295" s="31" t="inlineStr">
        <is>
          <t>Earnings / Momentum Support</t>
        </is>
      </c>
      <c r="S295" s="31" t="inlineStr">
        <is>
          <t>Nifty IT</t>
        </is>
      </c>
      <c r="T295" s="32" t="n">
        <v>-9.98</v>
      </c>
      <c r="U295" s="32" t="n">
        <v>0.03</v>
      </c>
      <c r="V295" s="32" t="n">
        <v>11.12</v>
      </c>
      <c r="W295" s="32" t="n">
        <v>7.6</v>
      </c>
      <c r="X295" s="31" t="inlineStr">
        <is>
          <t>Growing Industry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Structural (10 Years Consistency)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Stable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No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0 to 20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Close to 52 week high or retracement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IF(B296=0,"",RANK(B296,$B$2:$B$371,0))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NAVINFLUOR</t>
        </is>
      </c>
      <c r="D296" s="31" t="inlineStr">
        <is>
          <t>Navin Fluorine International Limited</t>
        </is>
      </c>
      <c r="E296" s="31" t="inlineStr">
        <is>
          <t>chemicals</t>
        </is>
      </c>
      <c r="F296" s="31" t="inlineStr">
        <is>
          <t>chemicals</t>
        </is>
      </c>
      <c r="G296" s="31" t="inlineStr">
        <is>
          <t>largecap</t>
        </is>
      </c>
      <c r="H296" s="32" t="n">
        <v>42540.89</v>
      </c>
      <c r="I296" s="32" t="n">
        <v>8235</v>
      </c>
      <c r="J296" s="32" t="n">
        <v>-0.71</v>
      </c>
      <c r="K296" s="32" t="n">
        <v>71166</v>
      </c>
      <c r="L296" s="31" t="n">
        <v>58</v>
      </c>
      <c r="M296" s="31" t="inlineStr">
        <is>
          <t>Outperforming</t>
        </is>
      </c>
      <c r="N296" s="32">
        <f>IF(M296="Underperforming",-5,IF(L296&gt;=95,15,IF(L296&gt;=90,10,IF(L296&gt;=80,5,0))))</f>
        <v/>
      </c>
      <c r="O296" s="32" t="n">
        <v>73.36</v>
      </c>
      <c r="P296" s="32" t="n">
        <v>55.5</v>
      </c>
      <c r="Q296" s="32" t="n">
        <v>6807.62</v>
      </c>
      <c r="R296" s="31" t="inlineStr">
        <is>
          <t>Near 52W High Breakout</t>
        </is>
      </c>
      <c r="S296" s="31" t="inlineStr">
        <is>
          <t>Nifty 50</t>
        </is>
      </c>
      <c r="T296" s="32" t="n">
        <v>-1.08</v>
      </c>
      <c r="U296" s="32" t="n">
        <v>65.14</v>
      </c>
      <c r="V296" s="32" t="n">
        <v>66.94</v>
      </c>
      <c r="W296" s="32" t="n">
        <v>14.38</v>
      </c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Oligopoly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Shallow Cyclical (2 to 3 Years Growth)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20 to 40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3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More than 20%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Yes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Between 50% to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IF(B297=0,"",RANK(B297,$B$2:$B$371,0))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1" t="inlineStr">
        <is>
          <t>EPL</t>
        </is>
      </c>
      <c r="D297" s="31" t="inlineStr">
        <is>
          <t>EPL Ltd</t>
        </is>
      </c>
      <c r="E297" s="31" t="inlineStr">
        <is>
          <t>industrials</t>
        </is>
      </c>
      <c r="F297" s="31" t="inlineStr">
        <is>
          <t>packaging</t>
        </is>
      </c>
      <c r="G297" s="31" t="inlineStr">
        <is>
          <t>midcap</t>
        </is>
      </c>
      <c r="H297" s="32" t="n">
        <v>7918.59</v>
      </c>
      <c r="I297" s="32" t="n">
        <v>244.6</v>
      </c>
      <c r="J297" s="32" t="n">
        <v>-1.07</v>
      </c>
      <c r="K297" s="32" t="n">
        <v>1971775</v>
      </c>
      <c r="L297" s="31" t="n">
        <v>23</v>
      </c>
      <c r="M297" s="31" t="inlineStr">
        <is>
          <t>Outperforming</t>
        </is>
      </c>
      <c r="N297" s="32">
        <f>IF(M297="Underperforming",-5,IF(L297&gt;=95,15,IF(L297&gt;=90,10,IF(L297&gt;=80,5,0))))</f>
        <v/>
      </c>
      <c r="O297" s="32" t="n">
        <v>60.89</v>
      </c>
      <c r="P297" s="32" t="n">
        <v>9.720000000000001</v>
      </c>
      <c r="Q297" s="32" t="n">
        <v>194.78</v>
      </c>
      <c r="R297" s="31" t="inlineStr">
        <is>
          <t>Volume Spike &amp; Near 52W High Breakout</t>
        </is>
      </c>
      <c r="S297" s="31" t="inlineStr">
        <is>
          <t>Nifty 50</t>
        </is>
      </c>
      <c r="T297" s="32" t="n">
        <v>-1.08</v>
      </c>
      <c r="U297" s="32" t="n">
        <v>8.779999999999999</v>
      </c>
      <c r="V297" s="32" t="n">
        <v>9.970000000000001</v>
      </c>
      <c r="W297" s="32" t="n">
        <v>4.83</v>
      </c>
      <c r="X297" s="31" t="inlineStr">
        <is>
          <t>Cyclical in an Upturn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Yes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Less than 12%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Above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IF(B298=0,"",RANK(B298,$B$2:$B$371,0))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ASTRAL</t>
        </is>
      </c>
      <c r="D298" s="31" t="inlineStr">
        <is>
          <t>Astral Ltd</t>
        </is>
      </c>
      <c r="E298" s="31" t="inlineStr">
        <is>
          <t>plastic products</t>
        </is>
      </c>
      <c r="F298" s="31" t="inlineStr">
        <is>
          <t>plastics products</t>
        </is>
      </c>
      <c r="G298" s="31" t="inlineStr">
        <is>
          <t>largecap</t>
        </is>
      </c>
      <c r="H298" s="32" t="n">
        <v>42769.11</v>
      </c>
      <c r="I298" s="32" t="n">
        <v>1556.3</v>
      </c>
      <c r="J298" s="32" t="n">
        <v>-2.24</v>
      </c>
      <c r="K298" s="32" t="n">
        <v>1774391</v>
      </c>
      <c r="L298" s="31" t="n">
        <v>19</v>
      </c>
      <c r="M298" s="31" t="inlineStr">
        <is>
          <t>Outperforming</t>
        </is>
      </c>
      <c r="N298" s="32">
        <f>IF(M298="Underperforming",-5,IF(L298&gt;=95,15,IF(L298&gt;=90,10,IF(L298&gt;=80,5,0))))</f>
        <v/>
      </c>
      <c r="O298" s="32" t="n">
        <v>54.84</v>
      </c>
      <c r="P298" s="32" t="n">
        <v>22.74</v>
      </c>
      <c r="Q298" s="32" t="n">
        <v>1277.75</v>
      </c>
      <c r="R298" s="31" t="inlineStr">
        <is>
          <t>Volume Spike / Accumulation</t>
        </is>
      </c>
      <c r="S298" s="31" t="inlineStr">
        <is>
          <t>Nifty 50</t>
        </is>
      </c>
      <c r="T298" s="32" t="n">
        <v>-1.08</v>
      </c>
      <c r="U298" s="32" t="n">
        <v>21.97</v>
      </c>
      <c r="V298" s="32" t="n">
        <v>23.3</v>
      </c>
      <c r="W298" s="32" t="n">
        <v>4.42</v>
      </c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Headwind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20 to 40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1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Close to 52 week high or retracement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More than 20%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Between 1.5 to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IF(B299=0,"",RANK(B299,$B$2:$B$371,0))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GRPLTD</t>
        </is>
      </c>
      <c r="D299" s="31" t="inlineStr">
        <is>
          <t>Grp Limited</t>
        </is>
      </c>
      <c r="E299" s="31" t="inlineStr">
        <is>
          <t>fmcg</t>
        </is>
      </c>
      <c r="F299" s="31" t="inlineStr">
        <is>
          <t>miscellaneous</t>
        </is>
      </c>
      <c r="G299" s="31" t="inlineStr">
        <is>
          <t>smallcap</t>
        </is>
      </c>
      <c r="H299" s="32" t="n">
        <v>1062.77</v>
      </c>
      <c r="I299" s="32" t="n">
        <v>2015</v>
      </c>
      <c r="J299" s="32" t="n">
        <v>1.12</v>
      </c>
      <c r="K299" s="32" t="n">
        <v>2169</v>
      </c>
      <c r="L299" s="31" t="inlineStr"/>
      <c r="M299" s="31" t="inlineStr"/>
      <c r="N299" s="32">
        <f>IF(M299="Underperforming",-5,IF(L299&gt;=95,15,IF(L299&gt;=90,10,IF(L299&gt;=80,5,0))))</f>
        <v/>
      </c>
      <c r="O299" s="32" t="n">
        <v>55.99</v>
      </c>
      <c r="P299" s="32" t="n">
        <v>17.13</v>
      </c>
      <c r="Q299" s="32" t="n">
        <v>1551.86</v>
      </c>
      <c r="R299" s="31" t="inlineStr">
        <is>
          <t>Earnings / Momentum Support</t>
        </is>
      </c>
      <c r="S299" s="31" t="inlineStr">
        <is>
          <t>Nifty FMCG</t>
        </is>
      </c>
      <c r="T299" s="32" t="inlineStr"/>
      <c r="U299" s="32" t="inlineStr"/>
      <c r="V299" s="32" t="inlineStr"/>
      <c r="W299" s="32" t="inlineStr"/>
      <c r="X299" s="31" t="inlineStr">
        <is>
          <t>Growing Industry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Structural (10 Years Consistency)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Stable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B2C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Annuity, Lower One Time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0 to 20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Yes</t>
        </is>
      </c>
      <c r="BS299" s="31">
        <f>IF(BR299="NO",5,0)</f>
        <v/>
      </c>
      <c r="BT299" s="31" t="inlineStr">
        <is>
          <t>Above 2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Between 0.7 to 1.2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IF(B300=0,"",RANK(B300,$B$2:$B$371,0))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PERSISTENT</t>
        </is>
      </c>
      <c r="D300" s="31" t="inlineStr">
        <is>
          <t>Persistent Systems Limited</t>
        </is>
      </c>
      <c r="E300" s="31" t="inlineStr">
        <is>
          <t>i.t</t>
        </is>
      </c>
      <c r="F300" s="31" t="inlineStr">
        <is>
          <t>computers - software - large</t>
        </is>
      </c>
      <c r="G300" s="31" t="inlineStr">
        <is>
          <t>largecap</t>
        </is>
      </c>
      <c r="H300" s="32" t="n">
        <v>87125.33</v>
      </c>
      <c r="I300" s="32" t="n">
        <v>5580</v>
      </c>
      <c r="J300" s="32" t="n">
        <v>1.03</v>
      </c>
      <c r="K300" s="32" t="n">
        <v>1252188</v>
      </c>
      <c r="L300" s="31" t="n">
        <v>28</v>
      </c>
      <c r="M300" s="31" t="inlineStr">
        <is>
          <t>Outperforming</t>
        </is>
      </c>
      <c r="N300" s="32">
        <f>IF(M300="Underperforming",-5,IF(L300&gt;=95,15,IF(L300&gt;=90,10,IF(L300&gt;=80,5,0))))</f>
        <v/>
      </c>
      <c r="O300" s="32" t="n">
        <v>58.05</v>
      </c>
      <c r="P300" s="32" t="n">
        <v>9.630000000000001</v>
      </c>
      <c r="Q300" s="32" t="n">
        <v>4388.27</v>
      </c>
      <c r="R300" s="31" t="inlineStr">
        <is>
          <t>Earnings / Momentum Support</t>
        </is>
      </c>
      <c r="S300" s="31" t="inlineStr">
        <is>
          <t>Nifty IT</t>
        </is>
      </c>
      <c r="T300" s="32" t="n">
        <v>-9.98</v>
      </c>
      <c r="U300" s="32" t="n">
        <v>6.25</v>
      </c>
      <c r="V300" s="32" t="n">
        <v>18.02</v>
      </c>
      <c r="W300" s="32" t="n">
        <v>5.89</v>
      </c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No</t>
        </is>
      </c>
      <c r="AQ300" s="31">
        <f>IF(AP300="Yes",10,0)</f>
        <v/>
      </c>
      <c r="AR300" s="31" t="inlineStr">
        <is>
          <t>Higher Annuity, Lower One Time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0 to 20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Between 12 to 20%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Less than 0.7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IF(B301=0,"",RANK(B301,$B$2:$B$371,0))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WINDLAS</t>
        </is>
      </c>
      <c r="D301" s="33" t="inlineStr">
        <is>
          <t>Windlas Biotech Ltd</t>
        </is>
      </c>
      <c r="E301" s="31" t="inlineStr">
        <is>
          <t>healthcare</t>
        </is>
      </c>
      <c r="F301" s="31" t="inlineStr">
        <is>
          <t>pharmaceuticals - indian - formulations</t>
        </is>
      </c>
      <c r="G301" s="31" t="inlineStr">
        <is>
          <t>smallcap</t>
        </is>
      </c>
      <c r="H301" s="32" t="n">
        <v>1959.41</v>
      </c>
      <c r="I301" s="32" t="n">
        <v>950</v>
      </c>
      <c r="J301" s="32" t="n">
        <v>0.05</v>
      </c>
      <c r="K301" s="32" t="n">
        <v>143016</v>
      </c>
      <c r="L301" s="31" t="n">
        <v>16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66.15000000000001</v>
      </c>
      <c r="P301" s="32" t="n">
        <v>15.07</v>
      </c>
      <c r="Q301" s="32" t="n">
        <v>750.01</v>
      </c>
      <c r="R301" s="31" t="inlineStr">
        <is>
          <t>Volume Spike / Accumulation</t>
        </is>
      </c>
      <c r="S301" s="31" t="inlineStr">
        <is>
          <t>Nifty Pharma</t>
        </is>
      </c>
      <c r="T301" s="32" t="n">
        <v>19.38</v>
      </c>
      <c r="U301" s="32" t="n">
        <v>-8.68</v>
      </c>
      <c r="V301" s="32" t="n">
        <v>-23.5</v>
      </c>
      <c r="W301" s="32" t="n">
        <v>3.75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Yes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Yes</t>
        </is>
      </c>
      <c r="AQ301" s="31">
        <f>IF(AP301="Yes",10,0)</f>
        <v/>
      </c>
      <c r="AR301" s="31" t="inlineStr">
        <is>
          <t>Higher Annuity, Lower One Time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0 to 20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IF(B302=0,"",RANK(B302,$B$2:$B$371,0))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3" t="inlineStr">
        <is>
          <t>APLLTD</t>
        </is>
      </c>
      <c r="D302" s="33" t="inlineStr">
        <is>
          <t>Alembic Pharmaceuticals Limited</t>
        </is>
      </c>
      <c r="E302" s="31" t="inlineStr">
        <is>
          <t>healthcare</t>
        </is>
      </c>
      <c r="F302" s="31" t="inlineStr">
        <is>
          <t>pharmaceuticals - indian - bulk drugs &amp; formln</t>
        </is>
      </c>
      <c r="G302" s="31" t="inlineStr">
        <is>
          <t>midcap</t>
        </is>
      </c>
      <c r="H302" s="32" t="n">
        <v>16338.33</v>
      </c>
      <c r="I302" s="32" t="n">
        <v>831.25</v>
      </c>
      <c r="J302" s="32" t="n">
        <v>0.01</v>
      </c>
      <c r="K302" s="32" t="n">
        <v>86738</v>
      </c>
      <c r="L302" s="31" t="n">
        <v>4</v>
      </c>
      <c r="M302" s="31" t="inlineStr">
        <is>
          <t>Underperforming</t>
        </is>
      </c>
      <c r="N302" s="32">
        <f>IF(M302="Underperforming",-5,IF(L302&gt;=95,15,IF(L302&gt;=90,10,IF(L302&gt;=80,5,0))))</f>
        <v/>
      </c>
      <c r="O302" s="32" t="n">
        <v>59.46</v>
      </c>
      <c r="P302" s="32" t="n">
        <v>14.3</v>
      </c>
      <c r="Q302" s="32" t="n">
        <v>684.21</v>
      </c>
      <c r="R302" s="31" t="inlineStr">
        <is>
          <t>Earnings / Momentum Support</t>
        </is>
      </c>
      <c r="S302" s="31" t="inlineStr">
        <is>
          <t>Nifty Pharma</t>
        </is>
      </c>
      <c r="T302" s="32" t="n">
        <v>19.38</v>
      </c>
      <c r="U302" s="32" t="n">
        <v>-11.84</v>
      </c>
      <c r="V302" s="32" t="n">
        <v>-26.16</v>
      </c>
      <c r="W302" s="32" t="n">
        <v>-0.67</v>
      </c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Yes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No</t>
        </is>
      </c>
      <c r="AQ302" s="31">
        <f>IF(AP302="Yes",10,0)</f>
        <v/>
      </c>
      <c r="AR302" s="31" t="inlineStr">
        <is>
          <t>Higher Annuity, Lower One Time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Close to 52 week high or retracement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Between 12 to 20%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No</t>
        </is>
      </c>
      <c r="BS302" s="31">
        <f>IF(BR302="NO",5,0)</f>
        <v/>
      </c>
      <c r="BT302" s="31" t="inlineStr">
        <is>
          <t>Between 1.5 to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IF(B303=0,"",RANK(B303,$B$2:$B$371,0))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3" t="inlineStr">
        <is>
          <t>CONCORDBIO</t>
        </is>
      </c>
      <c r="D303" s="33" t="inlineStr">
        <is>
          <t>Concord Biotech Ltd</t>
        </is>
      </c>
      <c r="E303" s="31" t="inlineStr">
        <is>
          <t>healthcare</t>
        </is>
      </c>
      <c r="F303" s="31" t="inlineStr">
        <is>
          <t>pharmaceuticals - indian - bulk drugs &amp; formln</t>
        </is>
      </c>
      <c r="G303" s="31" t="inlineStr">
        <is>
          <t>midcap</t>
        </is>
      </c>
      <c r="H303" s="32" t="n">
        <v>15216.43</v>
      </c>
      <c r="I303" s="32" t="n">
        <v>1451.3</v>
      </c>
      <c r="J303" s="32" t="n">
        <v>-0.22</v>
      </c>
      <c r="K303" s="32" t="n">
        <v>115788</v>
      </c>
      <c r="L303" s="31" t="n">
        <v>22</v>
      </c>
      <c r="M303" s="31" t="inlineStr">
        <is>
          <t>Underperforming</t>
        </is>
      </c>
      <c r="N303" s="32">
        <f>IF(M303="Underperforming",-5,IF(L303&gt;=95,15,IF(L303&gt;=90,10,IF(L303&gt;=80,5,0))))</f>
        <v/>
      </c>
      <c r="O303" s="32" t="n">
        <v>59.64</v>
      </c>
      <c r="P303" s="32" t="n">
        <v>14.93</v>
      </c>
      <c r="Q303" s="32" t="n">
        <v>1095.7</v>
      </c>
      <c r="R303" s="31" t="inlineStr">
        <is>
          <t>Earnings / Momentum Support</t>
        </is>
      </c>
      <c r="S303" s="31" t="inlineStr">
        <is>
          <t>Nifty Pharma</t>
        </is>
      </c>
      <c r="T303" s="32" t="n">
        <v>19.38</v>
      </c>
      <c r="U303" s="32" t="n">
        <v>-10.54</v>
      </c>
      <c r="V303" s="32" t="n">
        <v>-25.07</v>
      </c>
      <c r="W303" s="32" t="n">
        <v>4.78</v>
      </c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Yes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Annuity, Lower One Time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Yes</t>
        </is>
      </c>
      <c r="BS303" s="31">
        <f>IF(BR303="NO",5,0)</f>
        <v/>
      </c>
      <c r="BT303" s="31" t="inlineStr">
        <is>
          <t>Between 1.5 to 2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Less than 0.7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IF(B304=0,"",RANK(B304,$B$2:$B$371,0))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3" t="inlineStr">
        <is>
          <t>INDGN</t>
        </is>
      </c>
      <c r="D304" s="33" t="inlineStr">
        <is>
          <t>Indegene Ltd</t>
        </is>
      </c>
      <c r="E304" s="31" t="inlineStr">
        <is>
          <t>healthcare</t>
        </is>
      </c>
      <c r="F304" s="31" t="inlineStr">
        <is>
          <t>miscellaneous</t>
        </is>
      </c>
      <c r="G304" s="31" t="inlineStr">
        <is>
          <t>midcap</t>
        </is>
      </c>
      <c r="H304" s="32" t="n">
        <v>13729.58</v>
      </c>
      <c r="I304" s="32" t="n">
        <v>555.8</v>
      </c>
      <c r="J304" s="32" t="n">
        <v>-2.46</v>
      </c>
      <c r="K304" s="32" t="n">
        <v>285759</v>
      </c>
      <c r="L304" s="31" t="n">
        <v>12</v>
      </c>
      <c r="M304" s="31" t="inlineStr">
        <is>
          <t>Underperforming</t>
        </is>
      </c>
      <c r="N304" s="32">
        <f>IF(M304="Underperforming",-5,IF(L304&gt;=95,15,IF(L304&gt;=90,10,IF(L304&gt;=80,5,0))))</f>
        <v/>
      </c>
      <c r="O304" s="32" t="n">
        <v>62.18</v>
      </c>
      <c r="P304" s="32" t="n">
        <v>16.22</v>
      </c>
      <c r="Q304" s="32" t="n">
        <v>453.99</v>
      </c>
      <c r="R304" s="31" t="inlineStr">
        <is>
          <t>Volume Spike &amp; Near 52W High Breakout</t>
        </is>
      </c>
      <c r="S304" s="31" t="inlineStr">
        <is>
          <t>Nifty Pharma</t>
        </is>
      </c>
      <c r="T304" s="32" t="n">
        <v>19.38</v>
      </c>
      <c r="U304" s="32" t="n">
        <v>-2.52</v>
      </c>
      <c r="V304" s="32" t="n">
        <v>-18.34</v>
      </c>
      <c r="W304" s="32" t="n">
        <v>1.44</v>
      </c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Yes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Annuity, Lower One Time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Close to 52 week high or retracement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Less than 12%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No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Less than 0.7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IF(B305=0,"",RANK(B305,$B$2:$B$371,0))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UNIVPHOTO</t>
        </is>
      </c>
      <c r="D305" s="31" t="inlineStr">
        <is>
          <t>Universus Photo Imagings Ltd</t>
        </is>
      </c>
      <c r="E305" s="31" t="inlineStr">
        <is>
          <t>consumer discretionary</t>
        </is>
      </c>
      <c r="F305" s="31" t="inlineStr">
        <is>
          <t>photographic and allied products</t>
        </is>
      </c>
      <c r="G305" s="31" t="inlineStr">
        <is>
          <t>smallcap</t>
        </is>
      </c>
      <c r="H305" s="32" t="n">
        <v>501.14</v>
      </c>
      <c r="I305" s="32" t="n">
        <v>480</v>
      </c>
      <c r="J305" s="32" t="n">
        <v>4.85</v>
      </c>
      <c r="K305" s="32" t="n">
        <v>1078</v>
      </c>
      <c r="L305" s="31" t="n">
        <v>68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62.63</v>
      </c>
      <c r="P305" s="32" t="n">
        <v>14.7</v>
      </c>
      <c r="Q305" s="32" t="n">
        <v>344.66</v>
      </c>
      <c r="R305" s="31" t="inlineStr">
        <is>
          <t>Earnings / Momentum Support</t>
        </is>
      </c>
      <c r="S305" s="31" t="inlineStr">
        <is>
          <t>Nifty 50</t>
        </is>
      </c>
      <c r="T305" s="32" t="n">
        <v>-1.08</v>
      </c>
      <c r="U305" s="32" t="n">
        <v>91.65000000000001</v>
      </c>
      <c r="V305" s="32" t="n">
        <v>93.73</v>
      </c>
      <c r="W305" s="32" t="n">
        <v>17.94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0 to 20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More than 20%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No</t>
        </is>
      </c>
      <c r="BS305" s="31">
        <f>IF(BR305="NO",5,0)</f>
        <v/>
      </c>
      <c r="BT305" s="31" t="inlineStr">
        <is>
          <t>Less than 1.5</t>
        </is>
      </c>
      <c r="BU305" s="31">
        <f>IF(BT305="Above 2",0,IF(BT305="Between 1.5 to 2",5,IF(BT305="Less than 1.5",10,0)))</f>
        <v/>
      </c>
      <c r="BV305" s="31" t="inlineStr">
        <is>
          <t>Negative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IF(B306=0,"",RANK(B306,$B$2:$B$371,0))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1" t="inlineStr">
        <is>
          <t>GANESHHOU</t>
        </is>
      </c>
      <c r="D306" s="31" t="inlineStr">
        <is>
          <t>Ganesh Housing Ltd</t>
        </is>
      </c>
      <c r="E306" s="31" t="inlineStr">
        <is>
          <t>realty</t>
        </is>
      </c>
      <c r="F306" s="31" t="inlineStr">
        <is>
          <t>construction</t>
        </is>
      </c>
      <c r="G306" s="31" t="inlineStr">
        <is>
          <t>midcap</t>
        </is>
      </c>
      <c r="H306" s="32" t="n">
        <v>6811.06</v>
      </c>
      <c r="I306" s="32" t="n">
        <v>845</v>
      </c>
      <c r="J306" s="32" t="n">
        <v>3.45</v>
      </c>
      <c r="K306" s="32" t="n">
        <v>64379</v>
      </c>
      <c r="L306" s="31" t="inlineStr"/>
      <c r="M306" s="31" t="inlineStr"/>
      <c r="N306" s="32">
        <f>IF(M306="Underperforming",-5,IF(L306&gt;=95,15,IF(L306&gt;=90,10,IF(L306&gt;=80,5,0))))</f>
        <v/>
      </c>
      <c r="O306" s="32" t="n">
        <v>59.28</v>
      </c>
      <c r="P306" s="32" t="n">
        <v>18.09</v>
      </c>
      <c r="Q306" s="32" t="n">
        <v>663.02</v>
      </c>
      <c r="R306" s="31" t="inlineStr">
        <is>
          <t>Earnings / Momentum Support</t>
        </is>
      </c>
      <c r="S306" s="31" t="inlineStr">
        <is>
          <t>Nifty Realty</t>
        </is>
      </c>
      <c r="T306" s="32" t="inlineStr"/>
      <c r="U306" s="32" t="inlineStr"/>
      <c r="V306" s="32" t="inlineStr"/>
      <c r="W306" s="32" t="inlineStr"/>
      <c r="X306" s="31" t="inlineStr">
        <is>
          <t>Growing Industry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0 to 20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Less than 12%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No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IF(B307=0,"",RANK(B307,$B$2:$B$371,0))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BHARTIARTL</t>
        </is>
      </c>
      <c r="D307" s="31" t="inlineStr">
        <is>
          <t>Bharti Airtel Limited</t>
        </is>
      </c>
      <c r="E307" s="31" t="inlineStr">
        <is>
          <t>telecom-service</t>
        </is>
      </c>
      <c r="F307" s="31" t="inlineStr">
        <is>
          <t>telecommunications - service provider</t>
        </is>
      </c>
      <c r="G307" s="31" t="inlineStr">
        <is>
          <t>largecap</t>
        </is>
      </c>
      <c r="H307" s="32" t="n">
        <v>1210222.23</v>
      </c>
      <c r="I307" s="32" t="n">
        <v>1992.1</v>
      </c>
      <c r="J307" s="32" t="n">
        <v>2.73</v>
      </c>
      <c r="K307" s="32" t="n">
        <v>24207022</v>
      </c>
      <c r="L307" s="31" t="n">
        <v>16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59.67</v>
      </c>
      <c r="P307" s="32" t="n">
        <v>16.76</v>
      </c>
      <c r="Q307" s="32" t="n">
        <v>1731.97</v>
      </c>
      <c r="R307" s="31" t="inlineStr">
        <is>
          <t>Earnings / Momentum Support</t>
        </is>
      </c>
      <c r="S307" s="31" t="inlineStr">
        <is>
          <t>Nifty 50</t>
        </is>
      </c>
      <c r="T307" s="32" t="n">
        <v>-1.08</v>
      </c>
      <c r="U307" s="32" t="n">
        <v>7.65</v>
      </c>
      <c r="V307" s="32" t="n">
        <v>8.82</v>
      </c>
      <c r="W307" s="32" t="n">
        <v>2.86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Oligopoly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Yes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No</t>
        </is>
      </c>
      <c r="AQ307" s="31">
        <f>IF(AP307="Yes",10,0)</f>
        <v/>
      </c>
      <c r="AR307" s="31" t="inlineStr">
        <is>
          <t>Higher One Time, Lower Annuity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Between 50 to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Yes</t>
        </is>
      </c>
      <c r="BS307" s="31">
        <f>IF(BR307="NO",5,0)</f>
        <v/>
      </c>
      <c r="BT307" s="31" t="inlineStr">
        <is>
          <t>Less than 1.5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Between 0.7 to 1.2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IF(B308=0,"",RANK(B308,$B$2:$B$371,0))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JSWDULUX</t>
        </is>
      </c>
      <c r="D308" s="31" t="inlineStr">
        <is>
          <t>JSW Dulux Ltd</t>
        </is>
      </c>
      <c r="E308" s="31" t="inlineStr">
        <is>
          <t>building materials</t>
        </is>
      </c>
      <c r="F308" s="31" t="inlineStr">
        <is>
          <t>paints / varnishes</t>
        </is>
      </c>
      <c r="G308" s="31" t="inlineStr">
        <is>
          <t>midcap</t>
        </is>
      </c>
      <c r="H308" s="32" t="n">
        <v>14224.52</v>
      </c>
      <c r="I308" s="32" t="n">
        <v>3167.4</v>
      </c>
      <c r="J308" s="32" t="n">
        <v>1.41</v>
      </c>
      <c r="K308" s="32" t="n">
        <v>11795</v>
      </c>
      <c r="L308" s="31" t="inlineStr"/>
      <c r="M308" s="31" t="inlineStr"/>
      <c r="N308" s="32">
        <f>IF(M308="Underperforming",-5,IF(L308&gt;=95,15,IF(L308&gt;=90,10,IF(L308&gt;=80,5,0))))</f>
        <v/>
      </c>
      <c r="O308" s="32" t="n">
        <v>55.39</v>
      </c>
      <c r="P308" s="32" t="n">
        <v>13.47</v>
      </c>
      <c r="Q308" s="32" t="n">
        <v>2688.6</v>
      </c>
      <c r="R308" s="31" t="inlineStr">
        <is>
          <t>Earnings / Momentum Support</t>
        </is>
      </c>
      <c r="S308" s="31" t="inlineStr">
        <is>
          <t>Nifty Infra</t>
        </is>
      </c>
      <c r="T308" s="32" t="inlineStr"/>
      <c r="U308" s="32" t="inlineStr"/>
      <c r="V308" s="32" t="inlineStr"/>
      <c r="W308" s="32" t="inlineStr"/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B2B</t>
        </is>
      </c>
      <c r="AO308" s="31">
        <f>IF(AN308="B2C",10,IF(AN308="B2B",5,0))</f>
        <v/>
      </c>
      <c r="AP308" s="31" t="inlineStr">
        <is>
          <t>No</t>
        </is>
      </c>
      <c r="AQ308" s="31">
        <f>IF(AP308="Yes",10,0)</f>
        <v/>
      </c>
      <c r="AR308" s="31" t="inlineStr">
        <is>
          <t>Higher One Time, Lower Annuity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1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More than 20%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Less than 1.5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Less than 0.7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IF(B309=0,"",RANK(B309,$B$2:$B$371,0))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M&amp;M</t>
        </is>
      </c>
      <c r="D309" s="31" t="inlineStr">
        <is>
          <t>Mahindra &amp; Mahindra Limited</t>
        </is>
      </c>
      <c r="E309" s="31" t="inlineStr">
        <is>
          <t>auto</t>
        </is>
      </c>
      <c r="F309" s="31" t="inlineStr">
        <is>
          <t>automobiles - passenger cars</t>
        </is>
      </c>
      <c r="G309" s="31" t="inlineStr">
        <is>
          <t>largecap</t>
        </is>
      </c>
      <c r="H309" s="32" t="n">
        <v>426306.55</v>
      </c>
      <c r="I309" s="32" t="n">
        <v>3428.3</v>
      </c>
      <c r="J309" s="32" t="n">
        <v>0</v>
      </c>
      <c r="K309" s="32" t="n">
        <v>1939880</v>
      </c>
      <c r="L309" s="31" t="inlineStr"/>
      <c r="M309" s="31" t="inlineStr"/>
      <c r="N309" s="32">
        <f>IF(M309="Underperforming",-5,IF(L309&gt;=95,15,IF(L309&gt;=90,10,IF(L309&gt;=80,5,0))))</f>
        <v/>
      </c>
      <c r="O309" s="32" t="n">
        <v>58.73</v>
      </c>
      <c r="P309" s="32" t="n">
        <v>12.53</v>
      </c>
      <c r="Q309" s="32" t="n">
        <v>2977.01</v>
      </c>
      <c r="R309" s="31" t="inlineStr">
        <is>
          <t>Earnings / Momentum Support</t>
        </is>
      </c>
      <c r="S309" s="31" t="inlineStr">
        <is>
          <t>Nifty Auto</t>
        </is>
      </c>
      <c r="T309" s="32" t="inlineStr"/>
      <c r="U309" s="32" t="inlineStr"/>
      <c r="V309" s="32" t="inlineStr"/>
      <c r="W309" s="32" t="inlineStr"/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B2B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One Time, Lower Annuity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More than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IF(B310=0,"",RANK(B310,$B$2:$B$371,0))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OBEROIRLTY</t>
        </is>
      </c>
      <c r="D310" s="31" t="inlineStr">
        <is>
          <t>Oberoi Realty Limited</t>
        </is>
      </c>
      <c r="E310" s="31" t="inlineStr">
        <is>
          <t>realty</t>
        </is>
      </c>
      <c r="F310" s="31" t="inlineStr">
        <is>
          <t>construction</t>
        </is>
      </c>
      <c r="G310" s="31" t="inlineStr">
        <is>
          <t>largecap</t>
        </is>
      </c>
      <c r="H310" s="32" t="n">
        <v>67120.97</v>
      </c>
      <c r="I310" s="32" t="n">
        <v>1846</v>
      </c>
      <c r="J310" s="32" t="n">
        <v>0</v>
      </c>
      <c r="K310" s="32" t="n">
        <v>515517</v>
      </c>
      <c r="L310" s="31" t="inlineStr"/>
      <c r="M310" s="31" t="inlineStr"/>
      <c r="N310" s="32">
        <f>IF(M310="Underperforming",-5,IF(L310&gt;=95,15,IF(L310&gt;=90,10,IF(L310&gt;=80,5,0))))</f>
        <v/>
      </c>
      <c r="O310" s="32" t="n">
        <v>59.34</v>
      </c>
      <c r="P310" s="32" t="n">
        <v>16.89</v>
      </c>
      <c r="Q310" s="32" t="n">
        <v>1625.66</v>
      </c>
      <c r="R310" s="31" t="inlineStr">
        <is>
          <t>Near 52W High Breakout</t>
        </is>
      </c>
      <c r="S310" s="31" t="inlineStr">
        <is>
          <t>Nifty Realty</t>
        </is>
      </c>
      <c r="T310" s="32" t="inlineStr"/>
      <c r="U310" s="32" t="inlineStr"/>
      <c r="V310" s="32" t="inlineStr"/>
      <c r="W310" s="32" t="inlineStr"/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B2B</t>
        </is>
      </c>
      <c r="AO310" s="31">
        <f>IF(AN310="B2C",10,IF(AN310="B2B",5,0))</f>
        <v/>
      </c>
      <c r="AP310" s="31" t="inlineStr">
        <is>
          <t>Yes</t>
        </is>
      </c>
      <c r="AQ310" s="31">
        <f>IF(AP310="Yes",10,0)</f>
        <v/>
      </c>
      <c r="AR310" s="31" t="inlineStr">
        <is>
          <t>Higher One Time, Lower Annuity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Negative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More than 20%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Less than 1.5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IF(B311=0,"",RANK(B311,$B$2:$B$371,0))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RKFORGE</t>
        </is>
      </c>
      <c r="D311" s="31" t="inlineStr">
        <is>
          <t>Ramkrishna Forgings Limited</t>
        </is>
      </c>
      <c r="E311" s="31" t="inlineStr">
        <is>
          <t>industrials</t>
        </is>
      </c>
      <c r="F311" s="31" t="inlineStr">
        <is>
          <t>castings &amp; forgings</t>
        </is>
      </c>
      <c r="G311" s="31" t="inlineStr">
        <is>
          <t>midcap</t>
        </is>
      </c>
      <c r="H311" s="32" t="n">
        <v>13358.53</v>
      </c>
      <c r="I311" s="32" t="n">
        <v>732.6</v>
      </c>
      <c r="J311" s="32" t="n">
        <v>-0.1</v>
      </c>
      <c r="K311" s="32" t="n">
        <v>404756</v>
      </c>
      <c r="L311" s="31" t="n">
        <v>50</v>
      </c>
      <c r="M311" s="31" t="inlineStr">
        <is>
          <t>Outperforming</t>
        </is>
      </c>
      <c r="N311" s="32">
        <f>IF(M311="Underperforming",-5,IF(L311&gt;=95,15,IF(L311&gt;=90,10,IF(L311&gt;=80,5,0))))</f>
        <v/>
      </c>
      <c r="O311" s="32" t="n">
        <v>72.47</v>
      </c>
      <c r="P311" s="32" t="n">
        <v>12.59</v>
      </c>
      <c r="Q311" s="32" t="n">
        <v>595.27</v>
      </c>
      <c r="R311" s="31" t="inlineStr">
        <is>
          <t>Near 52W High Breakout</t>
        </is>
      </c>
      <c r="S311" s="31" t="inlineStr">
        <is>
          <t>Nifty 50</t>
        </is>
      </c>
      <c r="T311" s="32" t="n">
        <v>-1.08</v>
      </c>
      <c r="U311" s="32" t="n">
        <v>29.83</v>
      </c>
      <c r="V311" s="32" t="n">
        <v>31.24</v>
      </c>
      <c r="W311" s="32" t="n">
        <v>11.41</v>
      </c>
      <c r="X311" s="31" t="inlineStr">
        <is>
          <t>Cyclical in an Upturn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B2B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One Time, Lower Annuity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More than 20%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Yes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Between 0.7 to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IF(B312=0,"",RANK(B312,$B$2:$B$371,0))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1" t="inlineStr">
        <is>
          <t>HEROMOTOCO</t>
        </is>
      </c>
      <c r="D312" s="31" t="inlineStr">
        <is>
          <t>Hero Motocorp Limited</t>
        </is>
      </c>
      <c r="E312" s="31" t="inlineStr">
        <is>
          <t>auto</t>
        </is>
      </c>
      <c r="F312" s="31" t="inlineStr">
        <is>
          <t>automobiles - motorcycles / mopeds</t>
        </is>
      </c>
      <c r="G312" s="31" t="inlineStr">
        <is>
          <t>largecap</t>
        </is>
      </c>
      <c r="H312" s="32" t="n">
        <v>117054.37</v>
      </c>
      <c r="I312" s="32" t="n">
        <v>5790</v>
      </c>
      <c r="J312" s="32" t="n">
        <v>-1.03</v>
      </c>
      <c r="K312" s="32" t="n">
        <v>1009395</v>
      </c>
      <c r="L312" s="31" t="inlineStr"/>
      <c r="M312" s="31" t="inlineStr"/>
      <c r="N312" s="32">
        <f>IF(M312="Underperforming",-5,IF(L312&gt;=95,15,IF(L312&gt;=90,10,IF(L312&gt;=80,5,0))))</f>
        <v/>
      </c>
      <c r="O312" s="32" t="n">
        <v>65.45</v>
      </c>
      <c r="P312" s="32" t="n">
        <v>11.49</v>
      </c>
      <c r="Q312" s="32" t="n">
        <v>4915.84</v>
      </c>
      <c r="R312" s="31" t="inlineStr">
        <is>
          <t>Earnings / Momentum Support</t>
        </is>
      </c>
      <c r="S312" s="31" t="inlineStr">
        <is>
          <t>Nifty Auto</t>
        </is>
      </c>
      <c r="T312" s="32" t="inlineStr"/>
      <c r="U312" s="32" t="inlineStr"/>
      <c r="V312" s="32" t="inlineStr"/>
      <c r="W312" s="32" t="inlineStr"/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No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0 to 20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Less than 12%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No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Less than 0.7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IF(B313=0,"",RANK(B313,$B$2:$B$371,0))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EMAMIPAP</t>
        </is>
      </c>
      <c r="D313" s="31" t="inlineStr">
        <is>
          <t>Emami Paper Mills Ltd</t>
        </is>
      </c>
      <c r="E313" s="31" t="inlineStr">
        <is>
          <t>building materials</t>
        </is>
      </c>
      <c r="F313" s="31" t="inlineStr">
        <is>
          <t>paper</t>
        </is>
      </c>
      <c r="G313" s="31" t="inlineStr">
        <is>
          <t>smallcap</t>
        </is>
      </c>
      <c r="H313" s="32" t="n">
        <v>671</v>
      </c>
      <c r="I313" s="32" t="n">
        <v>109.16</v>
      </c>
      <c r="J313" s="32" t="n">
        <v>-1.58</v>
      </c>
      <c r="K313" s="32" t="n">
        <v>27811</v>
      </c>
      <c r="L313" s="31" t="inlineStr"/>
      <c r="M313" s="31" t="inlineStr"/>
      <c r="N313" s="32">
        <f>IF(M313="Underperforming",-5,IF(L313&gt;=95,15,IF(L313&gt;=90,10,IF(L313&gt;=80,5,0))))</f>
        <v/>
      </c>
      <c r="O313" s="32" t="n">
        <v>64.09</v>
      </c>
      <c r="P313" s="32" t="n">
        <v>19.79</v>
      </c>
      <c r="Q313" s="32" t="n">
        <v>87.23</v>
      </c>
      <c r="R313" s="31" t="inlineStr">
        <is>
          <t>Earnings / Momentum Support</t>
        </is>
      </c>
      <c r="S313" s="31" t="inlineStr">
        <is>
          <t>Nifty Infra</t>
        </is>
      </c>
      <c r="T313" s="32" t="inlineStr"/>
      <c r="U313" s="32" t="inlineStr"/>
      <c r="V313" s="32" t="inlineStr"/>
      <c r="W313" s="32" t="inlineStr"/>
      <c r="X313" s="31" t="inlineStr">
        <is>
          <t>Growing Industry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Structural (10 Years Consistency)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Stable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No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0 to 20</t>
        </is>
      </c>
      <c r="AY313" s="31">
        <f>IF(AX313="Above 40",20,IF(AX313="20 to 40",10,IF(AX313="0 to 20",-5,0)))</f>
        <v/>
      </c>
      <c r="AZ313" s="31" t="inlineStr">
        <is>
          <t>Between 50 to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Close to 52 week high or retracement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Less than 1.5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More than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IF(B314=0,"",RANK(B314,$B$2:$B$371,0))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HINDALCO</t>
        </is>
      </c>
      <c r="D314" s="31" t="inlineStr">
        <is>
          <t>Hindalco Industries Limited</t>
        </is>
      </c>
      <c r="E314" s="31" t="inlineStr">
        <is>
          <t>metals &amp; mining</t>
        </is>
      </c>
      <c r="F314" s="31" t="inlineStr">
        <is>
          <t>aluminium and aluminium products</t>
        </is>
      </c>
      <c r="G314" s="31" t="inlineStr">
        <is>
          <t>largecap</t>
        </is>
      </c>
      <c r="H314" s="32" t="n">
        <v>235116.08</v>
      </c>
      <c r="I314" s="32" t="n">
        <v>1029.5</v>
      </c>
      <c r="J314" s="32" t="n">
        <v>-1.6</v>
      </c>
      <c r="K314" s="32" t="n">
        <v>6733735</v>
      </c>
      <c r="L314" s="31" t="inlineStr"/>
      <c r="M314" s="31" t="inlineStr"/>
      <c r="N314" s="32">
        <f>IF(M314="Underperforming",-5,IF(L314&gt;=95,15,IF(L314&gt;=90,10,IF(L314&gt;=80,5,0))))</f>
        <v/>
      </c>
      <c r="O314" s="32" t="n">
        <v>57.13</v>
      </c>
      <c r="P314" s="32" t="n">
        <v>34.86</v>
      </c>
      <c r="Q314" s="32" t="n">
        <v>941.1</v>
      </c>
      <c r="R314" s="31" t="inlineStr">
        <is>
          <t>Earnings / Momentum Support</t>
        </is>
      </c>
      <c r="S314" s="31" t="inlineStr">
        <is>
          <t>Nifty Metal</t>
        </is>
      </c>
      <c r="T314" s="32" t="inlineStr"/>
      <c r="U314" s="32" t="inlineStr"/>
      <c r="V314" s="32" t="inlineStr"/>
      <c r="W314" s="32" t="inlineStr"/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No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20 to 40</t>
        </is>
      </c>
      <c r="AY314" s="31">
        <f>IF(AX314="Above 40",20,IF(AX314="20 to 40",10,IF(AX314="0 to 20",-5,0)))</f>
        <v/>
      </c>
      <c r="AZ314" s="31" t="inlineStr">
        <is>
          <t>Between 50 to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Close to 52 week high or retracement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More than 20%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Less than 1.5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Between 0.7 to 1.2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IF(B315=0,"",RANK(B315,$B$2:$B$371,0))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GRAPHITE</t>
        </is>
      </c>
      <c r="D315" s="31" t="inlineStr">
        <is>
          <t>Graphite India Limited</t>
        </is>
      </c>
      <c r="E315" s="31" t="inlineStr">
        <is>
          <t>industrials</t>
        </is>
      </c>
      <c r="F315" s="31" t="inlineStr">
        <is>
          <t>electrodes - graphites</t>
        </is>
      </c>
      <c r="G315" s="31" t="inlineStr">
        <is>
          <t>midcap</t>
        </is>
      </c>
      <c r="H315" s="32" t="n">
        <v>14357.18</v>
      </c>
      <c r="I315" s="32" t="n">
        <v>721.6</v>
      </c>
      <c r="J315" s="32" t="n">
        <v>-1.8</v>
      </c>
      <c r="K315" s="32" t="n">
        <v>1190606</v>
      </c>
      <c r="L315" s="31" t="n">
        <v>27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59.78</v>
      </c>
      <c r="P315" s="32" t="n">
        <v>17.28</v>
      </c>
      <c r="Q315" s="32" t="n">
        <v>588.62</v>
      </c>
      <c r="R315" s="31" t="inlineStr">
        <is>
          <t>Earnings / Momentum Support</t>
        </is>
      </c>
      <c r="S315" s="31" t="inlineStr">
        <is>
          <t>Nifty 50</t>
        </is>
      </c>
      <c r="T315" s="32" t="n">
        <v>-1.08</v>
      </c>
      <c r="U315" s="32" t="n">
        <v>36.5</v>
      </c>
      <c r="V315" s="32" t="n">
        <v>37.99</v>
      </c>
      <c r="W315" s="32" t="n">
        <v>5.65</v>
      </c>
      <c r="X315" s="31" t="inlineStr">
        <is>
          <t>Cyclical in an Upturn</t>
        </is>
      </c>
      <c r="Y315" s="31">
        <f>IF(X315="Growing Industry",10,IF(X315="Cyclical in an Upturn",5,0))</f>
        <v/>
      </c>
      <c r="Z315" s="31" t="inlineStr">
        <is>
          <t>Too Many Players with High ROCE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Structural (10 Years Consistency)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No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0 to 20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2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Above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IF(B316=0,"",RANK(B316,$B$2:$B$371,0))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VGUARD</t>
        </is>
      </c>
      <c r="D316" s="33" t="inlineStr">
        <is>
          <t>V-guard Industries Limited</t>
        </is>
      </c>
      <c r="E316" s="31" t="inlineStr">
        <is>
          <t>industrials</t>
        </is>
      </c>
      <c r="F316" s="31" t="inlineStr">
        <is>
          <t>electric equipment</t>
        </is>
      </c>
      <c r="G316" s="31" t="inlineStr">
        <is>
          <t>midcap</t>
        </is>
      </c>
      <c r="H316" s="32" t="n">
        <v>14491.68</v>
      </c>
      <c r="I316" s="32" t="n">
        <v>325.7</v>
      </c>
      <c r="J316" s="32" t="n">
        <v>-1.81</v>
      </c>
      <c r="K316" s="32" t="n">
        <v>410582</v>
      </c>
      <c r="L316" s="31" t="n">
        <v>3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55.06</v>
      </c>
      <c r="P316" s="32" t="n">
        <v>18.54</v>
      </c>
      <c r="Q316" s="32" t="n">
        <v>266.82</v>
      </c>
      <c r="R316" s="31" t="inlineStr">
        <is>
          <t>Volume Spike / Accumulation</t>
        </is>
      </c>
      <c r="S316" s="31" t="inlineStr">
        <is>
          <t>Nifty 50</t>
        </is>
      </c>
      <c r="T316" s="32" t="n">
        <v>-1.08</v>
      </c>
      <c r="U316" s="32" t="n">
        <v>-8.789999999999999</v>
      </c>
      <c r="V316" s="32" t="n">
        <v>-7.8</v>
      </c>
      <c r="W316" s="32" t="n">
        <v>-1.28</v>
      </c>
      <c r="X316" s="31" t="inlineStr">
        <is>
          <t>Cyclical in an Upturn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Yes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1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Less than 1.5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IF(B317=0,"",RANK(B317,$B$2:$B$371,0))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PRICOLLTD</t>
        </is>
      </c>
      <c r="D317" s="31" t="inlineStr">
        <is>
          <t>Pricol Ltd.</t>
        </is>
      </c>
      <c r="E317" s="31" t="inlineStr">
        <is>
          <t>auto</t>
        </is>
      </c>
      <c r="F317" s="31" t="inlineStr">
        <is>
          <t>auto ancillaries</t>
        </is>
      </c>
      <c r="G317" s="31" t="inlineStr">
        <is>
          <t>midcap</t>
        </is>
      </c>
      <c r="H317" s="32" t="n">
        <v>9323.93</v>
      </c>
      <c r="I317" s="32" t="n">
        <v>792.05</v>
      </c>
      <c r="J317" s="32" t="n">
        <v>3.54</v>
      </c>
      <c r="K317" s="32" t="n">
        <v>543868</v>
      </c>
      <c r="L317" s="31" t="inlineStr"/>
      <c r="M317" s="31" t="inlineStr"/>
      <c r="N317" s="32">
        <f>IF(M317="Underperforming",-5,IF(L317&gt;=95,15,IF(L317&gt;=90,10,IF(L317&gt;=80,5,0))))</f>
        <v/>
      </c>
      <c r="O317" s="32" t="n">
        <v>75.37</v>
      </c>
      <c r="P317" s="32" t="n">
        <v>25.78</v>
      </c>
      <c r="Q317" s="32" t="n">
        <v>638.9299999999999</v>
      </c>
      <c r="R317" s="31" t="inlineStr">
        <is>
          <t>Near 52W High Breakout</t>
        </is>
      </c>
      <c r="S317" s="31" t="inlineStr">
        <is>
          <t>Nifty Auto</t>
        </is>
      </c>
      <c r="T317" s="32" t="inlineStr"/>
      <c r="U317" s="32" t="inlineStr"/>
      <c r="V317" s="32" t="inlineStr"/>
      <c r="W317" s="32" t="inlineStr"/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No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Shallow Cyclical (2 to 3 Years Growth)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Stable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Yes</t>
        </is>
      </c>
      <c r="AQ317" s="31">
        <f>IF(AP317="Yes",10,0)</f>
        <v/>
      </c>
      <c r="AR317" s="31" t="inlineStr">
        <is>
          <t>Fully One Time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Allocated capital in Non-core Areas</t>
        </is>
      </c>
      <c r="AU317" s="31">
        <f>IF(AT317="Good",10,0)</f>
        <v/>
      </c>
      <c r="AV317" s="31" t="inlineStr">
        <is>
          <t>Yes only for next 1 to 2 years</t>
        </is>
      </c>
      <c r="AW317" s="31">
        <f>IF(AV317="Yes for more than 2 years",10,IF(AV317="Yes only for next 1 to 2 years",5,0))</f>
        <v/>
      </c>
      <c r="AX317" s="31" t="inlineStr">
        <is>
          <t>20 to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Blue sky scenario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Between 12 to 20%</t>
        </is>
      </c>
      <c r="BO317" s="31">
        <f>IF(BN317="More than 20%",10,IF(BN317="Between 12 to 20%",5,IF(BN317="Less than 12%",0,0)))</f>
        <v/>
      </c>
      <c r="BP317" s="31" t="inlineStr">
        <is>
          <t>Yes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Between 1.5 to 2</t>
        </is>
      </c>
      <c r="BU317" s="31">
        <f>IF(BT317="Above 2",0,IF(BT317="Between 1.5 to 2",5,IF(BT317="Less than 1.5",10,0)))</f>
        <v/>
      </c>
      <c r="BV317" s="31" t="inlineStr">
        <is>
          <t>Between 50% to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IF(B318=0,"",RANK(B318,$B$2:$B$371,0))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1" t="inlineStr">
        <is>
          <t>MUKKA</t>
        </is>
      </c>
      <c r="D318" s="31" t="inlineStr">
        <is>
          <t>Mukka Proteins Ltd</t>
        </is>
      </c>
      <c r="E318" s="31" t="inlineStr">
        <is>
          <t>fmcg</t>
        </is>
      </c>
      <c r="F318" s="31" t="inlineStr">
        <is>
          <t>food - processing - indian</t>
        </is>
      </c>
      <c r="G318" s="31" t="inlineStr">
        <is>
          <t>smallcap</t>
        </is>
      </c>
      <c r="H318" s="32" t="n">
        <v>784.8</v>
      </c>
      <c r="I318" s="32" t="n">
        <v>26.5</v>
      </c>
      <c r="J318" s="32" t="n">
        <v>1.3</v>
      </c>
      <c r="K318" s="32" t="n">
        <v>920331</v>
      </c>
      <c r="L318" s="31" t="inlineStr"/>
      <c r="M318" s="31" t="inlineStr"/>
      <c r="N318" s="32">
        <f>IF(M318="Underperforming",-5,IF(L318&gt;=95,15,IF(L318&gt;=90,10,IF(L318&gt;=80,5,0))))</f>
        <v/>
      </c>
      <c r="O318" s="32" t="n">
        <v>63.42</v>
      </c>
      <c r="P318" s="32" t="n">
        <v>8.300000000000001</v>
      </c>
      <c r="Q318" s="32" t="n">
        <v>20.39</v>
      </c>
      <c r="R318" s="31" t="inlineStr">
        <is>
          <t>Volume Spike / Accumulation</t>
        </is>
      </c>
      <c r="S318" s="31" t="inlineStr">
        <is>
          <t>Nifty FMCG</t>
        </is>
      </c>
      <c r="T318" s="32" t="inlineStr"/>
      <c r="U318" s="32" t="inlineStr"/>
      <c r="V318" s="32" t="inlineStr"/>
      <c r="W318" s="32" t="inlineStr"/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B2C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Annuity, Lower One Time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1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More than 20%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Less than 1.5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More than 1.2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IF(B319=0,"",RANK(B319,$B$2:$B$371,0))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MPHASIS</t>
        </is>
      </c>
      <c r="D319" s="31" t="inlineStr">
        <is>
          <t>Mphasis Limited</t>
        </is>
      </c>
      <c r="E319" s="31" t="inlineStr">
        <is>
          <t>i.t</t>
        </is>
      </c>
      <c r="F319" s="31" t="inlineStr">
        <is>
          <t>computers - software - large</t>
        </is>
      </c>
      <c r="G319" s="31" t="inlineStr">
        <is>
          <t>largecap</t>
        </is>
      </c>
      <c r="H319" s="32" t="n">
        <v>48500.86</v>
      </c>
      <c r="I319" s="32" t="n">
        <v>2545</v>
      </c>
      <c r="J319" s="32" t="n">
        <v>0.16</v>
      </c>
      <c r="K319" s="32" t="n">
        <v>736886</v>
      </c>
      <c r="L319" s="31" t="n">
        <v>26</v>
      </c>
      <c r="M319" s="31" t="inlineStr">
        <is>
          <t>Outperforming</t>
        </is>
      </c>
      <c r="N319" s="32">
        <f>IF(M319="Underperforming",-5,IF(L319&gt;=95,15,IF(L319&gt;=90,10,IF(L319&gt;=80,5,0))))</f>
        <v/>
      </c>
      <c r="O319" s="32" t="n">
        <v>60.04</v>
      </c>
      <c r="P319" s="32" t="n">
        <v>9.699999999999999</v>
      </c>
      <c r="Q319" s="32" t="n">
        <v>2041.61</v>
      </c>
      <c r="R319" s="31" t="inlineStr">
        <is>
          <t>Earnings / Momentum Support</t>
        </is>
      </c>
      <c r="S319" s="31" t="inlineStr">
        <is>
          <t>Nifty IT</t>
        </is>
      </c>
      <c r="T319" s="32" t="n">
        <v>-9.98</v>
      </c>
      <c r="U319" s="32" t="n">
        <v>-3.93</v>
      </c>
      <c r="V319" s="32" t="n">
        <v>6.71</v>
      </c>
      <c r="W319" s="32" t="n">
        <v>5.24</v>
      </c>
      <c r="X319" s="31" t="inlineStr">
        <is>
          <t>Growing Industry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Structural (10 Years Consistency)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Stable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No</t>
        </is>
      </c>
      <c r="AQ319" s="31">
        <f>IF(AP319="Yes",10,0)</f>
        <v/>
      </c>
      <c r="AR319" s="31" t="inlineStr">
        <is>
          <t>Higher Annuity, Lower One Time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0 to 20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Close to 52 week high or retracement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Less than 12%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Between 50% to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Less than 0.7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IF(B320=0,"",RANK(B320,$B$2:$B$371,0))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GAYAPROJ</t>
        </is>
      </c>
      <c r="D320" s="31" t="inlineStr">
        <is>
          <t>Gayatri Projects Limited</t>
        </is>
      </c>
      <c r="E320" s="31" t="inlineStr">
        <is>
          <t>realty</t>
        </is>
      </c>
      <c r="F320" s="31" t="inlineStr">
        <is>
          <t>construction</t>
        </is>
      </c>
      <c r="G320" s="31" t="inlineStr">
        <is>
          <t>smallcap</t>
        </is>
      </c>
      <c r="H320" s="32" t="n">
        <v>936.03</v>
      </c>
      <c r="I320" s="32" t="n">
        <v>21.16</v>
      </c>
      <c r="J320" s="32" t="n">
        <v>4.96</v>
      </c>
      <c r="K320" s="32" t="n">
        <v>589925</v>
      </c>
      <c r="L320" s="31" t="inlineStr"/>
      <c r="M320" s="31" t="inlineStr"/>
      <c r="N320" s="32">
        <f>IF(M320="Underperforming",-5,IF(L320&gt;=95,15,IF(L320&gt;=90,10,IF(L320&gt;=80,5,0))))</f>
        <v/>
      </c>
      <c r="O320" s="32" t="n">
        <v>60.75</v>
      </c>
      <c r="P320" s="32" t="n">
        <v>31.37</v>
      </c>
      <c r="Q320" s="32" t="n">
        <v>17.68</v>
      </c>
      <c r="R320" s="31" t="inlineStr">
        <is>
          <t>Earnings / Momentum Support</t>
        </is>
      </c>
      <c r="S320" s="31" t="inlineStr">
        <is>
          <t>Nifty Realty</t>
        </is>
      </c>
      <c r="T320" s="32" t="inlineStr"/>
      <c r="U320" s="32" t="inlineStr"/>
      <c r="V320" s="32" t="inlineStr"/>
      <c r="W320" s="32" t="inlineStr"/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20 to 40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Negative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No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IF(B321=0,"",RANK(B321,$B$2:$B$371,0))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MAHASTEEL</t>
        </is>
      </c>
      <c r="D321" s="31" t="inlineStr">
        <is>
          <t>Mahamaya Steel Industries Limited</t>
        </is>
      </c>
      <c r="E321" s="31" t="inlineStr">
        <is>
          <t>metals &amp; mining</t>
        </is>
      </c>
      <c r="F321" s="31" t="inlineStr">
        <is>
          <t>steel - medium / small</t>
        </is>
      </c>
      <c r="G321" s="31" t="inlineStr">
        <is>
          <t>smallcap</t>
        </is>
      </c>
      <c r="H321" s="32" t="n">
        <v>1690.61</v>
      </c>
      <c r="I321" s="32" t="n">
        <v>1055</v>
      </c>
      <c r="J321" s="32" t="n">
        <v>2.56</v>
      </c>
      <c r="K321" s="32" t="n">
        <v>5753</v>
      </c>
      <c r="L321" s="31" t="inlineStr"/>
      <c r="M321" s="31" t="inlineStr"/>
      <c r="N321" s="32">
        <f>IF(M321="Underperforming",-5,IF(L321&gt;=95,15,IF(L321&gt;=90,10,IF(L321&gt;=80,5,0))))</f>
        <v/>
      </c>
      <c r="O321" s="32" t="n">
        <v>64.86</v>
      </c>
      <c r="P321" s="32" t="n">
        <v>17.75</v>
      </c>
      <c r="Q321" s="32" t="n">
        <v>763.3</v>
      </c>
      <c r="R321" s="31" t="inlineStr">
        <is>
          <t>Near 52W High Breakout</t>
        </is>
      </c>
      <c r="S321" s="31" t="inlineStr">
        <is>
          <t>Nifty Metal</t>
        </is>
      </c>
      <c r="T321" s="32" t="inlineStr"/>
      <c r="U321" s="32" t="inlineStr"/>
      <c r="V321" s="32" t="inlineStr"/>
      <c r="W321" s="32" t="inlineStr"/>
      <c r="X321" s="31" t="inlineStr">
        <is>
          <t>Cyclical in an Upturn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Cyclical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Volatile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Yes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Blue sky scenario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IF(B322=0,"",RANK(B322,$B$2:$B$371,0))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3" t="inlineStr">
        <is>
          <t>SVLL</t>
        </is>
      </c>
      <c r="D322" s="33" t="inlineStr">
        <is>
          <t>Shree Vasu Logistics Ltd</t>
        </is>
      </c>
      <c r="E322" s="31" t="inlineStr">
        <is>
          <t>transportation</t>
        </is>
      </c>
      <c r="F322" s="31" t="inlineStr">
        <is>
          <t>miscellaneous</t>
        </is>
      </c>
      <c r="G322" s="31" t="inlineStr">
        <is>
          <t>smallcap</t>
        </is>
      </c>
      <c r="H322" s="32" t="n">
        <v>871.62</v>
      </c>
      <c r="I322" s="32" t="n">
        <v>758.35</v>
      </c>
      <c r="J322" s="32" t="n">
        <v>2</v>
      </c>
      <c r="K322" s="32" t="n">
        <v>1263</v>
      </c>
      <c r="L322" s="31" t="n">
        <v>43</v>
      </c>
      <c r="M322" s="31" t="inlineStr">
        <is>
          <t>Underperforming</t>
        </is>
      </c>
      <c r="N322" s="32">
        <f>IF(M322="Underperforming",-5,IF(L322&gt;=95,15,IF(L322&gt;=90,10,IF(L322&gt;=80,5,0))))</f>
        <v/>
      </c>
      <c r="O322" s="32" t="n">
        <v>59.97</v>
      </c>
      <c r="P322" s="32" t="n">
        <v>33.31</v>
      </c>
      <c r="Q322" s="32" t="n">
        <v>547.08</v>
      </c>
      <c r="R322" s="31" t="inlineStr">
        <is>
          <t>Earnings / Momentum Support</t>
        </is>
      </c>
      <c r="S322" s="31" t="inlineStr">
        <is>
          <t>Nifty 50</t>
        </is>
      </c>
      <c r="T322" s="32" t="n">
        <v>-1.08</v>
      </c>
      <c r="U322" s="32" t="n">
        <v>-5.47</v>
      </c>
      <c r="V322" s="32" t="n">
        <v>-4.44</v>
      </c>
      <c r="W322" s="32" t="n">
        <v>9.369999999999999</v>
      </c>
      <c r="X322" s="31" t="inlineStr">
        <is>
          <t>Growing Industry</t>
        </is>
      </c>
      <c r="Y322" s="31">
        <f>IF(X322="Growing Industry",10,IF(X322="Cyclical in an Upturn",5,0))</f>
        <v/>
      </c>
      <c r="Z322" s="31" t="inlineStr">
        <is>
          <t>Too Many Players with High ROCE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No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Structural (10 Years Consistency)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Stable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No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Between 50 to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Yes</t>
        </is>
      </c>
      <c r="BS322" s="31">
        <f>IF(BR322="NO",5,0)</f>
        <v/>
      </c>
      <c r="BT322" s="31" t="inlineStr">
        <is>
          <t>Above 2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More than 1.2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IF(B323=0,"",RANK(B323,$B$2:$B$371,0))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DEEPINDS</t>
        </is>
      </c>
      <c r="D323" s="31" t="inlineStr">
        <is>
          <t>Deep Industries Ltd</t>
        </is>
      </c>
      <c r="E323" s="31" t="inlineStr">
        <is>
          <t>energy</t>
        </is>
      </c>
      <c r="F323" s="31" t="inlineStr">
        <is>
          <t>oil drilling / allied services</t>
        </is>
      </c>
      <c r="G323" s="31" t="inlineStr">
        <is>
          <t>smallcap</t>
        </is>
      </c>
      <c r="H323" s="32" t="n">
        <v>4261.76</v>
      </c>
      <c r="I323" s="32" t="n">
        <v>668.7</v>
      </c>
      <c r="J323" s="32" t="n">
        <v>0.42</v>
      </c>
      <c r="K323" s="32" t="n">
        <v>180972</v>
      </c>
      <c r="L323" s="31" t="inlineStr"/>
      <c r="M323" s="31" t="inlineStr"/>
      <c r="N323" s="32">
        <f>IF(M323="Underperforming",-5,IF(L323&gt;=95,15,IF(L323&gt;=90,10,IF(L323&gt;=80,5,0))))</f>
        <v/>
      </c>
      <c r="O323" s="32" t="n">
        <v>75.54000000000001</v>
      </c>
      <c r="P323" s="32" t="n">
        <v>19.26</v>
      </c>
      <c r="Q323" s="32" t="n">
        <v>514.53</v>
      </c>
      <c r="R323" s="31" t="inlineStr">
        <is>
          <t>Near 52W High Breakout</t>
        </is>
      </c>
      <c r="S323" s="31" t="inlineStr">
        <is>
          <t>Nifty Energy</t>
        </is>
      </c>
      <c r="T323" s="32" t="inlineStr"/>
      <c r="U323" s="32" t="inlineStr"/>
      <c r="V323" s="32" t="inlineStr"/>
      <c r="W323" s="32" t="inlineStr"/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0 to 20</t>
        </is>
      </c>
      <c r="AY323" s="31">
        <f>IF(AX323="Above 40",20,IF(AX323="20 to 40",10,IF(AX323="0 to 20",-5,0)))</f>
        <v/>
      </c>
      <c r="AZ323" s="31" t="inlineStr">
        <is>
          <t>Above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Blue sky scenario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Less than 1.5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IF(B324=0,"",RANK(B324,$B$2:$B$371,0))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UNOMINDA</t>
        </is>
      </c>
      <c r="D324" s="31" t="inlineStr">
        <is>
          <t>Uno Minda Ltd</t>
        </is>
      </c>
      <c r="E324" s="31" t="inlineStr">
        <is>
          <t>auto</t>
        </is>
      </c>
      <c r="F324" s="31" t="inlineStr">
        <is>
          <t>auto ancillaries</t>
        </is>
      </c>
      <c r="G324" s="31" t="inlineStr">
        <is>
          <t>largecap</t>
        </is>
      </c>
      <c r="H324" s="32" t="n">
        <v>71605.92999999999</v>
      </c>
      <c r="I324" s="32" t="n">
        <v>1240</v>
      </c>
      <c r="J324" s="32" t="n">
        <v>0</v>
      </c>
      <c r="K324" s="32" t="n">
        <v>366810</v>
      </c>
      <c r="L324" s="31" t="inlineStr"/>
      <c r="M324" s="31" t="inlineStr"/>
      <c r="N324" s="32">
        <f>IF(M324="Underperforming",-5,IF(L324&gt;=95,15,IF(L324&gt;=90,10,IF(L324&gt;=80,5,0))))</f>
        <v/>
      </c>
      <c r="O324" s="32" t="n">
        <v>58.57</v>
      </c>
      <c r="P324" s="32" t="n">
        <v>18.23</v>
      </c>
      <c r="Q324" s="32" t="n">
        <v>1050.16</v>
      </c>
      <c r="R324" s="31" t="inlineStr">
        <is>
          <t>Earnings / Momentum Support</t>
        </is>
      </c>
      <c r="S324" s="31" t="inlineStr">
        <is>
          <t>Nifty Auto</t>
        </is>
      </c>
      <c r="T324" s="32" t="inlineStr"/>
      <c r="U324" s="32" t="inlineStr"/>
      <c r="V324" s="32" t="inlineStr"/>
      <c r="W324" s="32" t="inlineStr"/>
      <c r="X324" s="31" t="inlineStr">
        <is>
          <t>Growing Industry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Less than 12%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Above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IF(B325=0,"",RANK(B325,$B$2:$B$371,0))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PTCIL</t>
        </is>
      </c>
      <c r="D325" s="31" t="inlineStr">
        <is>
          <t>PTC Industries Ltd</t>
        </is>
      </c>
      <c r="E325" s="31" t="inlineStr">
        <is>
          <t>industrials</t>
        </is>
      </c>
      <c r="F325" s="31" t="inlineStr">
        <is>
          <t>castings &amp; forgings</t>
        </is>
      </c>
      <c r="G325" s="31" t="inlineStr">
        <is>
          <t>largecap</t>
        </is>
      </c>
      <c r="H325" s="32" t="n">
        <v>28736.22</v>
      </c>
      <c r="I325" s="32" t="n">
        <v>19100</v>
      </c>
      <c r="J325" s="32" t="n">
        <v>-0.35</v>
      </c>
      <c r="K325" s="32" t="n">
        <v>15593</v>
      </c>
      <c r="L325" s="31" t="n">
        <v>45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61.66</v>
      </c>
      <c r="P325" s="32" t="n">
        <v>19.6</v>
      </c>
      <c r="Q325" s="32" t="n">
        <v>15354.5</v>
      </c>
      <c r="R325" s="31" t="inlineStr">
        <is>
          <t>Near 52W High Breakout</t>
        </is>
      </c>
      <c r="S325" s="31" t="inlineStr">
        <is>
          <t>Nifty 50</t>
        </is>
      </c>
      <c r="T325" s="32" t="n">
        <v>-1.08</v>
      </c>
      <c r="U325" s="32" t="n">
        <v>38.74</v>
      </c>
      <c r="V325" s="32" t="n">
        <v>40.25</v>
      </c>
      <c r="W325" s="32" t="n">
        <v>10.03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Blue sky scenario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More than 20%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Yes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Negative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IF(B326=0,"",RANK(B326,$B$2:$B$371,0))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LOKESHMACH</t>
        </is>
      </c>
      <c r="D326" s="31" t="inlineStr">
        <is>
          <t>Lokesh Machines Limited</t>
        </is>
      </c>
      <c r="E326" s="31" t="inlineStr">
        <is>
          <t>industrials</t>
        </is>
      </c>
      <c r="F326" s="31" t="inlineStr">
        <is>
          <t>engineering</t>
        </is>
      </c>
      <c r="G326" s="31" t="inlineStr">
        <is>
          <t>smallcap</t>
        </is>
      </c>
      <c r="H326" s="32" t="n">
        <v>756.35</v>
      </c>
      <c r="I326" s="32" t="n">
        <v>347</v>
      </c>
      <c r="J326" s="32" t="n">
        <v>-0.43</v>
      </c>
      <c r="K326" s="32" t="n">
        <v>18248</v>
      </c>
      <c r="L326" s="31" t="n">
        <v>75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76.61</v>
      </c>
      <c r="P326" s="32" t="n">
        <v>45.52</v>
      </c>
      <c r="Q326" s="32" t="n">
        <v>273.35</v>
      </c>
      <c r="R326" s="31" t="inlineStr">
        <is>
          <t>Near 52W High Breakout</t>
        </is>
      </c>
      <c r="S326" s="31" t="inlineStr">
        <is>
          <t>Nifty 50</t>
        </is>
      </c>
      <c r="T326" s="32" t="n">
        <v>-1.08</v>
      </c>
      <c r="U326" s="32" t="n">
        <v>71.18000000000001</v>
      </c>
      <c r="V326" s="32" t="n">
        <v>73.04000000000001</v>
      </c>
      <c r="W326" s="32" t="n">
        <v>21.34</v>
      </c>
      <c r="X326" s="31" t="inlineStr">
        <is>
          <t>Cyclical in an Upturn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Above 40</t>
        </is>
      </c>
      <c r="AY326" s="31">
        <f>IF(AX326="Above 40",20,IF(AX326="20 to 40",10,IF(AX326="0 to 20",-5,0)))</f>
        <v/>
      </c>
      <c r="AZ326" s="31" t="inlineStr">
        <is>
          <t>Above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More than 20%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Yes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Negative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Between 0.7 to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IF(B327=0,"",RANK(B327,$B$2:$B$371,0))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JSWINFRA</t>
        </is>
      </c>
      <c r="D327" s="31" t="inlineStr">
        <is>
          <t>JSW Infrastructure Ltd</t>
        </is>
      </c>
      <c r="E327" s="31" t="inlineStr">
        <is>
          <t>transportation</t>
        </is>
      </c>
      <c r="F327" s="31" t="inlineStr">
        <is>
          <t>miscellaneous</t>
        </is>
      </c>
      <c r="G327" s="31" t="inlineStr">
        <is>
          <t>largecap</t>
        </is>
      </c>
      <c r="H327" s="32" t="n">
        <v>79534.60000000001</v>
      </c>
      <c r="I327" s="32" t="n">
        <v>339.15</v>
      </c>
      <c r="J327" s="32" t="n">
        <v>-0.64</v>
      </c>
      <c r="K327" s="32" t="n">
        <v>2085129</v>
      </c>
      <c r="L327" s="31" t="n">
        <v>40</v>
      </c>
      <c r="M327" s="31" t="inlineStr">
        <is>
          <t>Outperforming</t>
        </is>
      </c>
      <c r="N327" s="32">
        <f>IF(M327="Underperforming",-5,IF(L327&gt;=95,15,IF(L327&gt;=90,10,IF(L327&gt;=80,5,0))))</f>
        <v/>
      </c>
      <c r="O327" s="32" t="n">
        <v>66.16</v>
      </c>
      <c r="P327" s="32" t="n">
        <v>38.41</v>
      </c>
      <c r="Q327" s="32" t="n">
        <v>276.49</v>
      </c>
      <c r="R327" s="31" t="inlineStr">
        <is>
          <t>Near 52W High Breakout</t>
        </is>
      </c>
      <c r="S327" s="31" t="inlineStr">
        <is>
          <t>Nifty 500</t>
        </is>
      </c>
      <c r="T327" s="32" t="n">
        <v>4.03</v>
      </c>
      <c r="U327" s="32" t="n">
        <v>12.32</v>
      </c>
      <c r="V327" s="32" t="n">
        <v>7.97</v>
      </c>
      <c r="W327" s="32" t="n">
        <v>8.57</v>
      </c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B2B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Higher One Time, Lower Annuity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20 to 40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Negative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Blue sky scenario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Less than 0.7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IF(B328=0,"",RANK(B328,$B$2:$B$371,0))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1" t="inlineStr">
        <is>
          <t>SMLMAH</t>
        </is>
      </c>
      <c r="D328" s="31" t="inlineStr">
        <is>
          <t>SML Mahindra Ltd</t>
        </is>
      </c>
      <c r="E328" s="31" t="inlineStr">
        <is>
          <t>auto</t>
        </is>
      </c>
      <c r="F328" s="31" t="inlineStr">
        <is>
          <t>automobiles - lcvs / hcvs</t>
        </is>
      </c>
      <c r="G328" s="31" t="inlineStr">
        <is>
          <t>midcap</t>
        </is>
      </c>
      <c r="H328" s="32" t="n">
        <v>7484.74</v>
      </c>
      <c r="I328" s="32" t="n">
        <v>5134.5</v>
      </c>
      <c r="J328" s="32" t="n">
        <v>-0.73</v>
      </c>
      <c r="K328" s="32" t="n">
        <v>145139</v>
      </c>
      <c r="L328" s="31" t="inlineStr"/>
      <c r="M328" s="31" t="inlineStr"/>
      <c r="N328" s="32">
        <f>IF(M328="Underperforming",-5,IF(L328&gt;=95,15,IF(L328&gt;=90,10,IF(L328&gt;=80,5,0))))</f>
        <v/>
      </c>
      <c r="O328" s="32" t="n">
        <v>62.04</v>
      </c>
      <c r="P328" s="32" t="n">
        <v>11.52</v>
      </c>
      <c r="Q328" s="32" t="n">
        <v>4072.66</v>
      </c>
      <c r="R328" s="31" t="inlineStr">
        <is>
          <t>Earnings / Momentum Support</t>
        </is>
      </c>
      <c r="S328" s="31" t="inlineStr">
        <is>
          <t>Nifty Auto</t>
        </is>
      </c>
      <c r="T328" s="32" t="inlineStr"/>
      <c r="U328" s="32" t="inlineStr"/>
      <c r="V328" s="32" t="inlineStr"/>
      <c r="W328" s="32" t="inlineStr"/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No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No</t>
        </is>
      </c>
      <c r="AQ328" s="31">
        <f>IF(AP328="Yes",10,0)</f>
        <v/>
      </c>
      <c r="AR328" s="31" t="inlineStr">
        <is>
          <t>Higher One Time, Lower Annuity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Yes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IF(B329=0,"",RANK(B329,$B$2:$B$371,0))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3" t="inlineStr">
        <is>
          <t>ORIENTELEC</t>
        </is>
      </c>
      <c r="D329" s="33" t="inlineStr">
        <is>
          <t>Orient Electric Ltd</t>
        </is>
      </c>
      <c r="E329" s="31" t="inlineStr">
        <is>
          <t>consumer discretionary</t>
        </is>
      </c>
      <c r="F329" s="31" t="inlineStr">
        <is>
          <t>domestic appliances</t>
        </is>
      </c>
      <c r="G329" s="31" t="inlineStr">
        <is>
          <t>smallcap</t>
        </is>
      </c>
      <c r="H329" s="32" t="n">
        <v>4059.71</v>
      </c>
      <c r="I329" s="32" t="n">
        <v>187</v>
      </c>
      <c r="J329" s="32" t="n">
        <v>-1.72</v>
      </c>
      <c r="K329" s="32" t="n">
        <v>95169</v>
      </c>
      <c r="L329" s="31" t="n">
        <v>2</v>
      </c>
      <c r="M329" s="31" t="inlineStr">
        <is>
          <t>Underperforming</t>
        </is>
      </c>
      <c r="N329" s="32">
        <f>IF(M329="Underperforming",-5,IF(L329&gt;=95,15,IF(L329&gt;=90,10,IF(L329&gt;=80,5,0))))</f>
        <v/>
      </c>
      <c r="O329" s="32" t="n">
        <v>55.4</v>
      </c>
      <c r="P329" s="32" t="n">
        <v>10.89</v>
      </c>
      <c r="Q329" s="32" t="n">
        <v>152.13</v>
      </c>
      <c r="R329" s="31" t="inlineStr">
        <is>
          <t>Earnings / Momentum Support</t>
        </is>
      </c>
      <c r="S329" s="31" t="inlineStr">
        <is>
          <t>Nifty 50</t>
        </is>
      </c>
      <c r="T329" s="32" t="n">
        <v>-1.08</v>
      </c>
      <c r="U329" s="32" t="n">
        <v>-7.66</v>
      </c>
      <c r="V329" s="32" t="n">
        <v>-6.65</v>
      </c>
      <c r="W329" s="32" t="n">
        <v>-1.64</v>
      </c>
      <c r="X329" s="31" t="inlineStr">
        <is>
          <t>Growing Industry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Structural (10 Years Consistency)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Stable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No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0 to 20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1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More than 20%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Less than 1.5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IF(B330=0,"",RANK(B330,$B$2:$B$371,0))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3" t="inlineStr">
        <is>
          <t>HCG</t>
        </is>
      </c>
      <c r="D330" s="33" t="inlineStr">
        <is>
          <t>Healthcare Global Enterprises Limited</t>
        </is>
      </c>
      <c r="E330" s="31" t="inlineStr">
        <is>
          <t>healthcare</t>
        </is>
      </c>
      <c r="F330" s="31" t="inlineStr">
        <is>
          <t>healthcare</t>
        </is>
      </c>
      <c r="G330" s="31" t="inlineStr">
        <is>
          <t>midcap</t>
        </is>
      </c>
      <c r="H330" s="32" t="n">
        <v>10770.66</v>
      </c>
      <c r="I330" s="32" t="n">
        <v>714.3</v>
      </c>
      <c r="J330" s="32" t="n">
        <v>-0.98</v>
      </c>
      <c r="K330" s="32" t="n">
        <v>86719</v>
      </c>
      <c r="L330" s="31" t="n">
        <v>24</v>
      </c>
      <c r="M330" s="31" t="inlineStr">
        <is>
          <t>Underperforming</t>
        </is>
      </c>
      <c r="N330" s="32">
        <f>IF(M330="Underperforming",-5,IF(L330&gt;=95,15,IF(L330&gt;=90,10,IF(L330&gt;=80,5,0))))</f>
        <v/>
      </c>
      <c r="O330" s="32" t="n">
        <v>68.67</v>
      </c>
      <c r="P330" s="32" t="n">
        <v>28.26</v>
      </c>
      <c r="Q330" s="32" t="n">
        <v>583.92</v>
      </c>
      <c r="R330" s="31" t="inlineStr">
        <is>
          <t>Earnings / Momentum Support</t>
        </is>
      </c>
      <c r="S330" s="31" t="inlineStr">
        <is>
          <t>Nifty Pharma</t>
        </is>
      </c>
      <c r="T330" s="32" t="n">
        <v>19.38</v>
      </c>
      <c r="U330" s="32" t="n">
        <v>8.050000000000001</v>
      </c>
      <c r="V330" s="32" t="n">
        <v>-9.5</v>
      </c>
      <c r="W330" s="32" t="n">
        <v>4.85</v>
      </c>
      <c r="X330" s="31" t="inlineStr">
        <is>
          <t>Growing Industry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Yes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Structural (10 Years Consistency)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Stable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Annuity, Lower One Time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20 to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More than 20%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Yes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More than 1.2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IF(B331=0,"",RANK(B331,$B$2:$B$371,0))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3" t="inlineStr">
        <is>
          <t>PFIZER</t>
        </is>
      </c>
      <c r="D331" s="33" t="inlineStr">
        <is>
          <t>Pfizer Limited</t>
        </is>
      </c>
      <c r="E331" s="31" t="inlineStr">
        <is>
          <t>healthcare</t>
        </is>
      </c>
      <c r="F331" s="31" t="inlineStr">
        <is>
          <t>pharmaceuticals - multinational</t>
        </is>
      </c>
      <c r="G331" s="31" t="inlineStr">
        <is>
          <t>largecap</t>
        </is>
      </c>
      <c r="H331" s="32" t="n">
        <v>22829.95</v>
      </c>
      <c r="I331" s="32" t="n">
        <v>4874.8</v>
      </c>
      <c r="J331" s="32" t="n">
        <v>-2.32</v>
      </c>
      <c r="K331" s="32" t="n">
        <v>11698</v>
      </c>
      <c r="L331" s="31" t="n">
        <v>3</v>
      </c>
      <c r="M331" s="31" t="inlineStr">
        <is>
          <t>Underperforming</t>
        </is>
      </c>
      <c r="N331" s="32">
        <f>IF(M331="Underperforming",-5,IF(L331&gt;=95,15,IF(L331&gt;=90,10,IF(L331&gt;=80,5,0))))</f>
        <v/>
      </c>
      <c r="O331" s="32" t="n">
        <v>56.52</v>
      </c>
      <c r="P331" s="32" t="n">
        <v>12.76</v>
      </c>
      <c r="Q331" s="32" t="n">
        <v>4162.32</v>
      </c>
      <c r="R331" s="31" t="inlineStr">
        <is>
          <t>Earnings / Momentum Support</t>
        </is>
      </c>
      <c r="S331" s="31" t="inlineStr">
        <is>
          <t>Nifty Pharma</t>
        </is>
      </c>
      <c r="T331" s="32" t="n">
        <v>19.38</v>
      </c>
      <c r="U331" s="32" t="n">
        <v>-7.02</v>
      </c>
      <c r="V331" s="32" t="n">
        <v>-22.12</v>
      </c>
      <c r="W331" s="32" t="n">
        <v>-1.43</v>
      </c>
      <c r="X331" s="31" t="inlineStr">
        <is>
          <t>Growing Industry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Yes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No</t>
        </is>
      </c>
      <c r="AQ331" s="31">
        <f>IF(AP331="Yes",10,0)</f>
        <v/>
      </c>
      <c r="AR331" s="31" t="inlineStr">
        <is>
          <t>Higher Annuity, Lower One Time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No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IF(B332=0,"",RANK(B332,$B$2:$B$371,0))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KPRMILL</t>
        </is>
      </c>
      <c r="D332" s="31" t="inlineStr">
        <is>
          <t>K.p.r. Mill Limited</t>
        </is>
      </c>
      <c r="E332" s="31" t="inlineStr">
        <is>
          <t>consumer discretionary</t>
        </is>
      </c>
      <c r="F332" s="31" t="inlineStr">
        <is>
          <t>textiles - products</t>
        </is>
      </c>
      <c r="G332" s="31" t="inlineStr">
        <is>
          <t>largecap</t>
        </is>
      </c>
      <c r="H332" s="32" t="n">
        <v>37076.56</v>
      </c>
      <c r="I332" s="32" t="n">
        <v>1110</v>
      </c>
      <c r="J332" s="32" t="n">
        <v>2.33</v>
      </c>
      <c r="K332" s="32" t="n">
        <v>171192</v>
      </c>
      <c r="L332" s="31" t="n">
        <v>38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58.19</v>
      </c>
      <c r="P332" s="32" t="n">
        <v>43.48</v>
      </c>
      <c r="Q332" s="32" t="n">
        <v>918.24</v>
      </c>
      <c r="R332" s="31" t="inlineStr">
        <is>
          <t>Earnings / Momentum Support</t>
        </is>
      </c>
      <c r="S332" s="31" t="inlineStr">
        <is>
          <t>Nifty 50</t>
        </is>
      </c>
      <c r="T332" s="32" t="n">
        <v>-1.08</v>
      </c>
      <c r="U332" s="32" t="n">
        <v>17.48</v>
      </c>
      <c r="V332" s="32" t="n">
        <v>18.75</v>
      </c>
      <c r="W332" s="32" t="n">
        <v>8.050000000000001</v>
      </c>
      <c r="X332" s="31" t="inlineStr">
        <is>
          <t>Growing Industry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No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Above 40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Negative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Less than 12%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Less than 0.7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IF(B333=0,"",RANK(B333,$B$2:$B$371,0))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3" t="inlineStr">
        <is>
          <t>MAZDOCK</t>
        </is>
      </c>
      <c r="D333" s="33" t="inlineStr">
        <is>
          <t>Mazagon Dock Shipbuilders Ltd</t>
        </is>
      </c>
      <c r="E333" s="31" t="inlineStr">
        <is>
          <t>aerospace &amp; defence</t>
        </is>
      </c>
      <c r="F333" s="31" t="inlineStr">
        <is>
          <t>miscellaneous</t>
        </is>
      </c>
      <c r="G333" s="31" t="inlineStr">
        <is>
          <t>largecap</t>
        </is>
      </c>
      <c r="H333" s="32" t="n">
        <v>103709</v>
      </c>
      <c r="I333" s="32" t="n">
        <v>2580</v>
      </c>
      <c r="J333" s="32" t="n">
        <v>0.35</v>
      </c>
      <c r="K333" s="32" t="n">
        <v>2192494</v>
      </c>
      <c r="L333" s="31" t="n">
        <v>7</v>
      </c>
      <c r="M333" s="31" t="inlineStr">
        <is>
          <t>Underperforming</t>
        </is>
      </c>
      <c r="N333" s="32">
        <f>IF(M333="Underperforming",-5,IF(L333&gt;=95,15,IF(L333&gt;=90,10,IF(L333&gt;=80,5,0))))</f>
        <v/>
      </c>
      <c r="O333" s="32" t="n">
        <v>54.76</v>
      </c>
      <c r="P333" s="32" t="n">
        <v>7.44</v>
      </c>
      <c r="Q333" s="32" t="n">
        <v>2094.87</v>
      </c>
      <c r="R333" s="31" t="inlineStr">
        <is>
          <t>Earnings / Momentum Support</t>
        </is>
      </c>
      <c r="S333" s="31" t="inlineStr">
        <is>
          <t>Nifty 50</t>
        </is>
      </c>
      <c r="T333" s="32" t="n">
        <v>-1.08</v>
      </c>
      <c r="U333" s="32" t="n">
        <v>-4.61</v>
      </c>
      <c r="V333" s="32" t="n">
        <v>-3.57</v>
      </c>
      <c r="W333" s="32" t="n">
        <v>0.16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No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1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Between 1.5 to 2</t>
        </is>
      </c>
      <c r="BU333" s="31">
        <f>IF(BT333="Above 2",0,IF(BT333="Between 1.5 to 2",5,IF(BT333="Less than 1.5",10,0)))</f>
        <v/>
      </c>
      <c r="BV333" s="31" t="inlineStr">
        <is>
          <t>Above 70%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IF(B334=0,"",RANK(B334,$B$2:$B$371,0))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1" t="inlineStr">
        <is>
          <t>TNPETRO</t>
        </is>
      </c>
      <c r="D334" s="31" t="inlineStr">
        <is>
          <t>Tamilnadu Petroproducts Limited</t>
        </is>
      </c>
      <c r="E334" s="31" t="inlineStr">
        <is>
          <t>energy</t>
        </is>
      </c>
      <c r="F334" s="31" t="inlineStr">
        <is>
          <t>petrochemicals</t>
        </is>
      </c>
      <c r="G334" s="31" t="inlineStr">
        <is>
          <t>smallcap</t>
        </is>
      </c>
      <c r="H334" s="32" t="n">
        <v>994.99</v>
      </c>
      <c r="I334" s="32" t="n">
        <v>110.93</v>
      </c>
      <c r="J334" s="32" t="n">
        <v>0.31</v>
      </c>
      <c r="K334" s="32" t="n">
        <v>363138</v>
      </c>
      <c r="L334" s="31" t="inlineStr"/>
      <c r="M334" s="31" t="inlineStr"/>
      <c r="N334" s="32">
        <f>IF(M334="Underperforming",-5,IF(L334&gt;=95,15,IF(L334&gt;=90,10,IF(L334&gt;=80,5,0))))</f>
        <v/>
      </c>
      <c r="O334" s="32" t="n">
        <v>70.23999999999999</v>
      </c>
      <c r="P334" s="32" t="n">
        <v>19.17</v>
      </c>
      <c r="Q334" s="32" t="n">
        <v>86.59999999999999</v>
      </c>
      <c r="R334" s="31" t="inlineStr">
        <is>
          <t>Volume Spike / Accumulation</t>
        </is>
      </c>
      <c r="S334" s="31" t="inlineStr">
        <is>
          <t>Nifty Energy</t>
        </is>
      </c>
      <c r="T334" s="32" t="inlineStr"/>
      <c r="U334" s="32" t="inlineStr"/>
      <c r="V334" s="32" t="inlineStr"/>
      <c r="W334" s="32" t="inlineStr"/>
      <c r="X334" s="31" t="inlineStr">
        <is>
          <t>Cyclical in an Upturn</t>
        </is>
      </c>
      <c r="Y334" s="31">
        <f>IF(X334="Growing Industry",10,IF(X334="Cyclical in an Upturn",5,0))</f>
        <v/>
      </c>
      <c r="Z334" s="31" t="inlineStr">
        <is>
          <t>Oligopoly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Yes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Cyclical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Volatile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Yes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No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IF(B335=0,"",RANK(B335,$B$2:$B$371,0))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ESABINDIA</t>
        </is>
      </c>
      <c r="D335" s="31" t="inlineStr">
        <is>
          <t>Esab India Limited</t>
        </is>
      </c>
      <c r="E335" s="31" t="inlineStr">
        <is>
          <t>industrials</t>
        </is>
      </c>
      <c r="F335" s="31" t="inlineStr">
        <is>
          <t>electrodes - welding equipment</t>
        </is>
      </c>
      <c r="G335" s="31" t="inlineStr">
        <is>
          <t>midcap</t>
        </is>
      </c>
      <c r="H335" s="32" t="n">
        <v>9578.309999999999</v>
      </c>
      <c r="I335" s="32" t="n">
        <v>6224</v>
      </c>
      <c r="J335" s="32" t="n">
        <v>0.02</v>
      </c>
      <c r="K335" s="32" t="n">
        <v>26609</v>
      </c>
      <c r="L335" s="31" t="n">
        <v>18</v>
      </c>
      <c r="M335" s="31" t="inlineStr">
        <is>
          <t>Outperforming</t>
        </is>
      </c>
      <c r="N335" s="32">
        <f>IF(M335="Underperforming",-5,IF(L335&gt;=95,15,IF(L335&gt;=90,10,IF(L335&gt;=80,5,0))))</f>
        <v/>
      </c>
      <c r="O335" s="32" t="n">
        <v>58.01</v>
      </c>
      <c r="P335" s="32" t="n">
        <v>25.49</v>
      </c>
      <c r="Q335" s="32" t="n">
        <v>5848.7</v>
      </c>
      <c r="R335" s="31" t="inlineStr">
        <is>
          <t>Volume Spike / Accumulation</t>
        </is>
      </c>
      <c r="S335" s="31" t="inlineStr">
        <is>
          <t>Nifty 50</t>
        </is>
      </c>
      <c r="T335" s="32" t="n">
        <v>-1.08</v>
      </c>
      <c r="U335" s="32" t="n">
        <v>26.1</v>
      </c>
      <c r="V335" s="32" t="n">
        <v>27.47</v>
      </c>
      <c r="W335" s="32" t="n">
        <v>4.05</v>
      </c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Structural (10 Years Consistency)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Stable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Yes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1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Less than 12%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Yes</t>
        </is>
      </c>
      <c r="BS335" s="31">
        <f>IF(BR335="NO",5,0)</f>
        <v/>
      </c>
      <c r="BT335" s="31" t="inlineStr">
        <is>
          <t>Above 2</t>
        </is>
      </c>
      <c r="BU335" s="31">
        <f>IF(BT335="Above 2",0,IF(BT335="Between 1.5 to 2",5,IF(BT335="Less than 1.5",10,0)))</f>
        <v/>
      </c>
      <c r="BV335" s="31" t="inlineStr">
        <is>
          <t>Between 50% to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Less than 0.7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IF(B336=0,"",RANK(B336,$B$2:$B$371,0))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MAHSEAMLES</t>
        </is>
      </c>
      <c r="D336" s="31" t="inlineStr">
        <is>
          <t>Maharashtra Seamless Limited</t>
        </is>
      </c>
      <c r="E336" s="31" t="inlineStr">
        <is>
          <t>industrials</t>
        </is>
      </c>
      <c r="F336" s="31" t="inlineStr">
        <is>
          <t>steel - large</t>
        </is>
      </c>
      <c r="G336" s="31" t="inlineStr">
        <is>
          <t>midcap</t>
        </is>
      </c>
      <c r="H336" s="32" t="n">
        <v>8200.75</v>
      </c>
      <c r="I336" s="32" t="n">
        <v>610</v>
      </c>
      <c r="J336" s="32" t="n">
        <v>-0.33</v>
      </c>
      <c r="K336" s="32" t="n">
        <v>85390</v>
      </c>
      <c r="L336" s="31" t="inlineStr"/>
      <c r="M336" s="31" t="inlineStr"/>
      <c r="N336" s="32">
        <f>IF(M336="Underperforming",-5,IF(L336&gt;=95,15,IF(L336&gt;=90,10,IF(L336&gt;=80,5,0))))</f>
        <v/>
      </c>
      <c r="O336" s="32" t="n">
        <v>54.19</v>
      </c>
      <c r="P336" s="32" t="n">
        <v>18.93</v>
      </c>
      <c r="Q336" s="32" t="n">
        <v>545.36</v>
      </c>
      <c r="R336" s="31" t="inlineStr">
        <is>
          <t>Earnings / Momentum Support</t>
        </is>
      </c>
      <c r="S336" s="31" t="inlineStr">
        <is>
          <t>Nifty Metal</t>
        </is>
      </c>
      <c r="T336" s="32" t="inlineStr"/>
      <c r="U336" s="32" t="inlineStr"/>
      <c r="V336" s="32" t="inlineStr"/>
      <c r="W336" s="32" t="inlineStr"/>
      <c r="X336" s="31" t="inlineStr">
        <is>
          <t>Cyclical in an Upturn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No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0 to 20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1</t>
        </is>
      </c>
      <c r="BC336" s="31">
        <f>IF(BB336="Stage 2",20,IF(BB336="Stage 1",0,IF(BB336="Stage 3",5,IF(BB336="Stage 4",-5,0))))</f>
        <v/>
      </c>
      <c r="BD336" s="31" t="inlineStr">
        <is>
          <t>Positive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Between 12 to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No</t>
        </is>
      </c>
      <c r="BS336" s="31">
        <f>IF(BR336="NO",5,0)</f>
        <v/>
      </c>
      <c r="BT336" s="31" t="inlineStr">
        <is>
          <t>Less than 1.5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Less than 0.7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IF(B337=0,"",RANK(B337,$B$2:$B$371,0))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3" t="inlineStr">
        <is>
          <t>BOSCH-HCIL</t>
        </is>
      </c>
      <c r="D337" s="33" t="inlineStr">
        <is>
          <t>Bosch Home Comfort India Ltd</t>
        </is>
      </c>
      <c r="E337" s="31" t="inlineStr">
        <is>
          <t>consumer discretionary</t>
        </is>
      </c>
      <c r="F337" s="31" t="inlineStr">
        <is>
          <t>air-conditioners</t>
        </is>
      </c>
      <c r="G337" s="31" t="inlineStr">
        <is>
          <t>smallcap</t>
        </is>
      </c>
      <c r="H337" s="32" t="n">
        <v>4581.94</v>
      </c>
      <c r="I337" s="32" t="n">
        <v>1654.2</v>
      </c>
      <c r="J337" s="32" t="n">
        <v>-1.83</v>
      </c>
      <c r="K337" s="32" t="n">
        <v>36479</v>
      </c>
      <c r="L337" s="31" t="n">
        <v>17</v>
      </c>
      <c r="M337" s="31" t="inlineStr">
        <is>
          <t>Underperforming</t>
        </is>
      </c>
      <c r="N337" s="32">
        <f>IF(M337="Underperforming",-5,IF(L337&gt;=95,15,IF(L337&gt;=90,10,IF(L337&gt;=80,5,0))))</f>
        <v/>
      </c>
      <c r="O337" s="32" t="n">
        <v>65.81999999999999</v>
      </c>
      <c r="P337" s="32" t="n">
        <v>17.51</v>
      </c>
      <c r="Q337" s="32" t="n">
        <v>1351.14</v>
      </c>
      <c r="R337" s="31" t="inlineStr">
        <is>
          <t>Earnings / Momentum Support</t>
        </is>
      </c>
      <c r="S337" s="31" t="inlineStr">
        <is>
          <t>Nifty 50</t>
        </is>
      </c>
      <c r="T337" s="32" t="n">
        <v>-1.08</v>
      </c>
      <c r="U337" s="32" t="n">
        <v>-3.95</v>
      </c>
      <c r="V337" s="32" t="n">
        <v>-2.91</v>
      </c>
      <c r="W337" s="32" t="n">
        <v>3.86</v>
      </c>
      <c r="X337" s="31" t="inlineStr">
        <is>
          <t>Growing Industry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No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IF(B338=0,"",RANK(B338,$B$2:$B$371,0))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3" t="inlineStr">
        <is>
          <t>BEML</t>
        </is>
      </c>
      <c r="D338" s="33" t="inlineStr">
        <is>
          <t>Beml Limited</t>
        </is>
      </c>
      <c r="E338" s="31" t="inlineStr">
        <is>
          <t>aerospace &amp; defence</t>
        </is>
      </c>
      <c r="F338" s="31" t="inlineStr">
        <is>
          <t>engineering</t>
        </is>
      </c>
      <c r="G338" s="31" t="inlineStr">
        <is>
          <t>midcap</t>
        </is>
      </c>
      <c r="H338" s="32" t="n">
        <v>15913.2</v>
      </c>
      <c r="I338" s="32" t="n">
        <v>1874.4</v>
      </c>
      <c r="J338" s="32" t="n">
        <v>-1.89</v>
      </c>
      <c r="K338" s="32" t="n">
        <v>171580</v>
      </c>
      <c r="L338" s="31" t="n">
        <v>5</v>
      </c>
      <c r="M338" s="31" t="inlineStr">
        <is>
          <t>Underperforming</t>
        </is>
      </c>
      <c r="N338" s="32">
        <f>IF(M338="Underperforming",-5,IF(L338&gt;=95,15,IF(L338&gt;=90,10,IF(L338&gt;=80,5,0))))</f>
        <v/>
      </c>
      <c r="O338" s="32" t="n">
        <v>55.96</v>
      </c>
      <c r="P338" s="32" t="n">
        <v>11.63</v>
      </c>
      <c r="Q338" s="32" t="n">
        <v>1448.18</v>
      </c>
      <c r="R338" s="31" t="inlineStr">
        <is>
          <t>Volume Spike / Accumulation</t>
        </is>
      </c>
      <c r="S338" s="31" t="inlineStr">
        <is>
          <t>Nifty 50</t>
        </is>
      </c>
      <c r="T338" s="32" t="n">
        <v>-1.08</v>
      </c>
      <c r="U338" s="32" t="n">
        <v>-7.24</v>
      </c>
      <c r="V338" s="32" t="n">
        <v>-6.23</v>
      </c>
      <c r="W338" s="32" t="n">
        <v>-0.28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Tailwind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Yes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0 to 20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Above 2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IF(B339=0,"",RANK(B339,$B$2:$B$371,0))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1" t="inlineStr">
        <is>
          <t>CESC</t>
        </is>
      </c>
      <c r="D339" s="31" t="inlineStr">
        <is>
          <t>Cesc Limited</t>
        </is>
      </c>
      <c r="E339" s="31" t="inlineStr">
        <is>
          <t>power &amp; utilities</t>
        </is>
      </c>
      <c r="F339" s="31" t="inlineStr">
        <is>
          <t>power generation and supply</t>
        </is>
      </c>
      <c r="G339" s="31" t="inlineStr">
        <is>
          <t>largecap</t>
        </is>
      </c>
      <c r="H339" s="32" t="n">
        <v>21849.38</v>
      </c>
      <c r="I339" s="32" t="n">
        <v>167.83</v>
      </c>
      <c r="J339" s="32" t="n">
        <v>1.82</v>
      </c>
      <c r="K339" s="32" t="n">
        <v>5557236</v>
      </c>
      <c r="L339" s="31" t="n">
        <v>10</v>
      </c>
      <c r="M339" s="31" t="inlineStr">
        <is>
          <t>Outperforming</t>
        </is>
      </c>
      <c r="N339" s="32">
        <f>IF(M339="Underperforming",-5,IF(L339&gt;=95,15,IF(L339&gt;=90,10,IF(L339&gt;=80,5,0))))</f>
        <v/>
      </c>
      <c r="O339" s="32" t="n">
        <v>50.74</v>
      </c>
      <c r="P339" s="32" t="n">
        <v>18.01</v>
      </c>
      <c r="Q339" s="32" t="n">
        <v>152.75</v>
      </c>
      <c r="R339" s="31" t="inlineStr">
        <is>
          <t>Volume Spike / Accumulation</t>
        </is>
      </c>
      <c r="S339" s="31" t="inlineStr">
        <is>
          <t>Nifty IT</t>
        </is>
      </c>
      <c r="T339" s="32" t="n">
        <v>-9.98</v>
      </c>
      <c r="U339" s="32" t="n">
        <v>6.47</v>
      </c>
      <c r="V339" s="32" t="n">
        <v>18.27</v>
      </c>
      <c r="W339" s="32" t="n">
        <v>0.6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0 to 20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Between 12 to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Less than 1.5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More than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IF(B340=0,"",RANK(B340,$B$2:$B$371,0))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UFLEX</t>
        </is>
      </c>
      <c r="D340" s="31" t="inlineStr">
        <is>
          <t>Uflex Limited</t>
        </is>
      </c>
      <c r="E340" s="31" t="inlineStr">
        <is>
          <t>industrials</t>
        </is>
      </c>
      <c r="F340" s="31" t="inlineStr">
        <is>
          <t>packaging</t>
        </is>
      </c>
      <c r="G340" s="31" t="inlineStr">
        <is>
          <t>smallcap</t>
        </is>
      </c>
      <c r="H340" s="32" t="n">
        <v>3565.8</v>
      </c>
      <c r="I340" s="32" t="n">
        <v>488.4</v>
      </c>
      <c r="J340" s="32" t="n">
        <v>-1.09</v>
      </c>
      <c r="K340" s="32" t="n">
        <v>150907</v>
      </c>
      <c r="L340" s="31" t="inlineStr"/>
      <c r="M340" s="31" t="inlineStr"/>
      <c r="N340" s="32">
        <f>IF(M340="Underperforming",-5,IF(L340&gt;=95,15,IF(L340&gt;=90,10,IF(L340&gt;=80,5,0))))</f>
        <v/>
      </c>
      <c r="O340" s="32" t="n">
        <v>60.17</v>
      </c>
      <c r="P340" s="32" t="n">
        <v>15.91</v>
      </c>
      <c r="Q340" s="32" t="n">
        <v>384.28</v>
      </c>
      <c r="R340" s="31" t="inlineStr">
        <is>
          <t>Earnings / Momentum Support</t>
        </is>
      </c>
      <c r="S340" s="31" t="inlineStr">
        <is>
          <t>Nifty Infra</t>
        </is>
      </c>
      <c r="T340" s="32" t="inlineStr"/>
      <c r="U340" s="32" t="inlineStr"/>
      <c r="V340" s="32" t="inlineStr"/>
      <c r="W340" s="32" t="inlineStr"/>
      <c r="X340" s="31" t="inlineStr">
        <is>
          <t>Cyclical in an Upturn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One Time, Lower Annuity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Between 12 to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No</t>
        </is>
      </c>
      <c r="BS340" s="31">
        <f>IF(BR340="NO",5,0)</f>
        <v/>
      </c>
      <c r="BT340" s="31" t="inlineStr">
        <is>
          <t>Less than 1.5</t>
        </is>
      </c>
      <c r="BU340" s="31">
        <f>IF(BT340="Above 2",0,IF(BT340="Between 1.5 to 2",5,IF(BT340="Less than 1.5",10,0)))</f>
        <v/>
      </c>
      <c r="BV340" s="31" t="inlineStr">
        <is>
          <t>Between 50% to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More than 1.2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IF(B341=0,"",RANK(B341,$B$2:$B$371,0))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SALSTEEL</t>
        </is>
      </c>
      <c r="D341" s="31" t="inlineStr">
        <is>
          <t>SAL Steel</t>
        </is>
      </c>
      <c r="E341" s="31" t="inlineStr">
        <is>
          <t>metals &amp; mining</t>
        </is>
      </c>
      <c r="F341" s="31" t="inlineStr">
        <is>
          <t>steel - sponge iron</t>
        </is>
      </c>
      <c r="G341" s="31" t="inlineStr">
        <is>
          <t>smallcap</t>
        </is>
      </c>
      <c r="H341" s="32" t="n">
        <v>1003.96</v>
      </c>
      <c r="I341" s="32" t="n">
        <v>66.42</v>
      </c>
      <c r="J341" s="32" t="n">
        <v>-4.22</v>
      </c>
      <c r="K341" s="32" t="n">
        <v>2066875</v>
      </c>
      <c r="L341" s="31" t="inlineStr"/>
      <c r="M341" s="31" t="inlineStr"/>
      <c r="N341" s="32">
        <f>IF(M341="Underperforming",-5,IF(L341&gt;=95,15,IF(L341&gt;=90,10,IF(L341&gt;=80,5,0))))</f>
        <v/>
      </c>
      <c r="O341" s="32" t="n">
        <v>69.22</v>
      </c>
      <c r="P341" s="32" t="n">
        <v>24.43</v>
      </c>
      <c r="Q341" s="32" t="n">
        <v>44.49</v>
      </c>
      <c r="R341" s="31" t="inlineStr">
        <is>
          <t>Volume Spike &amp; Near 52W High Breakout</t>
        </is>
      </c>
      <c r="S341" s="31" t="inlineStr">
        <is>
          <t>Nifty Metal</t>
        </is>
      </c>
      <c r="T341" s="32" t="inlineStr"/>
      <c r="U341" s="32" t="inlineStr"/>
      <c r="V341" s="32" t="inlineStr"/>
      <c r="W341" s="32" t="inlineStr"/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Too Many Players with High ROCE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Cyclical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Volatile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Higher One Time, Lower Annuity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Good</t>
        </is>
      </c>
      <c r="AU341" s="31">
        <f>IF(AT341="Good",10,0)</f>
        <v/>
      </c>
      <c r="AV341" s="31" t="inlineStr">
        <is>
          <t>Yes for more than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Blue sky scenario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More than 20%</t>
        </is>
      </c>
      <c r="BO341" s="31">
        <f>IF(BN341="More than 20%",10,IF(BN341="Between 12 to 20%",5,IF(BN341="Less than 12%",0,0)))</f>
        <v/>
      </c>
      <c r="BP341" s="31" t="inlineStr">
        <is>
          <t>No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Less than 1.5</t>
        </is>
      </c>
      <c r="BU341" s="31">
        <f>IF(BT341="Above 2",0,IF(BT341="Between 1.5 to 2",5,IF(BT341="Less than 1.5",10,0)))</f>
        <v/>
      </c>
      <c r="BV341" s="31" t="inlineStr">
        <is>
          <t>Negative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More than 1.2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IF(B342=0,"",RANK(B342,$B$2:$B$371,0))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HATSUN</t>
        </is>
      </c>
      <c r="D342" s="31" t="inlineStr">
        <is>
          <t>Hatsun Agro Product Limited</t>
        </is>
      </c>
      <c r="E342" s="31" t="inlineStr">
        <is>
          <t>fmcg</t>
        </is>
      </c>
      <c r="F342" s="31" t="inlineStr">
        <is>
          <t>food - processing - indian</t>
        </is>
      </c>
      <c r="G342" s="31" t="inlineStr">
        <is>
          <t>largecap</t>
        </is>
      </c>
      <c r="H342" s="32" t="n">
        <v>21471.82</v>
      </c>
      <c r="I342" s="32" t="n">
        <v>980</v>
      </c>
      <c r="J342" s="32" t="n">
        <v>1.67</v>
      </c>
      <c r="K342" s="32" t="n">
        <v>82073</v>
      </c>
      <c r="L342" s="31" t="inlineStr"/>
      <c r="M342" s="31" t="inlineStr"/>
      <c r="N342" s="32">
        <f>IF(M342="Underperforming",-5,IF(L342&gt;=95,15,IF(L342&gt;=90,10,IF(L342&gt;=80,5,0))))</f>
        <v/>
      </c>
      <c r="O342" s="32" t="n">
        <v>58.93</v>
      </c>
      <c r="P342" s="32" t="n">
        <v>10.2</v>
      </c>
      <c r="Q342" s="32" t="n">
        <v>818.54</v>
      </c>
      <c r="R342" s="31" t="inlineStr">
        <is>
          <t>Volume Spike / Accumulation</t>
        </is>
      </c>
      <c r="S342" s="31" t="inlineStr">
        <is>
          <t>Nifty FMCG</t>
        </is>
      </c>
      <c r="T342" s="32" t="inlineStr"/>
      <c r="U342" s="32" t="inlineStr"/>
      <c r="V342" s="32" t="inlineStr"/>
      <c r="W342" s="32" t="inlineStr"/>
      <c r="X342" s="31" t="inlineStr">
        <is>
          <t>Growing Industry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Structural (10 Years Consistency)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Stable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B2C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Annuity, Lower One Time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1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Less than 12%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Yes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Between 0.7 to 1.2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IF(B343=0,"",RANK(B343,$B$2:$B$371,0))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3" t="inlineStr">
        <is>
          <t>BHARTIHEXA</t>
        </is>
      </c>
      <c r="D343" s="33" t="inlineStr">
        <is>
          <t>Bharti Hexacom Ltd</t>
        </is>
      </c>
      <c r="E343" s="31" t="inlineStr">
        <is>
          <t>telecom-service</t>
        </is>
      </c>
      <c r="F343" s="31" t="inlineStr">
        <is>
          <t>telecommunications - service provider</t>
        </is>
      </c>
      <c r="G343" s="31" t="inlineStr">
        <is>
          <t>largecap</t>
        </is>
      </c>
      <c r="H343" s="32" t="n">
        <v>78275</v>
      </c>
      <c r="I343" s="32" t="n">
        <v>1621.1</v>
      </c>
      <c r="J343" s="32" t="n">
        <v>3.55</v>
      </c>
      <c r="K343" s="32" t="n">
        <v>349991</v>
      </c>
      <c r="L343" s="31" t="n">
        <v>8</v>
      </c>
      <c r="M343" s="31" t="inlineStr">
        <is>
          <t>Underperforming</t>
        </is>
      </c>
      <c r="N343" s="32">
        <f>IF(M343="Underperforming",-5,IF(L343&gt;=95,15,IF(L343&gt;=90,10,IF(L343&gt;=80,5,0))))</f>
        <v/>
      </c>
      <c r="O343" s="32" t="n">
        <v>55.88</v>
      </c>
      <c r="P343" s="32" t="n">
        <v>18.3</v>
      </c>
      <c r="Q343" s="32" t="n">
        <v>1313.86</v>
      </c>
      <c r="R343" s="31" t="inlineStr">
        <is>
          <t>Earnings / Momentum Support</t>
        </is>
      </c>
      <c r="S343" s="31" t="inlineStr">
        <is>
          <t>Nifty 500</t>
        </is>
      </c>
      <c r="T343" s="32" t="n">
        <v>4.03</v>
      </c>
      <c r="U343" s="32" t="n">
        <v>-3.64</v>
      </c>
      <c r="V343" s="32" t="n">
        <v>-7.38</v>
      </c>
      <c r="W343" s="32" t="n">
        <v>0.36</v>
      </c>
      <c r="X343" s="31" t="inlineStr">
        <is>
          <t>Growing Industry</t>
        </is>
      </c>
      <c r="Y343" s="31">
        <f>IF(X343="Growing Industry",10,IF(X343="Cyclical in an Upturn",5,0))</f>
        <v/>
      </c>
      <c r="Z343" s="31" t="inlineStr">
        <is>
          <t>Oligopoly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Yes</t>
        </is>
      </c>
      <c r="AC343" s="31">
        <f>IF(AB343="No",5,0)</f>
        <v/>
      </c>
      <c r="AD343" s="31" t="inlineStr">
        <is>
          <t>Headwind</t>
        </is>
      </c>
      <c r="AE343" s="31">
        <f>IF(AD343="Tailwind",10,0)</f>
        <v/>
      </c>
      <c r="AF343" s="31" t="inlineStr">
        <is>
          <t>Structural (10 Years Consistency)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Stable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No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Yes</t>
        </is>
      </c>
      <c r="BS343" s="31">
        <f>IF(BR343="NO",5,0)</f>
        <v/>
      </c>
      <c r="BT343" s="31" t="inlineStr">
        <is>
          <t>Between 1.5 to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Between 0.7 to 1.2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IF(B344=0,"",RANK(B344,$B$2:$B$371,0))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3" t="inlineStr">
        <is>
          <t>BDL</t>
        </is>
      </c>
      <c r="D344" s="33" t="inlineStr">
        <is>
          <t>Bharat Dynamics Ltd</t>
        </is>
      </c>
      <c r="E344" s="31" t="inlineStr">
        <is>
          <t>aerospace &amp; defence</t>
        </is>
      </c>
      <c r="F344" s="31" t="inlineStr">
        <is>
          <t>engineering</t>
        </is>
      </c>
      <c r="G344" s="31" t="inlineStr">
        <is>
          <t>largecap</t>
        </is>
      </c>
      <c r="H344" s="32" t="n">
        <v>50420.67</v>
      </c>
      <c r="I344" s="32" t="n">
        <v>1398</v>
      </c>
      <c r="J344" s="32" t="n">
        <v>1.64</v>
      </c>
      <c r="K344" s="32" t="n">
        <v>16885944</v>
      </c>
      <c r="L344" s="31" t="n">
        <v>5</v>
      </c>
      <c r="M344" s="31" t="inlineStr">
        <is>
          <t>Underperforming</t>
        </is>
      </c>
      <c r="N344" s="32">
        <f>IF(M344="Underperforming",-5,IF(L344&gt;=95,15,IF(L344&gt;=90,10,IF(L344&gt;=80,5,0))))</f>
        <v/>
      </c>
      <c r="O344" s="32" t="n">
        <v>54.65</v>
      </c>
      <c r="P344" s="32" t="n">
        <v>8.77</v>
      </c>
      <c r="Q344" s="32" t="n">
        <v>1084.27</v>
      </c>
      <c r="R344" s="31" t="inlineStr">
        <is>
          <t>Volume Spike / Accumulation</t>
        </is>
      </c>
      <c r="S344" s="31" t="inlineStr">
        <is>
          <t>Nifty 500</t>
        </is>
      </c>
      <c r="T344" s="32" t="n">
        <v>4.03</v>
      </c>
      <c r="U344" s="32" t="n">
        <v>-11.04</v>
      </c>
      <c r="V344" s="32" t="n">
        <v>-14.49</v>
      </c>
      <c r="W344" s="32" t="n">
        <v>-0.5600000000000001</v>
      </c>
      <c r="X344" s="31" t="inlineStr">
        <is>
          <t>Growing Industry</t>
        </is>
      </c>
      <c r="Y344" s="31">
        <f>IF(X344="Growing Industry",10,IF(X344="Cyclical in an Upturn",5,0))</f>
        <v/>
      </c>
      <c r="Z344" s="31" t="inlineStr">
        <is>
          <t>Too Many Players with High ROCE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No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Structural (10 Years Consistency)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Stable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Yes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0 to 20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1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Yes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IF(B345=0,"",RANK(B345,$B$2:$B$371,0))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YUKEN</t>
        </is>
      </c>
      <c r="D345" s="31" t="inlineStr">
        <is>
          <t>Yuken India Ltd</t>
        </is>
      </c>
      <c r="E345" s="31" t="inlineStr">
        <is>
          <t>industrials</t>
        </is>
      </c>
      <c r="F345" s="31" t="inlineStr">
        <is>
          <t>engineering</t>
        </is>
      </c>
      <c r="G345" s="31" t="inlineStr">
        <is>
          <t>smallcap</t>
        </is>
      </c>
      <c r="H345" s="32" t="n">
        <v>1148.73</v>
      </c>
      <c r="I345" s="32" t="n">
        <v>855.3</v>
      </c>
      <c r="J345" s="32" t="n">
        <v>1.14</v>
      </c>
      <c r="K345" s="32" t="n">
        <v>7732</v>
      </c>
      <c r="L345" s="31" t="inlineStr"/>
      <c r="M345" s="31" t="inlineStr"/>
      <c r="N345" s="32">
        <f>IF(M345="Underperforming",-5,IF(L345&gt;=95,15,IF(L345&gt;=90,10,IF(L345&gt;=80,5,0))))</f>
        <v/>
      </c>
      <c r="O345" s="32" t="n">
        <v>61.19</v>
      </c>
      <c r="P345" s="32" t="n">
        <v>17.41</v>
      </c>
      <c r="Q345" s="32" t="n">
        <v>666.48</v>
      </c>
      <c r="R345" s="31" t="inlineStr">
        <is>
          <t>Earnings / Momentum Support</t>
        </is>
      </c>
      <c r="S345" s="31" t="inlineStr">
        <is>
          <t>Nifty Infra</t>
        </is>
      </c>
      <c r="T345" s="32" t="inlineStr"/>
      <c r="U345" s="32" t="inlineStr"/>
      <c r="V345" s="32" t="inlineStr"/>
      <c r="W345" s="32" t="inlineStr"/>
      <c r="X345" s="31" t="inlineStr">
        <is>
          <t>Cyclical in an Upturn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1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Less than 0.7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IF(B346=0,"",RANK(B346,$B$2:$B$371,0))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MAMATA</t>
        </is>
      </c>
      <c r="D346" s="31" t="inlineStr">
        <is>
          <t>Mamata Machinery Ltd</t>
        </is>
      </c>
      <c r="E346" s="31" t="inlineStr">
        <is>
          <t>industrials</t>
        </is>
      </c>
      <c r="F346" s="31" t="inlineStr">
        <is>
          <t>engineering</t>
        </is>
      </c>
      <c r="G346" s="31" t="inlineStr">
        <is>
          <t>smallcap</t>
        </is>
      </c>
      <c r="H346" s="32" t="n">
        <v>1047.31</v>
      </c>
      <c r="I346" s="32" t="n">
        <v>429</v>
      </c>
      <c r="J346" s="32" t="n">
        <v>0.8</v>
      </c>
      <c r="K346" s="32" t="n">
        <v>95165</v>
      </c>
      <c r="L346" s="31" t="inlineStr"/>
      <c r="M346" s="31" t="inlineStr"/>
      <c r="N346" s="32">
        <f>IF(M346="Underperforming",-5,IF(L346&gt;=95,15,IF(L346&gt;=90,10,IF(L346&gt;=80,5,0))))</f>
        <v/>
      </c>
      <c r="O346" s="32" t="n">
        <v>55.52</v>
      </c>
      <c r="P346" s="32" t="n">
        <v>6.58</v>
      </c>
      <c r="Q346" s="32" t="n">
        <v>337.34</v>
      </c>
      <c r="R346" s="31" t="inlineStr">
        <is>
          <t>Earnings / Momentum Support</t>
        </is>
      </c>
      <c r="S346" s="31" t="inlineStr">
        <is>
          <t>Nifty Infra</t>
        </is>
      </c>
      <c r="T346" s="32" t="inlineStr"/>
      <c r="U346" s="32" t="inlineStr"/>
      <c r="V346" s="32" t="inlineStr"/>
      <c r="W346" s="32" t="inlineStr"/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Too Many Players with High ROCE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No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Structural (10 Years Consistency)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Stable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0 to 20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Less than 12%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Yes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Less than 50%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IF(B347=0,"",RANK(B347,$B$2:$B$371,0))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3" t="inlineStr">
        <is>
          <t>SADHNANIQ</t>
        </is>
      </c>
      <c r="D347" s="33" t="inlineStr">
        <is>
          <t>Sadhana Nitro Chem Ltd</t>
        </is>
      </c>
      <c r="E347" s="31" t="inlineStr">
        <is>
          <t>chemicals</t>
        </is>
      </c>
      <c r="F347" s="31" t="inlineStr">
        <is>
          <t>chemicals</t>
        </is>
      </c>
      <c r="G347" s="31" t="inlineStr">
        <is>
          <t>smallcap</t>
        </is>
      </c>
      <c r="H347" s="32" t="n">
        <v>948.7</v>
      </c>
      <c r="I347" s="32" t="n">
        <v>3.2</v>
      </c>
      <c r="J347" s="32" t="n">
        <v>-1.84</v>
      </c>
      <c r="K347" s="32" t="n">
        <v>932987</v>
      </c>
      <c r="L347" s="31" t="n">
        <v>31</v>
      </c>
      <c r="M347" s="31" t="inlineStr">
        <is>
          <t>Underperforming</t>
        </is>
      </c>
      <c r="N347" s="32">
        <f>IF(M347="Underperforming",-5,IF(L347&gt;=95,15,IF(L347&gt;=90,10,IF(L347&gt;=80,5,0))))</f>
        <v/>
      </c>
      <c r="O347" s="32" t="n">
        <v>46.81</v>
      </c>
      <c r="P347" s="32" t="n">
        <v>13.33</v>
      </c>
      <c r="Q347" s="32" t="n">
        <v>1.78</v>
      </c>
      <c r="R347" s="31" t="inlineStr">
        <is>
          <t>Earnings / Momentum Support</t>
        </is>
      </c>
      <c r="S347" s="31" t="inlineStr">
        <is>
          <t>Nifty 50</t>
        </is>
      </c>
      <c r="T347" s="32" t="n">
        <v>-1.08</v>
      </c>
      <c r="U347" s="32" t="n">
        <v>-50.08</v>
      </c>
      <c r="V347" s="32" t="n">
        <v>-49.54</v>
      </c>
      <c r="W347" s="32" t="n">
        <v>6.46</v>
      </c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No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Below 45</t>
        </is>
      </c>
      <c r="BA347" s="31">
        <f>IF(AZ347="Between 50 to 75",10,IF(AZ347="Above 75",0,0))</f>
        <v/>
      </c>
      <c r="BB347" s="31" t="inlineStr">
        <is>
          <t>Stage 4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Less than 1.5</t>
        </is>
      </c>
      <c r="BU347" s="31">
        <f>IF(BT347="Above 2",0,IF(BT347="Between 1.5 to 2",5,IF(BT347="Less than 1.5",10,0)))</f>
        <v/>
      </c>
      <c r="BV347" s="31" t="inlineStr">
        <is>
          <t>Above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IF(B348=0,"",RANK(B348,$B$2:$B$371,0))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3" t="inlineStr">
        <is>
          <t>SURAKSHA</t>
        </is>
      </c>
      <c r="D348" s="33" t="inlineStr">
        <is>
          <t>Suraksha Diagnostic Ltd</t>
        </is>
      </c>
      <c r="E348" s="31" t="inlineStr">
        <is>
          <t>healthcare</t>
        </is>
      </c>
      <c r="F348" s="31" t="inlineStr">
        <is>
          <t>healthcare</t>
        </is>
      </c>
      <c r="G348" s="31" t="inlineStr">
        <is>
          <t>smallcap</t>
        </is>
      </c>
      <c r="H348" s="32" t="n">
        <v>1585.6</v>
      </c>
      <c r="I348" s="32" t="n">
        <v>308</v>
      </c>
      <c r="J348" s="32" t="n">
        <v>1.17</v>
      </c>
      <c r="K348" s="32" t="n">
        <v>288553</v>
      </c>
      <c r="L348" s="31" t="n">
        <v>8</v>
      </c>
      <c r="M348" s="31" t="inlineStr">
        <is>
          <t>Underperforming</t>
        </is>
      </c>
      <c r="N348" s="32">
        <f>IF(M348="Underperforming",-5,IF(L348&gt;=95,15,IF(L348&gt;=90,10,IF(L348&gt;=80,5,0))))</f>
        <v/>
      </c>
      <c r="O348" s="32" t="n">
        <v>60.8</v>
      </c>
      <c r="P348" s="32" t="n">
        <v>14.97</v>
      </c>
      <c r="Q348" s="32" t="n">
        <v>243.88</v>
      </c>
      <c r="R348" s="31" t="inlineStr">
        <is>
          <t>Volume Spike &amp; Near 52W High Breakout</t>
        </is>
      </c>
      <c r="S348" s="31" t="inlineStr">
        <is>
          <t>Nifty Pharma</t>
        </is>
      </c>
      <c r="T348" s="32" t="n">
        <v>19.38</v>
      </c>
      <c r="U348" s="32" t="n">
        <v>0.86</v>
      </c>
      <c r="V348" s="32" t="n">
        <v>-15.52</v>
      </c>
      <c r="W348" s="32" t="n">
        <v>0.24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Yes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Annuity, Lower One Time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Yes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IF(B349=0,"",RANK(B349,$B$2:$B$371,0))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3" t="inlineStr">
        <is>
          <t>DICIND</t>
        </is>
      </c>
      <c r="D349" s="33" t="inlineStr">
        <is>
          <t>Dic India Limited</t>
        </is>
      </c>
      <c r="E349" s="31" t="inlineStr">
        <is>
          <t>chemicals</t>
        </is>
      </c>
      <c r="F349" s="31" t="inlineStr">
        <is>
          <t>chemicals</t>
        </is>
      </c>
      <c r="G349" s="31" t="inlineStr">
        <is>
          <t>smallcap</t>
        </is>
      </c>
      <c r="H349" s="32" t="n">
        <v>528.25</v>
      </c>
      <c r="I349" s="32" t="n">
        <v>570.25</v>
      </c>
      <c r="J349" s="32" t="n">
        <v>-0.91</v>
      </c>
      <c r="K349" s="32" t="n">
        <v>30700</v>
      </c>
      <c r="L349" s="31" t="n">
        <v>12</v>
      </c>
      <c r="M349" s="31" t="inlineStr">
        <is>
          <t>Underperforming</t>
        </is>
      </c>
      <c r="N349" s="32">
        <f>IF(M349="Underperforming",-5,IF(L349&gt;=95,15,IF(L349&gt;=90,10,IF(L349&gt;=80,5,0))))</f>
        <v/>
      </c>
      <c r="O349" s="32" t="n">
        <v>61.99</v>
      </c>
      <c r="P349" s="32" t="n">
        <v>12.03</v>
      </c>
      <c r="Q349" s="32" t="n">
        <v>433.34</v>
      </c>
      <c r="R349" s="31" t="inlineStr">
        <is>
          <t>Volume Spike &amp; Near 52W High Breakout</t>
        </is>
      </c>
      <c r="S349" s="31" t="inlineStr">
        <is>
          <t>Nifty 50</t>
        </is>
      </c>
      <c r="T349" s="32" t="n">
        <v>-1.08</v>
      </c>
      <c r="U349" s="32" t="n">
        <v>-4.88</v>
      </c>
      <c r="V349" s="32" t="n">
        <v>-3.85</v>
      </c>
      <c r="W349" s="32" t="n">
        <v>1.35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Yes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1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Close to 52 week high or retracement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More than 20%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No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Negative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Less than 0.7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IF(B350=0,"",RANK(B350,$B$2:$B$371,0))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3" t="inlineStr">
        <is>
          <t>BIL</t>
        </is>
      </c>
      <c r="D350" s="33" t="inlineStr">
        <is>
          <t>Bhartiya International Limited</t>
        </is>
      </c>
      <c r="E350" s="31" t="inlineStr">
        <is>
          <t>consumer discretionary</t>
        </is>
      </c>
      <c r="F350" s="31" t="inlineStr">
        <is>
          <t>leather / leather products</t>
        </is>
      </c>
      <c r="G350" s="31" t="inlineStr">
        <is>
          <t>smallcap</t>
        </is>
      </c>
      <c r="H350" s="32" t="n">
        <v>1139.88</v>
      </c>
      <c r="I350" s="32" t="n">
        <v>833.3</v>
      </c>
      <c r="J350" s="32" t="n">
        <v>-1.96</v>
      </c>
      <c r="K350" s="32" t="n">
        <v>19545</v>
      </c>
      <c r="L350" s="31" t="n">
        <v>15</v>
      </c>
      <c r="M350" s="31" t="inlineStr">
        <is>
          <t>Underperforming</t>
        </is>
      </c>
      <c r="N350" s="32">
        <f>IF(M350="Underperforming",-5,IF(L350&gt;=95,15,IF(L350&gt;=90,10,IF(L350&gt;=80,5,0))))</f>
        <v/>
      </c>
      <c r="O350" s="32" t="n">
        <v>58.96</v>
      </c>
      <c r="P350" s="32" t="n">
        <v>13.95</v>
      </c>
      <c r="Q350" s="32" t="n">
        <v>594.8</v>
      </c>
      <c r="R350" s="31" t="inlineStr">
        <is>
          <t>Earnings / Momentum Support</t>
        </is>
      </c>
      <c r="S350" s="31" t="inlineStr">
        <is>
          <t>Nifty 50</t>
        </is>
      </c>
      <c r="T350" s="32" t="n">
        <v>-1.08</v>
      </c>
      <c r="U350" s="32" t="n">
        <v>-4.43</v>
      </c>
      <c r="V350" s="32" t="n">
        <v>-3.39</v>
      </c>
      <c r="W350" s="32" t="n">
        <v>2.37</v>
      </c>
      <c r="X350" s="31" t="inlineStr">
        <is>
          <t>Growing Industry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Structural (10 Years Consistency)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Stable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No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More than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Yes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Less than 50% and Borrowings are increasing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Between 0.7 to 1.2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IF(B351=0,"",RANK(B351,$B$2:$B$371,0))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3" t="inlineStr">
        <is>
          <t>SILVERTUC</t>
        </is>
      </c>
      <c r="D351" s="33" t="inlineStr">
        <is>
          <t>Silver Touch Technologies Ltd</t>
        </is>
      </c>
      <c r="E351" s="31" t="inlineStr">
        <is>
          <t>i.t</t>
        </is>
      </c>
      <c r="F351" s="31" t="inlineStr">
        <is>
          <t>computers - software - medium / small</t>
        </is>
      </c>
      <c r="G351" s="31" t="inlineStr">
        <is>
          <t>smallcap</t>
        </is>
      </c>
      <c r="H351" s="32" t="n">
        <v>2616.34</v>
      </c>
      <c r="I351" s="32" t="n">
        <v>209.29</v>
      </c>
      <c r="J351" s="32" t="n">
        <v>1.44</v>
      </c>
      <c r="K351" s="32" t="n">
        <v>593952</v>
      </c>
      <c r="L351" s="31" t="n">
        <v>26</v>
      </c>
      <c r="M351" s="31" t="inlineStr">
        <is>
          <t>Underperforming</t>
        </is>
      </c>
      <c r="N351" s="32">
        <f>IF(M351="Underperforming",-5,IF(L351&gt;=95,15,IF(L351&gt;=90,10,IF(L351&gt;=80,5,0))))</f>
        <v/>
      </c>
      <c r="O351" s="32" t="n">
        <v>46.33</v>
      </c>
      <c r="P351" s="32" t="n">
        <v>17.8</v>
      </c>
      <c r="Q351" s="32" t="n">
        <v>117.58</v>
      </c>
      <c r="R351" s="31" t="inlineStr">
        <is>
          <t>Earnings / Momentum Support</t>
        </is>
      </c>
      <c r="S351" s="31" t="inlineStr">
        <is>
          <t>Nifty IT</t>
        </is>
      </c>
      <c r="T351" s="32" t="n">
        <v>-9.98</v>
      </c>
      <c r="U351" s="32" t="n">
        <v>-71.14</v>
      </c>
      <c r="V351" s="32" t="n">
        <v>-67.94</v>
      </c>
      <c r="W351" s="32" t="n">
        <v>5.22</v>
      </c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Annuity, Lower One Time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Below 45</t>
        </is>
      </c>
      <c r="BA351" s="31">
        <f>IF(AZ351="Between 50 to 75",10,IF(AZ351="Above 75",0,0))</f>
        <v/>
      </c>
      <c r="BB351" s="31" t="inlineStr">
        <is>
          <t>Stage 4</t>
        </is>
      </c>
      <c r="BC351" s="31">
        <f>IF(BB351="Stage 2",20,IF(BB351="Stage 1",0,IF(BB351="Stage 3",5,IF(BB351="Stage 4",-5,0))))</f>
        <v/>
      </c>
      <c r="BD351" s="31" t="inlineStr">
        <is>
          <t>Positive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Above 2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IF(B352=0,"",RANK(B352,$B$2:$B$371,0))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CEATLTD</t>
        </is>
      </c>
      <c r="D352" s="31" t="inlineStr">
        <is>
          <t>Ceat Limited</t>
        </is>
      </c>
      <c r="E352" s="31" t="inlineStr">
        <is>
          <t>auto</t>
        </is>
      </c>
      <c r="F352" s="31" t="inlineStr">
        <is>
          <t>tyres</t>
        </is>
      </c>
      <c r="G352" s="31" t="inlineStr">
        <is>
          <t>midcap</t>
        </is>
      </c>
      <c r="H352" s="32" t="n">
        <v>14952.38</v>
      </c>
      <c r="I352" s="32" t="n">
        <v>3688.8</v>
      </c>
      <c r="J352" s="32" t="n">
        <v>-0.21</v>
      </c>
      <c r="K352" s="32" t="n">
        <v>34048</v>
      </c>
      <c r="L352" s="31" t="inlineStr"/>
      <c r="M352" s="31" t="inlineStr"/>
      <c r="N352" s="32">
        <f>IF(M352="Underperforming",-5,IF(L352&gt;=95,15,IF(L352&gt;=90,10,IF(L352&gt;=80,5,0))))</f>
        <v/>
      </c>
      <c r="O352" s="32" t="n">
        <v>55.05</v>
      </c>
      <c r="P352" s="32" t="n">
        <v>7.78</v>
      </c>
      <c r="Q352" s="32" t="n">
        <v>3023.93</v>
      </c>
      <c r="R352" s="31" t="inlineStr">
        <is>
          <t>Earnings / Momentum Support</t>
        </is>
      </c>
      <c r="S352" s="31" t="inlineStr">
        <is>
          <t>Nifty Auto</t>
        </is>
      </c>
      <c r="T352" s="32" t="inlineStr"/>
      <c r="U352" s="32" t="inlineStr"/>
      <c r="V352" s="32" t="inlineStr"/>
      <c r="W352" s="32" t="inlineStr"/>
      <c r="X352" s="31" t="inlineStr">
        <is>
          <t>Growing Industry</t>
        </is>
      </c>
      <c r="Y352" s="31">
        <f>IF(X352="Growing Industry",10,IF(X352="Cyclical in an Upturn",5,0))</f>
        <v/>
      </c>
      <c r="Z352" s="31" t="inlineStr">
        <is>
          <t>Too Many Players with High ROCE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No</t>
        </is>
      </c>
      <c r="AC352" s="31">
        <f>IF(AB352="No",5,0)</f>
        <v/>
      </c>
      <c r="AD352" s="31" t="inlineStr">
        <is>
          <t>Headwind</t>
        </is>
      </c>
      <c r="AE352" s="31">
        <f>IF(AD352="Tailwind",10,0)</f>
        <v/>
      </c>
      <c r="AF352" s="31" t="inlineStr">
        <is>
          <t>Structural (10 Years Consistency)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Stable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1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Less than 12%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Above 2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IF(B353=0,"",RANK(B353,$B$2:$B$371,0))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KOTHARIPET</t>
        </is>
      </c>
      <c r="D353" s="31" t="inlineStr">
        <is>
          <t>Kothari Petrochemicals Limited</t>
        </is>
      </c>
      <c r="E353" s="31" t="inlineStr">
        <is>
          <t>energy</t>
        </is>
      </c>
      <c r="F353" s="31" t="inlineStr">
        <is>
          <t>petrochemicals</t>
        </is>
      </c>
      <c r="G353" s="31" t="inlineStr">
        <is>
          <t>smallcap</t>
        </is>
      </c>
      <c r="H353" s="32" t="n">
        <v>880.64</v>
      </c>
      <c r="I353" s="32" t="n">
        <v>143.92</v>
      </c>
      <c r="J353" s="32" t="n">
        <v>-3.83</v>
      </c>
      <c r="K353" s="32" t="n">
        <v>102864</v>
      </c>
      <c r="L353" s="31" t="inlineStr"/>
      <c r="M353" s="31" t="inlineStr"/>
      <c r="N353" s="32">
        <f>IF(M353="Underperforming",-5,IF(L353&gt;=95,15,IF(L353&gt;=90,10,IF(L353&gt;=80,5,0))))</f>
        <v/>
      </c>
      <c r="O353" s="32" t="n">
        <v>60.36</v>
      </c>
      <c r="P353" s="32" t="n">
        <v>19.54</v>
      </c>
      <c r="Q353" s="32" t="n">
        <v>113.12</v>
      </c>
      <c r="R353" s="31" t="inlineStr">
        <is>
          <t>Earnings / Momentum Support</t>
        </is>
      </c>
      <c r="S353" s="31" t="inlineStr">
        <is>
          <t>Nifty Energy</t>
        </is>
      </c>
      <c r="T353" s="32" t="inlineStr"/>
      <c r="U353" s="32" t="inlineStr"/>
      <c r="V353" s="32" t="inlineStr"/>
      <c r="W353" s="32" t="inlineStr"/>
      <c r="X353" s="31" t="inlineStr">
        <is>
          <t>Cyclical in an Upturn</t>
        </is>
      </c>
      <c r="Y353" s="31">
        <f>IF(X353="Growing Industry",10,IF(X353="Cyclical in an Upturn",5,0))</f>
        <v/>
      </c>
      <c r="Z353" s="31" t="inlineStr">
        <is>
          <t>Oligopoly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Yes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Cyclical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Volatile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B2B</t>
        </is>
      </c>
      <c r="AO353" s="31">
        <f>IF(AN353="B2C",10,IF(AN353="B2B",5,0))</f>
        <v/>
      </c>
      <c r="AP353" s="31" t="inlineStr">
        <is>
          <t>No</t>
        </is>
      </c>
      <c r="AQ353" s="31">
        <f>IF(AP353="Yes",10,0)</f>
        <v/>
      </c>
      <c r="AR353" s="31" t="inlineStr">
        <is>
          <t>Higher One Time, Lower Annuity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2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Less than 12%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Less than 0.7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IF(B354=0,"",RANK(B354,$B$2:$B$371,0))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STYLEBAAZA</t>
        </is>
      </c>
      <c r="D354" s="31" t="inlineStr">
        <is>
          <t>Baazar Style Retail Ltd</t>
        </is>
      </c>
      <c r="E354" s="31" t="inlineStr">
        <is>
          <t>consumer discretionary</t>
        </is>
      </c>
      <c r="F354" s="31" t="inlineStr">
        <is>
          <t>trading</t>
        </is>
      </c>
      <c r="G354" s="31" t="inlineStr">
        <is>
          <t>smallcap</t>
        </is>
      </c>
      <c r="H354" s="32" t="n">
        <v>2648.12</v>
      </c>
      <c r="I354" s="32" t="n">
        <v>365.25</v>
      </c>
      <c r="J354" s="32" t="n">
        <v>4.99</v>
      </c>
      <c r="K354" s="32" t="n">
        <v>2040177</v>
      </c>
      <c r="L354" s="31" t="n">
        <v>14</v>
      </c>
      <c r="M354" s="31" t="inlineStr">
        <is>
          <t>Outperforming</t>
        </is>
      </c>
      <c r="N354" s="32">
        <f>IF(M354="Underperforming",-5,IF(L354&gt;=95,15,IF(L354&gt;=90,10,IF(L354&gt;=80,5,0))))</f>
        <v/>
      </c>
      <c r="O354" s="32" t="n">
        <v>56.96</v>
      </c>
      <c r="P354" s="32" t="n">
        <v>11.96</v>
      </c>
      <c r="Q354" s="32" t="n">
        <v>265.21</v>
      </c>
      <c r="R354" s="31" t="inlineStr">
        <is>
          <t>Volume Spike / Accumulation</t>
        </is>
      </c>
      <c r="S354" s="31" t="inlineStr">
        <is>
          <t>Nifty 50</t>
        </is>
      </c>
      <c r="T354" s="32" t="n">
        <v>-1.08</v>
      </c>
      <c r="U354" s="32" t="n">
        <v>16.43</v>
      </c>
      <c r="V354" s="32" t="n">
        <v>17.7</v>
      </c>
      <c r="W354" s="32" t="n">
        <v>2.13</v>
      </c>
      <c r="X354" s="31" t="inlineStr">
        <is>
          <t>Growing Industry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Structural (10 Years Consistency)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Stable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1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More than 20%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Yes</t>
        </is>
      </c>
      <c r="BS354" s="31">
        <f>IF(BR354="NO",5,0)</f>
        <v/>
      </c>
      <c r="BT354" s="31" t="inlineStr">
        <is>
          <t>Between 1.5 to 2</t>
        </is>
      </c>
      <c r="BU354" s="31">
        <f>IF(BT354="Above 2",0,IF(BT354="Between 1.5 to 2",5,IF(BT354="Less than 1.5",10,0)))</f>
        <v/>
      </c>
      <c r="BV354" s="31" t="inlineStr">
        <is>
          <t>Less than 50% and Borrowings are increasing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More than 1.2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IF(B355=0,"",RANK(B355,$B$2:$B$371,0))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SARDAEN</t>
        </is>
      </c>
      <c r="D355" s="31" t="inlineStr">
        <is>
          <t>Sarda Energy &amp; Minerals Limited</t>
        </is>
      </c>
      <c r="E355" s="31" t="inlineStr">
        <is>
          <t>metals &amp; mining</t>
        </is>
      </c>
      <c r="F355" s="31" t="inlineStr">
        <is>
          <t>steel - medium / small</t>
        </is>
      </c>
      <c r="G355" s="31" t="inlineStr">
        <is>
          <t>midcap</t>
        </is>
      </c>
      <c r="H355" s="32" t="n">
        <v>18440.11</v>
      </c>
      <c r="I355" s="32" t="n">
        <v>531.15</v>
      </c>
      <c r="J355" s="32" t="n">
        <v>1.5</v>
      </c>
      <c r="K355" s="32" t="n">
        <v>1572146</v>
      </c>
      <c r="L355" s="31" t="inlineStr"/>
      <c r="M355" s="31" t="inlineStr"/>
      <c r="N355" s="32">
        <f>IF(M355="Underperforming",-5,IF(L355&gt;=95,15,IF(L355&gt;=90,10,IF(L355&gt;=80,5,0))))</f>
        <v/>
      </c>
      <c r="O355" s="32" t="n">
        <v>52.06</v>
      </c>
      <c r="P355" s="32" t="n">
        <v>6.89</v>
      </c>
      <c r="Q355" s="32" t="n">
        <v>452.42</v>
      </c>
      <c r="R355" s="31" t="inlineStr">
        <is>
          <t>Volume Spike / Accumulation</t>
        </is>
      </c>
      <c r="S355" s="31" t="inlineStr">
        <is>
          <t>Nifty Metal</t>
        </is>
      </c>
      <c r="T355" s="32" t="inlineStr"/>
      <c r="U355" s="32" t="inlineStr"/>
      <c r="V355" s="32" t="inlineStr"/>
      <c r="W355" s="32" t="inlineStr"/>
      <c r="X355" s="31" t="inlineStr">
        <is>
          <t>Cyclical in an Upturn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Cyclical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Volatile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Yes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0 to 20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Positive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Less than 12%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Above 2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IF(B356=0,"",RANK(B356,$B$2:$B$371,0))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3" t="inlineStr">
        <is>
          <t>COROMANDEL</t>
        </is>
      </c>
      <c r="D356" s="33" t="inlineStr">
        <is>
          <t>Coromandel International Limited</t>
        </is>
      </c>
      <c r="E356" s="31" t="inlineStr">
        <is>
          <t>chemicals</t>
        </is>
      </c>
      <c r="F356" s="31" t="inlineStr">
        <is>
          <t>fertilizers</t>
        </is>
      </c>
      <c r="G356" s="31" t="inlineStr">
        <is>
          <t>largecap</t>
        </is>
      </c>
      <c r="H356" s="32" t="n">
        <v>61623.03</v>
      </c>
      <c r="I356" s="32" t="n">
        <v>2095.3</v>
      </c>
      <c r="J356" s="32" t="n">
        <v>0.31</v>
      </c>
      <c r="K356" s="32" t="n">
        <v>85771</v>
      </c>
      <c r="L356" s="31" t="n">
        <v>10</v>
      </c>
      <c r="M356" s="31" t="inlineStr">
        <is>
          <t>Underperforming</t>
        </is>
      </c>
      <c r="N356" s="32">
        <f>IF(M356="Underperforming",-5,IF(L356&gt;=95,15,IF(L356&gt;=90,10,IF(L356&gt;=80,5,0))))</f>
        <v/>
      </c>
      <c r="O356" s="32" t="n">
        <v>54.24</v>
      </c>
      <c r="P356" s="32" t="n">
        <v>10.92</v>
      </c>
      <c r="Q356" s="32" t="n">
        <v>1706.73</v>
      </c>
      <c r="R356" s="31" t="inlineStr">
        <is>
          <t>Earnings / Momentum Support</t>
        </is>
      </c>
      <c r="S356" s="31" t="inlineStr">
        <is>
          <t>Nifty 50</t>
        </is>
      </c>
      <c r="T356" s="32" t="n">
        <v>-1.08</v>
      </c>
      <c r="U356" s="32" t="n">
        <v>-10.52</v>
      </c>
      <c r="V356" s="32" t="n">
        <v>-9.550000000000001</v>
      </c>
      <c r="W356" s="32" t="n">
        <v>0.83</v>
      </c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Headwind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1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Less than 12%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No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Less than 0.7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IF(B357=0,"",RANK(B357,$B$2:$B$371,0))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LT</t>
        </is>
      </c>
      <c r="D357" s="31" t="inlineStr">
        <is>
          <t>Larsen &amp; Toubro Limited</t>
        </is>
      </c>
      <c r="E357" s="31" t="inlineStr">
        <is>
          <t>realty</t>
        </is>
      </c>
      <c r="F357" s="31" t="inlineStr">
        <is>
          <t>engineering - turnkey services</t>
        </is>
      </c>
      <c r="G357" s="31" t="inlineStr">
        <is>
          <t>largecap</t>
        </is>
      </c>
      <c r="H357" s="32" t="n">
        <v>560018.08</v>
      </c>
      <c r="I357" s="32" t="n">
        <v>4057</v>
      </c>
      <c r="J357" s="32" t="n">
        <v>-0.34</v>
      </c>
      <c r="K357" s="32" t="n">
        <v>1820835</v>
      </c>
      <c r="L357" s="31" t="inlineStr"/>
      <c r="M357" s="31" t="inlineStr"/>
      <c r="N357" s="32">
        <f>IF(M357="Underperforming",-5,IF(L357&gt;=95,15,IF(L357&gt;=90,10,IF(L357&gt;=80,5,0))))</f>
        <v/>
      </c>
      <c r="O357" s="32" t="n">
        <v>54.23</v>
      </c>
      <c r="P357" s="32" t="n">
        <v>7.16</v>
      </c>
      <c r="Q357" s="32" t="n">
        <v>3644.77</v>
      </c>
      <c r="R357" s="31" t="inlineStr">
        <is>
          <t>Earnings / Momentum Support</t>
        </is>
      </c>
      <c r="S357" s="31" t="inlineStr">
        <is>
          <t>Nifty Realty</t>
        </is>
      </c>
      <c r="T357" s="32" t="inlineStr"/>
      <c r="U357" s="32" t="inlineStr"/>
      <c r="V357" s="32" t="inlineStr"/>
      <c r="W357" s="32" t="inlineStr"/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1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Between 12 to 20%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Above 2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Between 0.7 to 1.2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IF(B358=0,"",RANK(B358,$B$2:$B$371,0))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1" t="inlineStr">
        <is>
          <t>DWARKESH</t>
        </is>
      </c>
      <c r="D358" s="31" t="inlineStr">
        <is>
          <t>Dwarikesh Sugar Industries Limited</t>
        </is>
      </c>
      <c r="E358" s="31" t="inlineStr">
        <is>
          <t>fmcg</t>
        </is>
      </c>
      <c r="F358" s="31" t="inlineStr">
        <is>
          <t>sugar</t>
        </is>
      </c>
      <c r="G358" s="31" t="inlineStr">
        <is>
          <t>smallcap</t>
        </is>
      </c>
      <c r="H358" s="32" t="n">
        <v>793.46</v>
      </c>
      <c r="I358" s="32" t="n">
        <v>42.95</v>
      </c>
      <c r="J358" s="32" t="n">
        <v>0.3</v>
      </c>
      <c r="K358" s="32" t="n">
        <v>1215137</v>
      </c>
      <c r="L358" s="31" t="inlineStr"/>
      <c r="M358" s="31" t="inlineStr"/>
      <c r="N358" s="32">
        <f>IF(M358="Underperforming",-5,IF(L358&gt;=95,15,IF(L358&gt;=90,10,IF(L358&gt;=80,5,0))))</f>
        <v/>
      </c>
      <c r="O358" s="32" t="n">
        <v>51.47</v>
      </c>
      <c r="P358" s="32" t="n">
        <v>10.05</v>
      </c>
      <c r="Q358" s="32" t="n">
        <v>32.17</v>
      </c>
      <c r="R358" s="31" t="inlineStr">
        <is>
          <t>Earnings / Momentum Support</t>
        </is>
      </c>
      <c r="S358" s="31" t="inlineStr">
        <is>
          <t>Nifty FMCG</t>
        </is>
      </c>
      <c r="T358" s="32" t="inlineStr"/>
      <c r="U358" s="32" t="inlineStr"/>
      <c r="V358" s="32" t="inlineStr"/>
      <c r="W358" s="32" t="inlineStr"/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B2C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Annuity, Lower One Time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1</t>
        </is>
      </c>
      <c r="BC358" s="31">
        <f>IF(BB358="Stage 2",20,IF(BB358="Stage 1",0,IF(BB358="Stage 3",5,IF(BB358="Stage 4",-5,0))))</f>
        <v/>
      </c>
      <c r="BD358" s="31" t="inlineStr">
        <is>
          <t>Negative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IF(B359=0,"",RANK(B359,$B$2:$B$371,0))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PETRONET</t>
        </is>
      </c>
      <c r="D359" s="31" t="inlineStr">
        <is>
          <t>Petronet Lng Limited</t>
        </is>
      </c>
      <c r="E359" s="31" t="inlineStr">
        <is>
          <t>energy</t>
        </is>
      </c>
      <c r="F359" s="31" t="inlineStr">
        <is>
          <t>miscellaneous</t>
        </is>
      </c>
      <c r="G359" s="31" t="inlineStr">
        <is>
          <t>largecap</t>
        </is>
      </c>
      <c r="H359" s="32" t="n">
        <v>41895</v>
      </c>
      <c r="I359" s="32" t="n">
        <v>282.6</v>
      </c>
      <c r="J359" s="32" t="n">
        <v>1.18</v>
      </c>
      <c r="K359" s="32" t="n">
        <v>9325642</v>
      </c>
      <c r="L359" s="31" t="inlineStr"/>
      <c r="M359" s="31" t="inlineStr"/>
      <c r="N359" s="32">
        <f>IF(M359="Underperforming",-5,IF(L359&gt;=95,15,IF(L359&gt;=90,10,IF(L359&gt;=80,5,0))))</f>
        <v/>
      </c>
      <c r="O359" s="32" t="n">
        <v>53.82</v>
      </c>
      <c r="P359" s="32" t="n">
        <v>4.98</v>
      </c>
      <c r="Q359" s="32" t="n">
        <v>243.95</v>
      </c>
      <c r="R359" s="31" t="inlineStr">
        <is>
          <t>Earnings / Momentum Support</t>
        </is>
      </c>
      <c r="S359" s="31" t="inlineStr">
        <is>
          <t>Nifty Energy</t>
        </is>
      </c>
      <c r="T359" s="32" t="inlineStr"/>
      <c r="U359" s="32" t="inlineStr"/>
      <c r="V359" s="32" t="inlineStr"/>
      <c r="W359" s="32" t="inlineStr"/>
      <c r="X359" s="31" t="inlineStr">
        <is>
          <t>Cyclical in an Upturn</t>
        </is>
      </c>
      <c r="Y359" s="31">
        <f>IF(X359="Growing Industry",10,IF(X359="Cyclical in an Upturn",5,0))</f>
        <v/>
      </c>
      <c r="Z359" s="31" t="inlineStr">
        <is>
          <t>Oligopoly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Yes</t>
        </is>
      </c>
      <c r="AC359" s="31">
        <f>IF(AB359="No",5,0)</f>
        <v/>
      </c>
      <c r="AD359" s="31" t="inlineStr">
        <is>
          <t>Headwind</t>
        </is>
      </c>
      <c r="AE359" s="31">
        <f>IF(AD359="Tailwind",10,0)</f>
        <v/>
      </c>
      <c r="AF359" s="31" t="inlineStr">
        <is>
          <t>Cyclical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1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Less than 1.5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Less than 0.7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IF(B360=0,"",RANK(B360,$B$2:$B$371,0))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GRAVITA</t>
        </is>
      </c>
      <c r="D360" s="31" t="inlineStr">
        <is>
          <t>Gravita India Limited</t>
        </is>
      </c>
      <c r="E360" s="31" t="inlineStr">
        <is>
          <t>metals &amp; mining</t>
        </is>
      </c>
      <c r="F360" s="31" t="inlineStr">
        <is>
          <t>mining / minerals / metals</t>
        </is>
      </c>
      <c r="G360" s="31" t="inlineStr">
        <is>
          <t>midcap</t>
        </is>
      </c>
      <c r="H360" s="32" t="n">
        <v>13430.92</v>
      </c>
      <c r="I360" s="32" t="n">
        <v>1794.3</v>
      </c>
      <c r="J360" s="32" t="n">
        <v>-1.4</v>
      </c>
      <c r="K360" s="32" t="n">
        <v>111630</v>
      </c>
      <c r="L360" s="31" t="inlineStr"/>
      <c r="M360" s="31" t="inlineStr"/>
      <c r="N360" s="32">
        <f>IF(M360="Underperforming",-5,IF(L360&gt;=95,15,IF(L360&gt;=90,10,IF(L360&gt;=80,5,0))))</f>
        <v/>
      </c>
      <c r="O360" s="32" t="n">
        <v>55.66</v>
      </c>
      <c r="P360" s="32" t="n">
        <v>15.33</v>
      </c>
      <c r="Q360" s="32" t="n">
        <v>1441.29</v>
      </c>
      <c r="R360" s="31" t="inlineStr">
        <is>
          <t>Near 52W High Breakout</t>
        </is>
      </c>
      <c r="S360" s="31" t="inlineStr">
        <is>
          <t>Nifty Metal</t>
        </is>
      </c>
      <c r="T360" s="32" t="inlineStr"/>
      <c r="U360" s="32" t="inlineStr"/>
      <c r="V360" s="32" t="inlineStr"/>
      <c r="W360" s="32" t="inlineStr"/>
      <c r="X360" s="31" t="inlineStr">
        <is>
          <t>Cyclical in an Upturn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Cyclical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Volatile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Yes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2</t>
        </is>
      </c>
      <c r="BC360" s="31">
        <f>IF(BB360="Stage 2",20,IF(BB360="Stage 1",0,IF(BB360="Stage 3",5,IF(BB360="Stage 4",-5,0))))</f>
        <v/>
      </c>
      <c r="BD360" s="31" t="inlineStr">
        <is>
          <t>Negative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Between 12 to 20%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No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IF(B361=0,"",RANK(B361,$B$2:$B$371,0))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OIL</t>
        </is>
      </c>
      <c r="D361" s="31" t="inlineStr">
        <is>
          <t>Oil India Limited</t>
        </is>
      </c>
      <c r="E361" s="31" t="inlineStr">
        <is>
          <t>energy</t>
        </is>
      </c>
      <c r="F361" s="31" t="inlineStr">
        <is>
          <t>oil drilling / allied services</t>
        </is>
      </c>
      <c r="G361" s="31" t="inlineStr">
        <is>
          <t>largecap</t>
        </is>
      </c>
      <c r="H361" s="32" t="n">
        <v>78044.64</v>
      </c>
      <c r="I361" s="32" t="n">
        <v>468.5</v>
      </c>
      <c r="J361" s="32" t="n">
        <v>-2.36</v>
      </c>
      <c r="K361" s="32" t="n">
        <v>3919052</v>
      </c>
      <c r="L361" s="31" t="inlineStr"/>
      <c r="M361" s="31" t="inlineStr"/>
      <c r="N361" s="32">
        <f>IF(M361="Underperforming",-5,IF(L361&gt;=95,15,IF(L361&gt;=90,10,IF(L361&gt;=80,5,0))))</f>
        <v/>
      </c>
      <c r="O361" s="32" t="n">
        <v>54.12</v>
      </c>
      <c r="P361" s="32" t="n">
        <v>16.55</v>
      </c>
      <c r="Q361" s="32" t="n">
        <v>428.12</v>
      </c>
      <c r="R361" s="31" t="inlineStr">
        <is>
          <t>Earnings / Momentum Support</t>
        </is>
      </c>
      <c r="S361" s="31" t="inlineStr">
        <is>
          <t>Nifty Energy</t>
        </is>
      </c>
      <c r="T361" s="32" t="inlineStr"/>
      <c r="U361" s="32" t="inlineStr"/>
      <c r="V361" s="32" t="inlineStr"/>
      <c r="W361" s="32" t="inlineStr"/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Oligopoly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Yes</t>
        </is>
      </c>
      <c r="AC361" s="31">
        <f>IF(AB361="No",5,0)</f>
        <v/>
      </c>
      <c r="AD361" s="31" t="inlineStr">
        <is>
          <t>Headwind</t>
        </is>
      </c>
      <c r="AE361" s="31">
        <f>IF(AD361="Tailwind",10,0)</f>
        <v/>
      </c>
      <c r="AF361" s="31" t="inlineStr">
        <is>
          <t>Cyclical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0 to 20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1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No</t>
        </is>
      </c>
      <c r="BS361" s="31">
        <f>IF(BR361="NO",5,0)</f>
        <v/>
      </c>
      <c r="BT361" s="31" t="inlineStr">
        <is>
          <t>Less than 1.5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Less than 0.7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IF(B362=0,"",RANK(B362,$B$2:$B$371,0))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MAXESTATES</t>
        </is>
      </c>
      <c r="D362" s="31" t="inlineStr">
        <is>
          <t>Max Estates Ltd</t>
        </is>
      </c>
      <c r="E362" s="31" t="inlineStr">
        <is>
          <t>realty</t>
        </is>
      </c>
      <c r="F362" s="31" t="inlineStr">
        <is>
          <t>construction</t>
        </is>
      </c>
      <c r="G362" s="31" t="inlineStr">
        <is>
          <t>midcap</t>
        </is>
      </c>
      <c r="H362" s="32" t="n">
        <v>7186.52</v>
      </c>
      <c r="I362" s="32" t="n">
        <v>442</v>
      </c>
      <c r="J362" s="32" t="n">
        <v>0.5600000000000001</v>
      </c>
      <c r="K362" s="32" t="n">
        <v>95881</v>
      </c>
      <c r="L362" s="31" t="inlineStr"/>
      <c r="M362" s="31" t="inlineStr"/>
      <c r="N362" s="32">
        <f>IF(M362="Underperforming",-5,IF(L362&gt;=95,15,IF(L362&gt;=90,10,IF(L362&gt;=80,5,0))))</f>
        <v/>
      </c>
      <c r="O362" s="32" t="n">
        <v>55.7</v>
      </c>
      <c r="P362" s="32" t="n">
        <v>16.89</v>
      </c>
      <c r="Q362" s="32" t="n">
        <v>343.27</v>
      </c>
      <c r="R362" s="31" t="inlineStr">
        <is>
          <t>Earnings / Momentum Support</t>
        </is>
      </c>
      <c r="S362" s="31" t="inlineStr">
        <is>
          <t>Nifty Realty</t>
        </is>
      </c>
      <c r="T362" s="32" t="inlineStr"/>
      <c r="U362" s="32" t="inlineStr"/>
      <c r="V362" s="32" t="inlineStr"/>
      <c r="W362" s="32" t="inlineStr"/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Tailwind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1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More than 20%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Yes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Negative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Between 0.7 to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IF(B363=0,"",RANK(B363,$B$2:$B$371,0))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BEL</t>
        </is>
      </c>
      <c r="D363" s="31" t="inlineStr">
        <is>
          <t>Bharat Electronics Limited</t>
        </is>
      </c>
      <c r="E363" s="31" t="inlineStr">
        <is>
          <t>aerospace &amp; defence</t>
        </is>
      </c>
      <c r="F363" s="31" t="inlineStr">
        <is>
          <t>electronics - components</t>
        </is>
      </c>
      <c r="G363" s="31" t="inlineStr">
        <is>
          <t>largecap</t>
        </is>
      </c>
      <c r="H363" s="32" t="n">
        <v>300066.42</v>
      </c>
      <c r="I363" s="32" t="n">
        <v>410.8</v>
      </c>
      <c r="J363" s="32" t="n">
        <v>0.07000000000000001</v>
      </c>
      <c r="K363" s="32" t="n">
        <v>14427445</v>
      </c>
      <c r="L363" s="31" t="n">
        <v>11</v>
      </c>
      <c r="M363" s="31" t="inlineStr">
        <is>
          <t>Outperforming</t>
        </is>
      </c>
      <c r="N363" s="32">
        <f>IF(M363="Underperforming",-5,IF(L363&gt;=95,15,IF(L363&gt;=90,10,IF(L363&gt;=80,5,0))))</f>
        <v/>
      </c>
      <c r="O363" s="32" t="n">
        <v>49.02</v>
      </c>
      <c r="P363" s="32" t="n">
        <v>7.89</v>
      </c>
      <c r="Q363" s="32" t="n">
        <v>363.74</v>
      </c>
      <c r="R363" s="31" t="inlineStr">
        <is>
          <t>Earnings / Momentum Support</t>
        </is>
      </c>
      <c r="S363" s="31" t="inlineStr">
        <is>
          <t>Nifty 50</t>
        </is>
      </c>
      <c r="T363" s="32" t="n">
        <v>-1.08</v>
      </c>
      <c r="U363" s="32" t="n">
        <v>7.33</v>
      </c>
      <c r="V363" s="32" t="n">
        <v>8.5</v>
      </c>
      <c r="W363" s="32" t="n">
        <v>0.96</v>
      </c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Headwind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Below 45</t>
        </is>
      </c>
      <c r="BA363" s="31">
        <f>IF(AZ363="Between 50 to 75",10,IF(AZ363="Above 75",0,0))</f>
        <v/>
      </c>
      <c r="BB363" s="31" t="inlineStr">
        <is>
          <t>Stage 4</t>
        </is>
      </c>
      <c r="BC363" s="31">
        <f>IF(BB363="Stage 2",20,IF(BB363="Stage 1",0,IF(BB363="Stage 3",5,IF(BB363="Stage 4",-5,0))))</f>
        <v/>
      </c>
      <c r="BD363" s="31" t="inlineStr">
        <is>
          <t>Positive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Yes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IF(B364=0,"",RANK(B364,$B$2:$B$371,0))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GNFC</t>
        </is>
      </c>
      <c r="D364" s="31" t="inlineStr">
        <is>
          <t>Gujarat Narmada Valley Fertilizers And Chemicals Limited</t>
        </is>
      </c>
      <c r="E364" s="31" t="inlineStr">
        <is>
          <t>chemicals</t>
        </is>
      </c>
      <c r="F364" s="31" t="inlineStr">
        <is>
          <t>chemicals</t>
        </is>
      </c>
      <c r="G364" s="31" t="inlineStr">
        <is>
          <t>midcap</t>
        </is>
      </c>
      <c r="H364" s="32" t="n">
        <v>8087.62</v>
      </c>
      <c r="I364" s="32" t="n">
        <v>568.95</v>
      </c>
      <c r="J364" s="32" t="n">
        <v>3.37</v>
      </c>
      <c r="K364" s="32" t="n">
        <v>908144</v>
      </c>
      <c r="L364" s="31" t="n">
        <v>27</v>
      </c>
      <c r="M364" s="31" t="inlineStr">
        <is>
          <t>Outperforming</t>
        </is>
      </c>
      <c r="N364" s="32">
        <f>IF(M364="Underperforming",-5,IF(L364&gt;=95,15,IF(L364&gt;=90,10,IF(L364&gt;=80,5,0))))</f>
        <v/>
      </c>
      <c r="O364" s="32" t="n">
        <v>65.28</v>
      </c>
      <c r="P364" s="32" t="n">
        <v>32.66</v>
      </c>
      <c r="Q364" s="32" t="n">
        <v>460.08</v>
      </c>
      <c r="R364" s="31" t="inlineStr">
        <is>
          <t>Near 52W High Breakout</t>
        </is>
      </c>
      <c r="S364" s="31" t="inlineStr">
        <is>
          <t>Nifty 50</t>
        </is>
      </c>
      <c r="T364" s="32" t="n">
        <v>-1.08</v>
      </c>
      <c r="U364" s="32" t="n">
        <v>17.36</v>
      </c>
      <c r="V364" s="32" t="n">
        <v>18.64</v>
      </c>
      <c r="W364" s="32" t="n">
        <v>5.6</v>
      </c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Oligopoly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Tailwind</t>
        </is>
      </c>
      <c r="AE364" s="31">
        <f>IF(AD364="Tailwind",10,0)</f>
        <v/>
      </c>
      <c r="AF364" s="31" t="inlineStr">
        <is>
          <t>Shallow Cyclical (2 to 3 Years Growth)</t>
        </is>
      </c>
      <c r="AG364" s="31">
        <f>IF(AF364="Structural (10 Years Consistency)",10,IF(AF364="Shallow Cyclical (2 to 3 years growth)",5,0))</f>
        <v/>
      </c>
      <c r="AH364" s="31" t="inlineStr">
        <is>
          <t>Yes due to Product Mix change or Operating Leverage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Volatile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Yes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Allocated capital in Non-core Areas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Above 40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3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Sideways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Overhead supply in last 2 years in last 2 years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Yes</t>
        </is>
      </c>
      <c r="BM364" s="31">
        <f>IF(BL364="Yes",10,0)</f>
        <v/>
      </c>
      <c r="BN364" s="31" t="inlineStr">
        <is>
          <t>More than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Less than 1.5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More than 15%</t>
        </is>
      </c>
      <c r="CC364" s="31">
        <f>IF(CB364="More than 15%",-10,IF(CB364="Less than 15%",10,0))</f>
        <v/>
      </c>
      <c r="CD364" s="31" t="inlineStr">
        <is>
          <t>Yes Upto 10%</t>
        </is>
      </c>
      <c r="CE364" s="31">
        <f>IF(CD364="Yes, more than 10%",-10,IF(CD364="No",10,0))</f>
        <v/>
      </c>
    </row>
    <row r="365">
      <c r="A365" s="31">
        <f>IF(B365=0,"",RANK(B365,$B$2:$B$371,0))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GAEL</t>
        </is>
      </c>
      <c r="D365" s="31" t="inlineStr">
        <is>
          <t>Gujarat Ambuja Exports Limited</t>
        </is>
      </c>
      <c r="E365" s="31" t="inlineStr">
        <is>
          <t>fmcg</t>
        </is>
      </c>
      <c r="F365" s="31" t="inlineStr">
        <is>
          <t>miscellaneous</t>
        </is>
      </c>
      <c r="G365" s="31" t="inlineStr">
        <is>
          <t>midcap</t>
        </is>
      </c>
      <c r="H365" s="32" t="n">
        <v>7805.66</v>
      </c>
      <c r="I365" s="32" t="n">
        <v>172.81</v>
      </c>
      <c r="J365" s="32" t="n">
        <v>1.55</v>
      </c>
      <c r="K365" s="32" t="n">
        <v>1307854</v>
      </c>
      <c r="L365" s="31" t="inlineStr"/>
      <c r="M365" s="31" t="inlineStr"/>
      <c r="N365" s="32">
        <f>IF(M365="Underperforming",-5,IF(L365&gt;=95,15,IF(L365&gt;=90,10,IF(L365&gt;=80,5,0))))</f>
        <v/>
      </c>
      <c r="O365" s="32" t="n">
        <v>63.34</v>
      </c>
      <c r="P365" s="32" t="n">
        <v>36.54</v>
      </c>
      <c r="Q365" s="32" t="n">
        <v>136.12</v>
      </c>
      <c r="R365" s="31" t="inlineStr">
        <is>
          <t>Near 52W High Breakout</t>
        </is>
      </c>
      <c r="S365" s="31" t="inlineStr">
        <is>
          <t>Nifty FMCG</t>
        </is>
      </c>
      <c r="T365" s="32" t="inlineStr"/>
      <c r="U365" s="32" t="inlineStr"/>
      <c r="V365" s="32" t="inlineStr"/>
      <c r="W365" s="32" t="inlineStr"/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Oligopoly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Shallow Cyclical (2 to 3 Years Growth)</t>
        </is>
      </c>
      <c r="AG365" s="31">
        <f>IF(AF365="Structural (10 Years Consistency)",10,IF(AF365="Shallow Cyclical (2 to 3 years growth)",5,0))</f>
        <v/>
      </c>
      <c r="AH365" s="31" t="inlineStr">
        <is>
          <t>Yes due to Product Mix change or Operating Leverage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Volatile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Yes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Allocated capital in Non-core Areas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Above 40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Sideways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Overhead supply in last 2 years in last 2 years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Less than 1.5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More than 15%</t>
        </is>
      </c>
      <c r="CC365" s="31">
        <f>IF(CB365="More than 15%",-10,IF(CB365="Less than 15%",10,0))</f>
        <v/>
      </c>
      <c r="CD365" s="31" t="inlineStr">
        <is>
          <t>Yes Upto 10%</t>
        </is>
      </c>
      <c r="CE365" s="31">
        <f>IF(CD365="Yes, more than 10%",-10,IF(CD365="No",10,0))</f>
        <v/>
      </c>
    </row>
    <row r="366">
      <c r="A366" s="31">
        <f>IF(B366=0,"",RANK(B366,$B$2:$B$371,0))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JSL</t>
        </is>
      </c>
      <c r="D366" s="31" t="inlineStr">
        <is>
          <t>Jindal Stainless Limited</t>
        </is>
      </c>
      <c r="E366" s="31" t="inlineStr">
        <is>
          <t>metals &amp; mining</t>
        </is>
      </c>
      <c r="F366" s="31" t="inlineStr">
        <is>
          <t>steel - large</t>
        </is>
      </c>
      <c r="G366" s="31" t="inlineStr">
        <is>
          <t>largecap</t>
        </is>
      </c>
      <c r="H366" s="32" t="n">
        <v>60627.82</v>
      </c>
      <c r="I366" s="32" t="n">
        <v>739.45</v>
      </c>
      <c r="J366" s="32" t="n">
        <v>0.55</v>
      </c>
      <c r="K366" s="32" t="n">
        <v>273090</v>
      </c>
      <c r="L366" s="31" t="inlineStr"/>
      <c r="M366" s="31" t="inlineStr"/>
      <c r="N366" s="32">
        <f>IF(M366="Underperforming",-5,IF(L366&gt;=95,15,IF(L366&gt;=90,10,IF(L366&gt;=80,5,0))))</f>
        <v/>
      </c>
      <c r="O366" s="32" t="n">
        <v>51.49</v>
      </c>
      <c r="P366" s="32" t="n">
        <v>10.75</v>
      </c>
      <c r="Q366" s="32" t="n">
        <v>622.61</v>
      </c>
      <c r="R366" s="31" t="inlineStr">
        <is>
          <t>Earnings / Momentum Support</t>
        </is>
      </c>
      <c r="S366" s="31" t="inlineStr">
        <is>
          <t>Nifty Metal</t>
        </is>
      </c>
      <c r="T366" s="32" t="inlineStr"/>
      <c r="U366" s="32" t="inlineStr"/>
      <c r="V366" s="32" t="inlineStr"/>
      <c r="W366" s="32" t="inlineStr"/>
      <c r="X366" s="31" t="inlineStr">
        <is>
          <t>Cyclical in an Upturn</t>
        </is>
      </c>
      <c r="Y366" s="31">
        <f>IF(X366="Growing Industry",10,IF(X366="Cyclical in an Upturn",5,0))</f>
        <v/>
      </c>
      <c r="Z366" s="31" t="inlineStr">
        <is>
          <t>Too Many Players with High ROCE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Headwind</t>
        </is>
      </c>
      <c r="AE366" s="31">
        <f>IF(AD366="Tailwind",10,0)</f>
        <v/>
      </c>
      <c r="AF366" s="31" t="inlineStr">
        <is>
          <t>Cyclical</t>
        </is>
      </c>
      <c r="AG366" s="31">
        <f>IF(AF366="Structural (10 Years Consistency)",10,IF(AF366="Shallow Cyclical (2 to 3 years growth)",5,0))</f>
        <v/>
      </c>
      <c r="AH366" s="31" t="inlineStr">
        <is>
          <t>No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Volatile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No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Good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0 to 20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1</t>
        </is>
      </c>
      <c r="BC366" s="31">
        <f>IF(BB366="Stage 2",20,IF(BB366="Stage 1",0,IF(BB366="Stage 3",5,IF(BB366="Stage 4",-5,0))))</f>
        <v/>
      </c>
      <c r="BD366" s="31" t="inlineStr">
        <is>
          <t>Positive Trend</t>
        </is>
      </c>
      <c r="BE366" s="31">
        <f>IF(BD366="Positive Trend",20,IF(BD366="Negative Trend",-10,0))</f>
        <v/>
      </c>
      <c r="BF366" s="31" t="inlineStr">
        <is>
          <t>Uptrend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Close to 52 week high or retracement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Less than 12%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No</t>
        </is>
      </c>
      <c r="BS366" s="31">
        <f>IF(BR366="NO",5,0)</f>
        <v/>
      </c>
      <c r="BT366" s="31" t="inlineStr">
        <is>
          <t>Above 2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Less than 15%</t>
        </is>
      </c>
      <c r="CC366" s="31">
        <f>IF(CB366="More than 15%",-10,IF(CB366="Less than 15%",10,0))</f>
        <v/>
      </c>
      <c r="CD366" s="31" t="inlineStr">
        <is>
          <t>No</t>
        </is>
      </c>
      <c r="CE366" s="31">
        <f>IF(CD366="Yes, more than 10%",-10,IF(CD366="No",10,0))</f>
        <v/>
      </c>
    </row>
    <row r="367">
      <c r="A367" s="31">
        <f>IF(B367=0,"",RANK(B367,$B$2:$B$371,0))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FLUOROCHEM</t>
        </is>
      </c>
      <c r="D367" s="31" t="inlineStr">
        <is>
          <t>Gujarat Fluorochemicals Ltd</t>
        </is>
      </c>
      <c r="E367" s="31" t="inlineStr">
        <is>
          <t>chemicals</t>
        </is>
      </c>
      <c r="F367" s="31" t="inlineStr">
        <is>
          <t>chemicals</t>
        </is>
      </c>
      <c r="G367" s="31" t="inlineStr">
        <is>
          <t>largecap</t>
        </is>
      </c>
      <c r="H367" s="32" t="n">
        <v>51790.98</v>
      </c>
      <c r="I367" s="32" t="n">
        <v>4737.8</v>
      </c>
      <c r="J367" s="32" t="n">
        <v>0.49</v>
      </c>
      <c r="K367" s="32" t="n">
        <v>476420</v>
      </c>
      <c r="L367" s="31" t="n">
        <v>57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72.8</v>
      </c>
      <c r="P367" s="32" t="n">
        <v>29.99</v>
      </c>
      <c r="Q367" s="32" t="n">
        <v>3885.52</v>
      </c>
      <c r="R367" s="31" t="inlineStr">
        <is>
          <t>Volume Spike &amp; Near 52W High Breakout</t>
        </is>
      </c>
      <c r="S367" s="31" t="inlineStr">
        <is>
          <t>Nifty 50</t>
        </is>
      </c>
      <c r="T367" s="32" t="n">
        <v>-1.08</v>
      </c>
      <c r="U367" s="32" t="n">
        <v>39.89</v>
      </c>
      <c r="V367" s="32" t="n">
        <v>41.42</v>
      </c>
      <c r="W367" s="32" t="n">
        <v>13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Oligopoly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Shallow Cyclical (2 to 3 Years Growth)</t>
        </is>
      </c>
      <c r="AG367" s="31">
        <f>IF(AF367="Structural (10 Years Consistency)",10,IF(AF367="Shallow Cyclical (2 to 3 years growth)",5,0))</f>
        <v/>
      </c>
      <c r="AH367" s="31" t="inlineStr">
        <is>
          <t>Yes due to Product Mix change or Operating Leverage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Volatile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Allocated capital in Non-core Areas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Above 40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Sideways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Overhead supply in last 2 years in last 2 years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Less than 1.5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More than 15%</t>
        </is>
      </c>
      <c r="CC367" s="31">
        <f>IF(CB367="More than 15%",-10,IF(CB367="Less than 15%",10,0))</f>
        <v/>
      </c>
      <c r="CD367" s="31" t="inlineStr">
        <is>
          <t>Yes Upto 10%</t>
        </is>
      </c>
      <c r="CE367" s="31">
        <f>IF(CD367="Yes, more than 10%",-10,IF(CD367="No",10,0))</f>
        <v/>
      </c>
    </row>
    <row r="368">
      <c r="A368" s="31">
        <f>IF(B368=0,"",RANK(B368,$B$2:$B$371,0))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GUJALKALI</t>
        </is>
      </c>
      <c r="D368" s="31" t="inlineStr">
        <is>
          <t>Gujarat Alkalies And Chemicals Limited</t>
        </is>
      </c>
      <c r="E368" s="31" t="inlineStr">
        <is>
          <t>chemicals</t>
        </is>
      </c>
      <c r="F368" s="31" t="inlineStr">
        <is>
          <t>chemicals</t>
        </is>
      </c>
      <c r="G368" s="31" t="inlineStr">
        <is>
          <t>midcap</t>
        </is>
      </c>
      <c r="H368" s="32" t="n">
        <v>5099.09</v>
      </c>
      <c r="I368" s="32" t="n">
        <v>696.35</v>
      </c>
      <c r="J368" s="32" t="n">
        <v>0.29</v>
      </c>
      <c r="K368" s="32" t="n">
        <v>62980</v>
      </c>
      <c r="L368" s="31" t="n">
        <v>33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61.12</v>
      </c>
      <c r="P368" s="32" t="n">
        <v>29.24</v>
      </c>
      <c r="Q368" s="32" t="n">
        <v>529.89</v>
      </c>
      <c r="R368" s="31" t="inlineStr">
        <is>
          <t>Earnings / Momentum Support</t>
        </is>
      </c>
      <c r="S368" s="31" t="inlineStr">
        <is>
          <t>Nifty IT</t>
        </is>
      </c>
      <c r="T368" s="32" t="n">
        <v>-9.98</v>
      </c>
      <c r="U368" s="32" t="n">
        <v>30.21</v>
      </c>
      <c r="V368" s="32" t="n">
        <v>44.64</v>
      </c>
      <c r="W368" s="32" t="n">
        <v>7.21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Oligopoly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Shallow Cyclical (2 to 3 Years Growth)</t>
        </is>
      </c>
      <c r="AG368" s="31">
        <f>IF(AF368="Structural (10 Years Consistency)",10,IF(AF368="Shallow Cyclical (2 to 3 years growth)",5,0))</f>
        <v/>
      </c>
      <c r="AH368" s="31" t="inlineStr">
        <is>
          <t>Yes due to Product Mix change or Operating Leverage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Allocated capital in Non-core Areas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Above 40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3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Sideways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Overhead supply in last 2 years in last 2 years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Less than 1.5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More than 15%</t>
        </is>
      </c>
      <c r="CC368" s="31">
        <f>IF(CB368="More than 15%",-10,IF(CB368="Less than 15%",10,0))</f>
        <v/>
      </c>
      <c r="CD368" s="31" t="inlineStr">
        <is>
          <t>Yes Upto 10%</t>
        </is>
      </c>
      <c r="CE368" s="31">
        <f>IF(CD368="Yes, more than 10%",-10,IF(CD368="No",10,0))</f>
        <v/>
      </c>
    </row>
    <row r="369">
      <c r="A369" s="31">
        <f>IF(B369=0,"",RANK(B369,$B$2:$B$371,0))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GIPCL</t>
        </is>
      </c>
      <c r="D369" s="31" t="inlineStr">
        <is>
          <t>Gujarat Industries Power Company Limited</t>
        </is>
      </c>
      <c r="E369" s="31" t="inlineStr">
        <is>
          <t>power &amp; utilities</t>
        </is>
      </c>
      <c r="F369" s="31" t="inlineStr">
        <is>
          <t>power generation and supply</t>
        </is>
      </c>
      <c r="G369" s="31" t="inlineStr">
        <is>
          <t>smallcap</t>
        </is>
      </c>
      <c r="H369" s="32" t="n">
        <v>2731.34</v>
      </c>
      <c r="I369" s="32" t="n">
        <v>175.77</v>
      </c>
      <c r="J369" s="32" t="n">
        <v>-0.11</v>
      </c>
      <c r="K369" s="32" t="n">
        <v>461050</v>
      </c>
      <c r="L369" s="31" t="n">
        <v>18</v>
      </c>
      <c r="M369" s="31" t="inlineStr">
        <is>
          <t>Outperforming</t>
        </is>
      </c>
      <c r="N369" s="32">
        <f>IF(M369="Underperforming",-5,IF(L369&gt;=95,15,IF(L369&gt;=90,10,IF(L369&gt;=80,5,0))))</f>
        <v/>
      </c>
      <c r="O369" s="32" t="n">
        <v>62</v>
      </c>
      <c r="P369" s="32" t="n">
        <v>11.82</v>
      </c>
      <c r="Q369" s="32" t="n">
        <v>141.03</v>
      </c>
      <c r="R369" s="31" t="inlineStr">
        <is>
          <t>Volume Spike / Accumulation</t>
        </is>
      </c>
      <c r="S369" s="31" t="inlineStr">
        <is>
          <t>Nifty IT</t>
        </is>
      </c>
      <c r="T369" s="32" t="n">
        <v>-9.98</v>
      </c>
      <c r="U369" s="32" t="n">
        <v>-3</v>
      </c>
      <c r="V369" s="32" t="n">
        <v>7.75</v>
      </c>
      <c r="W369" s="32" t="n">
        <v>4.1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Oligopoly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Tailwind</t>
        </is>
      </c>
      <c r="AE369" s="31">
        <f>IF(AD369="Tailwind",10,0)</f>
        <v/>
      </c>
      <c r="AF369" s="31" t="inlineStr">
        <is>
          <t>Shallow Cyclical (2 to 3 Years Growth)</t>
        </is>
      </c>
      <c r="AG369" s="31">
        <f>IF(AF369="Structural (10 Years Consistency)",10,IF(AF369="Shallow Cyclical (2 to 3 years growth)",5,0))</f>
        <v/>
      </c>
      <c r="AH369" s="31" t="inlineStr">
        <is>
          <t>Yes due to Product Mix change or Operating Leverage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Yes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Allocated capital in Non-core Areas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Above 40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3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Sideways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Overhead supply in last 2 years in last 2 years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Less than 1.5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More than 15%</t>
        </is>
      </c>
      <c r="CC369" s="31">
        <f>IF(CB369="More than 15%",-10,IF(CB369="Less than 15%",10,0))</f>
        <v/>
      </c>
      <c r="CD369" s="31" t="inlineStr">
        <is>
          <t>Yes Upto 10%</t>
        </is>
      </c>
      <c r="CE369" s="31">
        <f>IF(CD369="Yes, more than 10%",-10,IF(CD369="No",10,0))</f>
        <v/>
      </c>
    </row>
    <row r="370">
      <c r="A370" s="31">
        <f>IF(B370=0,"",RANK(B370,$B$2:$B$371,0))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POLICYBZR</t>
        </is>
      </c>
      <c r="D370" s="31" t="inlineStr">
        <is>
          <t>PB Fintech Ltd</t>
        </is>
      </c>
      <c r="E370" s="31" t="inlineStr">
        <is>
          <t>i.t</t>
        </is>
      </c>
      <c r="F370" s="31" t="inlineStr">
        <is>
          <t>miscellaneous</t>
        </is>
      </c>
      <c r="G370" s="31" t="inlineStr">
        <is>
          <t>largecap</t>
        </is>
      </c>
      <c r="H370" s="32" t="n">
        <v>80693.99000000001</v>
      </c>
      <c r="I370" s="32" t="n">
        <v>1741</v>
      </c>
      <c r="J370" s="32" t="n">
        <v>-0.17</v>
      </c>
      <c r="K370" s="32" t="n">
        <v>1485637</v>
      </c>
      <c r="L370" s="31" t="n">
        <v>6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58.51</v>
      </c>
      <c r="P370" s="32" t="n">
        <v>7.16</v>
      </c>
      <c r="Q370" s="32" t="n">
        <v>1443.65</v>
      </c>
      <c r="R370" s="31" t="inlineStr">
        <is>
          <t>Earnings / Momentum Support</t>
        </is>
      </c>
      <c r="S370" s="31" t="inlineStr">
        <is>
          <t>Nifty IT</t>
        </is>
      </c>
      <c r="T370" s="32" t="n">
        <v>-9.98</v>
      </c>
      <c r="U370" s="32" t="n">
        <v>-5.08</v>
      </c>
      <c r="V370" s="32" t="n">
        <v>5.44</v>
      </c>
      <c r="W370" s="32" t="n">
        <v>-0.11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Monopoly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Yes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Volatile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B2C</t>
        </is>
      </c>
      <c r="AO370" s="31">
        <f>IF(AN370="B2C",10,IF(AN370="B2B",5,0))</f>
        <v/>
      </c>
      <c r="AP370" s="31" t="inlineStr">
        <is>
          <t>Yes</t>
        </is>
      </c>
      <c r="AQ370" s="31">
        <f>IF(AP370="Yes",10,0)</f>
        <v/>
      </c>
      <c r="AR370" s="31" t="inlineStr">
        <is>
          <t>Fully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Allocated capital in Non-core Areas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20 to 40</t>
        </is>
      </c>
      <c r="AY370" s="31">
        <f>IF(AX370="Above 40",20,IF(AX370="20 to 40",10,IF(AX370="0 to 20",-5,0)))</f>
        <v/>
      </c>
      <c r="AZ370" s="31" t="inlineStr">
        <is>
          <t>Below 45</t>
        </is>
      </c>
      <c r="BA370" s="31">
        <f>IF(AZ370="Between 50 to 75",10,IF(AZ370="Above 75",0,0))</f>
        <v/>
      </c>
      <c r="BB370" s="31" t="inlineStr">
        <is>
          <t>Stage 1</t>
        </is>
      </c>
      <c r="BC370" s="31">
        <f>IF(BB370="Stage 2",20,IF(BB370="Stage 1",0,IF(BB370="Stage 3",5,IF(BB370="Stage 4",-5,0))))</f>
        <v/>
      </c>
      <c r="BD370" s="31" t="inlineStr">
        <is>
          <t>Positive Trend</t>
        </is>
      </c>
      <c r="BE370" s="31">
        <f>IF(BD370="Positive Trend",20,IF(BD370="Negative Trend",-10,0))</f>
        <v/>
      </c>
      <c r="BF370" s="31" t="inlineStr">
        <is>
          <t>Downtrend</t>
        </is>
      </c>
      <c r="BG370" s="31">
        <f>IF(BF370="Uptrend",10,IF(BF370="Sideways",5,0))</f>
        <v/>
      </c>
      <c r="BH370" s="31" t="inlineStr">
        <is>
          <t>Downtrend</t>
        </is>
      </c>
      <c r="BI370" s="31">
        <f>IF(BH370="Uptrend",10,IF(BH370="Sideways",5,0))</f>
        <v/>
      </c>
      <c r="BJ370" s="31" t="inlineStr">
        <is>
          <t>Overhead supply in last 2 years in last 2 years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Yes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IF(B371=0,"",RANK(B371,$B$2:$B$371,0))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1" t="inlineStr">
        <is>
          <t>ARTEMISMED</t>
        </is>
      </c>
      <c r="D371" s="31" t="inlineStr">
        <is>
          <t>Artemis Medicare Services Ltd</t>
        </is>
      </c>
      <c r="E371" s="31" t="inlineStr">
        <is>
          <t>healthcare</t>
        </is>
      </c>
      <c r="F371" s="31" t="inlineStr">
        <is>
          <t>healthcare</t>
        </is>
      </c>
      <c r="G371" s="31" t="inlineStr">
        <is>
          <t>midcap</t>
        </is>
      </c>
      <c r="H371" s="32" t="n">
        <v>5031.76</v>
      </c>
      <c r="I371" s="32" t="n">
        <v>314.2</v>
      </c>
      <c r="J371" s="32" t="n">
        <v>-1.15</v>
      </c>
      <c r="K371" s="32" t="n">
        <v>165255</v>
      </c>
      <c r="L371" s="31" t="inlineStr"/>
      <c r="M371" s="31" t="inlineStr"/>
      <c r="N371" s="32">
        <f>IF(M371="Underperforming",-5,IF(L371&gt;=95,15,IF(L371&gt;=90,10,IF(L371&gt;=80,5,0))))</f>
        <v/>
      </c>
      <c r="O371" s="32" t="inlineStr"/>
      <c r="P371" s="32" t="inlineStr"/>
      <c r="Q371" s="32" t="inlineStr"/>
      <c r="R371" s="31" t="inlineStr"/>
      <c r="S371" s="31" t="inlineStr"/>
      <c r="T371" s="32" t="inlineStr"/>
      <c r="U371" s="32" t="inlineStr"/>
      <c r="V371" s="32" t="inlineStr"/>
      <c r="W371" s="32" t="inlineStr"/>
      <c r="X371" s="31" t="n"/>
      <c r="Y371" s="31">
        <f>IF(X371="Growing Industry",10,IF(X371="Cyclical in an Upturn",5,0))</f>
        <v/>
      </c>
      <c r="Z371" s="31" t="n"/>
      <c r="AA371" s="31">
        <f>IF(Z371="Monopoly",10,IF(Z371="Oligopoly",5,IF(Z371="Duopoly that cooperate",10,IF(Z371="Duopoly that compete",5,IF(Z371="Too many players with High ROCE",5,0)))))</f>
        <v/>
      </c>
      <c r="AB371" s="31" t="n"/>
      <c r="AC371" s="31">
        <f>IF(AB371="No",5,0)</f>
        <v/>
      </c>
      <c r="AD371" s="31" t="n"/>
      <c r="AE371" s="31">
        <f>IF(AD371="Tailwind",10,0)</f>
        <v/>
      </c>
      <c r="AF371" s="31" t="n"/>
      <c r="AG371" s="31">
        <f>IF(AF371="Structural (10 Years Consistency)",10,IF(AF371="Shallow Cyclical (2 to 3 years growth)",5,0))</f>
        <v/>
      </c>
      <c r="AH371" s="31" t="n"/>
      <c r="AI371" s="31">
        <f>IF(AH371="Yes due to Product Mix change or Operating Leverage",10,IF(AH371="Yes, these are peak margins",-5,IF(AH371="No",5,0)))</f>
        <v/>
      </c>
      <c r="AJ371" s="31" t="n"/>
      <c r="AK371" s="31">
        <f>IF(AJ371="Stable",10,0)</f>
        <v/>
      </c>
      <c r="AL371" s="31" t="n"/>
      <c r="AM371" s="31">
        <f>IF(AL371="Yes",10,0)</f>
        <v/>
      </c>
      <c r="AN371" s="31" t="n"/>
      <c r="AO371" s="31">
        <f>IF(AN371="B2C",10,IF(AN371="B2B",5,0))</f>
        <v/>
      </c>
      <c r="AP371" s="31" t="n"/>
      <c r="AQ371" s="31">
        <f>IF(AP371="Yes",10,0)</f>
        <v/>
      </c>
      <c r="AR371" s="31" t="n"/>
      <c r="AS371" s="31">
        <f>IF(AR371="Fully Annuity",10,IF(AR371="Higher Annuity, Lower One Time",5,IF(AR371="Higher One Time, Lower Annuity",3,0)))</f>
        <v/>
      </c>
      <c r="AT371" s="31" t="n"/>
      <c r="AU371" s="31">
        <f>IF(AT371="Good",10,0)</f>
        <v/>
      </c>
      <c r="AV371" s="31" t="n"/>
      <c r="AW371" s="31">
        <f>IF(AV371="Yes for more than 2 years",10,IF(AV371="Yes only for next 1 to 2 years",5,0))</f>
        <v/>
      </c>
      <c r="AX371" s="31" t="n"/>
      <c r="AY371" s="31">
        <f>IF(AX371="Above 40",20,IF(AX371="20 to 40",10,IF(AX371="0 to 20",-5,0)))</f>
        <v/>
      </c>
      <c r="AZ371" s="31" t="n"/>
      <c r="BA371" s="31">
        <f>IF(AZ371="Between 50 to 75",10,IF(AZ371="Above 75",0,0))</f>
        <v/>
      </c>
      <c r="BB371" s="31" t="n"/>
      <c r="BC371" s="31">
        <f>IF(BB371="Stage 2",20,IF(BB371="Stage 1",0,IF(BB371="Stage 3",5,IF(BB371="Stage 4",-5,0))))</f>
        <v/>
      </c>
      <c r="BD371" s="31" t="n"/>
      <c r="BE371" s="31">
        <f>IF(BD371="Positive Trend",20,IF(BD371="Negative Trend",-10,0))</f>
        <v/>
      </c>
      <c r="BF371" s="31" t="n"/>
      <c r="BG371" s="31">
        <f>IF(BF371="Uptrend",10,IF(BF371="Sideways",5,0))</f>
        <v/>
      </c>
      <c r="BH371" s="31" t="n"/>
      <c r="BI371" s="31">
        <f>IF(BH371="Uptrend",10,IF(BH371="Sideways",5,0))</f>
        <v/>
      </c>
      <c r="BJ371" s="31" t="n"/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n"/>
      <c r="BM371" s="31">
        <f>IF(BL371="Yes",10,0)</f>
        <v/>
      </c>
      <c r="BN371" s="31" t="n"/>
      <c r="BO371" s="31">
        <f>IF(BN371="More than 20%",10,IF(BN371="Between 12 to 20%",5,IF(BN371="Less than 12%",0,0)))</f>
        <v/>
      </c>
      <c r="BP371" s="31" t="n"/>
      <c r="BQ371" s="31">
        <f>IF(BP371="No",10,0)</f>
        <v/>
      </c>
      <c r="BR371" s="31" t="n"/>
      <c r="BS371" s="31">
        <f>IF(BR371="NO",5,0)</f>
        <v/>
      </c>
      <c r="BT371" s="31" t="n"/>
      <c r="BU371" s="31">
        <f>IF(BT371="Above 2",0,IF(BT371="Between 1.5 to 2",5,IF(BT371="Less than 1.5",10,0)))</f>
        <v/>
      </c>
      <c r="BV371" s="31" t="n"/>
      <c r="BW371" s="31">
        <f>IF(BV371="Above 70%",10,IF(BV371="Between 50% to 70%",5,IF(BV371="Less than 50%",0,IF(BV371="Negative",-10,IF(BV371="Less than 50% and Borrowings are increasing",-5,0)))))</f>
        <v/>
      </c>
      <c r="BX371" s="31" t="n"/>
      <c r="BY371" s="31">
        <f>IF(BX371="More than 1.2",-10,IF(BX371="Between 0.7 to 1.2",0,IF(BX371="Less than 0.7",10,0)))</f>
        <v/>
      </c>
      <c r="BZ371" s="31" t="n"/>
      <c r="CA371" s="31">
        <f>IF(BZ371="Yes",-10,0)</f>
        <v/>
      </c>
      <c r="CB371" s="31" t="n"/>
      <c r="CC371" s="31">
        <f>IF(CB371="More than 15%",-10,IF(CB371="Less than 15%",10,0))</f>
        <v/>
      </c>
      <c r="CD371" s="31" t="n"/>
      <c r="CE371" s="31">
        <f>IF(CD371="Yes, more than 10%",-10,IF(CD371="No",10,0))</f>
        <v/>
      </c>
    </row>
  </sheetData>
  <autoFilter ref="A1:CE371"/>
  <conditionalFormatting sqref="B2:B371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1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1">
    <cfRule type="cellIs" priority="36" operator="equal" dxfId="3" stopIfTrue="1">
      <formula>"Underperforming"</formula>
    </cfRule>
  </conditionalFormatting>
  <conditionalFormatting sqref="N2:N371">
    <cfRule type="cellIs" priority="37" operator="equal" dxfId="3" stopIfTrue="1">
      <formula>-5</formula>
    </cfRule>
  </conditionalFormatting>
  <conditionalFormatting sqref="Q2:Q371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1" showDropDown="0" showInputMessage="0" showErrorMessage="0" allowBlank="1" type="list">
      <formula1>"Growing Industry,Stagnant Industry,Cyclical in an Upturn"</formula1>
    </dataValidation>
    <dataValidation sqref="Z2:Z371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1" showDropDown="0" showInputMessage="0" showErrorMessage="0" allowBlank="1" type="list">
      <formula1>"Yes,No"</formula1>
    </dataValidation>
    <dataValidation sqref="AD2:AD371" showDropDown="0" showInputMessage="0" showErrorMessage="0" allowBlank="1" type="list">
      <formula1>"Tailwind,Headwind"</formula1>
    </dataValidation>
    <dataValidation sqref="AF2:AF371" showDropDown="0" showInputMessage="0" showErrorMessage="0" allowBlank="1" type="list">
      <formula1>"Structural (10 Years Consistency),Shallow Cyclical (2 to 3 Years Growth),Cyclical"</formula1>
    </dataValidation>
    <dataValidation sqref="AH2:AH371" showDropDown="0" showInputMessage="0" showErrorMessage="0" allowBlank="1" type="list">
      <formula1>"Yes due to Product Mix change or Operating Leverage,Yes, these are peak margins,No"</formula1>
    </dataValidation>
    <dataValidation sqref="AJ2:AJ371" showDropDown="0" showInputMessage="0" showErrorMessage="0" allowBlank="1" type="list">
      <formula1>"Stable,Volatile"</formula1>
    </dataValidation>
    <dataValidation sqref="AL2:AL371" showDropDown="0" showInputMessage="0" showErrorMessage="0" allowBlank="1" type="list">
      <formula1>"Yes,No"</formula1>
    </dataValidation>
    <dataValidation sqref="AN2:AN371" showDropDown="0" showInputMessage="0" showErrorMessage="0" allowBlank="1" type="list">
      <formula1>"B2C,B2B,B2G"</formula1>
    </dataValidation>
    <dataValidation sqref="AP2:AP371" showDropDown="0" showInputMessage="0" showErrorMessage="0" allowBlank="1" type="list">
      <formula1>"Yes,No"</formula1>
    </dataValidation>
    <dataValidation sqref="AR2:AR371" showDropDown="0" showInputMessage="0" showErrorMessage="0" allowBlank="1" type="list">
      <formula1>"Fully Annuity,Higher Annuity, Lower One time,Higher One Time, Lower Annuity,Fully One Time"</formula1>
    </dataValidation>
    <dataValidation sqref="AT2:AT371" showDropDown="0" showInputMessage="0" showErrorMessage="0" allowBlank="1" type="list">
      <formula1>"Good,Allocated capital in Non-core Areas"</formula1>
    </dataValidation>
    <dataValidation sqref="AV2:AV371" showDropDown="0" showInputMessage="0" showErrorMessage="0" allowBlank="1" type="list">
      <formula1>"Yes for more than 2 years,Yes only for next 1 to 2 years,No"</formula1>
    </dataValidation>
    <dataValidation sqref="AX2:AX371" showDropDown="0" showInputMessage="0" showErrorMessage="0" allowBlank="1" type="list">
      <formula1>"Above 40,20 to 40,0 to 20"</formula1>
    </dataValidation>
    <dataValidation sqref="AZ2:AZ371" showDropDown="0" showInputMessage="0" showErrorMessage="0" allowBlank="1" type="list">
      <formula1>"Between 50 to 75,Above 75,Below 45"</formula1>
    </dataValidation>
    <dataValidation sqref="BB2:BB371" showDropDown="0" showInputMessage="0" showErrorMessage="0" allowBlank="1" type="list">
      <formula1>"Stage 1,Stage 2,Stage 3,Stage 4"</formula1>
    </dataValidation>
    <dataValidation sqref="BD2:BD371" showDropDown="0" showInputMessage="0" showErrorMessage="0" allowBlank="1" type="list">
      <formula1>"Positive Trend,Negative Trend"</formula1>
    </dataValidation>
    <dataValidation sqref="BF2:BF371" showDropDown="0" showInputMessage="0" showErrorMessage="0" allowBlank="1" type="list">
      <formula1>"Uptrend,Sideways,Downtrend"</formula1>
    </dataValidation>
    <dataValidation sqref="BH2:BH371" showDropDown="0" showInputMessage="0" showErrorMessage="0" allowBlank="1" type="list">
      <formula1>"Uptrend,Sideways,Downtrend"</formula1>
    </dataValidation>
    <dataValidation sqref="BJ2:BJ371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1" showDropDown="0" showInputMessage="0" showErrorMessage="0" allowBlank="1" type="list">
      <formula1>"Yes,No"</formula1>
    </dataValidation>
    <dataValidation sqref="BN2:BN371" showDropDown="0" showInputMessage="0" showErrorMessage="0" allowBlank="1" type="list">
      <formula1>"More than 20%,Between 12 to 20%,Less than 12%"</formula1>
    </dataValidation>
    <dataValidation sqref="BP2:BP371" showDropDown="0" showInputMessage="0" showErrorMessage="0" allowBlank="1" type="list">
      <formula1>"Yes,No"</formula1>
    </dataValidation>
    <dataValidation sqref="BR2:BR371" showDropDown="0" showInputMessage="0" showErrorMessage="0" allowBlank="1" type="list">
      <formula1>"Yes,No"</formula1>
    </dataValidation>
    <dataValidation sqref="BT2:BT371" showDropDown="0" showInputMessage="0" showErrorMessage="0" allowBlank="1" type="list">
      <formula1>"Above 2,Between 1.5 to 2,Less than 1.5"</formula1>
    </dataValidation>
    <dataValidation sqref="BV2:BV371" showDropDown="0" showInputMessage="0" showErrorMessage="0" allowBlank="1" type="list">
      <formula1>"Above 70%,Between 50% to 70%,Less than 50%,Less than 50% and Borrowings are increasing,Negative"</formula1>
    </dataValidation>
    <dataValidation sqref="BX2:BX371" showDropDown="0" showInputMessage="0" showErrorMessage="0" allowBlank="1" type="list">
      <formula1>"More than 1.2,Between 0.7 to 1.2,Less than 0.7"</formula1>
    </dataValidation>
    <dataValidation sqref="BZ2:BZ371" showDropDown="0" showInputMessage="0" showErrorMessage="0" allowBlank="1" type="list">
      <formula1>"Yes,No"</formula1>
    </dataValidation>
    <dataValidation sqref="CB2:CB371" showDropDown="0" showInputMessage="0" showErrorMessage="0" allowBlank="1" type="list">
      <formula1>"More than 15%,Less than 15%"</formula1>
    </dataValidation>
    <dataValidation sqref="CD2:CD371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IF(B2=0,"",RANK(B2,$B$2:$B$34,0))</f>
        <v/>
      </c>
      <c r="B2" s="32">
        <f>SUM(N2,Y2,AA2,AC2,AE2,AG2,AI2,AK2,AM2,AO2,AQ2,AS2,AU2,AW2,AY2,BA2,BC2,BE2,BG2,BI2,BK2,BM2,BO2,BQ2,BS2,BU2,BW2,BY2,CA2)</f>
        <v/>
      </c>
      <c r="C2" s="31" t="inlineStr">
        <is>
          <t>KTKBANK</t>
        </is>
      </c>
      <c r="D2" s="31" t="inlineStr">
        <is>
          <t>The Karnataka Bank Limited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11828.31</v>
      </c>
      <c r="I2" s="32" t="n">
        <v>309.65</v>
      </c>
      <c r="J2" s="32" t="n">
        <v>-0.99</v>
      </c>
      <c r="K2" s="32" t="n">
        <v>2960246</v>
      </c>
      <c r="L2" s="31" t="n">
        <v>72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74.39</v>
      </c>
      <c r="P2" s="32" t="n">
        <v>45.47</v>
      </c>
      <c r="Q2" s="32" t="n">
        <v>255.62</v>
      </c>
      <c r="R2" s="31" t="inlineStr">
        <is>
          <t>Near 52W High Breakout</t>
        </is>
      </c>
      <c r="S2" s="31" t="inlineStr">
        <is>
          <t>Nifty Bank</t>
        </is>
      </c>
      <c r="T2" s="32" t="n">
        <v>3.88</v>
      </c>
      <c r="U2" s="32" t="n">
        <v>87.42</v>
      </c>
      <c r="V2" s="32" t="n">
        <v>80.41</v>
      </c>
      <c r="W2" s="32" t="n">
        <v>18.97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IF(B3=0,"",RANK(B3,$B$2:$B$34,0))</f>
        <v/>
      </c>
      <c r="B3" s="32">
        <f>SUM(N3,Y3,AA3,AC3,AE3,AG3,AI3,AK3,AM3,AO3,AQ3,AS3,AU3,AW3,AY3,BA3,BC3,BE3,BG3,BI3,BK3,BM3,BO3,BQ3,BS3,BU3,BW3,BY3,CA3)</f>
        <v/>
      </c>
      <c r="C3" s="31" t="inlineStr">
        <is>
          <t>UJJIVANSFB</t>
        </is>
      </c>
      <c r="D3" s="31" t="inlineStr">
        <is>
          <t>Ujjivan Small Finance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13848.28</v>
      </c>
      <c r="I3" s="32" t="n">
        <v>72.47</v>
      </c>
      <c r="J3" s="32" t="n">
        <v>1.8</v>
      </c>
      <c r="K3" s="32" t="n">
        <v>16653738</v>
      </c>
      <c r="L3" s="31" t="n">
        <v>70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68.23999999999999</v>
      </c>
      <c r="P3" s="32" t="n">
        <v>35.92</v>
      </c>
      <c r="Q3" s="32" t="n">
        <v>57.74</v>
      </c>
      <c r="R3" s="31" t="inlineStr">
        <is>
          <t>Near 52W High Breakout</t>
        </is>
      </c>
      <c r="S3" s="31" t="inlineStr">
        <is>
          <t>Nifty Bank</t>
        </is>
      </c>
      <c r="T3" s="32" t="n">
        <v>3.88</v>
      </c>
      <c r="U3" s="32" t="n">
        <v>73.91</v>
      </c>
      <c r="V3" s="32" t="n">
        <v>67.41</v>
      </c>
      <c r="W3" s="32" t="n">
        <v>18.66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IF(B4=0,"",RANK(B4,$B$2:$B$34,0))</f>
        <v/>
      </c>
      <c r="B4" s="32">
        <f>SUM(N4,Y4,AA4,AC4,AE4,AG4,AI4,AK4,AM4,AO4,AQ4,AS4,AU4,AW4,AY4,BA4,BC4,BE4,BG4,BI4,BK4,BM4,BO4,BQ4,BS4,BU4,BW4,BY4,CA4)</f>
        <v/>
      </c>
      <c r="C4" s="31" t="inlineStr">
        <is>
          <t>JSFB</t>
        </is>
      </c>
      <c r="D4" s="31" t="inlineStr">
        <is>
          <t>Jana Small Finance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midcap</t>
        </is>
      </c>
      <c r="H4" s="32" t="n">
        <v>6016.55</v>
      </c>
      <c r="I4" s="32" t="n">
        <v>577.75</v>
      </c>
      <c r="J4" s="32" t="n">
        <v>1.16</v>
      </c>
      <c r="K4" s="32" t="n">
        <v>454213</v>
      </c>
      <c r="L4" s="31" t="n">
        <v>42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70.27</v>
      </c>
      <c r="P4" s="32" t="n">
        <v>36.96</v>
      </c>
      <c r="Q4" s="32" t="n">
        <v>443.95</v>
      </c>
      <c r="R4" s="31" t="inlineStr">
        <is>
          <t>Near 52W High Breakout</t>
        </is>
      </c>
      <c r="S4" s="31" t="inlineStr">
        <is>
          <t>Nifty Bank</t>
        </is>
      </c>
      <c r="T4" s="32" t="n">
        <v>3.88</v>
      </c>
      <c r="U4" s="32" t="n">
        <v>25.22</v>
      </c>
      <c r="V4" s="32" t="n">
        <v>20.54</v>
      </c>
      <c r="W4" s="32" t="n">
        <v>9.220000000000001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IF(B5=0,"",RANK(B5,$B$2:$B$34,0))</f>
        <v/>
      </c>
      <c r="B5" s="32">
        <f>SUM(N5,Y5,AA5,AC5,AE5,AG5,AI5,AK5,AM5,AO5,AQ5,AS5,AU5,AW5,AY5,BA5,BC5,BE5,BG5,BI5,BK5,BM5,BO5,BQ5,BS5,BU5,BW5,BY5,CA5)</f>
        <v/>
      </c>
      <c r="C5" s="31" t="inlineStr">
        <is>
          <t>RBLBANK</t>
        </is>
      </c>
      <c r="D5" s="31" t="inlineStr">
        <is>
          <t>Rbl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59967.91</v>
      </c>
      <c r="I5" s="32" t="n">
        <v>385</v>
      </c>
      <c r="J5" s="32" t="n">
        <v>-0.58</v>
      </c>
      <c r="K5" s="32" t="n">
        <v>2935700</v>
      </c>
      <c r="L5" s="31" t="n">
        <v>53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63.26</v>
      </c>
      <c r="P5" s="32" t="n">
        <v>37.26</v>
      </c>
      <c r="Q5" s="32" t="n">
        <v>329.74</v>
      </c>
      <c r="R5" s="31" t="inlineStr">
        <is>
          <t>Near 52W High Breakout</t>
        </is>
      </c>
      <c r="S5" s="31" t="inlineStr">
        <is>
          <t>Nifty Bank</t>
        </is>
      </c>
      <c r="T5" s="32" t="n">
        <v>3.88</v>
      </c>
      <c r="U5" s="32" t="n">
        <v>53.42</v>
      </c>
      <c r="V5" s="32" t="n">
        <v>47.69</v>
      </c>
      <c r="W5" s="32" t="n">
        <v>12.19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IF(B6=0,"",RANK(B6,$B$2:$B$34,0))</f>
        <v/>
      </c>
      <c r="B6" s="32">
        <f>SUM(N6,Y6,AA6,AC6,AE6,AG6,AI6,AK6,AM6,AO6,AQ6,AS6,AU6,AW6,AY6,BA6,BC6,BE6,BG6,BI6,BK6,BM6,BO6,BQ6,BS6,BU6,BW6,BY6,CA6)</f>
        <v/>
      </c>
      <c r="C6" s="31" t="inlineStr">
        <is>
          <t>IIFL</t>
        </is>
      </c>
      <c r="D6" s="31" t="inlineStr">
        <is>
          <t>IIFL Finance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largecap</t>
        </is>
      </c>
      <c r="H6" s="32" t="n">
        <v>27048.54</v>
      </c>
      <c r="I6" s="32" t="n">
        <v>631.15</v>
      </c>
      <c r="J6" s="32" t="n">
        <v>-0.75</v>
      </c>
      <c r="K6" s="32" t="n">
        <v>967374</v>
      </c>
      <c r="L6" s="31" t="n">
        <v>64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71.27</v>
      </c>
      <c r="P6" s="32" t="n">
        <v>20.18</v>
      </c>
      <c r="Q6" s="32" t="n">
        <v>506.83</v>
      </c>
      <c r="R6" s="31" t="inlineStr">
        <is>
          <t>Near 52W High Breakout</t>
        </is>
      </c>
      <c r="S6" s="31" t="inlineStr">
        <is>
          <t>Nifty Bank</t>
        </is>
      </c>
      <c r="T6" s="32" t="n">
        <v>3.88</v>
      </c>
      <c r="U6" s="32" t="n">
        <v>43.95</v>
      </c>
      <c r="V6" s="32" t="n">
        <v>38.57</v>
      </c>
      <c r="W6" s="32" t="n">
        <v>16.09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IF(B7=0,"",RANK(B7,$B$2:$B$34,0))</f>
        <v/>
      </c>
      <c r="B7" s="32">
        <f>SUM(N7,Y7,AA7,AC7,AE7,AG7,AI7,AK7,AM7,AO7,AQ7,AS7,AU7,AW7,AY7,BA7,BC7,BE7,BG7,BI7,BK7,BM7,BO7,BQ7,BS7,BU7,BW7,BY7,CA7)</f>
        <v/>
      </c>
      <c r="C7" s="31" t="inlineStr">
        <is>
          <t>M&amp;MFIN</t>
        </is>
      </c>
      <c r="D7" s="31" t="inlineStr">
        <is>
          <t>Mahindra &amp; Mahindra Financial Services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largecap</t>
        </is>
      </c>
      <c r="H7" s="32" t="n">
        <v>55098.46</v>
      </c>
      <c r="I7" s="32" t="n">
        <v>390.1</v>
      </c>
      <c r="J7" s="32" t="n">
        <v>-1.59</v>
      </c>
      <c r="K7" s="32" t="n">
        <v>1855422</v>
      </c>
      <c r="L7" s="31" t="n">
        <v>61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64.03</v>
      </c>
      <c r="P7" s="32" t="n">
        <v>22.17</v>
      </c>
      <c r="Q7" s="32" t="n">
        <v>322.8</v>
      </c>
      <c r="R7" s="31" t="inlineStr">
        <is>
          <t>Near 52W High Breakout</t>
        </is>
      </c>
      <c r="S7" s="31" t="inlineStr">
        <is>
          <t>Nifty Bank</t>
        </is>
      </c>
      <c r="T7" s="32" t="n">
        <v>3.88</v>
      </c>
      <c r="U7" s="32" t="n">
        <v>56.36</v>
      </c>
      <c r="V7" s="32" t="n">
        <v>50.52</v>
      </c>
      <c r="W7" s="32" t="n">
        <v>15.15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IF(B8=0,"",RANK(B8,$B$2:$B$34,0))</f>
        <v/>
      </c>
      <c r="B8" s="32">
        <f>SUM(N8,Y8,AA8,AC8,AE8,AG8,AI8,AK8,AM8,AO8,AQ8,AS8,AU8,AW8,AY8,BA8,BC8,BE8,BG8,BI8,BK8,BM8,BO8,BQ8,BS8,BU8,BW8,BY8,CA8)</f>
        <v/>
      </c>
      <c r="C8" s="31" t="inlineStr">
        <is>
          <t>TFCILTD</t>
        </is>
      </c>
      <c r="D8" s="31" t="inlineStr">
        <is>
          <t>Tourism Finance Corporation Of India Limited</t>
        </is>
      </c>
      <c r="E8" s="31" t="inlineStr">
        <is>
          <t>financials</t>
        </is>
      </c>
      <c r="F8" s="31" t="inlineStr">
        <is>
          <t>finance - term-lending institutions</t>
        </is>
      </c>
      <c r="G8" s="31" t="inlineStr">
        <is>
          <t>midcap</t>
        </is>
      </c>
      <c r="H8" s="32" t="n">
        <v>5338.59</v>
      </c>
      <c r="I8" s="32" t="n">
        <v>117.44</v>
      </c>
      <c r="J8" s="32" t="n">
        <v>1.85</v>
      </c>
      <c r="K8" s="32" t="n">
        <v>10567271</v>
      </c>
      <c r="L8" s="31" t="n">
        <v>83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79.65000000000001</v>
      </c>
      <c r="P8" s="32" t="n">
        <v>51.38</v>
      </c>
      <c r="Q8" s="32" t="n">
        <v>92.73999999999999</v>
      </c>
      <c r="R8" s="31" t="inlineStr">
        <is>
          <t>Near 52W High Breakout</t>
        </is>
      </c>
      <c r="S8" s="31" t="inlineStr">
        <is>
          <t>Nifty Bank</t>
        </is>
      </c>
      <c r="T8" s="32" t="n">
        <v>3.88</v>
      </c>
      <c r="U8" s="32" t="n">
        <v>89.97</v>
      </c>
      <c r="V8" s="32" t="n">
        <v>82.87</v>
      </c>
      <c r="W8" s="32" t="n">
        <v>26.3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IF(B9=0,"",RANK(B9,$B$2:$B$34,0))</f>
        <v/>
      </c>
      <c r="B9" s="32">
        <f>SUM(N9,Y9,AA9,AC9,AE9,AG9,AI9,AK9,AM9,AO9,AQ9,AS9,AU9,AW9,AY9,BA9,BC9,BE9,BG9,BI9,BK9,BM9,BO9,BQ9,BS9,BU9,BW9,BY9,CA9)</f>
        <v/>
      </c>
      <c r="C9" s="31" t="inlineStr">
        <is>
          <t>MUFIN</t>
        </is>
      </c>
      <c r="D9" s="31" t="inlineStr">
        <is>
          <t>Mufin Green Finance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smallcap</t>
        </is>
      </c>
      <c r="H9" s="32" t="n">
        <v>2704.32</v>
      </c>
      <c r="I9" s="32" t="n">
        <v>135.54</v>
      </c>
      <c r="J9" s="32" t="n">
        <v>-0.68</v>
      </c>
      <c r="K9" s="32" t="n">
        <v>660693</v>
      </c>
      <c r="L9" s="31" t="n">
        <v>54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63.38</v>
      </c>
      <c r="P9" s="32" t="n">
        <v>34.13</v>
      </c>
      <c r="Q9" s="32" t="n">
        <v>111.69</v>
      </c>
      <c r="R9" s="31" t="inlineStr">
        <is>
          <t>Near 52W High Breakout</t>
        </is>
      </c>
      <c r="S9" s="31" t="inlineStr">
        <is>
          <t>Nifty Bank</t>
        </is>
      </c>
      <c r="T9" s="32" t="n">
        <v>3.88</v>
      </c>
      <c r="U9" s="32" t="n">
        <v>45.93</v>
      </c>
      <c r="V9" s="32" t="n">
        <v>40.47</v>
      </c>
      <c r="W9" s="32" t="n">
        <v>12.3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IF(B10=0,"",RANK(B10,$B$2:$B$34,0))</f>
        <v/>
      </c>
      <c r="B10" s="32">
        <f>SUM(N10,Y10,AA10,AC10,AE10,AG10,AI10,AK10,AM10,AO10,AQ10,AS10,AU10,AW10,AY10,BA10,BC10,BE10,BG10,BI10,BK10,BM10,BO10,BQ10,BS10,BU10,BW10,BY10,CA10)</f>
        <v/>
      </c>
      <c r="C10" s="33" t="inlineStr">
        <is>
          <t>GEECEE</t>
        </is>
      </c>
      <c r="D10" s="33" t="inlineStr">
        <is>
          <t>Geecee Ventures Limited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783.98</v>
      </c>
      <c r="I10" s="32" t="n">
        <v>371.05</v>
      </c>
      <c r="J10" s="32" t="n">
        <v>-1.03</v>
      </c>
      <c r="K10" s="32" t="n">
        <v>1093</v>
      </c>
      <c r="L10" s="31" t="n">
        <v>30</v>
      </c>
      <c r="M10" s="31" t="inlineStr">
        <is>
          <t>Underperforming</t>
        </is>
      </c>
      <c r="N10" s="32">
        <f>IF(M10="Underperforming",-5,IF(L10&gt;=95,15,IF(L10&gt;=90,10,IF(L10&gt;=80,5,0))))</f>
        <v/>
      </c>
      <c r="O10" s="32" t="n">
        <v>62.78</v>
      </c>
      <c r="P10" s="32" t="n">
        <v>32.49</v>
      </c>
      <c r="Q10" s="32" t="n">
        <v>286.21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3.88</v>
      </c>
      <c r="U10" s="32" t="n">
        <v>2.45</v>
      </c>
      <c r="V10" s="32" t="n">
        <v>-1.38</v>
      </c>
      <c r="W10" s="32" t="n">
        <v>5.99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IF(B11=0,"",RANK(B11,$B$2:$B$34,0))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AUBANK</t>
        </is>
      </c>
      <c r="D11" s="31" t="inlineStr">
        <is>
          <t>AU Small Finance Bank Ltd</t>
        </is>
      </c>
      <c r="E11" s="31" t="inlineStr">
        <is>
          <t>bank</t>
        </is>
      </c>
      <c r="F11" s="31" t="inlineStr">
        <is>
          <t>banks - private sector</t>
        </is>
      </c>
      <c r="G11" s="31" t="inlineStr">
        <is>
          <t>largecap</t>
        </is>
      </c>
      <c r="H11" s="32" t="n">
        <v>82237.12</v>
      </c>
      <c r="I11" s="32" t="n">
        <v>1081.9</v>
      </c>
      <c r="J11" s="32" t="n">
        <v>-1.47</v>
      </c>
      <c r="K11" s="32" t="n">
        <v>2008972</v>
      </c>
      <c r="L11" s="31" t="n">
        <v>44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61.14</v>
      </c>
      <c r="P11" s="32" t="n">
        <v>23.92</v>
      </c>
      <c r="Q11" s="32" t="n">
        <v>898.72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3.88</v>
      </c>
      <c r="U11" s="32" t="n">
        <v>44.28</v>
      </c>
      <c r="V11" s="32" t="n">
        <v>38.88</v>
      </c>
      <c r="W11" s="32" t="n">
        <v>9.720000000000001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between 2.5x to 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IF(B12=0,"",RANK(B12,$B$2:$B$34,0))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MONARCH</t>
        </is>
      </c>
      <c r="D12" s="31" t="inlineStr">
        <is>
          <t>Monarch Networth Capital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smallcap</t>
        </is>
      </c>
      <c r="H12" s="32" t="n">
        <v>3008.56</v>
      </c>
      <c r="I12" s="32" t="n">
        <v>390.6</v>
      </c>
      <c r="J12" s="32" t="n">
        <v>2.97</v>
      </c>
      <c r="K12" s="32" t="n">
        <v>874758</v>
      </c>
      <c r="L12" s="31" t="n">
        <v>46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72.29000000000001</v>
      </c>
      <c r="P12" s="32" t="n">
        <v>31.46</v>
      </c>
      <c r="Q12" s="32" t="n">
        <v>313.7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3.88</v>
      </c>
      <c r="U12" s="32" t="n">
        <v>19.63</v>
      </c>
      <c r="V12" s="32" t="n">
        <v>15.16</v>
      </c>
      <c r="W12" s="32" t="n">
        <v>10.47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IF(B13=0,"",RANK(B13,$B$2:$B$34,0))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IDFCFIRSTB</t>
        </is>
      </c>
      <c r="D13" s="31" t="inlineStr">
        <is>
          <t>IDFC First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74560.53999999999</v>
      </c>
      <c r="I13" s="32" t="n">
        <v>85.69</v>
      </c>
      <c r="J13" s="32" t="n">
        <v>-0.99</v>
      </c>
      <c r="K13" s="32" t="n">
        <v>14717164</v>
      </c>
      <c r="L13" s="31" t="n">
        <v>48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68.29000000000001</v>
      </c>
      <c r="P13" s="32" t="n">
        <v>22.84</v>
      </c>
      <c r="Q13" s="32" t="n">
        <v>73.3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3.88</v>
      </c>
      <c r="U13" s="32" t="n">
        <v>24.97</v>
      </c>
      <c r="V13" s="32" t="n">
        <v>20.3</v>
      </c>
      <c r="W13" s="32" t="n">
        <v>11.08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IF(B14=0,"",RANK(B14,$B$2:$B$34,0))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PNBHOUSING</t>
        </is>
      </c>
      <c r="D14" s="31" t="inlineStr">
        <is>
          <t>Pnb Housing Finance Limited</t>
        </is>
      </c>
      <c r="E14" s="31" t="inlineStr">
        <is>
          <t>financials</t>
        </is>
      </c>
      <c r="F14" s="31" t="inlineStr">
        <is>
          <t>finance - housing</t>
        </is>
      </c>
      <c r="G14" s="31" t="inlineStr">
        <is>
          <t>largecap</t>
        </is>
      </c>
      <c r="H14" s="32" t="n">
        <v>30353.51</v>
      </c>
      <c r="I14" s="32" t="n">
        <v>1150.5</v>
      </c>
      <c r="J14" s="32" t="n">
        <v>-1.23</v>
      </c>
      <c r="K14" s="32" t="n">
        <v>413619</v>
      </c>
      <c r="L14" s="31" t="n">
        <v>49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66.70999999999999</v>
      </c>
      <c r="P14" s="32" t="n">
        <v>33.02</v>
      </c>
      <c r="Q14" s="32" t="n">
        <v>946.85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3.88</v>
      </c>
      <c r="U14" s="32" t="n">
        <v>51.17</v>
      </c>
      <c r="V14" s="32" t="n">
        <v>45.52</v>
      </c>
      <c r="W14" s="32" t="n">
        <v>11.09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less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IF(B15=0,"",RANK(B15,$B$2:$B$34,0))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OFSS</t>
        </is>
      </c>
      <c r="D15" s="31" t="inlineStr">
        <is>
          <t>Oracle Financial Services Software Limited</t>
        </is>
      </c>
      <c r="E15" s="31" t="inlineStr">
        <is>
          <t>i.t</t>
        </is>
      </c>
      <c r="F15" s="31" t="inlineStr">
        <is>
          <t>computers - software - large</t>
        </is>
      </c>
      <c r="G15" s="31" t="inlineStr">
        <is>
          <t>largecap</t>
        </is>
      </c>
      <c r="H15" s="32" t="n">
        <v>99436.38</v>
      </c>
      <c r="I15" s="32" t="n">
        <v>11828</v>
      </c>
      <c r="J15" s="32" t="n">
        <v>3.57</v>
      </c>
      <c r="K15" s="32" t="n">
        <v>515259</v>
      </c>
      <c r="L15" s="31" t="n">
        <v>64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69.2</v>
      </c>
      <c r="P15" s="32" t="n">
        <v>30.81</v>
      </c>
      <c r="Q15" s="32" t="n">
        <v>9411.690000000001</v>
      </c>
      <c r="R15" s="31" t="inlineStr">
        <is>
          <t>Near 52W High Breakout</t>
        </is>
      </c>
      <c r="S15" s="31" t="inlineStr">
        <is>
          <t>Nifty IT</t>
        </is>
      </c>
      <c r="T15" s="32" t="n">
        <v>-9.98</v>
      </c>
      <c r="U15" s="32" t="n">
        <v>43.89</v>
      </c>
      <c r="V15" s="32" t="n">
        <v>59.84</v>
      </c>
      <c r="W15" s="32" t="n">
        <v>16.02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IF(B16=0,"",RANK(B16,$B$2:$B$34,0))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IFCI</t>
        </is>
      </c>
      <c r="D16" s="31" t="inlineStr">
        <is>
          <t>Ifci Limited</t>
        </is>
      </c>
      <c r="E16" s="31" t="inlineStr">
        <is>
          <t>financials</t>
        </is>
      </c>
      <c r="F16" s="31" t="inlineStr">
        <is>
          <t>finance - term-lending institutions</t>
        </is>
      </c>
      <c r="G16" s="31" t="inlineStr">
        <is>
          <t>largecap</t>
        </is>
      </c>
      <c r="H16" s="32" t="n">
        <v>20654.61</v>
      </c>
      <c r="I16" s="32" t="n">
        <v>76.94</v>
      </c>
      <c r="J16" s="32" t="n">
        <v>0.37</v>
      </c>
      <c r="K16" s="32" t="n">
        <v>14123948</v>
      </c>
      <c r="L16" s="31" t="n">
        <v>55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58.72</v>
      </c>
      <c r="P16" s="32" t="n">
        <v>42.1</v>
      </c>
      <c r="Q16" s="32" t="n">
        <v>63.9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3.88</v>
      </c>
      <c r="U16" s="32" t="n">
        <v>45.72</v>
      </c>
      <c r="V16" s="32" t="n">
        <v>40.27</v>
      </c>
      <c r="W16" s="32" t="n">
        <v>12.47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Above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IF(B17=0,"",RANK(B17,$B$2:$B$34,0))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EDELWEISS</t>
        </is>
      </c>
      <c r="D17" s="31" t="inlineStr">
        <is>
          <t>Edelweiss Financial Services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midcap</t>
        </is>
      </c>
      <c r="H17" s="32" t="n">
        <v>11820.29</v>
      </c>
      <c r="I17" s="32" t="n">
        <v>121.98</v>
      </c>
      <c r="J17" s="32" t="n">
        <v>-2.32</v>
      </c>
      <c r="K17" s="32" t="n">
        <v>2099538</v>
      </c>
      <c r="L17" s="31" t="n">
        <v>32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55.85</v>
      </c>
      <c r="P17" s="32" t="n">
        <v>9.43</v>
      </c>
      <c r="Q17" s="32" t="n">
        <v>94.33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3.88</v>
      </c>
      <c r="U17" s="32" t="n">
        <v>28.37</v>
      </c>
      <c r="V17" s="32" t="n">
        <v>23.57</v>
      </c>
      <c r="W17" s="32" t="n">
        <v>7.09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0 to 20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IF(B18=0,"",RANK(B18,$B$2:$B$34,0))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SHRIRAMFIN</t>
        </is>
      </c>
      <c r="D18" s="31" t="inlineStr">
        <is>
          <t>Shriram Finance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266420.58</v>
      </c>
      <c r="I18" s="32" t="n">
        <v>1122</v>
      </c>
      <c r="J18" s="32" t="n">
        <v>-0.91</v>
      </c>
      <c r="K18" s="32" t="n">
        <v>4827179</v>
      </c>
      <c r="L18" s="31" t="n">
        <v>69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65.08</v>
      </c>
      <c r="P18" s="32" t="n">
        <v>15.47</v>
      </c>
      <c r="Q18" s="32" t="n">
        <v>913.14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3.88</v>
      </c>
      <c r="U18" s="32" t="n">
        <v>84.15000000000001</v>
      </c>
      <c r="V18" s="32" t="n">
        <v>77.27</v>
      </c>
      <c r="W18" s="32" t="n">
        <v>18.48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IF(B19=0,"",RANK(B19,$B$2:$B$34,0))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ANANDRATHI</t>
        </is>
      </c>
      <c r="D19" s="31" t="inlineStr">
        <is>
          <t>Anand Rathi Wealth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largecap</t>
        </is>
      </c>
      <c r="H19" s="32" t="n">
        <v>36509.15</v>
      </c>
      <c r="I19" s="32" t="n">
        <v>2174.7</v>
      </c>
      <c r="J19" s="32" t="n">
        <v>-1.1</v>
      </c>
      <c r="K19" s="32" t="n">
        <v>150902</v>
      </c>
      <c r="L19" s="31" t="n">
        <v>59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75</v>
      </c>
      <c r="P19" s="32" t="n">
        <v>51.69</v>
      </c>
      <c r="Q19" s="32" t="n">
        <v>1864.21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3.88</v>
      </c>
      <c r="U19" s="32" t="n">
        <v>61.1</v>
      </c>
      <c r="V19" s="32" t="n">
        <v>55.07</v>
      </c>
      <c r="W19" s="32" t="n">
        <v>14.7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above 5x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Above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IF(B20=0,"",RANK(B20,$B$2:$B$34,0))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STEL</t>
        </is>
      </c>
      <c r="D20" s="31" t="inlineStr">
        <is>
          <t>Stel Holdings Limited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smallcap</t>
        </is>
      </c>
      <c r="H20" s="32" t="n">
        <v>1034.24</v>
      </c>
      <c r="I20" s="32" t="n">
        <v>583.9</v>
      </c>
      <c r="J20" s="32" t="n">
        <v>4.19</v>
      </c>
      <c r="K20" s="32" t="n">
        <v>5634</v>
      </c>
      <c r="L20" s="31" t="n">
        <v>51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62.42</v>
      </c>
      <c r="P20" s="32" t="n">
        <v>19.58</v>
      </c>
      <c r="Q20" s="32" t="n">
        <v>444.43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3.88</v>
      </c>
      <c r="U20" s="32" t="n">
        <v>31.78</v>
      </c>
      <c r="V20" s="32" t="n">
        <v>26.85</v>
      </c>
      <c r="W20" s="32" t="n">
        <v>11.7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0 to 20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IF(B21=0,"",RANK(B21,$B$2:$B$34,0))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PRUDENT</t>
        </is>
      </c>
      <c r="D21" s="31" t="inlineStr">
        <is>
          <t>Prudent Corporate Advisory Services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midcap</t>
        </is>
      </c>
      <c r="H21" s="32" t="n">
        <v>13767.72</v>
      </c>
      <c r="I21" s="32" t="n">
        <v>3257.1</v>
      </c>
      <c r="J21" s="32" t="n">
        <v>-2.04</v>
      </c>
      <c r="K21" s="32" t="n">
        <v>43983</v>
      </c>
      <c r="L21" s="31" t="n">
        <v>33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65.23999999999999</v>
      </c>
      <c r="P21" s="32" t="n">
        <v>28.57</v>
      </c>
      <c r="Q21" s="32" t="n">
        <v>2726.3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3.88</v>
      </c>
      <c r="U21" s="32" t="n">
        <v>22.1</v>
      </c>
      <c r="V21" s="32" t="n">
        <v>17.53</v>
      </c>
      <c r="W21" s="32" t="n">
        <v>7.33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above 5x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IF(B22=0,"",RANK(B22,$B$2:$B$34,0))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5PAISA</t>
        </is>
      </c>
      <c r="D22" s="31" t="inlineStr">
        <is>
          <t>5Paisa Capital Ltd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1836.14</v>
      </c>
      <c r="I22" s="32" t="n">
        <v>390</v>
      </c>
      <c r="J22" s="32" t="n">
        <v>-0.42</v>
      </c>
      <c r="K22" s="32" t="n">
        <v>109705</v>
      </c>
      <c r="L22" s="31" t="n">
        <v>35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60.24</v>
      </c>
      <c r="P22" s="32" t="n">
        <v>16.87</v>
      </c>
      <c r="Q22" s="32" t="n">
        <v>288.82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3.88</v>
      </c>
      <c r="U22" s="32" t="n">
        <v>5.56</v>
      </c>
      <c r="V22" s="32" t="n">
        <v>1.61</v>
      </c>
      <c r="W22" s="32" t="n">
        <v>7.6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IF(B23=0,"",RANK(B23,$B$2:$B$34,0))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UNIONBANK</t>
        </is>
      </c>
      <c r="D23" s="31" t="inlineStr">
        <is>
          <t>Union Bank Of India Ltd</t>
        </is>
      </c>
      <c r="E23" s="31" t="inlineStr">
        <is>
          <t>bank</t>
        </is>
      </c>
      <c r="F23" s="31" t="inlineStr">
        <is>
          <t>banks - public sector</t>
        </is>
      </c>
      <c r="G23" s="31" t="inlineStr">
        <is>
          <t>largecap</t>
        </is>
      </c>
      <c r="H23" s="32" t="n">
        <v>142366.74</v>
      </c>
      <c r="I23" s="32" t="n">
        <v>187.38</v>
      </c>
      <c r="J23" s="32" t="n">
        <v>0.47</v>
      </c>
      <c r="K23" s="32" t="n">
        <v>34129403</v>
      </c>
      <c r="L23" s="31" t="n">
        <v>52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65.38</v>
      </c>
      <c r="P23" s="32" t="n">
        <v>17.07</v>
      </c>
      <c r="Q23" s="32" t="n">
        <v>154.35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3.88</v>
      </c>
      <c r="U23" s="32" t="n">
        <v>43.07</v>
      </c>
      <c r="V23" s="32" t="n">
        <v>37.72</v>
      </c>
      <c r="W23" s="32" t="n">
        <v>11.83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Headwind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0 to 20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IF(B24=0,"",RANK(B24,$B$2:$B$34,0))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INDIANB</t>
        </is>
      </c>
      <c r="D24" s="31" t="inlineStr">
        <is>
          <t>Indian Bank Ltd</t>
        </is>
      </c>
      <c r="E24" s="31" t="inlineStr">
        <is>
          <t>bank</t>
        </is>
      </c>
      <c r="F24" s="31" t="inlineStr">
        <is>
          <t>banks - public sector</t>
        </is>
      </c>
      <c r="G24" s="31" t="inlineStr">
        <is>
          <t>largecap</t>
        </is>
      </c>
      <c r="H24" s="32" t="n">
        <v>120822.67</v>
      </c>
      <c r="I24" s="32" t="n">
        <v>894.95</v>
      </c>
      <c r="J24" s="32" t="n">
        <v>-0.23</v>
      </c>
      <c r="K24" s="32" t="n">
        <v>1449405</v>
      </c>
      <c r="L24" s="31" t="n">
        <v>43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57.1</v>
      </c>
      <c r="P24" s="32" t="n">
        <v>8.119999999999999</v>
      </c>
      <c r="Q24" s="32" t="n">
        <v>726.98</v>
      </c>
      <c r="R24" s="31" t="inlineStr">
        <is>
          <t>Earnings / Momentum Support</t>
        </is>
      </c>
      <c r="S24" s="31" t="inlineStr">
        <is>
          <t>Nifty Bank</t>
        </is>
      </c>
      <c r="T24" s="32" t="n">
        <v>3.88</v>
      </c>
      <c r="U24" s="32" t="n">
        <v>36.78</v>
      </c>
      <c r="V24" s="32" t="n">
        <v>31.66</v>
      </c>
      <c r="W24" s="32" t="n">
        <v>9.449999999999999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Headwind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No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more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Close to 52 week high or retracement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IF(B25=0,"",RANK(B25,$B$2:$B$34,0))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POONAWALLA</t>
        </is>
      </c>
      <c r="D25" s="31" t="inlineStr">
        <is>
          <t>Poonawalla Fincorp Ltd</t>
        </is>
      </c>
      <c r="E25" s="31" t="inlineStr">
        <is>
          <t>financials</t>
        </is>
      </c>
      <c r="F25" s="31" t="inlineStr">
        <is>
          <t>finance &amp; investments</t>
        </is>
      </c>
      <c r="G25" s="31" t="inlineStr">
        <is>
          <t>largecap</t>
        </is>
      </c>
      <c r="H25" s="32" t="n">
        <v>44262.67</v>
      </c>
      <c r="I25" s="32" t="n">
        <v>497.9</v>
      </c>
      <c r="J25" s="32" t="n">
        <v>-0.95</v>
      </c>
      <c r="K25" s="32" t="n">
        <v>2731211</v>
      </c>
      <c r="L25" s="31" t="n">
        <v>30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63.25</v>
      </c>
      <c r="P25" s="32" t="n">
        <v>15.85</v>
      </c>
      <c r="Q25" s="32" t="n">
        <v>397.86</v>
      </c>
      <c r="R25" s="31" t="inlineStr">
        <is>
          <t>Earnings / Momentum Support</t>
        </is>
      </c>
      <c r="S25" s="31" t="inlineStr">
        <is>
          <t>Nifty Bank</t>
        </is>
      </c>
      <c r="T25" s="32" t="n">
        <v>3.88</v>
      </c>
      <c r="U25" s="32" t="n">
        <v>9.25</v>
      </c>
      <c r="V25" s="32" t="n">
        <v>5.16</v>
      </c>
      <c r="W25" s="32" t="n">
        <v>6.37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No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between 2.5x to 5x and Growth more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IF(B26=0,"",RANK(B26,$B$2:$B$34,0))</f>
        <v/>
      </c>
      <c r="B26" s="32">
        <f>SUM(N26,Y26,AA26,AC26,AE26,AG26,AI26,AK26,AM26,AO26,AQ26,AS26,AU26,AW26,AY26,BA26,BC26,BE26,BG26,BI26,BK26,BM26,BO26,BQ26,BS26,BU26,BW26,BY26,CA26)</f>
        <v/>
      </c>
      <c r="C26" s="31" t="inlineStr">
        <is>
          <t>CHOLAFIN</t>
        </is>
      </c>
      <c r="D26" s="31" t="inlineStr">
        <is>
          <t>Cholamandalam Investment And Finance Company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largecap</t>
        </is>
      </c>
      <c r="H26" s="32" t="n">
        <v>164370.18</v>
      </c>
      <c r="I26" s="32" t="n">
        <v>1894.4</v>
      </c>
      <c r="J26" s="32" t="n">
        <v>-1.74</v>
      </c>
      <c r="K26" s="32" t="n">
        <v>1230643</v>
      </c>
      <c r="L26" s="31" t="n">
        <v>47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64</v>
      </c>
      <c r="P26" s="32" t="n">
        <v>17.25</v>
      </c>
      <c r="Q26" s="32" t="n">
        <v>1554.28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3.88</v>
      </c>
      <c r="U26" s="32" t="n">
        <v>29.72</v>
      </c>
      <c r="V26" s="32" t="n">
        <v>24.87</v>
      </c>
      <c r="W26" s="32" t="n">
        <v>10.51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above 5x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Blue sky scenario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IF(B27=0,"",RANK(B27,$B$2:$B$34,0))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MCX</t>
        </is>
      </c>
      <c r="D27" s="31" t="inlineStr">
        <is>
          <t>Multi Commodity Exchange Of India Limited</t>
        </is>
      </c>
      <c r="E27" s="31" t="inlineStr">
        <is>
          <t>financials</t>
        </is>
      </c>
      <c r="F27" s="31" t="inlineStr">
        <is>
          <t>miscellaneous</t>
        </is>
      </c>
      <c r="G27" s="31" t="inlineStr">
        <is>
          <t>largecap</t>
        </is>
      </c>
      <c r="H27" s="32" t="n">
        <v>75732.58</v>
      </c>
      <c r="I27" s="32" t="n">
        <v>2911.5</v>
      </c>
      <c r="J27" s="32" t="n">
        <v>-1.97</v>
      </c>
      <c r="K27" s="32" t="n">
        <v>2899650</v>
      </c>
      <c r="L27" s="31" t="n">
        <v>49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59.25</v>
      </c>
      <c r="P27" s="32" t="n">
        <v>26.79</v>
      </c>
      <c r="Q27" s="32" t="n">
        <v>2728.82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3.88</v>
      </c>
      <c r="U27" s="32" t="n">
        <v>78.65000000000001</v>
      </c>
      <c r="V27" s="32" t="n">
        <v>71.97</v>
      </c>
      <c r="W27" s="32" t="n">
        <v>11.26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IF(B28=0,"",RANK(B28,$B$2:$B$34,0))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360ONE</t>
        </is>
      </c>
      <c r="D28" s="31" t="inlineStr">
        <is>
          <t>360 ONE WAM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48110.84</v>
      </c>
      <c r="I28" s="32" t="n">
        <v>1180</v>
      </c>
      <c r="J28" s="32" t="n">
        <v>-0.25</v>
      </c>
      <c r="K28" s="32" t="n">
        <v>790546</v>
      </c>
      <c r="L28" s="31" t="n">
        <v>20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58.9</v>
      </c>
      <c r="P28" s="32" t="n">
        <v>14.6</v>
      </c>
      <c r="Q28" s="32" t="n">
        <v>964.59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3.88</v>
      </c>
      <c r="U28" s="32" t="n">
        <v>14.87</v>
      </c>
      <c r="V28" s="32" t="n">
        <v>10.57</v>
      </c>
      <c r="W28" s="32" t="n">
        <v>4.45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0 to 20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IF(B29=0,"",RANK(B29,$B$2:$B$34,0))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PNB</t>
        </is>
      </c>
      <c r="D29" s="31" t="inlineStr">
        <is>
          <t>Punjab National Bank Ltd</t>
        </is>
      </c>
      <c r="E29" s="31" t="inlineStr">
        <is>
          <t>bank</t>
        </is>
      </c>
      <c r="F29" s="31" t="inlineStr">
        <is>
          <t>banks - public sector</t>
        </is>
      </c>
      <c r="G29" s="31" t="inlineStr">
        <is>
          <t>largecap</t>
        </is>
      </c>
      <c r="H29" s="32" t="n">
        <v>135145.52</v>
      </c>
      <c r="I29" s="32" t="n">
        <v>118</v>
      </c>
      <c r="J29" s="32" t="n">
        <v>0.35</v>
      </c>
      <c r="K29" s="32" t="n">
        <v>22198787</v>
      </c>
      <c r="L29" s="31" t="n">
        <v>33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61.65</v>
      </c>
      <c r="P29" s="32" t="n">
        <v>10.13</v>
      </c>
      <c r="Q29" s="32" t="n">
        <v>101.06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3.88</v>
      </c>
      <c r="U29" s="32" t="n">
        <v>14.26</v>
      </c>
      <c r="V29" s="32" t="n">
        <v>9.98</v>
      </c>
      <c r="W29" s="32" t="n">
        <v>7.22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Headwind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IF(B30=0,"",RANK(B30,$B$2:$B$34,0))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SBIN</t>
        </is>
      </c>
      <c r="D30" s="31" t="inlineStr">
        <is>
          <t>State Bank Of India Ltd</t>
        </is>
      </c>
      <c r="E30" s="31" t="inlineStr">
        <is>
          <t>bank</t>
        </is>
      </c>
      <c r="F30" s="31" t="inlineStr">
        <is>
          <t>banks - public sector</t>
        </is>
      </c>
      <c r="G30" s="31" t="inlineStr">
        <is>
          <t>largecap</t>
        </is>
      </c>
      <c r="H30" s="32" t="n">
        <v>999675.88</v>
      </c>
      <c r="I30" s="32" t="n">
        <v>1067.7</v>
      </c>
      <c r="J30" s="32" t="n">
        <v>-1.41</v>
      </c>
      <c r="K30" s="32" t="n">
        <v>12339929</v>
      </c>
      <c r="L30" s="31" t="n">
        <v>41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56.69</v>
      </c>
      <c r="P30" s="32" t="n">
        <v>10.69</v>
      </c>
      <c r="Q30" s="32" t="n">
        <v>945.49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3.88</v>
      </c>
      <c r="U30" s="32" t="n">
        <v>31.5</v>
      </c>
      <c r="V30" s="32" t="n">
        <v>26.59</v>
      </c>
      <c r="W30" s="32" t="n">
        <v>8.890000000000001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Headwind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IF(B31=0,"",RANK(B31,$B$2:$B$34,0))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GEOJITFSL</t>
        </is>
      </c>
      <c r="D31" s="31" t="inlineStr">
        <is>
          <t>Geojit Financial Services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2230.19</v>
      </c>
      <c r="I31" s="32" t="n">
        <v>80.38</v>
      </c>
      <c r="J31" s="32" t="n">
        <v>0.6</v>
      </c>
      <c r="K31" s="32" t="n">
        <v>407474</v>
      </c>
      <c r="L31" s="31" t="n">
        <v>23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61.92</v>
      </c>
      <c r="P31" s="32" t="n">
        <v>13.47</v>
      </c>
      <c r="Q31" s="32" t="n">
        <v>63.67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3.88</v>
      </c>
      <c r="U31" s="32" t="n">
        <v>13.01</v>
      </c>
      <c r="V31" s="32" t="n">
        <v>8.789999999999999</v>
      </c>
      <c r="W31" s="32" t="n">
        <v>4.84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Negative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IF(B32=0,"",RANK(B32,$B$2:$B$34,0))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BAJAJFINSV</t>
        </is>
      </c>
      <c r="D32" s="31" t="inlineStr">
        <is>
          <t>Bajaj Finserv Limited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324111.37</v>
      </c>
      <c r="I32" s="32" t="n">
        <v>2008.3</v>
      </c>
      <c r="J32" s="32" t="n">
        <v>-0.82</v>
      </c>
      <c r="K32" s="32" t="n">
        <v>1879140</v>
      </c>
      <c r="L32" s="31" t="n">
        <v>20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59.74</v>
      </c>
      <c r="P32" s="32" t="n">
        <v>16.84</v>
      </c>
      <c r="Q32" s="32" t="n">
        <v>1735.87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3.88</v>
      </c>
      <c r="U32" s="32" t="n">
        <v>4.41</v>
      </c>
      <c r="V32" s="32" t="n">
        <v>0.51</v>
      </c>
      <c r="W32" s="32" t="n">
        <v>4.66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Headwind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between 2.5x to 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IF(B33=0,"",RANK(B33,$B$2:$B$34,0))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SMCGLOBAL</t>
        </is>
      </c>
      <c r="D33" s="31" t="inlineStr">
        <is>
          <t>SMC Global Securities Ltd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smallcap</t>
        </is>
      </c>
      <c r="H33" s="32" t="n">
        <v>1655.73</v>
      </c>
      <c r="I33" s="32" t="n">
        <v>79.84999999999999</v>
      </c>
      <c r="J33" s="32" t="n">
        <v>0.99</v>
      </c>
      <c r="K33" s="32" t="n">
        <v>636461</v>
      </c>
      <c r="L33" s="31" t="n">
        <v>41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58.09</v>
      </c>
      <c r="P33" s="32" t="n">
        <v>18.64</v>
      </c>
      <c r="Q33" s="32" t="n">
        <v>62.58</v>
      </c>
      <c r="R33" s="31" t="inlineStr">
        <is>
          <t>Earnings / Momentum Support</t>
        </is>
      </c>
      <c r="S33" s="31" t="inlineStr">
        <is>
          <t>Nifty Bank</t>
        </is>
      </c>
      <c r="T33" s="32" t="n">
        <v>3.88</v>
      </c>
      <c r="U33" s="32" t="n">
        <v>16.85</v>
      </c>
      <c r="V33" s="32" t="n">
        <v>12.48</v>
      </c>
      <c r="W33" s="32" t="n">
        <v>8.85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No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IF(B34=0,"",RANK(B34,$B$2:$B$34,0))</f>
        <v/>
      </c>
      <c r="B34" s="32">
        <f>SUM(N34,Y34,AA34,AC34,AE34,AG34,AI34,AK34,AM34,AO34,AQ34,AS34,AU34,AW34,AY34,BA34,BC34,BE34,BG34,BI34,BK34,BM34,BO34,BQ34,BS34,BU34,BW34,BY34,CA34)</f>
        <v/>
      </c>
      <c r="C34" s="33" t="inlineStr">
        <is>
          <t>CRISIL</t>
        </is>
      </c>
      <c r="D34" s="33" t="inlineStr">
        <is>
          <t>Crisil Limited</t>
        </is>
      </c>
      <c r="E34" s="31" t="inlineStr">
        <is>
          <t>financials</t>
        </is>
      </c>
      <c r="F34" s="31" t="inlineStr">
        <is>
          <t>miscellaneous</t>
        </is>
      </c>
      <c r="G34" s="31" t="inlineStr">
        <is>
          <t>largecap</t>
        </is>
      </c>
      <c r="H34" s="32" t="n">
        <v>32662.79</v>
      </c>
      <c r="I34" s="32" t="n">
        <v>4480</v>
      </c>
      <c r="J34" s="32" t="n">
        <v>0.3</v>
      </c>
      <c r="K34" s="32" t="n">
        <v>14615</v>
      </c>
      <c r="L34" s="31" t="n">
        <v>3</v>
      </c>
      <c r="M34" s="31" t="inlineStr">
        <is>
          <t>Underperforming</t>
        </is>
      </c>
      <c r="N34" s="32">
        <f>IF(M34="Underperforming",-5,IF(L34&gt;=95,15,IF(L34&gt;=90,10,IF(L34&gt;=80,5,0))))</f>
        <v/>
      </c>
      <c r="O34" s="32" t="n">
        <v>56.84</v>
      </c>
      <c r="P34" s="32" t="n">
        <v>15.26</v>
      </c>
      <c r="Q34" s="32" t="n">
        <v>3826.6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3.88</v>
      </c>
      <c r="U34" s="32" t="n">
        <v>-14.91</v>
      </c>
      <c r="V34" s="32" t="n">
        <v>-18.09</v>
      </c>
      <c r="W34" s="32" t="n">
        <v>-1.24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</sheetData>
  <autoFilter ref="A1:CA34"/>
  <conditionalFormatting sqref="B2:B3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4">
    <cfRule type="cellIs" priority="34" operator="equal" dxfId="3" stopIfTrue="1">
      <formula>"Underperforming"</formula>
    </cfRule>
  </conditionalFormatting>
  <conditionalFormatting sqref="N2:N34">
    <cfRule type="cellIs" priority="35" operator="equal" dxfId="3" stopIfTrue="1">
      <formula>-5</formula>
    </cfRule>
  </conditionalFormatting>
  <conditionalFormatting sqref="Q2:Q34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34" showDropDown="0" showInputMessage="0" showErrorMessage="0" allowBlank="1" type="list">
      <formula1>"Growing Industry,Stagnant Industry,Cyclical in an Upturn"</formula1>
    </dataValidation>
    <dataValidation sqref="Z2:Z34" showDropDown="0" showInputMessage="0" showErrorMessage="0" allowBlank="1" type="list">
      <formula1>"Fragmented with Low ROE,Fragmented with High ROE,Highly Cyclical"</formula1>
    </dataValidation>
    <dataValidation sqref="AB2:AB34" showDropDown="0" showInputMessage="0" showErrorMessage="0" allowBlank="1" type="list">
      <formula1>"Yes,No"</formula1>
    </dataValidation>
    <dataValidation sqref="AD2:AD34" showDropDown="0" showInputMessage="0" showErrorMessage="0" allowBlank="1" type="list">
      <formula1>"Tailwind,Headwind"</formula1>
    </dataValidation>
    <dataValidation sqref="AF2:AF3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4" showDropDown="0" showInputMessage="0" showErrorMessage="0" allowBlank="1" type="list">
      <formula1>"Yes,No"</formula1>
    </dataValidation>
    <dataValidation sqref="AJ2:AJ34" showDropDown="0" showInputMessage="0" showErrorMessage="0" allowBlank="1" type="list">
      <formula1>"Yes,No,Not Applicable"</formula1>
    </dataValidation>
    <dataValidation sqref="AL2:AL34" showDropDown="0" showInputMessage="0" showErrorMessage="0" allowBlank="1" type="list">
      <formula1>"Yes,No"</formula1>
    </dataValidation>
    <dataValidation sqref="AN2:AN34" showDropDown="0" showInputMessage="0" showErrorMessage="0" allowBlank="1" type="list">
      <formula1>"Yes,No"</formula1>
    </dataValidation>
    <dataValidation sqref="AP2:AP34" showDropDown="0" showInputMessage="0" showErrorMessage="0" allowBlank="1" type="list">
      <formula1>"Yes,No"</formula1>
    </dataValidation>
    <dataValidation sqref="AR2:AR34" showDropDown="0" showInputMessage="0" showErrorMessage="0" allowBlank="1" type="list">
      <formula1>"Yes,No"</formula1>
    </dataValidation>
    <dataValidation sqref="AT2:AT34" showDropDown="0" showInputMessage="0" showErrorMessage="0" allowBlank="1" type="list">
      <formula1>"No,Yes"</formula1>
    </dataValidation>
    <dataValidation sqref="AV2:AV34" showDropDown="0" showInputMessage="0" showErrorMessage="0" allowBlank="1" type="list">
      <formula1>"No,Yes"</formula1>
    </dataValidation>
    <dataValidation sqref="AX2:AX34" showDropDown="0" showInputMessage="0" showErrorMessage="0" allowBlank="1" type="list">
      <formula1>"No,Yes CEO Resignation,Yes CEO Retirement"</formula1>
    </dataValidation>
    <dataValidation sqref="AZ2:AZ34" showDropDown="0" showInputMessage="0" showErrorMessage="0" allowBlank="1" type="list">
      <formula1>"No,Yes"</formula1>
    </dataValidation>
    <dataValidation sqref="BB2:BB34" showDropDown="0" showInputMessage="0" showErrorMessage="0" allowBlank="1" type="list">
      <formula1>"No,Yes"</formula1>
    </dataValidation>
    <dataValidation sqref="BD2:BD34" showDropDown="0" showInputMessage="0" showErrorMessage="0" allowBlank="1" type="list">
      <formula1>"Yes,No"</formula1>
    </dataValidation>
    <dataValidation sqref="BF2:BF34" showDropDown="0" showInputMessage="0" showErrorMessage="0" allowBlank="1" type="list">
      <formula1>"Yes,No"</formula1>
    </dataValidation>
    <dataValidation sqref="BH2:BH34" showDropDown="0" showInputMessage="0" showErrorMessage="0" allowBlank="1" type="list">
      <formula1>"Yes,No"</formula1>
    </dataValidation>
    <dataValidation sqref="BJ2:BJ3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4" showDropDown="0" showInputMessage="0" showErrorMessage="0" allowBlank="1" type="list">
      <formula1>"Above 40,20 to 40,0 to 20"</formula1>
    </dataValidation>
    <dataValidation sqref="BN2:BN34" showDropDown="0" showInputMessage="0" showErrorMessage="0" allowBlank="1" type="list">
      <formula1>"Between 50 to 75,Above 75,Below 45"</formula1>
    </dataValidation>
    <dataValidation sqref="BP2:BP34" showDropDown="0" showInputMessage="0" showErrorMessage="0" allowBlank="1" type="list">
      <formula1>"Stage 1,Stage 2,Stage 3,Stage 4"</formula1>
    </dataValidation>
    <dataValidation sqref="BR2:BR34" showDropDown="0" showInputMessage="0" showErrorMessage="0" allowBlank="1" type="list">
      <formula1>"Positive Trend,Negative Trend"</formula1>
    </dataValidation>
    <dataValidation sqref="BT2:BT34" showDropDown="0" showInputMessage="0" showErrorMessage="0" allowBlank="1" type="list">
      <formula1>"Uptrend,Sideways,Downtrend"</formula1>
    </dataValidation>
    <dataValidation sqref="BV2:BV34" showDropDown="0" showInputMessage="0" showErrorMessage="0" allowBlank="1" type="list">
      <formula1>"Uptrend,Sideways,Downtrend"</formula1>
    </dataValidation>
    <dataValidation sqref="BX2:BX3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3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IF(B2=0,"",RANK(B2,$B$2:$B$23,0))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138.2</v>
      </c>
      <c r="E2" s="32" t="inlineStr">
        <is>
          <t>5%</t>
        </is>
      </c>
      <c r="F2" s="32" t="n">
        <v>50000</v>
      </c>
      <c r="G2" s="32" t="n">
        <v>76</v>
      </c>
      <c r="H2" s="31" t="inlineStr">
        <is>
          <t>SCPL</t>
        </is>
      </c>
      <c r="I2" s="31" t="inlineStr">
        <is>
          <t>Sheetal Cool Products Ltd</t>
        </is>
      </c>
      <c r="J2" s="31" t="inlineStr">
        <is>
          <t>fmcg</t>
        </is>
      </c>
      <c r="K2" s="31" t="inlineStr">
        <is>
          <t>food - processing - indian</t>
        </is>
      </c>
      <c r="L2" s="31" t="inlineStr">
        <is>
          <t>smallcap</t>
        </is>
      </c>
      <c r="M2" s="32" t="n">
        <v>659.61</v>
      </c>
      <c r="N2" s="32" t="n">
        <v>653.05</v>
      </c>
      <c r="O2" s="32" t="n">
        <v>3.96</v>
      </c>
      <c r="P2" s="32" t="n">
        <v>113398</v>
      </c>
      <c r="Q2" s="31" t="inlineStr"/>
      <c r="R2" s="31" t="inlineStr"/>
      <c r="S2" s="32">
        <f>IF(R2="Underperforming",-5,IF(Q2&gt;=95,15,IF(Q2&gt;=90,10,IF(Q2&gt;=80,5,0))))</f>
        <v/>
      </c>
      <c r="T2" s="32" t="n">
        <v>74.31999999999999</v>
      </c>
      <c r="U2" s="32" t="n">
        <v>59.83</v>
      </c>
      <c r="V2" s="32" t="n">
        <v>464.55</v>
      </c>
      <c r="W2" s="31" t="inlineStr">
        <is>
          <t>Volume Spike &amp; Near 52W High Breakout</t>
        </is>
      </c>
      <c r="X2" s="31" t="inlineStr">
        <is>
          <t>Nifty FMCG</t>
        </is>
      </c>
      <c r="Y2" s="32" t="inlineStr"/>
      <c r="Z2" s="32" t="inlineStr"/>
      <c r="AA2" s="32" t="inlineStr"/>
      <c r="AB2" s="32" t="inlineStr"/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IF(B3=0,"",RANK(B3,$B$2:$B$23,0))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74</v>
      </c>
      <c r="H3" s="31" t="inlineStr">
        <is>
          <t>E2E</t>
        </is>
      </c>
      <c r="I3" s="31" t="inlineStr">
        <is>
          <t>E2E Networks Ltd</t>
        </is>
      </c>
      <c r="J3" s="31" t="inlineStr">
        <is>
          <t>i.t</t>
        </is>
      </c>
      <c r="K3" s="31" t="inlineStr">
        <is>
          <t>computers - software - medium / small</t>
        </is>
      </c>
      <c r="L3" s="31" t="inlineStr">
        <is>
          <t>midcap</t>
        </is>
      </c>
      <c r="M3" s="32" t="n">
        <v>13053.37</v>
      </c>
      <c r="N3" s="32" t="n">
        <v>666.75</v>
      </c>
      <c r="O3" s="32" t="n">
        <v>5</v>
      </c>
      <c r="P3" s="32" t="n">
        <v>1171587</v>
      </c>
      <c r="Q3" s="31" t="n">
        <v>98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77.37</v>
      </c>
      <c r="U3" s="32" t="n">
        <v>48.32</v>
      </c>
      <c r="V3" s="32" t="n">
        <v>475.6</v>
      </c>
      <c r="W3" s="31" t="inlineStr">
        <is>
          <t>Near 52W High Breakout</t>
        </is>
      </c>
      <c r="X3" s="31" t="inlineStr">
        <is>
          <t>Nifty IT</t>
        </is>
      </c>
      <c r="Y3" s="32" t="n">
        <v>-9.98</v>
      </c>
      <c r="Z3" s="32" t="n">
        <v>223.1</v>
      </c>
      <c r="AA3" s="32" t="n">
        <v>258.91</v>
      </c>
      <c r="AB3" s="32" t="n">
        <v>55.09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IF(B4=0,"",RANK(B4,$B$2:$B$23,0))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138.4</v>
      </c>
      <c r="E4" s="32" t="inlineStr">
        <is>
          <t>5%</t>
        </is>
      </c>
      <c r="F4" s="32" t="n">
        <v>50000</v>
      </c>
      <c r="G4" s="32" t="n">
        <v>61</v>
      </c>
      <c r="H4" s="31" t="inlineStr">
        <is>
          <t>UNIPARTS</t>
        </is>
      </c>
      <c r="I4" s="31" t="inlineStr">
        <is>
          <t>Uniparts India Ltd</t>
        </is>
      </c>
      <c r="J4" s="31" t="inlineStr">
        <is>
          <t>industrials</t>
        </is>
      </c>
      <c r="K4" s="31" t="inlineStr">
        <is>
          <t>engineering</t>
        </is>
      </c>
      <c r="L4" s="31" t="inlineStr">
        <is>
          <t>smallcap</t>
        </is>
      </c>
      <c r="M4" s="32" t="n">
        <v>3721.15</v>
      </c>
      <c r="N4" s="32" t="n">
        <v>816</v>
      </c>
      <c r="O4" s="32" t="n">
        <v>-1.01</v>
      </c>
      <c r="P4" s="32" t="n">
        <v>79311</v>
      </c>
      <c r="Q4" s="31" t="n">
        <v>88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79.48</v>
      </c>
      <c r="U4" s="32" t="n">
        <v>61.7</v>
      </c>
      <c r="V4" s="32" t="n">
        <v>653.83</v>
      </c>
      <c r="W4" s="31" t="inlineStr">
        <is>
          <t>Near 52W High Breakout</t>
        </is>
      </c>
      <c r="X4" s="31" t="inlineStr">
        <is>
          <t>Nifty 50</t>
        </is>
      </c>
      <c r="Y4" s="32" t="n">
        <v>-1.08</v>
      </c>
      <c r="Z4" s="32" t="n">
        <v>118.76</v>
      </c>
      <c r="AA4" s="32" t="n">
        <v>121.14</v>
      </c>
      <c r="AB4" s="32" t="n">
        <v>29.22</v>
      </c>
      <c r="AC4" s="31" t="inlineStr">
        <is>
          <t>Cyclical in an Upturn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IF(B5=0,"",RANK(B5,$B$2:$B$23,0))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139.2</v>
      </c>
      <c r="E5" s="32" t="inlineStr">
        <is>
          <t>5%</t>
        </is>
      </c>
      <c r="F5" s="32" t="n">
        <v>50000</v>
      </c>
      <c r="G5" s="32" t="n">
        <v>13</v>
      </c>
      <c r="H5" s="31" t="inlineStr">
        <is>
          <t>AJANTPHARM</t>
        </is>
      </c>
      <c r="I5" s="31" t="inlineStr">
        <is>
          <t>Ajanta Pharma Limited</t>
        </is>
      </c>
      <c r="J5" s="31" t="inlineStr">
        <is>
          <t>healthcare</t>
        </is>
      </c>
      <c r="K5" s="31" t="inlineStr">
        <is>
          <t>pharmaceuticals - indian - formulations</t>
        </is>
      </c>
      <c r="L5" s="31" t="inlineStr">
        <is>
          <t>largecap</t>
        </is>
      </c>
      <c r="M5" s="32" t="n">
        <v>45159.23</v>
      </c>
      <c r="N5" s="32" t="n">
        <v>3672.8</v>
      </c>
      <c r="O5" s="32" t="n">
        <v>1.61</v>
      </c>
      <c r="P5" s="32" t="n">
        <v>95494</v>
      </c>
      <c r="Q5" s="31" t="n">
        <v>47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75.08</v>
      </c>
      <c r="U5" s="32" t="n">
        <v>45.79</v>
      </c>
      <c r="V5" s="32" t="n">
        <v>3084.05</v>
      </c>
      <c r="W5" s="31" t="inlineStr">
        <is>
          <t>Near 52W High Breakout</t>
        </is>
      </c>
      <c r="X5" s="31" t="inlineStr">
        <is>
          <t>Nifty Pharma</t>
        </is>
      </c>
      <c r="Y5" s="32" t="n">
        <v>19.38</v>
      </c>
      <c r="Z5" s="32" t="n">
        <v>39.54</v>
      </c>
      <c r="AA5" s="32" t="n">
        <v>16.89</v>
      </c>
      <c r="AB5" s="32" t="n">
        <v>10.57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IF(B6=0,"",RANK(B6,$B$2:$B$23,0))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140</v>
      </c>
      <c r="E6" s="32" t="inlineStr">
        <is>
          <t>5%</t>
        </is>
      </c>
      <c r="F6" s="32" t="n">
        <v>50000</v>
      </c>
      <c r="G6" s="32" t="n">
        <v>95</v>
      </c>
      <c r="H6" s="31" t="inlineStr">
        <is>
          <t>PANACHE</t>
        </is>
      </c>
      <c r="I6" s="31" t="inlineStr">
        <is>
          <t>Panache Digilife Ltd</t>
        </is>
      </c>
      <c r="J6" s="31" t="inlineStr">
        <is>
          <t>i.t</t>
        </is>
      </c>
      <c r="K6" s="31" t="inlineStr">
        <is>
          <t>computers - hardware</t>
        </is>
      </c>
      <c r="L6" s="31" t="inlineStr">
        <is>
          <t>smallcap</t>
        </is>
      </c>
      <c r="M6" s="32" t="n">
        <v>800.38</v>
      </c>
      <c r="N6" s="32" t="n">
        <v>524.75</v>
      </c>
      <c r="O6" s="32" t="n">
        <v>4.99</v>
      </c>
      <c r="P6" s="32" t="n">
        <v>20144</v>
      </c>
      <c r="Q6" s="31" t="n">
        <v>89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72.34</v>
      </c>
      <c r="U6" s="32" t="n">
        <v>25.11</v>
      </c>
      <c r="V6" s="32" t="n">
        <v>394.78</v>
      </c>
      <c r="W6" s="31" t="inlineStr">
        <is>
          <t>Near 52W High Breakout</t>
        </is>
      </c>
      <c r="X6" s="31" t="inlineStr">
        <is>
          <t>Nifty IT</t>
        </is>
      </c>
      <c r="Y6" s="32" t="n">
        <v>-9.98</v>
      </c>
      <c r="Z6" s="32" t="n">
        <v>118.01</v>
      </c>
      <c r="AA6" s="32" t="n">
        <v>142.17</v>
      </c>
      <c r="AB6" s="32" t="n">
        <v>31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IF(B7=0,"",RANK(B7,$B$2:$B$23,0))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139.3</v>
      </c>
      <c r="E7" s="32" t="inlineStr">
        <is>
          <t>5%</t>
        </is>
      </c>
      <c r="F7" s="32" t="n">
        <v>50000</v>
      </c>
      <c r="G7" s="32" t="n">
        <v>23</v>
      </c>
      <c r="H7" s="31" t="inlineStr">
        <is>
          <t>HAPPYFORGE</t>
        </is>
      </c>
      <c r="I7" s="31" t="inlineStr">
        <is>
          <t>Happy Forgings Ltd</t>
        </is>
      </c>
      <c r="J7" s="31" t="inlineStr">
        <is>
          <t>industrials</t>
        </is>
      </c>
      <c r="K7" s="31" t="inlineStr">
        <is>
          <t>castings &amp; forgings</t>
        </is>
      </c>
      <c r="L7" s="31" t="inlineStr">
        <is>
          <t>midcap</t>
        </is>
      </c>
      <c r="M7" s="32" t="n">
        <v>18947.47</v>
      </c>
      <c r="N7" s="32" t="n">
        <v>2089.6</v>
      </c>
      <c r="O7" s="32" t="n">
        <v>4.08</v>
      </c>
      <c r="P7" s="32" t="n">
        <v>214369</v>
      </c>
      <c r="Q7" s="31" t="n">
        <v>87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85.79000000000001</v>
      </c>
      <c r="U7" s="32" t="n">
        <v>53.03</v>
      </c>
      <c r="V7" s="32" t="n">
        <v>1711.22</v>
      </c>
      <c r="W7" s="31" t="inlineStr">
        <is>
          <t>Near 52W High Breakout</t>
        </is>
      </c>
      <c r="X7" s="31" t="inlineStr">
        <is>
          <t>Nifty 50</t>
        </is>
      </c>
      <c r="Y7" s="32" t="n">
        <v>-1.08</v>
      </c>
      <c r="Z7" s="32" t="n">
        <v>121.45</v>
      </c>
      <c r="AA7" s="32" t="n">
        <v>123.87</v>
      </c>
      <c r="AB7" s="32" t="n">
        <v>28.76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Between 1.5 to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IF(B8=0,"",RANK(B8,$B$2:$B$23,0))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139.4</v>
      </c>
      <c r="E8" s="32" t="inlineStr">
        <is>
          <t>5%</t>
        </is>
      </c>
      <c r="F8" s="32" t="n">
        <v>50000</v>
      </c>
      <c r="G8" s="32" t="n">
        <v>18</v>
      </c>
      <c r="H8" s="31" t="inlineStr">
        <is>
          <t>AZAD</t>
        </is>
      </c>
      <c r="I8" s="31" t="inlineStr">
        <is>
          <t>Azad Engineering Ltd</t>
        </is>
      </c>
      <c r="J8" s="31" t="inlineStr">
        <is>
          <t>aerospace &amp; defence</t>
        </is>
      </c>
      <c r="K8" s="31" t="inlineStr">
        <is>
          <t>engineering</t>
        </is>
      </c>
      <c r="L8" s="31" t="inlineStr">
        <is>
          <t>midcap</t>
        </is>
      </c>
      <c r="M8" s="32" t="n">
        <v>17211.68</v>
      </c>
      <c r="N8" s="32" t="n">
        <v>2717.8</v>
      </c>
      <c r="O8" s="32" t="n">
        <v>1.98</v>
      </c>
      <c r="P8" s="32" t="n">
        <v>621810</v>
      </c>
      <c r="Q8" s="31" t="n">
        <v>71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68.02</v>
      </c>
      <c r="U8" s="32" t="n">
        <v>30.87</v>
      </c>
      <c r="V8" s="32" t="n">
        <v>2065.12</v>
      </c>
      <c r="W8" s="31" t="inlineStr">
        <is>
          <t>Near 52W High Breakout</t>
        </is>
      </c>
      <c r="X8" s="31" t="inlineStr">
        <is>
          <t>Nifty 50</t>
        </is>
      </c>
      <c r="Y8" s="32" t="n">
        <v>-1.08</v>
      </c>
      <c r="Z8" s="32" t="n">
        <v>75.25</v>
      </c>
      <c r="AA8" s="32" t="n">
        <v>77.16</v>
      </c>
      <c r="AB8" s="32" t="n">
        <v>18.78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IF(B9=0,"",RANK(B9,$B$2:$B$23,0))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138.8</v>
      </c>
      <c r="E9" s="32" t="inlineStr">
        <is>
          <t>5%</t>
        </is>
      </c>
      <c r="F9" s="32" t="n">
        <v>50000</v>
      </c>
      <c r="G9" s="32" t="n">
        <v>26</v>
      </c>
      <c r="H9" s="31" t="inlineStr">
        <is>
          <t>WELCORP</t>
        </is>
      </c>
      <c r="I9" s="31" t="inlineStr">
        <is>
          <t>Welspun Corp Limited</t>
        </is>
      </c>
      <c r="J9" s="31" t="inlineStr">
        <is>
          <t>industrials</t>
        </is>
      </c>
      <c r="K9" s="31" t="inlineStr">
        <is>
          <t>steel - large</t>
        </is>
      </c>
      <c r="L9" s="31" t="inlineStr">
        <is>
          <t>largecap</t>
        </is>
      </c>
      <c r="M9" s="32" t="n">
        <v>49695.52</v>
      </c>
      <c r="N9" s="32" t="n">
        <v>1873.3</v>
      </c>
      <c r="O9" s="32" t="n">
        <v>-0.5600000000000001</v>
      </c>
      <c r="P9" s="32" t="n">
        <v>554574</v>
      </c>
      <c r="Q9" s="31" t="inlineStr"/>
      <c r="R9" s="31" t="inlineStr"/>
      <c r="S9" s="32">
        <f>IF(R9="Underperforming",-5,IF(Q9&gt;=95,15,IF(Q9&gt;=90,10,IF(Q9&gt;=80,5,0))))</f>
        <v/>
      </c>
      <c r="T9" s="32" t="n">
        <v>88.86</v>
      </c>
      <c r="U9" s="32" t="n">
        <v>70.78</v>
      </c>
      <c r="V9" s="32" t="n">
        <v>1559.37</v>
      </c>
      <c r="W9" s="31" t="inlineStr">
        <is>
          <t>Near 52W High Breakout</t>
        </is>
      </c>
      <c r="X9" s="31" t="inlineStr">
        <is>
          <t>Nifty Metal</t>
        </is>
      </c>
      <c r="Y9" s="32" t="inlineStr"/>
      <c r="Z9" s="32" t="inlineStr"/>
      <c r="AA9" s="32" t="inlineStr"/>
      <c r="AB9" s="32" t="inlineStr"/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IF(B10=0,"",RANK(B10,$B$2:$B$23,0))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138.7</v>
      </c>
      <c r="E10" s="32" t="inlineStr">
        <is>
          <t>5%</t>
        </is>
      </c>
      <c r="F10" s="32" t="n">
        <v>50000</v>
      </c>
      <c r="G10" s="32" t="n">
        <v>9</v>
      </c>
      <c r="H10" s="31" t="inlineStr">
        <is>
          <t>HAL</t>
        </is>
      </c>
      <c r="I10" s="31" t="inlineStr">
        <is>
          <t>Hindustan Aeronautics Ltd</t>
        </is>
      </c>
      <c r="J10" s="31" t="inlineStr">
        <is>
          <t>aerospace &amp; defence</t>
        </is>
      </c>
      <c r="K10" s="31" t="inlineStr">
        <is>
          <t>engineering</t>
        </is>
      </c>
      <c r="L10" s="31" t="inlineStr">
        <is>
          <t>largecap</t>
        </is>
      </c>
      <c r="M10" s="32" t="n">
        <v>330709.24</v>
      </c>
      <c r="N10" s="32" t="n">
        <v>5029.9</v>
      </c>
      <c r="O10" s="32" t="n">
        <v>1.72</v>
      </c>
      <c r="P10" s="32" t="n">
        <v>3037755</v>
      </c>
      <c r="Q10" s="31" t="n">
        <v>27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67.84999999999999</v>
      </c>
      <c r="U10" s="32" t="n">
        <v>23.43</v>
      </c>
      <c r="V10" s="32" t="n">
        <v>4288.16</v>
      </c>
      <c r="W10" s="31" t="inlineStr">
        <is>
          <t>Volume Spike &amp; Near 52W High Breakout</t>
        </is>
      </c>
      <c r="X10" s="31" t="inlineStr">
        <is>
          <t>Nifty 50</t>
        </is>
      </c>
      <c r="Y10" s="32" t="n">
        <v>-1.08</v>
      </c>
      <c r="Z10" s="32" t="n">
        <v>11.94</v>
      </c>
      <c r="AA10" s="32" t="n">
        <v>13.16</v>
      </c>
      <c r="AB10" s="32" t="n">
        <v>5.61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Between 12 to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IF(B11=0,"",RANK(B11,$B$2:$B$23,0))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138.7</v>
      </c>
      <c r="E11" s="32" t="inlineStr">
        <is>
          <t>5%</t>
        </is>
      </c>
      <c r="F11" s="32" t="n">
        <v>50000</v>
      </c>
      <c r="G11" s="32" t="n">
        <v>38</v>
      </c>
      <c r="H11" s="31" t="inlineStr">
        <is>
          <t>DIVGIITTS</t>
        </is>
      </c>
      <c r="I11" s="31" t="inlineStr">
        <is>
          <t>Divgi Torqtransfer Systems Ltd</t>
        </is>
      </c>
      <c r="J11" s="31" t="inlineStr">
        <is>
          <t>auto</t>
        </is>
      </c>
      <c r="K11" s="31" t="inlineStr">
        <is>
          <t>auto ancillaries</t>
        </is>
      </c>
      <c r="L11" s="31" t="inlineStr">
        <is>
          <t>smallcap</t>
        </is>
      </c>
      <c r="M11" s="32" t="n">
        <v>3730.35</v>
      </c>
      <c r="N11" s="32" t="n">
        <v>1301.05</v>
      </c>
      <c r="O11" s="32" t="n">
        <v>6.67</v>
      </c>
      <c r="P11" s="32" t="n">
        <v>598493</v>
      </c>
      <c r="Q11" s="31" t="inlineStr"/>
      <c r="R11" s="31" t="inlineStr"/>
      <c r="S11" s="32">
        <f>IF(R11="Underperforming",-5,IF(Q11&gt;=95,15,IF(Q11&gt;=90,10,IF(Q11&gt;=80,5,0))))</f>
        <v/>
      </c>
      <c r="T11" s="32" t="n">
        <v>78.06999999999999</v>
      </c>
      <c r="U11" s="32" t="n">
        <v>45.29</v>
      </c>
      <c r="V11" s="32" t="n">
        <v>1003.17</v>
      </c>
      <c r="W11" s="31" t="inlineStr">
        <is>
          <t>Volume Spike &amp; Near 52W High Breakout</t>
        </is>
      </c>
      <c r="X11" s="31" t="inlineStr">
        <is>
          <t>Nifty Auto</t>
        </is>
      </c>
      <c r="Y11" s="32" t="inlineStr"/>
      <c r="Z11" s="32" t="inlineStr"/>
      <c r="AA11" s="32" t="inlineStr"/>
      <c r="AB11" s="32" t="inlineStr"/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IF(B12=0,"",RANK(B12,$B$2:$B$23,0))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138.6</v>
      </c>
      <c r="E12" s="32" t="inlineStr">
        <is>
          <t>5%</t>
        </is>
      </c>
      <c r="F12" s="32" t="n">
        <v>50000</v>
      </c>
      <c r="G12" s="32" t="n">
        <v>2</v>
      </c>
      <c r="H12" s="31" t="inlineStr">
        <is>
          <t>NEULANDLAB</t>
        </is>
      </c>
      <c r="I12" s="31" t="inlineStr">
        <is>
          <t>Neuland Laboratories Limited</t>
        </is>
      </c>
      <c r="J12" s="31" t="inlineStr">
        <is>
          <t>healthcare</t>
        </is>
      </c>
      <c r="K12" s="31" t="inlineStr">
        <is>
          <t>pharmaceuticals - indian - bulk drugs</t>
        </is>
      </c>
      <c r="L12" s="31" t="inlineStr">
        <is>
          <t>largecap</t>
        </is>
      </c>
      <c r="M12" s="32" t="n">
        <v>29774.32</v>
      </c>
      <c r="N12" s="32" t="n">
        <v>23330</v>
      </c>
      <c r="O12" s="32" t="n">
        <v>0.53</v>
      </c>
      <c r="P12" s="32" t="n">
        <v>83749</v>
      </c>
      <c r="Q12" s="31" t="n">
        <v>78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77.54000000000001</v>
      </c>
      <c r="U12" s="32" t="n">
        <v>52.42</v>
      </c>
      <c r="V12" s="32" t="n">
        <v>18728.68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19.38</v>
      </c>
      <c r="Z12" s="32" t="n">
        <v>75.95</v>
      </c>
      <c r="AA12" s="32" t="n">
        <v>47.39</v>
      </c>
      <c r="AB12" s="32" t="n">
        <v>23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Above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IF(B13=0,"",RANK(B13,$B$2:$B$23,0))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140</v>
      </c>
      <c r="E13" s="32" t="inlineStr">
        <is>
          <t>5%</t>
        </is>
      </c>
      <c r="F13" s="32" t="n">
        <v>50000</v>
      </c>
      <c r="G13" s="32" t="n">
        <v>34</v>
      </c>
      <c r="H13" s="31" t="inlineStr">
        <is>
          <t>KRN</t>
        </is>
      </c>
      <c r="I13" s="31" t="inlineStr">
        <is>
          <t>KRN Heat Exchanger and Refrigeration Ltd</t>
        </is>
      </c>
      <c r="J13" s="31" t="inlineStr">
        <is>
          <t>industrials</t>
        </is>
      </c>
      <c r="K13" s="31" t="inlineStr">
        <is>
          <t>engineering</t>
        </is>
      </c>
      <c r="L13" s="31" t="inlineStr">
        <is>
          <t>midcap</t>
        </is>
      </c>
      <c r="M13" s="32" t="n">
        <v>9153.709999999999</v>
      </c>
      <c r="N13" s="32" t="n">
        <v>1468.3</v>
      </c>
      <c r="O13" s="32" t="n">
        <v>5</v>
      </c>
      <c r="P13" s="32" t="n">
        <v>407623</v>
      </c>
      <c r="Q13" s="31" t="n">
        <v>72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69.95999999999999</v>
      </c>
      <c r="U13" s="32" t="n">
        <v>29.23</v>
      </c>
      <c r="V13" s="32" t="n">
        <v>1070.1</v>
      </c>
      <c r="W13" s="31" t="inlineStr">
        <is>
          <t>Volume Spike &amp; Near 52W High Breakout</t>
        </is>
      </c>
      <c r="X13" s="31" t="inlineStr">
        <is>
          <t>Nifty 50</t>
        </is>
      </c>
      <c r="Y13" s="32" t="n">
        <v>-1.08</v>
      </c>
      <c r="Z13" s="32" t="n">
        <v>72.13</v>
      </c>
      <c r="AA13" s="32" t="n">
        <v>74.01000000000001</v>
      </c>
      <c r="AB13" s="32" t="n">
        <v>19.56</v>
      </c>
      <c r="AC13" s="31" t="inlineStr">
        <is>
          <t>Cyclical in an Upturn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IF(B14=0,"",RANK(B14,$B$2:$B$23,0))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139.2</v>
      </c>
      <c r="E14" s="32" t="inlineStr">
        <is>
          <t>5%</t>
        </is>
      </c>
      <c r="F14" s="32" t="n">
        <v>50000</v>
      </c>
      <c r="G14" s="32" t="n">
        <v>262</v>
      </c>
      <c r="H14" s="31" t="inlineStr">
        <is>
          <t>KRISHANA</t>
        </is>
      </c>
      <c r="I14" s="31" t="inlineStr">
        <is>
          <t>Krishana Phoschem Ltd</t>
        </is>
      </c>
      <c r="J14" s="31" t="inlineStr">
        <is>
          <t>chemicals</t>
        </is>
      </c>
      <c r="K14" s="31" t="inlineStr">
        <is>
          <t>fertilizers</t>
        </is>
      </c>
      <c r="L14" s="31" t="inlineStr">
        <is>
          <t>smallcap</t>
        </is>
      </c>
      <c r="M14" s="32" t="n">
        <v>1168.17</v>
      </c>
      <c r="N14" s="32" t="n">
        <v>190.4</v>
      </c>
      <c r="O14" s="32" t="n">
        <v>0.77</v>
      </c>
      <c r="P14" s="32" t="n">
        <v>806599</v>
      </c>
      <c r="Q14" s="31" t="n">
        <v>76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79.43000000000001</v>
      </c>
      <c r="U14" s="32" t="n">
        <v>46.33</v>
      </c>
      <c r="V14" s="32" t="n">
        <v>150.15</v>
      </c>
      <c r="W14" s="31" t="inlineStr">
        <is>
          <t>Near 52W High Breakout</t>
        </is>
      </c>
      <c r="X14" s="31" t="inlineStr">
        <is>
          <t>Nifty 50</t>
        </is>
      </c>
      <c r="Y14" s="32" t="n">
        <v>-1.08</v>
      </c>
      <c r="Z14" s="32" t="n">
        <v>75.39</v>
      </c>
      <c r="AA14" s="32" t="n">
        <v>77.3</v>
      </c>
      <c r="AB14" s="32" t="n">
        <v>21.96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More than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IF(B15=0,"",RANK(B15,$B$2:$B$23,0))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138.7</v>
      </c>
      <c r="E15" s="32" t="inlineStr">
        <is>
          <t>5%</t>
        </is>
      </c>
      <c r="F15" s="32" t="n">
        <v>50000</v>
      </c>
      <c r="G15" s="32" t="n">
        <v>2</v>
      </c>
      <c r="H15" s="31" t="inlineStr">
        <is>
          <t>LMW</t>
        </is>
      </c>
      <c r="I15" s="31" t="inlineStr">
        <is>
          <t>LMW Ltd</t>
        </is>
      </c>
      <c r="J15" s="31" t="inlineStr">
        <is>
          <t>industrials</t>
        </is>
      </c>
      <c r="K15" s="31" t="inlineStr">
        <is>
          <t>textile machinery</t>
        </is>
      </c>
      <c r="L15" s="31" t="inlineStr">
        <is>
          <t>largecap</t>
        </is>
      </c>
      <c r="M15" s="32" t="n">
        <v>20027.42</v>
      </c>
      <c r="N15" s="32" t="n">
        <v>19100</v>
      </c>
      <c r="O15" s="32" t="n">
        <v>1.88</v>
      </c>
      <c r="P15" s="32" t="n">
        <v>11969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72.20999999999999</v>
      </c>
      <c r="U15" s="32" t="n">
        <v>34.19</v>
      </c>
      <c r="V15" s="32" t="n">
        <v>15491.27</v>
      </c>
      <c r="W15" s="31" t="inlineStr">
        <is>
          <t>Volume Spike &amp; Near 52W High Breakout</t>
        </is>
      </c>
      <c r="X15" s="31" t="inlineStr">
        <is>
          <t>Nifty Infra</t>
        </is>
      </c>
      <c r="Y15" s="32" t="inlineStr"/>
      <c r="Z15" s="32" t="inlineStr"/>
      <c r="AA15" s="32" t="inlineStr"/>
      <c r="AB15" s="32" t="inlineStr"/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IF(B16=0,"",RANK(B16,$B$2:$B$23,0))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138.6</v>
      </c>
      <c r="E16" s="32" t="inlineStr">
        <is>
          <t>5%</t>
        </is>
      </c>
      <c r="F16" s="32" t="n">
        <v>50000</v>
      </c>
      <c r="G16" s="32" t="n">
        <v>71</v>
      </c>
      <c r="H16" s="31" t="inlineStr">
        <is>
          <t>HEG</t>
        </is>
      </c>
      <c r="I16" s="31" t="inlineStr">
        <is>
          <t>Heg Limited</t>
        </is>
      </c>
      <c r="J16" s="31" t="inlineStr">
        <is>
          <t>industrials</t>
        </is>
      </c>
      <c r="K16" s="31" t="inlineStr">
        <is>
          <t>electrodes - graphites</t>
        </is>
      </c>
      <c r="L16" s="31" t="inlineStr">
        <is>
          <t>midcap</t>
        </is>
      </c>
      <c r="M16" s="32" t="n">
        <v>13257.56</v>
      </c>
      <c r="N16" s="32" t="n">
        <v>701</v>
      </c>
      <c r="O16" s="32" t="n">
        <v>2.04</v>
      </c>
      <c r="P16" s="32" t="n">
        <v>3739359</v>
      </c>
      <c r="Q16" s="31" t="n">
        <v>44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68.13</v>
      </c>
      <c r="U16" s="32" t="n">
        <v>26.97</v>
      </c>
      <c r="V16" s="32" t="n">
        <v>544.45</v>
      </c>
      <c r="W16" s="31" t="inlineStr">
        <is>
          <t>Near 52W High Breakout</t>
        </is>
      </c>
      <c r="X16" s="31" t="inlineStr">
        <is>
          <t>Nifty 50</t>
        </is>
      </c>
      <c r="Y16" s="32" t="n">
        <v>-1.08</v>
      </c>
      <c r="Z16" s="32" t="n">
        <v>39.79</v>
      </c>
      <c r="AA16" s="32" t="n">
        <v>41.31</v>
      </c>
      <c r="AB16" s="32" t="n">
        <v>9.74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Between 50 to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Between 12 to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IF(B17=0,"",RANK(B17,$B$2:$B$23,0))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138.6</v>
      </c>
      <c r="E17" s="32" t="inlineStr">
        <is>
          <t>5%</t>
        </is>
      </c>
      <c r="F17" s="32" t="n">
        <v>50000</v>
      </c>
      <c r="G17" s="32" t="n">
        <v>142</v>
      </c>
      <c r="H17" s="31" t="inlineStr">
        <is>
          <t>STEELCAS</t>
        </is>
      </c>
      <c r="I17" s="31" t="inlineStr">
        <is>
          <t>Steelcast Ltd</t>
        </is>
      </c>
      <c r="J17" s="31" t="inlineStr">
        <is>
          <t>industrials</t>
        </is>
      </c>
      <c r="K17" s="31" t="inlineStr">
        <is>
          <t>castings &amp; forgings</t>
        </is>
      </c>
      <c r="L17" s="31" t="inlineStr">
        <is>
          <t>smallcap</t>
        </is>
      </c>
      <c r="M17" s="32" t="n">
        <v>3584</v>
      </c>
      <c r="N17" s="32" t="n">
        <v>351.85</v>
      </c>
      <c r="O17" s="32" t="n">
        <v>-0.65</v>
      </c>
      <c r="P17" s="32" t="n">
        <v>120698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79.31</v>
      </c>
      <c r="U17" s="32" t="n">
        <v>40.67</v>
      </c>
      <c r="V17" s="32" t="n">
        <v>272.72</v>
      </c>
      <c r="W17" s="31" t="inlineStr">
        <is>
          <t>Near 52W High Breakout</t>
        </is>
      </c>
      <c r="X17" s="31" t="inlineStr">
        <is>
          <t>Nifty Infra</t>
        </is>
      </c>
      <c r="Y17" s="32" t="inlineStr"/>
      <c r="Z17" s="32" t="inlineStr"/>
      <c r="AA17" s="32" t="inlineStr"/>
      <c r="AB17" s="32" t="inlineStr"/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Between 12 to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No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IF(B18=0,"",RANK(B18,$B$2:$B$23,0))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139.5</v>
      </c>
      <c r="E18" s="32" t="inlineStr">
        <is>
          <t>5%</t>
        </is>
      </c>
      <c r="F18" s="32" t="n">
        <v>50000</v>
      </c>
      <c r="G18" s="32" t="n">
        <v>1</v>
      </c>
      <c r="H18" s="31" t="inlineStr">
        <is>
          <t>BOSCHLTD</t>
        </is>
      </c>
      <c r="I18" s="31" t="inlineStr">
        <is>
          <t>Bosch Limited</t>
        </is>
      </c>
      <c r="J18" s="31" t="inlineStr">
        <is>
          <t>auto</t>
        </is>
      </c>
      <c r="K18" s="31" t="inlineStr">
        <is>
          <t>auto ancillaries</t>
        </is>
      </c>
      <c r="L18" s="31" t="inlineStr">
        <is>
          <t>largecap</t>
        </is>
      </c>
      <c r="M18" s="32" t="n">
        <v>137894.27</v>
      </c>
      <c r="N18" s="32" t="n">
        <v>47100</v>
      </c>
      <c r="O18" s="32" t="n">
        <v>0.75</v>
      </c>
      <c r="P18" s="32" t="n">
        <v>66782</v>
      </c>
      <c r="Q18" s="31" t="inlineStr"/>
      <c r="R18" s="31" t="inlineStr"/>
      <c r="S18" s="32">
        <f>IF(R18="Underperforming",-5,IF(Q18&gt;=95,15,IF(Q18&gt;=90,10,IF(Q18&gt;=80,5,0))))</f>
        <v/>
      </c>
      <c r="T18" s="32" t="n">
        <v>74.38</v>
      </c>
      <c r="U18" s="32" t="n">
        <v>30.58</v>
      </c>
      <c r="V18" s="32" t="n">
        <v>39882.83</v>
      </c>
      <c r="W18" s="31" t="inlineStr">
        <is>
          <t>Volume Spike &amp; Near 52W High Breakout</t>
        </is>
      </c>
      <c r="X18" s="31" t="inlineStr">
        <is>
          <t>Nifty Auto</t>
        </is>
      </c>
      <c r="Y18" s="32" t="inlineStr"/>
      <c r="Z18" s="32" t="inlineStr"/>
      <c r="AA18" s="32" t="inlineStr"/>
      <c r="AB18" s="32" t="inlineStr"/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Less than 12%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IF(B19=0,"",RANK(B19,$B$2:$B$23,0))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EMA Crossover</t>
        </is>
      </c>
      <c r="D19" s="32" t="n">
        <v>152.9</v>
      </c>
      <c r="E19" s="32" t="inlineStr">
        <is>
          <t>7%</t>
        </is>
      </c>
      <c r="F19" s="32" t="n">
        <v>70000</v>
      </c>
      <c r="G19" s="32" t="n">
        <v>15</v>
      </c>
      <c r="H19" s="31" t="inlineStr">
        <is>
          <t>TVSSRICHAK</t>
        </is>
      </c>
      <c r="I19" s="31" t="inlineStr">
        <is>
          <t>Tvs Srichakra Limited</t>
        </is>
      </c>
      <c r="J19" s="31" t="inlineStr">
        <is>
          <t>auto</t>
        </is>
      </c>
      <c r="K19" s="31" t="inlineStr">
        <is>
          <t>tyres</t>
        </is>
      </c>
      <c r="L19" s="31" t="inlineStr">
        <is>
          <t>smallcap</t>
        </is>
      </c>
      <c r="M19" s="32" t="n">
        <v>3058.91</v>
      </c>
      <c r="N19" s="32" t="n">
        <v>4478.1</v>
      </c>
      <c r="O19" s="32" t="n">
        <v>12.1</v>
      </c>
      <c r="P19" s="32" t="n">
        <v>711409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63.48</v>
      </c>
      <c r="U19" s="32" t="n">
        <v>19.47</v>
      </c>
      <c r="V19" s="32" t="n">
        <v>3520.35</v>
      </c>
      <c r="W19" s="31" t="inlineStr">
        <is>
          <t>Volume Spike &amp; Near 52W High Breakout</t>
        </is>
      </c>
      <c r="X19" s="31" t="inlineStr">
        <is>
          <t>Nifty Auto</t>
        </is>
      </c>
      <c r="Y19" s="32" t="inlineStr"/>
      <c r="Z19" s="32" t="inlineStr"/>
      <c r="AA19" s="32" t="inlineStr"/>
      <c r="AB19" s="32" t="inlineStr"/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0 to 20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Yes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IF(B20=0,"",RANK(B20,$B$2:$B$23,0))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139.1</v>
      </c>
      <c r="E20" s="32" t="inlineStr">
        <is>
          <t>5%</t>
        </is>
      </c>
      <c r="F20" s="32" t="n">
        <v>50000</v>
      </c>
      <c r="G20" s="32" t="n">
        <v>173</v>
      </c>
      <c r="H20" s="31" t="inlineStr">
        <is>
          <t>COMSYN</t>
        </is>
      </c>
      <c r="I20" s="31" t="inlineStr">
        <is>
          <t>Commercial Syn Bags Ltd</t>
        </is>
      </c>
      <c r="J20" s="31" t="inlineStr">
        <is>
          <t>industrials</t>
        </is>
      </c>
      <c r="K20" s="31" t="inlineStr">
        <is>
          <t>packaging</t>
        </is>
      </c>
      <c r="L20" s="31" t="inlineStr">
        <is>
          <t>smallcap</t>
        </is>
      </c>
      <c r="M20" s="32" t="n">
        <v>1140.23</v>
      </c>
      <c r="N20" s="32" t="n">
        <v>288.33</v>
      </c>
      <c r="O20" s="32" t="n">
        <v>2.01</v>
      </c>
      <c r="P20" s="32" t="n">
        <v>398994</v>
      </c>
      <c r="Q20" s="31" t="n">
        <v>92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81.61</v>
      </c>
      <c r="U20" s="32" t="n">
        <v>60.86</v>
      </c>
      <c r="V20" s="32" t="n">
        <v>217.98</v>
      </c>
      <c r="W20" s="31" t="inlineStr">
        <is>
          <t>Volume Spike &amp; Near 52W High Breakout</t>
        </is>
      </c>
      <c r="X20" s="31" t="inlineStr">
        <is>
          <t>Nifty 50</t>
        </is>
      </c>
      <c r="Y20" s="32" t="n">
        <v>-1.08</v>
      </c>
      <c r="Z20" s="32" t="n">
        <v>103.96</v>
      </c>
      <c r="AA20" s="32" t="n">
        <v>106.18</v>
      </c>
      <c r="AB20" s="32" t="n">
        <v>37.94</v>
      </c>
      <c r="AC20" s="31" t="inlineStr">
        <is>
          <t>Cyclical in an Upturn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Above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Blue sky scenario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Between 0.7 to 1.2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IF(B21=0,"",RANK(B21,$B$2:$B$23,0))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139.3</v>
      </c>
      <c r="E21" s="32" t="inlineStr">
        <is>
          <t>5%</t>
        </is>
      </c>
      <c r="F21" s="32" t="n">
        <v>50000</v>
      </c>
      <c r="G21" s="32" t="n">
        <v>141</v>
      </c>
      <c r="H21" s="31" t="inlineStr">
        <is>
          <t>VSSL</t>
        </is>
      </c>
      <c r="I21" s="31" t="inlineStr">
        <is>
          <t>Vardhman Special Steels Limited</t>
        </is>
      </c>
      <c r="J21" s="31" t="inlineStr">
        <is>
          <t>metals &amp; mining</t>
        </is>
      </c>
      <c r="K21" s="31" t="inlineStr">
        <is>
          <t>steel - medium / small</t>
        </is>
      </c>
      <c r="L21" s="31" t="inlineStr">
        <is>
          <t>smallcap</t>
        </is>
      </c>
      <c r="M21" s="32" t="n">
        <v>3163.07</v>
      </c>
      <c r="N21" s="32" t="n">
        <v>353.35</v>
      </c>
      <c r="O21" s="32" t="n">
        <v>8.01</v>
      </c>
      <c r="P21" s="32" t="n">
        <v>784944</v>
      </c>
      <c r="Q21" s="31" t="inlineStr"/>
      <c r="R21" s="31" t="inlineStr"/>
      <c r="S21" s="32">
        <f>IF(R21="Underperforming",-5,IF(Q21&gt;=95,15,IF(Q21&gt;=90,10,IF(Q21&gt;=80,5,0))))</f>
        <v/>
      </c>
      <c r="T21" s="32" t="n">
        <v>76.81</v>
      </c>
      <c r="U21" s="32" t="n">
        <v>24.7</v>
      </c>
      <c r="V21" s="32" t="n">
        <v>283.81</v>
      </c>
      <c r="W21" s="31" t="inlineStr">
        <is>
          <t>Volume Spike &amp; Near 52W High Breakout</t>
        </is>
      </c>
      <c r="X21" s="31" t="inlineStr">
        <is>
          <t>Nifty Metal</t>
        </is>
      </c>
      <c r="Y21" s="32" t="inlineStr"/>
      <c r="Z21" s="32" t="inlineStr"/>
      <c r="AA21" s="32" t="inlineStr"/>
      <c r="AB21" s="32" t="inlineStr"/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Too Many Players with High ROCE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No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20 to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Less than 1.5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IF(B22=0,"",RANK(B22,$B$2:$B$23,0))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138.5</v>
      </c>
      <c r="E22" s="32" t="inlineStr">
        <is>
          <t>5%</t>
        </is>
      </c>
      <c r="F22" s="32" t="n">
        <v>50000</v>
      </c>
      <c r="G22" s="32" t="n">
        <v>296</v>
      </c>
      <c r="H22" s="31" t="inlineStr">
        <is>
          <t>MBAPL</t>
        </is>
      </c>
      <c r="I22" s="31" t="inlineStr">
        <is>
          <t>Madhya Bharat Agro Products Ltd</t>
        </is>
      </c>
      <c r="J22" s="31" t="inlineStr">
        <is>
          <t>chemicals</t>
        </is>
      </c>
      <c r="K22" s="31" t="inlineStr">
        <is>
          <t>fertilizers</t>
        </is>
      </c>
      <c r="L22" s="31" t="inlineStr">
        <is>
          <t>smallcap</t>
        </is>
      </c>
      <c r="M22" s="32" t="n">
        <v>1473.18</v>
      </c>
      <c r="N22" s="32" t="n">
        <v>168</v>
      </c>
      <c r="O22" s="32" t="n">
        <v>-0.07000000000000001</v>
      </c>
      <c r="P22" s="32" t="n">
        <v>428268</v>
      </c>
      <c r="Q22" s="31" t="n">
        <v>86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81.73999999999999</v>
      </c>
      <c r="U22" s="32" t="n">
        <v>65.77</v>
      </c>
      <c r="V22" s="32" t="n">
        <v>134.83</v>
      </c>
      <c r="W22" s="31" t="inlineStr">
        <is>
          <t>Near 52W High Breakout</t>
        </is>
      </c>
      <c r="X22" s="31" t="inlineStr">
        <is>
          <t>Nifty 50</t>
        </is>
      </c>
      <c r="Y22" s="32" t="n">
        <v>-1.08</v>
      </c>
      <c r="Z22" s="32" t="n">
        <v>99.98</v>
      </c>
      <c r="AA22" s="32" t="n">
        <v>102.16</v>
      </c>
      <c r="AB22" s="32" t="n">
        <v>28.17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Above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Between 12 to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  <row r="23">
      <c r="A23" s="31">
        <f>IF(B23=0,"",RANK(B23,$B$2:$B$23,0))</f>
        <v/>
      </c>
      <c r="B23" s="32">
        <f>SUM(S23,AD23,AF23,AH23,AJ23,AL23,AN23,AP23,AR23,AT23,AV23,AX23,AZ23,BB23,BD23,BF23,BH23,BJ23,BL23,BN23,BP23,BR23,BT23,BV23,BX23,BZ23,CB23,CD23,CF23,CH23,CJ23)</f>
        <v/>
      </c>
      <c r="C23" s="31" t="inlineStr">
        <is>
          <t>EMA Crossover</t>
        </is>
      </c>
      <c r="D23" s="32" t="n">
        <v>142.1</v>
      </c>
      <c r="E23" s="32" t="inlineStr">
        <is>
          <t>7%</t>
        </is>
      </c>
      <c r="F23" s="32" t="n">
        <v>70000</v>
      </c>
      <c r="G23" s="32" t="n">
        <v>417</v>
      </c>
      <c r="H23" s="31" t="inlineStr">
        <is>
          <t>CESC</t>
        </is>
      </c>
      <c r="I23" s="31" t="inlineStr">
        <is>
          <t>Cesc Limited</t>
        </is>
      </c>
      <c r="J23" s="31" t="inlineStr">
        <is>
          <t>power &amp; utilities</t>
        </is>
      </c>
      <c r="K23" s="31" t="inlineStr">
        <is>
          <t>power generation and supply</t>
        </is>
      </c>
      <c r="L23" s="31" t="inlineStr">
        <is>
          <t>largecap</t>
        </is>
      </c>
      <c r="M23" s="32" t="n">
        <v>21849.38</v>
      </c>
      <c r="N23" s="32" t="n">
        <v>167.83</v>
      </c>
      <c r="O23" s="32" t="n">
        <v>1.82</v>
      </c>
      <c r="P23" s="32" t="n">
        <v>5557236</v>
      </c>
      <c r="Q23" s="31" t="n">
        <v>10</v>
      </c>
      <c r="R23" s="31" t="inlineStr">
        <is>
          <t>Outperforming</t>
        </is>
      </c>
      <c r="S23" s="32">
        <f>IF(R23="Underperforming",-5,IF(Q23&gt;=95,15,IF(Q23&gt;=90,10,IF(Q23&gt;=80,5,0))))</f>
        <v/>
      </c>
      <c r="T23" s="32" t="n">
        <v>50.74</v>
      </c>
      <c r="U23" s="32" t="n">
        <v>18.01</v>
      </c>
      <c r="V23" s="32" t="n">
        <v>152.75</v>
      </c>
      <c r="W23" s="31" t="inlineStr">
        <is>
          <t>Volume Spike / Accumulation</t>
        </is>
      </c>
      <c r="X23" s="31" t="inlineStr">
        <is>
          <t>Nifty IT</t>
        </is>
      </c>
      <c r="Y23" s="32" t="n">
        <v>-9.98</v>
      </c>
      <c r="Z23" s="32" t="n">
        <v>6.47</v>
      </c>
      <c r="AA23" s="32" t="n">
        <v>18.27</v>
      </c>
      <c r="AB23" s="32" t="n">
        <v>0.6</v>
      </c>
      <c r="AC23" s="31" t="inlineStr">
        <is>
          <t>Growing Industry</t>
        </is>
      </c>
      <c r="AD23" s="31">
        <f>IF(AC23="Growing Industry",10,IF(AC23="Cyclical in an Upturn",5,0))</f>
        <v/>
      </c>
      <c r="AE23" s="31" t="inlineStr">
        <is>
          <t>Too Many Players with High ROCE</t>
        </is>
      </c>
      <c r="AF23" s="31">
        <f>IF(AE23="Monopoly",10,IF(AE23="Oligopoly",5,IF(AE23="Duopoly that cooperate",10,IF(AE23="Duopoly that compete",5,IF(AE23="Too many players with High ROCE",5,0)))))</f>
        <v/>
      </c>
      <c r="AG23" s="31" t="inlineStr">
        <is>
          <t>No</t>
        </is>
      </c>
      <c r="AH23" s="31">
        <f>IF(AG23="No",5,0)</f>
        <v/>
      </c>
      <c r="AI23" s="31" t="inlineStr">
        <is>
          <t>Tailwind</t>
        </is>
      </c>
      <c r="AJ23" s="31">
        <f>IF(AI23="Tailwind",10,0)</f>
        <v/>
      </c>
      <c r="AK23" s="31" t="inlineStr">
        <is>
          <t>Structural (10 Years Consistency)</t>
        </is>
      </c>
      <c r="AL23" s="31">
        <f>IF(AK23="Structural (10 Years Consistency)",10,IF(AK23="Shallow Cyclical (2 to 3 years growth)",5,0))</f>
        <v/>
      </c>
      <c r="AM23" s="31" t="inlineStr">
        <is>
          <t>No</t>
        </is>
      </c>
      <c r="AN23" s="31">
        <f>IF(AM23="Yes due to Product Mix change or Operating Leverage",10,IF(AM23="Yes, these are peak margins",-5,IF(AM23="No",5,0)))</f>
        <v/>
      </c>
      <c r="AO23" s="31" t="inlineStr">
        <is>
          <t>Stable</t>
        </is>
      </c>
      <c r="AP23" s="31">
        <f>IF(AO23="Stable",10,0)</f>
        <v/>
      </c>
      <c r="AQ23" s="31" t="inlineStr">
        <is>
          <t>Yes</t>
        </is>
      </c>
      <c r="AR23" s="31">
        <f>IF(AQ23="Yes",10,0)</f>
        <v/>
      </c>
      <c r="AS23" s="31" t="inlineStr">
        <is>
          <t>B2B</t>
        </is>
      </c>
      <c r="AT23" s="31">
        <f>IF(AS23="B2C",10,IF(AS23="B2B",5,0))</f>
        <v/>
      </c>
      <c r="AU23" s="31" t="inlineStr">
        <is>
          <t>Yes</t>
        </is>
      </c>
      <c r="AV23" s="31">
        <f>IF(AU23="Yes",10,0)</f>
        <v/>
      </c>
      <c r="AW23" s="31" t="inlineStr">
        <is>
          <t>Higher One Time, Lower Annuity</t>
        </is>
      </c>
      <c r="AX23" s="31">
        <f>IF(AW23="Fully Annuity",10,IF(AW23="Higher Annuity, Lower One Time",5,IF(AW23="Higher One Time, Lower Annuity",3,0)))</f>
        <v/>
      </c>
      <c r="AY23" s="31" t="inlineStr">
        <is>
          <t>Good</t>
        </is>
      </c>
      <c r="AZ23" s="31">
        <f>IF(AY23="Good",10,0)</f>
        <v/>
      </c>
      <c r="BA23" s="31" t="inlineStr">
        <is>
          <t>Yes for more than 2 years</t>
        </is>
      </c>
      <c r="BB23" s="31">
        <f>IF(BA23="Yes for more than 2 years",10,IF(BA23="Yes only for next 1 to 2 years",5,0))</f>
        <v/>
      </c>
      <c r="BC23" s="31" t="inlineStr">
        <is>
          <t>0 to 20</t>
        </is>
      </c>
      <c r="BD23" s="31">
        <f>IF(BC23="Above 40",20,IF(BC23="20 to 40",10,IF(BC23="0 to 20",-5,0)))</f>
        <v/>
      </c>
      <c r="BE23" s="31" t="inlineStr">
        <is>
          <t>Between 50 to 75</t>
        </is>
      </c>
      <c r="BF23" s="31">
        <f>IF(BE23="Between 50 to 75",10,IF(BE23="Above 75",0,0))</f>
        <v/>
      </c>
      <c r="BG23" s="31" t="inlineStr">
        <is>
          <t>Stage 1</t>
        </is>
      </c>
      <c r="BH23" s="31">
        <f>IF(BG23="Stage 2",20,IF(BG23="Stage 1",0,IF(BG23="Stage 3",5,IF(BG23="Stage 4",-5,0))))</f>
        <v/>
      </c>
      <c r="BI23" s="31" t="inlineStr">
        <is>
          <t>Positive Trend</t>
        </is>
      </c>
      <c r="BJ23" s="31">
        <f>IF(BI23="Positive Trend",20,IF(BI23="Negative Trend",-10,0))</f>
        <v/>
      </c>
      <c r="BK23" s="31" t="inlineStr">
        <is>
          <t>Uptrend</t>
        </is>
      </c>
      <c r="BL23" s="31">
        <f>IF(BK23="Uptrend",10,IF(BK23="Sideways",5,0))</f>
        <v/>
      </c>
      <c r="BM23" s="31" t="inlineStr">
        <is>
          <t>Uptrend</t>
        </is>
      </c>
      <c r="BN23" s="31">
        <f>IF(BM23="Uptrend",10,IF(BM23="Sideways",5,0))</f>
        <v/>
      </c>
      <c r="BO23" s="31" t="inlineStr">
        <is>
          <t>Close to 52 week high or retracement</t>
        </is>
      </c>
      <c r="BP23" s="31">
        <f>IF(BO23="Overhead supply in last 2 years in last 2 years",-5,IF(BO23="Close to 52 week high or retracement",5,IF(BO23="Blue sky scenario",10,IF(BO23="Long term Downtrend",-10,0))))</f>
        <v/>
      </c>
      <c r="BQ23" s="31" t="inlineStr">
        <is>
          <t>Yes</t>
        </is>
      </c>
      <c r="BR23" s="31">
        <f>IF(BQ23="Yes",10,0)</f>
        <v/>
      </c>
      <c r="BS23" s="31" t="inlineStr">
        <is>
          <t>Between 12 to 20%</t>
        </is>
      </c>
      <c r="BT23" s="31">
        <f>IF(BS23="More than 20%",10,IF(BS23="Between 12 to 20%",5,IF(BS23="Less than 12%",0,0)))</f>
        <v/>
      </c>
      <c r="BU23" s="31" t="inlineStr">
        <is>
          <t>No</t>
        </is>
      </c>
      <c r="BV23" s="31">
        <f>IF(BU23="No",10,0)</f>
        <v/>
      </c>
      <c r="BW23" s="31" t="inlineStr">
        <is>
          <t>No</t>
        </is>
      </c>
      <c r="BX23" s="31">
        <f>IF(BW23="NO",5,0)</f>
        <v/>
      </c>
      <c r="BY23" s="31" t="inlineStr">
        <is>
          <t>Less than 1.5</t>
        </is>
      </c>
      <c r="BZ23" s="31">
        <f>IF(BY23="Above 2",0,IF(BY23="Between 1.5 to 2",5,IF(BY23="Less than 1.5",10,0)))</f>
        <v/>
      </c>
      <c r="CA23" s="31" t="inlineStr">
        <is>
          <t>Above 70%</t>
        </is>
      </c>
      <c r="CB23" s="31">
        <f>IF(CA23="Above 70%",10,IF(CA23="Between 50% to 70%",5,IF(CA23="Less than 50%",0,IF(CA23="Negative",-10,IF(CA23="Less than 50% and Borrowings are increasing",-5,0)))))</f>
        <v/>
      </c>
      <c r="CC23" s="31" t="inlineStr">
        <is>
          <t>More than 1.2</t>
        </is>
      </c>
      <c r="CD23" s="31">
        <f>IF(CC23="More than 1.2",-10,IF(CC23="Between 0.7 to 1.2",0,IF(CC23="Less than 0.7",10,0)))</f>
        <v/>
      </c>
      <c r="CE23" s="31" t="inlineStr">
        <is>
          <t>No</t>
        </is>
      </c>
      <c r="CF23" s="31">
        <f>IF(CE23="Yes",-10,0)</f>
        <v/>
      </c>
      <c r="CG23" s="31" t="inlineStr">
        <is>
          <t>Less than 15%</t>
        </is>
      </c>
      <c r="CH23" s="31">
        <f>IF(CG23="More than 15%",-10,IF(CG23="Less than 15%",10,0))</f>
        <v/>
      </c>
      <c r="CI23" s="31" t="inlineStr">
        <is>
          <t>No</t>
        </is>
      </c>
      <c r="CJ23" s="31">
        <f>IF(CI23="Yes, more than 10%",-10,IF(CI23="No",10,0))</f>
        <v/>
      </c>
    </row>
  </sheetData>
  <autoFilter ref="A1:CJ23"/>
  <conditionalFormatting sqref="B2:B2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3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3">
    <cfRule type="cellIs" priority="36" operator="equal" dxfId="3" stopIfTrue="1">
      <formula>"Underperforming"</formula>
    </cfRule>
  </conditionalFormatting>
  <conditionalFormatting sqref="S2:S23">
    <cfRule type="cellIs" priority="37" operator="equal" dxfId="3" stopIfTrue="1">
      <formula>-5</formula>
    </cfRule>
  </conditionalFormatting>
  <conditionalFormatting sqref="V2:V23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3" showDropDown="0" showInputMessage="0" showErrorMessage="0" allowBlank="1" type="list">
      <formula1>"Growing Industry,Stagnant Industry,Cyclical in an Upturn"</formula1>
    </dataValidation>
    <dataValidation sqref="AE2:AE23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3" showDropDown="0" showInputMessage="0" showErrorMessage="0" allowBlank="1" type="list">
      <formula1>"Yes,No"</formula1>
    </dataValidation>
    <dataValidation sqref="AI2:AI23" showDropDown="0" showInputMessage="0" showErrorMessage="0" allowBlank="1" type="list">
      <formula1>"Tailwind,Headwind"</formula1>
    </dataValidation>
    <dataValidation sqref="AK2:AK23" showDropDown="0" showInputMessage="0" showErrorMessage="0" allowBlank="1" type="list">
      <formula1>"Structural (10 Years Consistency),Shallow Cyclical (2 to 3 Years Growth),Cyclical"</formula1>
    </dataValidation>
    <dataValidation sqref="AM2:AM23" showDropDown="0" showInputMessage="0" showErrorMessage="0" allowBlank="1" type="list">
      <formula1>"Yes due to Product Mix change or Operating Leverage,Yes, these are peak margins,No"</formula1>
    </dataValidation>
    <dataValidation sqref="AO2:AO23" showDropDown="0" showInputMessage="0" showErrorMessage="0" allowBlank="1" type="list">
      <formula1>"Stable,Volatile"</formula1>
    </dataValidation>
    <dataValidation sqref="AQ2:AQ23" showDropDown="0" showInputMessage="0" showErrorMessage="0" allowBlank="1" type="list">
      <formula1>"Yes,No"</formula1>
    </dataValidation>
    <dataValidation sqref="AS2:AS23" showDropDown="0" showInputMessage="0" showErrorMessage="0" allowBlank="1" type="list">
      <formula1>"B2C,B2B,B2G"</formula1>
    </dataValidation>
    <dataValidation sqref="AU2:AU23" showDropDown="0" showInputMessage="0" showErrorMessage="0" allowBlank="1" type="list">
      <formula1>"Yes,No"</formula1>
    </dataValidation>
    <dataValidation sqref="AW2:AW23" showDropDown="0" showInputMessage="0" showErrorMessage="0" allowBlank="1" type="list">
      <formula1>"Fully Annuity,Higher Annuity, Lower One time,Higher One Time, Lower Annuity,Fully One Time"</formula1>
    </dataValidation>
    <dataValidation sqref="AY2:AY23" showDropDown="0" showInputMessage="0" showErrorMessage="0" allowBlank="1" type="list">
      <formula1>"Good,Allocated capital in Non-core Areas"</formula1>
    </dataValidation>
    <dataValidation sqref="BA2:BA23" showDropDown="0" showInputMessage="0" showErrorMessage="0" allowBlank="1" type="list">
      <formula1>"Yes for more than 2 years,Yes only for next 1 to 2 years,No"</formula1>
    </dataValidation>
    <dataValidation sqref="BC2:BC23" showDropDown="0" showInputMessage="0" showErrorMessage="0" allowBlank="1" type="list">
      <formula1>"Above 40,20 to 40,0 to 20"</formula1>
    </dataValidation>
    <dataValidation sqref="BE2:BE23" showDropDown="0" showInputMessage="0" showErrorMessage="0" allowBlank="1" type="list">
      <formula1>"Between 50 to 75,Above 75,Below 45"</formula1>
    </dataValidation>
    <dataValidation sqref="BG2:BG23" showDropDown="0" showInputMessage="0" showErrorMessage="0" allowBlank="1" type="list">
      <formula1>"Stage 1,Stage 2,Stage 3,Stage 4"</formula1>
    </dataValidation>
    <dataValidation sqref="BI2:BI23" showDropDown="0" showInputMessage="0" showErrorMessage="0" allowBlank="1" type="list">
      <formula1>"Positive Trend,Negative Trend"</formula1>
    </dataValidation>
    <dataValidation sqref="BK2:BK23" showDropDown="0" showInputMessage="0" showErrorMessage="0" allowBlank="1" type="list">
      <formula1>"Uptrend,Sideways,Downtrend"</formula1>
    </dataValidation>
    <dataValidation sqref="BM2:BM23" showDropDown="0" showInputMessage="0" showErrorMessage="0" allowBlank="1" type="list">
      <formula1>"Uptrend,Sideways,Downtrend"</formula1>
    </dataValidation>
    <dataValidation sqref="BO2:BO2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3" showDropDown="0" showInputMessage="0" showErrorMessage="0" allowBlank="1" type="list">
      <formula1>"Yes,No"</formula1>
    </dataValidation>
    <dataValidation sqref="BS2:BS23" showDropDown="0" showInputMessage="0" showErrorMessage="0" allowBlank="1" type="list">
      <formula1>"More than 20%,Between 12 to 20%,Less than 12%"</formula1>
    </dataValidation>
    <dataValidation sqref="BU2:BU23" showDropDown="0" showInputMessage="0" showErrorMessage="0" allowBlank="1" type="list">
      <formula1>"Yes,No"</formula1>
    </dataValidation>
    <dataValidation sqref="BW2:BW23" showDropDown="0" showInputMessage="0" showErrorMessage="0" allowBlank="1" type="list">
      <formula1>"Yes,No"</formula1>
    </dataValidation>
    <dataValidation sqref="BY2:BY23" showDropDown="0" showInputMessage="0" showErrorMessage="0" allowBlank="1" type="list">
      <formula1>"Above 2,Between 1.5 to 2,Less than 1.5"</formula1>
    </dataValidation>
    <dataValidation sqref="CA2:CA23" showDropDown="0" showInputMessage="0" showErrorMessage="0" allowBlank="1" type="list">
      <formula1>"Above 70%,Between 50% to 70%,Less than 50%,Less than 50% and Borrowings are increasing,Negative"</formula1>
    </dataValidation>
    <dataValidation sqref="CC2:CC23" showDropDown="0" showInputMessage="0" showErrorMessage="0" allowBlank="1" type="list">
      <formula1>"More than 1.2,Between 0.7 to 1.2,Less than 0.7"</formula1>
    </dataValidation>
    <dataValidation sqref="CE2:CE23" showDropDown="0" showInputMessage="0" showErrorMessage="0" allowBlank="1" type="list">
      <formula1>"Yes,No"</formula1>
    </dataValidation>
    <dataValidation sqref="CG2:CG23" showDropDown="0" showInputMessage="0" showErrorMessage="0" allowBlank="1" type="list">
      <formula1>"More than 15%,Less than 15%"</formula1>
    </dataValidation>
    <dataValidation sqref="CI2:CI23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6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PIXTRANS</t>
        </is>
      </c>
      <c r="D2" s="31" t="inlineStr">
        <is>
          <t>Pix Transmission Ltd</t>
        </is>
      </c>
      <c r="E2" s="31" t="inlineStr">
        <is>
          <t>fmcg</t>
        </is>
      </c>
      <c r="F2" s="31" t="inlineStr">
        <is>
          <t>Rubber Processing/Rubber Products</t>
        </is>
      </c>
      <c r="G2" s="31" t="inlineStr">
        <is>
          <t>smallcap</t>
        </is>
      </c>
      <c r="H2" s="32" t="n">
        <v>2586.06</v>
      </c>
      <c r="I2" s="32" t="n">
        <v>1898</v>
      </c>
      <c r="J2" s="32" t="n">
        <v>-1.43</v>
      </c>
      <c r="K2" s="32" t="n">
        <v>0</v>
      </c>
      <c r="L2" s="31" t="inlineStr"/>
      <c r="M2" s="31" t="inlineStr"/>
      <c r="N2" s="32">
        <f>IF(M2="Underperforming",-5,IF(L2&gt;=95,15,IF(L2&gt;=90,10,IF(L2&gt;=80,5,0))))</f>
        <v/>
      </c>
      <c r="O2" s="32" t="n">
        <v>69.88</v>
      </c>
      <c r="P2" s="32" t="n">
        <v>45.06</v>
      </c>
      <c r="Q2" s="32" t="n">
        <v>1488.55</v>
      </c>
      <c r="R2" s="31" t="inlineStr">
        <is>
          <t>Volume Spike &amp; Near 52W High Breakout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VADILALIND</t>
        </is>
      </c>
      <c r="D3" s="31" t="inlineStr">
        <is>
          <t>Vadilal Industries Ltd</t>
        </is>
      </c>
      <c r="E3" s="31" t="inlineStr">
        <is>
          <t>fmcg</t>
        </is>
      </c>
      <c r="F3" s="31" t="inlineStr">
        <is>
          <t>FMCG - Dairy Products</t>
        </is>
      </c>
      <c r="G3" s="31" t="inlineStr">
        <is>
          <t>midcap</t>
        </is>
      </c>
      <c r="H3" s="32" t="n">
        <v>5580.63</v>
      </c>
      <c r="I3" s="32" t="n">
        <v>7764</v>
      </c>
      <c r="J3" s="32" t="n">
        <v>-0.22</v>
      </c>
      <c r="K3" s="32" t="n">
        <v>0</v>
      </c>
      <c r="L3" s="31" t="inlineStr"/>
      <c r="M3" s="31" t="inlineStr"/>
      <c r="N3" s="32">
        <f>IF(M3="Underperforming",-5,IF(L3&gt;=95,15,IF(L3&gt;=90,10,IF(L3&gt;=80,5,0))))</f>
        <v/>
      </c>
      <c r="O3" s="32" t="n">
        <v>79.42</v>
      </c>
      <c r="P3" s="32" t="n">
        <v>41.4</v>
      </c>
      <c r="Q3" s="32" t="n">
        <v>6178.29</v>
      </c>
      <c r="R3" s="31" t="inlineStr">
        <is>
          <t>Volume Spike &amp; Near 52W High Breakout</t>
        </is>
      </c>
      <c r="S3" s="31" t="inlineStr">
        <is>
          <t>Nifty FMCG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28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RPTECH</t>
        </is>
      </c>
      <c r="D4" s="31" t="inlineStr">
        <is>
          <t>Rashi Peripherals Ltd</t>
        </is>
      </c>
      <c r="E4" s="31" t="inlineStr">
        <is>
          <t>Technology</t>
        </is>
      </c>
      <c r="F4" s="31" t="inlineStr">
        <is>
          <t>Trading</t>
        </is>
      </c>
      <c r="G4" s="31" t="inlineStr">
        <is>
          <t>midcap</t>
        </is>
      </c>
      <c r="H4" s="32" t="n">
        <v>5534.25</v>
      </c>
      <c r="I4" s="32" t="n">
        <v>833.4</v>
      </c>
      <c r="J4" s="32" t="n">
        <v>-4.4</v>
      </c>
      <c r="K4" s="32" t="n">
        <v>0</v>
      </c>
      <c r="L4" s="31" t="n">
        <v>93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73.23999999999999</v>
      </c>
      <c r="P4" s="32" t="n">
        <v>79.11</v>
      </c>
      <c r="Q4" s="32" t="n">
        <v>687.1799999999999</v>
      </c>
      <c r="R4" s="31" t="inlineStr">
        <is>
          <t>Earnings / Momentum Support</t>
        </is>
      </c>
      <c r="S4" s="31" t="inlineStr">
        <is>
          <t>Nifty 50</t>
        </is>
      </c>
      <c r="T4" s="32" t="n">
        <v>-1.08</v>
      </c>
      <c r="U4" s="32" t="n">
        <v>194.35</v>
      </c>
      <c r="V4" s="32" t="n">
        <v>197.56</v>
      </c>
      <c r="W4" s="32" t="n">
        <v>38.98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No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22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PGIL</t>
        </is>
      </c>
      <c r="D5" s="31" t="inlineStr">
        <is>
          <t>Pearl Global Industries Ltd</t>
        </is>
      </c>
      <c r="E5" s="31" t="inlineStr">
        <is>
          <t>consumer discretionary</t>
        </is>
      </c>
      <c r="F5" s="31" t="inlineStr">
        <is>
          <t>Textiles - Readymade Apparel</t>
        </is>
      </c>
      <c r="G5" s="31" t="inlineStr">
        <is>
          <t>midcap</t>
        </is>
      </c>
      <c r="H5" s="32" t="n">
        <v>11418.3</v>
      </c>
      <c r="I5" s="32" t="n">
        <v>2472</v>
      </c>
      <c r="J5" s="32" t="n">
        <v>0.29</v>
      </c>
      <c r="K5" s="32" t="n">
        <v>0</v>
      </c>
      <c r="L5" s="31" t="n">
        <v>83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76</v>
      </c>
      <c r="P5" s="32" t="n">
        <v>51.27</v>
      </c>
      <c r="Q5" s="32" t="n">
        <v>1928.03</v>
      </c>
      <c r="R5" s="31" t="inlineStr">
        <is>
          <t>Near 52W High Breakout</t>
        </is>
      </c>
      <c r="S5" s="31" t="inlineStr">
        <is>
          <t>Nifty 50</t>
        </is>
      </c>
      <c r="T5" s="32" t="n">
        <v>-1.08</v>
      </c>
      <c r="U5" s="32" t="n">
        <v>98.66</v>
      </c>
      <c r="V5" s="32" t="n">
        <v>100.82</v>
      </c>
      <c r="W5" s="32" t="n">
        <v>26.33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27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AXISOL</t>
        </is>
      </c>
      <c r="D6" s="31" t="inlineStr">
        <is>
          <t>Axis Solutions Ltd</t>
        </is>
      </c>
      <c r="E6" s="31" t="inlineStr">
        <is>
          <t>Industrials</t>
        </is>
      </c>
      <c r="F6" s="31" t="inlineStr">
        <is>
          <t>Engineering - Light - General</t>
        </is>
      </c>
      <c r="G6" s="31" t="inlineStr">
        <is>
          <t>smallcap</t>
        </is>
      </c>
      <c r="H6" s="32" t="n">
        <v>2673.28</v>
      </c>
      <c r="I6" s="32" t="n">
        <v>565.65</v>
      </c>
      <c r="J6" s="32" t="n">
        <v>4.99</v>
      </c>
      <c r="K6" s="32" t="n">
        <v>0</v>
      </c>
      <c r="L6" s="31" t="n">
        <v>99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89.18000000000001</v>
      </c>
      <c r="P6" s="32" t="n">
        <v>64.88</v>
      </c>
      <c r="Q6" s="32" t="n">
        <v>468.01</v>
      </c>
      <c r="R6" s="31" t="inlineStr">
        <is>
          <t>Volume Spike &amp; Near 52W High Breakout</t>
        </is>
      </c>
      <c r="S6" s="31" t="inlineStr">
        <is>
          <t>Nifty 50</t>
        </is>
      </c>
      <c r="T6" s="32" t="n">
        <v>-1.08</v>
      </c>
      <c r="U6" s="32" t="n">
        <v>2503.35</v>
      </c>
      <c r="V6" s="32" t="n">
        <v>2531.69</v>
      </c>
      <c r="W6" s="32" t="n">
        <v>128.4</v>
      </c>
      <c r="X6" s="31" t="inlineStr">
        <is>
          <t>Cyclical in an Upturn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23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PARAS</t>
        </is>
      </c>
      <c r="D7" s="31" t="inlineStr">
        <is>
          <t>Paras Defence and Space Technologies Ltd</t>
        </is>
      </c>
      <c r="E7" s="31" t="inlineStr">
        <is>
          <t>aerospace &amp; defence</t>
        </is>
      </c>
      <c r="F7" s="31" t="inlineStr">
        <is>
          <t>Aerospace &amp; Defence - Equipments</t>
        </is>
      </c>
      <c r="G7" s="31" t="inlineStr">
        <is>
          <t>midcap</t>
        </is>
      </c>
      <c r="H7" s="32" t="n">
        <v>11056.58</v>
      </c>
      <c r="I7" s="32" t="n">
        <v>1372</v>
      </c>
      <c r="J7" s="32" t="n">
        <v>2.22</v>
      </c>
      <c r="K7" s="32" t="n">
        <v>0</v>
      </c>
      <c r="L7" s="31" t="n">
        <v>91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69.88</v>
      </c>
      <c r="P7" s="32" t="n">
        <v>60.22</v>
      </c>
      <c r="Q7" s="32" t="n">
        <v>1033.26</v>
      </c>
      <c r="R7" s="31" t="inlineStr">
        <is>
          <t>Near 52W High Breakout</t>
        </is>
      </c>
      <c r="S7" s="31" t="inlineStr">
        <is>
          <t>Nifty 50</t>
        </is>
      </c>
      <c r="T7" s="32" t="n">
        <v>-1.08</v>
      </c>
      <c r="U7" s="32" t="n">
        <v>106.44</v>
      </c>
      <c r="V7" s="32" t="n">
        <v>108.69</v>
      </c>
      <c r="W7" s="32" t="n">
        <v>36.35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Above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19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NGLFINE</t>
        </is>
      </c>
      <c r="D8" s="34" t="inlineStr">
        <is>
          <t>NGL Fine Chem Ltd</t>
        </is>
      </c>
      <c r="E8" s="31" t="inlineStr">
        <is>
          <t>healthcare</t>
        </is>
      </c>
      <c r="F8" s="31" t="inlineStr">
        <is>
          <t>Pharma - Animal</t>
        </is>
      </c>
      <c r="G8" s="31" t="inlineStr">
        <is>
          <t>smallcap</t>
        </is>
      </c>
      <c r="H8" s="32" t="n">
        <v>2152.42</v>
      </c>
      <c r="I8" s="32" t="n">
        <v>3484</v>
      </c>
      <c r="J8" s="32" t="n">
        <v>1.41</v>
      </c>
      <c r="K8" s="32" t="n">
        <v>0</v>
      </c>
      <c r="L8" s="31" t="n">
        <v>90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80.56999999999999</v>
      </c>
      <c r="P8" s="32" t="n">
        <v>71.94</v>
      </c>
      <c r="Q8" s="32" t="n">
        <v>2516.17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19.38</v>
      </c>
      <c r="U8" s="32" t="n">
        <v>151.53</v>
      </c>
      <c r="V8" s="32" t="n">
        <v>110.69</v>
      </c>
      <c r="W8" s="32" t="n">
        <v>32.44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21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SJS</t>
        </is>
      </c>
      <c r="D9" s="31" t="inlineStr">
        <is>
          <t>S J S Enterprises Ltd</t>
        </is>
      </c>
      <c r="E9" s="31" t="inlineStr">
        <is>
          <t>auto</t>
        </is>
      </c>
      <c r="F9" s="31" t="inlineStr">
        <is>
          <t>Auto Ancillaries - Diversified</t>
        </is>
      </c>
      <c r="G9" s="31" t="inlineStr">
        <is>
          <t>midcap</t>
        </is>
      </c>
      <c r="H9" s="32" t="n">
        <v>8157.83</v>
      </c>
      <c r="I9" s="32" t="n">
        <v>2547.2</v>
      </c>
      <c r="J9" s="32" t="n">
        <v>5.91</v>
      </c>
      <c r="K9" s="32" t="n">
        <v>0</v>
      </c>
      <c r="L9" s="31" t="inlineStr"/>
      <c r="M9" s="31" t="inlineStr"/>
      <c r="N9" s="32">
        <f>IF(M9="Underperforming",-5,IF(L9&gt;=95,15,IF(L9&gt;=90,10,IF(L9&gt;=80,5,0))))</f>
        <v/>
      </c>
      <c r="O9" s="32" t="n">
        <v>73.93000000000001</v>
      </c>
      <c r="P9" s="32" t="n">
        <v>43.58</v>
      </c>
      <c r="Q9" s="32" t="n">
        <v>2038.75</v>
      </c>
      <c r="R9" s="31" t="inlineStr">
        <is>
          <t>Volume Spike &amp; Near 52W High Breakout</t>
        </is>
      </c>
      <c r="S9" s="31" t="inlineStr">
        <is>
          <t>Nifty Auto</t>
        </is>
      </c>
      <c r="T9" s="32" t="inlineStr"/>
      <c r="U9" s="32" t="inlineStr"/>
      <c r="V9" s="32" t="inlineStr"/>
      <c r="W9" s="32" t="inlineStr"/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26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UNIPARTS</t>
        </is>
      </c>
      <c r="D10" s="31" t="inlineStr">
        <is>
          <t>Uniparts India Ltd</t>
        </is>
      </c>
      <c r="E10" s="31" t="inlineStr">
        <is>
          <t>industrials</t>
        </is>
      </c>
      <c r="F10" s="31" t="inlineStr">
        <is>
          <t>Castings, Forgings &amp; Fastners</t>
        </is>
      </c>
      <c r="G10" s="31" t="inlineStr">
        <is>
          <t>smallcap</t>
        </is>
      </c>
      <c r="H10" s="32" t="n">
        <v>3691.46</v>
      </c>
      <c r="I10" s="32" t="n">
        <v>817.4</v>
      </c>
      <c r="J10" s="32" t="n">
        <v>-0.84</v>
      </c>
      <c r="K10" s="32" t="n">
        <v>0</v>
      </c>
      <c r="L10" s="31" t="n">
        <v>88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79.48</v>
      </c>
      <c r="P10" s="32" t="n">
        <v>61.7</v>
      </c>
      <c r="Q10" s="32" t="n">
        <v>653.83</v>
      </c>
      <c r="R10" s="31" t="inlineStr">
        <is>
          <t>Near 52W High Breakout</t>
        </is>
      </c>
      <c r="S10" s="31" t="inlineStr">
        <is>
          <t>Nifty 50</t>
        </is>
      </c>
      <c r="T10" s="32" t="n">
        <v>-1.08</v>
      </c>
      <c r="U10" s="32" t="n">
        <v>118.76</v>
      </c>
      <c r="V10" s="32" t="n">
        <v>121.14</v>
      </c>
      <c r="W10" s="32" t="n">
        <v>29.22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25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GOLDIAM</t>
        </is>
      </c>
      <c r="D11" s="34" t="inlineStr">
        <is>
          <t>Goldiam International Ltd</t>
        </is>
      </c>
      <c r="E11" s="31" t="inlineStr">
        <is>
          <t>Consumer Cyclical</t>
        </is>
      </c>
      <c r="F11" s="31" t="inlineStr">
        <is>
          <t>Lab Grown Diamonds</t>
        </is>
      </c>
      <c r="G11" s="31" t="inlineStr">
        <is>
          <t>midcap</t>
        </is>
      </c>
      <c r="H11" s="32" t="n">
        <v>5517.92</v>
      </c>
      <c r="I11" s="32" t="n">
        <v>366.5</v>
      </c>
      <c r="J11" s="32" t="n">
        <v>1.02</v>
      </c>
      <c r="K11" s="32" t="n">
        <v>0</v>
      </c>
      <c r="L11" s="31" t="n">
        <v>56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60.55</v>
      </c>
      <c r="P11" s="32" t="n">
        <v>41.61</v>
      </c>
      <c r="Q11" s="32" t="n">
        <v>265.86</v>
      </c>
      <c r="R11" s="31" t="inlineStr">
        <is>
          <t>Near 52W High Breakout</t>
        </is>
      </c>
      <c r="S11" s="31" t="inlineStr">
        <is>
          <t>Nifty 50</t>
        </is>
      </c>
      <c r="T11" s="32" t="n">
        <v>-1.08</v>
      </c>
      <c r="U11" s="32" t="n">
        <v>36.04</v>
      </c>
      <c r="V11" s="32" t="n">
        <v>37.52</v>
      </c>
      <c r="W11" s="32" t="n">
        <v>12.67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B2C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Close to 52 week high or retracement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21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KDDL</t>
        </is>
      </c>
      <c r="D12" s="31" t="inlineStr">
        <is>
          <t>KDDL Ltd</t>
        </is>
      </c>
      <c r="E12" s="31" t="inlineStr">
        <is>
          <t>consumer discretionary</t>
        </is>
      </c>
      <c r="F12" s="31" t="inlineStr">
        <is>
          <t>Watches</t>
        </is>
      </c>
      <c r="G12" s="31" t="inlineStr">
        <is>
          <t>smallcap</t>
        </is>
      </c>
      <c r="H12" s="32" t="n">
        <v>4842.1</v>
      </c>
      <c r="I12" s="32" t="n">
        <v>3936.9</v>
      </c>
      <c r="J12" s="32" t="n">
        <v>-0.23</v>
      </c>
      <c r="K12" s="32" t="n">
        <v>0</v>
      </c>
      <c r="L12" s="31" t="n">
        <v>84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77.58</v>
      </c>
      <c r="P12" s="32" t="n">
        <v>40.73</v>
      </c>
      <c r="Q12" s="32" t="n">
        <v>3030.83</v>
      </c>
      <c r="R12" s="31" t="inlineStr">
        <is>
          <t>Near 52W High Breakout</t>
        </is>
      </c>
      <c r="S12" s="31" t="inlineStr">
        <is>
          <t>Nifty 50</t>
        </is>
      </c>
      <c r="T12" s="32" t="n">
        <v>-1.08</v>
      </c>
      <c r="U12" s="32" t="n">
        <v>52.91</v>
      </c>
      <c r="V12" s="32" t="n">
        <v>54.57</v>
      </c>
      <c r="W12" s="32" t="n">
        <v>27.34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21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E2E</t>
        </is>
      </c>
      <c r="D13" s="31" t="inlineStr">
        <is>
          <t>E2E Networks Ltd</t>
        </is>
      </c>
      <c r="E13" s="31" t="inlineStr">
        <is>
          <t>i.t</t>
        </is>
      </c>
      <c r="F13" s="31" t="inlineStr">
        <is>
          <t>Data Centre</t>
        </is>
      </c>
      <c r="G13" s="31" t="inlineStr">
        <is>
          <t>midcap</t>
        </is>
      </c>
      <c r="H13" s="32" t="n">
        <v>13706.04</v>
      </c>
      <c r="I13" s="32" t="n">
        <v>666.75</v>
      </c>
      <c r="J13" s="32" t="n">
        <v>5</v>
      </c>
      <c r="K13" s="32" t="n">
        <v>0</v>
      </c>
      <c r="L13" s="31" t="n">
        <v>98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77.37</v>
      </c>
      <c r="P13" s="32" t="n">
        <v>48.32</v>
      </c>
      <c r="Q13" s="32" t="n">
        <v>475.6</v>
      </c>
      <c r="R13" s="31" t="inlineStr">
        <is>
          <t>Near 52W High Breakout</t>
        </is>
      </c>
      <c r="S13" s="31" t="inlineStr">
        <is>
          <t>Nifty IT</t>
        </is>
      </c>
      <c r="T13" s="32" t="n">
        <v>-9.98</v>
      </c>
      <c r="U13" s="32" t="n">
        <v>223.1</v>
      </c>
      <c r="V13" s="32" t="n">
        <v>258.91</v>
      </c>
      <c r="W13" s="32" t="n">
        <v>55.09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20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KPL</t>
        </is>
      </c>
      <c r="D14" s="31" t="inlineStr">
        <is>
          <t>Kwality Pharmaceuticals Ltd</t>
        </is>
      </c>
      <c r="E14" s="31" t="inlineStr">
        <is>
          <t>Healthcare</t>
        </is>
      </c>
      <c r="F14" s="31" t="inlineStr">
        <is>
          <t>Pharma - Formulators</t>
        </is>
      </c>
      <c r="G14" s="31" t="inlineStr">
        <is>
          <t>smallcap</t>
        </is>
      </c>
      <c r="H14" s="32" t="n">
        <v>3528.43</v>
      </c>
      <c r="I14" s="32" t="n">
        <v>3400.5</v>
      </c>
      <c r="J14" s="32" t="n">
        <v>2.2</v>
      </c>
      <c r="K14" s="32" t="n">
        <v>0</v>
      </c>
      <c r="L14" s="31" t="n">
        <v>97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80.09</v>
      </c>
      <c r="P14" s="32" t="n">
        <v>66.15000000000001</v>
      </c>
      <c r="Q14" s="32" t="n">
        <v>2570.18</v>
      </c>
      <c r="R14" s="31" t="inlineStr">
        <is>
          <t>Volume Spike &amp; Near 52W High Breakout</t>
        </is>
      </c>
      <c r="S14" s="31" t="inlineStr">
        <is>
          <t>Nifty Pharma</t>
        </is>
      </c>
      <c r="T14" s="32" t="n">
        <v>19.38</v>
      </c>
      <c r="U14" s="32" t="n">
        <v>222.23</v>
      </c>
      <c r="V14" s="32" t="n">
        <v>169.91</v>
      </c>
      <c r="W14" s="32" t="n">
        <v>51.98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28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4" t="inlineStr">
        <is>
          <t>INDSWFTLAB</t>
        </is>
      </c>
      <c r="D15" s="34" t="inlineStr">
        <is>
          <t>Ind-Swift Laboratories Ltd</t>
        </is>
      </c>
      <c r="E15" s="31" t="inlineStr">
        <is>
          <t>healthcare</t>
        </is>
      </c>
      <c r="F15" s="31" t="inlineStr">
        <is>
          <t>Pharma - API</t>
        </is>
      </c>
      <c r="G15" s="31" t="inlineStr">
        <is>
          <t>smallcap</t>
        </is>
      </c>
      <c r="H15" s="32" t="n">
        <v>2643.63</v>
      </c>
      <c r="I15" s="32" t="n">
        <v>304</v>
      </c>
      <c r="J15" s="32" t="n">
        <v>2.48</v>
      </c>
      <c r="K15" s="32" t="n">
        <v>0</v>
      </c>
      <c r="L15" s="31" t="n">
        <v>98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84.06</v>
      </c>
      <c r="P15" s="32" t="n">
        <v>60.53</v>
      </c>
      <c r="Q15" s="32" t="n">
        <v>230.2</v>
      </c>
      <c r="R15" s="31" t="inlineStr">
        <is>
          <t>Volume Spike &amp; Near 52W High Breakout</t>
        </is>
      </c>
      <c r="S15" s="31" t="inlineStr">
        <is>
          <t>Nifty Pharma</t>
        </is>
      </c>
      <c r="T15" s="32" t="n">
        <v>19.38</v>
      </c>
      <c r="U15" s="32" t="n">
        <v>199.86</v>
      </c>
      <c r="V15" s="32" t="n">
        <v>151.18</v>
      </c>
      <c r="W15" s="32" t="n">
        <v>57.24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27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THYROCARE</t>
        </is>
      </c>
      <c r="D16" s="31" t="inlineStr">
        <is>
          <t>Thyrocare Technologies Ltd</t>
        </is>
      </c>
      <c r="E16" s="31" t="inlineStr">
        <is>
          <t>healthcare</t>
        </is>
      </c>
      <c r="F16" s="31" t="inlineStr">
        <is>
          <t>Diagnostics</t>
        </is>
      </c>
      <c r="G16" s="31" t="inlineStr">
        <is>
          <t>midcap</t>
        </is>
      </c>
      <c r="H16" s="32" t="n">
        <v>9946.24</v>
      </c>
      <c r="I16" s="32" t="n">
        <v>624.9</v>
      </c>
      <c r="J16" s="32" t="n">
        <v>3.12</v>
      </c>
      <c r="K16" s="32" t="n">
        <v>0</v>
      </c>
      <c r="L16" s="31" t="n">
        <v>63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73.42</v>
      </c>
      <c r="P16" s="32" t="n">
        <v>57.48</v>
      </c>
      <c r="Q16" s="32" t="n">
        <v>480.89</v>
      </c>
      <c r="R16" s="31" t="inlineStr">
        <is>
          <t>Volume Spike &amp; Near 52W High Breakout</t>
        </is>
      </c>
      <c r="S16" s="31" t="inlineStr">
        <is>
          <t>Nifty Pharma</t>
        </is>
      </c>
      <c r="T16" s="32" t="n">
        <v>19.38</v>
      </c>
      <c r="U16" s="32" t="n">
        <v>37.83</v>
      </c>
      <c r="V16" s="32" t="n">
        <v>15.45</v>
      </c>
      <c r="W16" s="32" t="n">
        <v>15.84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Between 1.5 to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19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4" t="inlineStr">
        <is>
          <t>CNL</t>
        </is>
      </c>
      <c r="D17" s="34" t="inlineStr">
        <is>
          <t>Creative Newtech Ltd</t>
        </is>
      </c>
      <c r="E17" s="31" t="inlineStr">
        <is>
          <t>Technology</t>
        </is>
      </c>
      <c r="F17" s="31" t="inlineStr">
        <is>
          <t>E-Commerce - Platform - Utility</t>
        </is>
      </c>
      <c r="G17" s="31" t="inlineStr">
        <is>
          <t>smallcap</t>
        </is>
      </c>
      <c r="H17" s="32" t="n">
        <v>1877.08</v>
      </c>
      <c r="I17" s="32" t="n">
        <v>1250</v>
      </c>
      <c r="J17" s="32" t="n">
        <v>1.96</v>
      </c>
      <c r="K17" s="32" t="n">
        <v>0</v>
      </c>
      <c r="L17" s="31" t="n">
        <v>93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88.65000000000001</v>
      </c>
      <c r="P17" s="32" t="n">
        <v>49.23</v>
      </c>
      <c r="Q17" s="32" t="n">
        <v>960.8099999999999</v>
      </c>
      <c r="R17" s="31" t="inlineStr">
        <is>
          <t>Near 52W High Breakout</t>
        </is>
      </c>
      <c r="S17" s="31" t="inlineStr">
        <is>
          <t>Nifty 50</t>
        </is>
      </c>
      <c r="T17" s="32" t="n">
        <v>-1.08</v>
      </c>
      <c r="U17" s="32" t="n">
        <v>99.91</v>
      </c>
      <c r="V17" s="32" t="n">
        <v>102.09</v>
      </c>
      <c r="W17" s="32" t="n">
        <v>38.76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Oligopoly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Between 0.7 to 1.2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19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MODISONLTD</t>
        </is>
      </c>
      <c r="D18" s="34" t="inlineStr">
        <is>
          <t>Modison Ltd</t>
        </is>
      </c>
      <c r="E18" s="31" t="inlineStr">
        <is>
          <t>industrials</t>
        </is>
      </c>
      <c r="F18" s="31" t="inlineStr">
        <is>
          <t>Capital Goods - Electric General</t>
        </is>
      </c>
      <c r="G18" s="31" t="inlineStr">
        <is>
          <t>smallcap</t>
        </is>
      </c>
      <c r="H18" s="32" t="n">
        <v>1100.54</v>
      </c>
      <c r="I18" s="32" t="n">
        <v>339.15</v>
      </c>
      <c r="J18" s="32" t="n">
        <v>5</v>
      </c>
      <c r="K18" s="32" t="n">
        <v>0</v>
      </c>
      <c r="L18" s="31" t="n">
        <v>95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69.29000000000001</v>
      </c>
      <c r="P18" s="32" t="n">
        <v>56.09</v>
      </c>
      <c r="Q18" s="32" t="n">
        <v>261.17</v>
      </c>
      <c r="R18" s="31" t="inlineStr">
        <is>
          <t>Earnings / Momentum Support</t>
        </is>
      </c>
      <c r="S18" s="31" t="inlineStr">
        <is>
          <t>Nifty 50</t>
        </is>
      </c>
      <c r="T18" s="32" t="n">
        <v>-1.08</v>
      </c>
      <c r="U18" s="32" t="n">
        <v>120.5</v>
      </c>
      <c r="V18" s="32" t="n">
        <v>122.9</v>
      </c>
      <c r="W18" s="32" t="n">
        <v>45.64</v>
      </c>
      <c r="X18" s="31" t="inlineStr">
        <is>
          <t>Cyclical in an Upturn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26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TDPOWERSYS</t>
        </is>
      </c>
      <c r="D19" s="34" t="inlineStr">
        <is>
          <t>TD Power Systems Ltd</t>
        </is>
      </c>
      <c r="E19" s="31" t="inlineStr">
        <is>
          <t>industrials</t>
        </is>
      </c>
      <c r="F19" s="31" t="inlineStr">
        <is>
          <t>Capital Goods - Gensets/Turbines</t>
        </is>
      </c>
      <c r="G19" s="31" t="inlineStr">
        <is>
          <t>largecap</t>
        </is>
      </c>
      <c r="H19" s="32" t="n">
        <v>23278.04</v>
      </c>
      <c r="I19" s="32" t="n">
        <v>1490</v>
      </c>
      <c r="J19" s="32" t="n">
        <v>0.57</v>
      </c>
      <c r="K19" s="32" t="n">
        <v>0</v>
      </c>
      <c r="L19" s="31" t="n">
        <v>88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70.04000000000001</v>
      </c>
      <c r="P19" s="32" t="n">
        <v>32.5</v>
      </c>
      <c r="Q19" s="32" t="n">
        <v>1059.96</v>
      </c>
      <c r="R19" s="31" t="inlineStr">
        <is>
          <t>Volume Spike &amp; Near 52W High Breakout</t>
        </is>
      </c>
      <c r="S19" s="31" t="inlineStr">
        <is>
          <t>Nifty 50</t>
        </is>
      </c>
      <c r="T19" s="32" t="n">
        <v>-1.08</v>
      </c>
      <c r="U19" s="32" t="n">
        <v>192.57</v>
      </c>
      <c r="V19" s="32" t="n">
        <v>195.76</v>
      </c>
      <c r="W19" s="32" t="n">
        <v>28.94</v>
      </c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23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MPSLTD</t>
        </is>
      </c>
      <c r="D20" s="31" t="inlineStr">
        <is>
          <t>MPS Ltd</t>
        </is>
      </c>
      <c r="E20" s="31" t="inlineStr">
        <is>
          <t>i.t</t>
        </is>
      </c>
      <c r="F20" s="31" t="inlineStr">
        <is>
          <t>E-Commerce - Platform - Utility</t>
        </is>
      </c>
      <c r="G20" s="31" t="inlineStr">
        <is>
          <t>smallcap</t>
        </is>
      </c>
      <c r="H20" s="32" t="n">
        <v>4816.14</v>
      </c>
      <c r="I20" s="32" t="n">
        <v>2815.5</v>
      </c>
      <c r="J20" s="32" t="n">
        <v>2.14</v>
      </c>
      <c r="K20" s="32" t="n">
        <v>0</v>
      </c>
      <c r="L20" s="31" t="n">
        <v>73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71.86</v>
      </c>
      <c r="P20" s="32" t="n">
        <v>35.02</v>
      </c>
      <c r="Q20" s="32" t="n">
        <v>2304.96</v>
      </c>
      <c r="R20" s="31" t="inlineStr">
        <is>
          <t>Near 52W High Breakout</t>
        </is>
      </c>
      <c r="S20" s="31" t="inlineStr">
        <is>
          <t>Nifty IT</t>
        </is>
      </c>
      <c r="T20" s="32" t="n">
        <v>-9.98</v>
      </c>
      <c r="U20" s="32" t="n">
        <v>32.17</v>
      </c>
      <c r="V20" s="32" t="n">
        <v>46.82</v>
      </c>
      <c r="W20" s="32" t="n">
        <v>20.27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Oligopoly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SOLARINDS</t>
        </is>
      </c>
      <c r="D21" s="31" t="inlineStr">
        <is>
          <t>Solar Industries India Ltd</t>
        </is>
      </c>
      <c r="E21" s="31" t="inlineStr">
        <is>
          <t>aerospace &amp; defence</t>
        </is>
      </c>
      <c r="F21" s="31" t="inlineStr">
        <is>
          <t>Industrial Explosives</t>
        </is>
      </c>
      <c r="G21" s="31" t="inlineStr">
        <is>
          <t>largecap</t>
        </is>
      </c>
      <c r="H21" s="32" t="n">
        <v>180699.59</v>
      </c>
      <c r="I21" s="32" t="n">
        <v>19969</v>
      </c>
      <c r="J21" s="32" t="n">
        <v>-1.75</v>
      </c>
      <c r="K21" s="32" t="n">
        <v>0</v>
      </c>
      <c r="L21" s="31" t="n">
        <v>44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70.03</v>
      </c>
      <c r="P21" s="32" t="n">
        <v>40.04</v>
      </c>
      <c r="Q21" s="32" t="n">
        <v>16335.61</v>
      </c>
      <c r="R21" s="31" t="inlineStr">
        <is>
          <t>Volume Spike &amp; Near 52W High Breakout</t>
        </is>
      </c>
      <c r="S21" s="31" t="inlineStr">
        <is>
          <t>Nifty 500</t>
        </is>
      </c>
      <c r="T21" s="32" t="n">
        <v>4.03</v>
      </c>
      <c r="U21" s="32" t="n">
        <v>32.32</v>
      </c>
      <c r="V21" s="32" t="n">
        <v>27.19</v>
      </c>
      <c r="W21" s="32" t="n">
        <v>9.890000000000001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4" t="inlineStr">
        <is>
          <t>MARKSANS</t>
        </is>
      </c>
      <c r="D22" s="34" t="inlineStr">
        <is>
          <t>Marksans Pharma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midcap</t>
        </is>
      </c>
      <c r="H22" s="32" t="n">
        <v>15212.71</v>
      </c>
      <c r="I22" s="32" t="n">
        <v>335.7</v>
      </c>
      <c r="J22" s="32" t="n">
        <v>10.65</v>
      </c>
      <c r="K22" s="32" t="n">
        <v>0</v>
      </c>
      <c r="L22" s="31" t="n">
        <v>85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77.88</v>
      </c>
      <c r="P22" s="32" t="n">
        <v>54.91</v>
      </c>
      <c r="Q22" s="32" t="n">
        <v>261.44</v>
      </c>
      <c r="R22" s="31" t="inlineStr">
        <is>
          <t>Volume Spike &amp; Near 52W High Breakout</t>
        </is>
      </c>
      <c r="S22" s="31" t="inlineStr">
        <is>
          <t>Nifty Pharma</t>
        </is>
      </c>
      <c r="T22" s="32" t="n">
        <v>19.38</v>
      </c>
      <c r="U22" s="32" t="n">
        <v>86.47</v>
      </c>
      <c r="V22" s="32" t="n">
        <v>56.2</v>
      </c>
      <c r="W22" s="32" t="n">
        <v>27.48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30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4" t="inlineStr">
        <is>
          <t>AVTNPL</t>
        </is>
      </c>
      <c r="D23" s="34" t="inlineStr">
        <is>
          <t>AVT Natural Products Ltd</t>
        </is>
      </c>
      <c r="E23" s="31" t="inlineStr">
        <is>
          <t>fmcg</t>
        </is>
      </c>
      <c r="F23" s="31" t="inlineStr">
        <is>
          <t>Agricultural Processing - Maize</t>
        </is>
      </c>
      <c r="G23" s="31" t="inlineStr">
        <is>
          <t>smallcap</t>
        </is>
      </c>
      <c r="H23" s="32" t="n">
        <v>1235.78</v>
      </c>
      <c r="I23" s="32" t="n">
        <v>81.15000000000001</v>
      </c>
      <c r="J23" s="32" t="n">
        <v>13.8</v>
      </c>
      <c r="K23" s="32" t="n">
        <v>0</v>
      </c>
      <c r="L23" s="31" t="inlineStr"/>
      <c r="M23" s="31" t="inlineStr"/>
      <c r="N23" s="32">
        <f>IF(M23="Underperforming",-5,IF(L23&gt;=95,15,IF(L23&gt;=90,10,IF(L23&gt;=80,5,0))))</f>
        <v/>
      </c>
      <c r="O23" s="32" t="n">
        <v>71.52</v>
      </c>
      <c r="P23" s="32" t="n">
        <v>33.01</v>
      </c>
      <c r="Q23" s="32" t="n">
        <v>65.29000000000001</v>
      </c>
      <c r="R23" s="31" t="inlineStr">
        <is>
          <t>Volume Spike &amp; Near 52W High Breakout</t>
        </is>
      </c>
      <c r="S23" s="31" t="inlineStr">
        <is>
          <t>Nifty FMCG</t>
        </is>
      </c>
      <c r="T23" s="32" t="inlineStr"/>
      <c r="U23" s="32" t="inlineStr"/>
      <c r="V23" s="32" t="inlineStr"/>
      <c r="W23" s="32" t="inlineStr"/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Less than 50%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26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SHILPAMED</t>
        </is>
      </c>
      <c r="D24" s="31" t="inlineStr">
        <is>
          <t>Shilpa Medicare Ltd</t>
        </is>
      </c>
      <c r="E24" s="31" t="inlineStr">
        <is>
          <t>healthcare</t>
        </is>
      </c>
      <c r="F24" s="31" t="inlineStr">
        <is>
          <t>Pharma - API &amp; CRAMS</t>
        </is>
      </c>
      <c r="G24" s="31" t="inlineStr">
        <is>
          <t>midcap</t>
        </is>
      </c>
      <c r="H24" s="32" t="n">
        <v>16105.18</v>
      </c>
      <c r="I24" s="32" t="n">
        <v>823.45</v>
      </c>
      <c r="J24" s="32" t="n">
        <v>2.03</v>
      </c>
      <c r="K24" s="32" t="n">
        <v>0</v>
      </c>
      <c r="L24" s="31" t="n">
        <v>90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88.86</v>
      </c>
      <c r="P24" s="32" t="n">
        <v>73.13</v>
      </c>
      <c r="Q24" s="32" t="n">
        <v>661.09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19.38</v>
      </c>
      <c r="U24" s="32" t="n">
        <v>81.15000000000001</v>
      </c>
      <c r="V24" s="32" t="n">
        <v>51.74</v>
      </c>
      <c r="W24" s="32" t="n">
        <v>31.96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25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CUPID</t>
        </is>
      </c>
      <c r="D25" s="31" t="inlineStr">
        <is>
          <t>Cupid Ltd</t>
        </is>
      </c>
      <c r="E25" s="31" t="inlineStr">
        <is>
          <t>fmcg</t>
        </is>
      </c>
      <c r="F25" s="31" t="inlineStr">
        <is>
          <t>Contraceptives/Protectives</t>
        </is>
      </c>
      <c r="G25" s="31" t="inlineStr">
        <is>
          <t>largecap</t>
        </is>
      </c>
      <c r="H25" s="32" t="n">
        <v>39432.18</v>
      </c>
      <c r="I25" s="32" t="n">
        <v>293.25</v>
      </c>
      <c r="J25" s="32" t="n">
        <v>-0.55</v>
      </c>
      <c r="K25" s="32" t="n">
        <v>0</v>
      </c>
      <c r="L25" s="31" t="inlineStr"/>
      <c r="M25" s="31" t="inlineStr"/>
      <c r="N25" s="32">
        <f>IF(M25="Underperforming",-5,IF(L25&gt;=95,15,IF(L25&gt;=90,10,IF(L25&gt;=80,5,0))))</f>
        <v/>
      </c>
      <c r="O25" s="32" t="n">
        <v>93.45999999999999</v>
      </c>
      <c r="P25" s="32" t="n">
        <v>71.08</v>
      </c>
      <c r="Q25" s="32" t="n">
        <v>235.53</v>
      </c>
      <c r="R25" s="31" t="inlineStr">
        <is>
          <t>Near 52W High Breakout</t>
        </is>
      </c>
      <c r="S25" s="31" t="inlineStr">
        <is>
          <t>Nifty FMCG</t>
        </is>
      </c>
      <c r="T25" s="32" t="inlineStr"/>
      <c r="U25" s="32" t="inlineStr"/>
      <c r="V25" s="32" t="inlineStr"/>
      <c r="W25" s="32" t="inlineStr"/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B2C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23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INNOVACAP</t>
        </is>
      </c>
      <c r="D26" s="34" t="inlineStr">
        <is>
          <t>Innova Captab Ltd</t>
        </is>
      </c>
      <c r="E26" s="31" t="inlineStr">
        <is>
          <t>healthcare</t>
        </is>
      </c>
      <c r="F26" s="31" t="inlineStr">
        <is>
          <t>Pharma - API</t>
        </is>
      </c>
      <c r="G26" s="31" t="inlineStr">
        <is>
          <t>midcap</t>
        </is>
      </c>
      <c r="H26" s="32" t="n">
        <v>5928.79</v>
      </c>
      <c r="I26" s="32" t="n">
        <v>1036.05</v>
      </c>
      <c r="J26" s="32" t="n">
        <v>-1.09</v>
      </c>
      <c r="K26" s="32" t="n">
        <v>0</v>
      </c>
      <c r="L26" s="31" t="n">
        <v>39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71.44</v>
      </c>
      <c r="P26" s="32" t="n">
        <v>58.98</v>
      </c>
      <c r="Q26" s="32" t="n">
        <v>811.9</v>
      </c>
      <c r="R26" s="31" t="inlineStr">
        <is>
          <t>Volume Spike &amp; Near 52W High Breakout</t>
        </is>
      </c>
      <c r="S26" s="31" t="inlineStr">
        <is>
          <t>Nifty Pharma</t>
        </is>
      </c>
      <c r="T26" s="32" t="n">
        <v>19.38</v>
      </c>
      <c r="U26" s="32" t="n">
        <v>14.73</v>
      </c>
      <c r="V26" s="32" t="n">
        <v>-3.9</v>
      </c>
      <c r="W26" s="32" t="n">
        <v>8.279999999999999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4" t="inlineStr">
        <is>
          <t>VENKEYS</t>
        </is>
      </c>
      <c r="D27" s="34" t="inlineStr">
        <is>
          <t>Venkys (India) Ltd</t>
        </is>
      </c>
      <c r="E27" s="31" t="inlineStr">
        <is>
          <t>Consumer Defensive</t>
        </is>
      </c>
      <c r="F27" s="31" t="inlineStr">
        <is>
          <t>FMCG - Animal/Polutry</t>
        </is>
      </c>
      <c r="G27" s="31" t="inlineStr">
        <is>
          <t>smallcap</t>
        </is>
      </c>
      <c r="H27" s="32" t="n">
        <v>2158.18</v>
      </c>
      <c r="I27" s="32" t="n">
        <v>1532</v>
      </c>
      <c r="J27" s="32" t="n">
        <v>0.59</v>
      </c>
      <c r="K27" s="32" t="n">
        <v>0</v>
      </c>
      <c r="L27" s="31" t="n">
        <v>11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54.24</v>
      </c>
      <c r="P27" s="32" t="n">
        <v>37.09</v>
      </c>
      <c r="Q27" s="32" t="n">
        <v>1268.01</v>
      </c>
      <c r="R27" s="31" t="inlineStr">
        <is>
          <t>Volume Spike / Accumulation</t>
        </is>
      </c>
      <c r="S27" s="31" t="inlineStr">
        <is>
          <t>Nifty 50</t>
        </is>
      </c>
      <c r="T27" s="32" t="n">
        <v>-1.08</v>
      </c>
      <c r="U27" s="32" t="n">
        <v>9.24</v>
      </c>
      <c r="V27" s="32" t="n">
        <v>10.43</v>
      </c>
      <c r="W27" s="32" t="n">
        <v>0.88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SKYGOLD</t>
        </is>
      </c>
      <c r="D28" s="31" t="inlineStr">
        <is>
          <t>Sky Gold &amp; Diamonds Ltd</t>
        </is>
      </c>
      <c r="E28" s="31" t="inlineStr">
        <is>
          <t>consumer discretionary</t>
        </is>
      </c>
      <c r="F28" s="31" t="inlineStr">
        <is>
          <t>Diamond, Gems &amp; Jewellery</t>
        </is>
      </c>
      <c r="G28" s="31" t="inlineStr">
        <is>
          <t>midcap</t>
        </is>
      </c>
      <c r="H28" s="32" t="n">
        <v>12080.16</v>
      </c>
      <c r="I28" s="32" t="n">
        <v>780</v>
      </c>
      <c r="J28" s="32" t="n">
        <v>0.78</v>
      </c>
      <c r="K28" s="32" t="n">
        <v>0</v>
      </c>
      <c r="L28" s="31" t="n">
        <v>94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80.14</v>
      </c>
      <c r="P28" s="32" t="n">
        <v>61.11</v>
      </c>
      <c r="Q28" s="32" t="n">
        <v>585.05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-1.08</v>
      </c>
      <c r="U28" s="32" t="n">
        <v>183.14</v>
      </c>
      <c r="V28" s="32" t="n">
        <v>186.22</v>
      </c>
      <c r="W28" s="32" t="n">
        <v>40.16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Between 0.7 to 1.2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31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4" t="inlineStr">
        <is>
          <t>KENNAMET</t>
        </is>
      </c>
      <c r="D29" s="34" t="inlineStr">
        <is>
          <t>Kennametal India Ltd</t>
        </is>
      </c>
      <c r="E29" s="31" t="inlineStr">
        <is>
          <t>industrials</t>
        </is>
      </c>
      <c r="F29" s="31" t="inlineStr">
        <is>
          <t>Castings, Forgings &amp; Fastners</t>
        </is>
      </c>
      <c r="G29" s="31" t="inlineStr">
        <is>
          <t>midcap</t>
        </is>
      </c>
      <c r="H29" s="32" t="n">
        <v>7751.73</v>
      </c>
      <c r="I29" s="32" t="n">
        <v>3527</v>
      </c>
      <c r="J29" s="32" t="n">
        <v>-4</v>
      </c>
      <c r="K29" s="32" t="n">
        <v>0</v>
      </c>
      <c r="L29" s="31" t="inlineStr"/>
      <c r="M29" s="31" t="inlineStr"/>
      <c r="N29" s="32">
        <f>IF(M29="Underperforming",-5,IF(L29&gt;=95,15,IF(L29&gt;=90,10,IF(L29&gt;=80,5,0))))</f>
        <v/>
      </c>
      <c r="O29" s="32" t="n">
        <v>73.94</v>
      </c>
      <c r="P29" s="32" t="n">
        <v>44.01</v>
      </c>
      <c r="Q29" s="32" t="n">
        <v>2733.74</v>
      </c>
      <c r="R29" s="31" t="inlineStr">
        <is>
          <t>Near 52W High Breakout</t>
        </is>
      </c>
      <c r="S29" s="31" t="inlineStr">
        <is>
          <t>Nifty Infra</t>
        </is>
      </c>
      <c r="T29" s="32" t="inlineStr"/>
      <c r="U29" s="32" t="inlineStr"/>
      <c r="V29" s="32" t="inlineStr"/>
      <c r="W29" s="32" t="inlineStr"/>
      <c r="X29" s="31" t="inlineStr">
        <is>
          <t>Cyclical in an Upturn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27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HFCL</t>
        </is>
      </c>
      <c r="D30" s="31" t="inlineStr">
        <is>
          <t>HFCL Ltd</t>
        </is>
      </c>
      <c r="E30" s="31" t="inlineStr">
        <is>
          <t>telecom</t>
        </is>
      </c>
      <c r="F30" s="31" t="inlineStr">
        <is>
          <t>Telecom Services</t>
        </is>
      </c>
      <c r="G30" s="31" t="inlineStr">
        <is>
          <t>largecap</t>
        </is>
      </c>
      <c r="H30" s="32" t="n">
        <v>34095.7</v>
      </c>
      <c r="I30" s="32" t="n">
        <v>222.76</v>
      </c>
      <c r="J30" s="32" t="n">
        <v>-2.02</v>
      </c>
      <c r="K30" s="32" t="n">
        <v>0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73.72</v>
      </c>
      <c r="P30" s="32" t="n">
        <v>66.39</v>
      </c>
      <c r="Q30" s="32" t="n">
        <v>163.58</v>
      </c>
      <c r="R30" s="31" t="inlineStr">
        <is>
          <t>Near 52W High Breakout</t>
        </is>
      </c>
      <c r="S30" s="31" t="inlineStr">
        <is>
          <t>Nifty Infra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Oligopoly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25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JGCHEM</t>
        </is>
      </c>
      <c r="D31" s="31" t="inlineStr">
        <is>
          <t>JGChemicals Ltd</t>
        </is>
      </c>
      <c r="E31" s="31" t="inlineStr">
        <is>
          <t>chemicals</t>
        </is>
      </c>
      <c r="F31" s="31" t="inlineStr">
        <is>
          <t>Chemicals - Inorganic</t>
        </is>
      </c>
      <c r="G31" s="31" t="inlineStr">
        <is>
          <t>smallcap</t>
        </is>
      </c>
      <c r="H31" s="32" t="n">
        <v>2359</v>
      </c>
      <c r="I31" s="32" t="n">
        <v>602</v>
      </c>
      <c r="J31" s="32" t="n">
        <v>-1.79</v>
      </c>
      <c r="K31" s="32" t="n">
        <v>0</v>
      </c>
      <c r="L31" s="31" t="n">
        <v>66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77.64</v>
      </c>
      <c r="P31" s="32" t="n">
        <v>31.3</v>
      </c>
      <c r="Q31" s="32" t="n">
        <v>471.21</v>
      </c>
      <c r="R31" s="31" t="inlineStr">
        <is>
          <t>Volume Spike &amp; Near 52W High Breakout</t>
        </is>
      </c>
      <c r="S31" s="31" t="inlineStr">
        <is>
          <t>Nifty IT</t>
        </is>
      </c>
      <c r="T31" s="32" t="n">
        <v>-9.98</v>
      </c>
      <c r="U31" s="32" t="n">
        <v>19.27</v>
      </c>
      <c r="V31" s="32" t="n">
        <v>32.49</v>
      </c>
      <c r="W31" s="32" t="n">
        <v>17.08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25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AVALON</t>
        </is>
      </c>
      <c r="D32" s="31" t="inlineStr">
        <is>
          <t>Avalon Technologies Ltd</t>
        </is>
      </c>
      <c r="E32" s="31" t="inlineStr">
        <is>
          <t>consumer discretionary</t>
        </is>
      </c>
      <c r="F32" s="31" t="inlineStr">
        <is>
          <t>Consumer Electronics - EMS</t>
        </is>
      </c>
      <c r="G32" s="31" t="inlineStr">
        <is>
          <t>midcap</t>
        </is>
      </c>
      <c r="H32" s="32" t="n">
        <v>12928.07</v>
      </c>
      <c r="I32" s="32" t="n">
        <v>1935</v>
      </c>
      <c r="J32" s="32" t="n">
        <v>0.24</v>
      </c>
      <c r="K32" s="32" t="n">
        <v>0</v>
      </c>
      <c r="L32" s="31" t="n">
        <v>87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77.67</v>
      </c>
      <c r="P32" s="32" t="n">
        <v>57.94</v>
      </c>
      <c r="Q32" s="32" t="n">
        <v>1513.81</v>
      </c>
      <c r="R32" s="31" t="inlineStr">
        <is>
          <t>Near 52W High Breakout</t>
        </is>
      </c>
      <c r="S32" s="31" t="inlineStr">
        <is>
          <t>Nifty 50</t>
        </is>
      </c>
      <c r="T32" s="32" t="n">
        <v>-1.08</v>
      </c>
      <c r="U32" s="32" t="n">
        <v>131.67</v>
      </c>
      <c r="V32" s="32" t="n">
        <v>134.19</v>
      </c>
      <c r="W32" s="32" t="n">
        <v>28.91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24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MINDACORP</t>
        </is>
      </c>
      <c r="D33" s="34" t="inlineStr">
        <is>
          <t>Minda Corporation Ltd</t>
        </is>
      </c>
      <c r="E33" s="31" t="inlineStr">
        <is>
          <t>auto</t>
        </is>
      </c>
      <c r="F33" s="31" t="inlineStr">
        <is>
          <t>Auto Ancillaries - Diversified</t>
        </is>
      </c>
      <c r="G33" s="31" t="inlineStr">
        <is>
          <t>midcap</t>
        </is>
      </c>
      <c r="H33" s="32" t="n">
        <v>17213.72</v>
      </c>
      <c r="I33" s="32" t="n">
        <v>720</v>
      </c>
      <c r="J33" s="32" t="n">
        <v>1.12</v>
      </c>
      <c r="K33" s="32" t="n">
        <v>0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70.45</v>
      </c>
      <c r="P33" s="32" t="n">
        <v>36.02</v>
      </c>
      <c r="Q33" s="32" t="n">
        <v>592.24</v>
      </c>
      <c r="R33" s="31" t="inlineStr">
        <is>
          <t>Volume Spike &amp; Near 52W High Breakout</t>
        </is>
      </c>
      <c r="S33" s="31" t="inlineStr">
        <is>
          <t>Nifty Auto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23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THELEELA</t>
        </is>
      </c>
      <c r="D34" s="31" t="inlineStr">
        <is>
          <t>Leela Palaces Hotels &amp; Resorts Ltd</t>
        </is>
      </c>
      <c r="E34" s="31" t="inlineStr">
        <is>
          <t>services</t>
        </is>
      </c>
      <c r="F34" s="31" t="inlineStr">
        <is>
          <t>Hotels</t>
        </is>
      </c>
      <c r="G34" s="31" t="inlineStr">
        <is>
          <t>midcap</t>
        </is>
      </c>
      <c r="H34" s="32" t="n">
        <v>17035.19</v>
      </c>
      <c r="I34" s="32" t="n">
        <v>510.1</v>
      </c>
      <c r="J34" s="32" t="n">
        <v>0.32</v>
      </c>
      <c r="K34" s="32" t="n">
        <v>0</v>
      </c>
      <c r="L34" s="31" t="n">
        <v>38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62.8</v>
      </c>
      <c r="P34" s="32" t="n">
        <v>26.46</v>
      </c>
      <c r="Q34" s="32" t="n">
        <v>420.67</v>
      </c>
      <c r="R34" s="31" t="inlineStr">
        <is>
          <t>Near 52W High Breakout</t>
        </is>
      </c>
      <c r="S34" s="31" t="inlineStr">
        <is>
          <t>Nifty 50</t>
        </is>
      </c>
      <c r="T34" s="32" t="n">
        <v>-1.08</v>
      </c>
      <c r="U34" s="32" t="n">
        <v>16.13</v>
      </c>
      <c r="V34" s="32" t="n">
        <v>17.4</v>
      </c>
      <c r="W34" s="32" t="n">
        <v>8.16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22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RPEL</t>
        </is>
      </c>
      <c r="D35" s="34" t="inlineStr">
        <is>
          <t>Raghav Productivity Enhancers Ltd</t>
        </is>
      </c>
      <c r="E35" s="31" t="inlineStr">
        <is>
          <t>building materials</t>
        </is>
      </c>
      <c r="F35" s="31" t="inlineStr">
        <is>
          <t>Steel Products</t>
        </is>
      </c>
      <c r="G35" s="31" t="inlineStr">
        <is>
          <t>midcap</t>
        </is>
      </c>
      <c r="H35" s="32" t="n">
        <v>6576.02</v>
      </c>
      <c r="I35" s="32" t="n">
        <v>1432</v>
      </c>
      <c r="J35" s="32" t="n">
        <v>3.11</v>
      </c>
      <c r="K35" s="32" t="n">
        <v>0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78.88</v>
      </c>
      <c r="P35" s="32" t="n">
        <v>53.31</v>
      </c>
      <c r="Q35" s="32" t="n">
        <v>1127.65</v>
      </c>
      <c r="R35" s="31" t="inlineStr">
        <is>
          <t>Near 52W High Breakout</t>
        </is>
      </c>
      <c r="S35" s="31" t="inlineStr">
        <is>
          <t>Nifty Infra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Between 1.5 to 2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22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HAPPYFORGE</t>
        </is>
      </c>
      <c r="D36" s="34" t="inlineStr">
        <is>
          <t>Happy Forgings Ltd</t>
        </is>
      </c>
      <c r="E36" s="31" t="inlineStr">
        <is>
          <t>industrials</t>
        </is>
      </c>
      <c r="F36" s="31" t="inlineStr">
        <is>
          <t>Castings, Forgings &amp; Fastners</t>
        </is>
      </c>
      <c r="G36" s="31" t="inlineStr">
        <is>
          <t>midcap</t>
        </is>
      </c>
      <c r="H36" s="32" t="n">
        <v>19819.53</v>
      </c>
      <c r="I36" s="32" t="n">
        <v>2100</v>
      </c>
      <c r="J36" s="32" t="n">
        <v>4.6</v>
      </c>
      <c r="K36" s="32" t="n">
        <v>0</v>
      </c>
      <c r="L36" s="31" t="n">
        <v>87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85.79000000000001</v>
      </c>
      <c r="P36" s="32" t="n">
        <v>53.03</v>
      </c>
      <c r="Q36" s="32" t="n">
        <v>1711.22</v>
      </c>
      <c r="R36" s="31" t="inlineStr">
        <is>
          <t>Near 52W High Breakout</t>
        </is>
      </c>
      <c r="S36" s="31" t="inlineStr">
        <is>
          <t>Nifty 50</t>
        </is>
      </c>
      <c r="T36" s="32" t="n">
        <v>-1.08</v>
      </c>
      <c r="U36" s="32" t="n">
        <v>121.45</v>
      </c>
      <c r="V36" s="32" t="n">
        <v>123.87</v>
      </c>
      <c r="W36" s="32" t="n">
        <v>28.76</v>
      </c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Between 1.5 to 2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DYCL</t>
        </is>
      </c>
      <c r="D37" s="34" t="inlineStr">
        <is>
          <t>Dynamic Cables Ltd</t>
        </is>
      </c>
      <c r="E37" s="31" t="inlineStr">
        <is>
          <t>industrials</t>
        </is>
      </c>
      <c r="F37" s="31" t="inlineStr">
        <is>
          <t>Cables - Power</t>
        </is>
      </c>
      <c r="G37" s="31" t="inlineStr">
        <is>
          <t>smallcap</t>
        </is>
      </c>
      <c r="H37" s="32" t="n">
        <v>2185</v>
      </c>
      <c r="I37" s="32" t="n">
        <v>450.9</v>
      </c>
      <c r="J37" s="32" t="n">
        <v>-0.98</v>
      </c>
      <c r="K37" s="32" t="n">
        <v>0</v>
      </c>
      <c r="L37" s="31" t="inlineStr"/>
      <c r="M37" s="31" t="inlineStr"/>
      <c r="N37" s="32">
        <f>IF(M37="Underperforming",-5,IF(L37&gt;=95,15,IF(L37&gt;=90,10,IF(L37&gt;=80,5,0))))</f>
        <v/>
      </c>
      <c r="O37" s="32" t="n">
        <v>65.98999999999999</v>
      </c>
      <c r="P37" s="32" t="n">
        <v>22.29</v>
      </c>
      <c r="Q37" s="32" t="n">
        <v>313.55</v>
      </c>
      <c r="R37" s="31" t="inlineStr">
        <is>
          <t>Near 52W High Breakout</t>
        </is>
      </c>
      <c r="S37" s="31" t="inlineStr">
        <is>
          <t>Nifty Energy</t>
        </is>
      </c>
      <c r="T37" s="32" t="inlineStr"/>
      <c r="U37" s="32" t="inlineStr"/>
      <c r="V37" s="32" t="inlineStr"/>
      <c r="W37" s="32" t="inlineStr"/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LAURUSLABS</t>
        </is>
      </c>
      <c r="D38" s="31" t="inlineStr">
        <is>
          <t>Laurus Labs Ltd</t>
        </is>
      </c>
      <c r="E38" s="31" t="inlineStr">
        <is>
          <t>healthcare</t>
        </is>
      </c>
      <c r="F38" s="31" t="inlineStr">
        <is>
          <t>Pharma - API &amp; CRAMS</t>
        </is>
      </c>
      <c r="G38" s="31" t="inlineStr">
        <is>
          <t>largecap</t>
        </is>
      </c>
      <c r="H38" s="32" t="n">
        <v>96570</v>
      </c>
      <c r="I38" s="32" t="n">
        <v>1787.3</v>
      </c>
      <c r="J38" s="32" t="n">
        <v>-3.48</v>
      </c>
      <c r="K38" s="32" t="n">
        <v>0</v>
      </c>
      <c r="L38" s="31" t="n">
        <v>80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79.64</v>
      </c>
      <c r="P38" s="32" t="n">
        <v>64.89</v>
      </c>
      <c r="Q38" s="32" t="n">
        <v>1580.78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19.38</v>
      </c>
      <c r="U38" s="32" t="n">
        <v>108.28</v>
      </c>
      <c r="V38" s="32" t="n">
        <v>74.45999999999999</v>
      </c>
      <c r="W38" s="32" t="n">
        <v>23.73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21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GLAND</t>
        </is>
      </c>
      <c r="D39" s="34" t="inlineStr">
        <is>
          <t>Gland Pharma Ltd</t>
        </is>
      </c>
      <c r="E39" s="31" t="inlineStr">
        <is>
          <t>healthcare</t>
        </is>
      </c>
      <c r="F39" s="31" t="inlineStr">
        <is>
          <t>Pharma - API &amp; CRAMS</t>
        </is>
      </c>
      <c r="G39" s="31" t="inlineStr">
        <is>
          <t>largecap</t>
        </is>
      </c>
      <c r="H39" s="32" t="n">
        <v>48915.91</v>
      </c>
      <c r="I39" s="32" t="n">
        <v>2965.2</v>
      </c>
      <c r="J39" s="32" t="n">
        <v>-0.08</v>
      </c>
      <c r="K39" s="32" t="n">
        <v>0</v>
      </c>
      <c r="L39" s="31" t="n">
        <v>79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79.88</v>
      </c>
      <c r="P39" s="32" t="n">
        <v>58.95</v>
      </c>
      <c r="Q39" s="32" t="n">
        <v>2429.23</v>
      </c>
      <c r="R39" s="31" t="inlineStr">
        <is>
          <t>Volume Spike &amp; Near 52W High Breakout</t>
        </is>
      </c>
      <c r="S39" s="31" t="inlineStr">
        <is>
          <t>Nifty Pharma</t>
        </is>
      </c>
      <c r="T39" s="32" t="n">
        <v>19.38</v>
      </c>
      <c r="U39" s="32" t="n">
        <v>51.46</v>
      </c>
      <c r="V39" s="32" t="n">
        <v>26.87</v>
      </c>
      <c r="W39" s="32" t="n">
        <v>23.04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21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DIVGIITTS</t>
        </is>
      </c>
      <c r="D40" s="34" t="inlineStr">
        <is>
          <t>Divgi Torqtransfer Systems Ltd</t>
        </is>
      </c>
      <c r="E40" s="31" t="inlineStr">
        <is>
          <t>auto</t>
        </is>
      </c>
      <c r="F40" s="31" t="inlineStr">
        <is>
          <t>Auto Ancillaries - Transmission</t>
        </is>
      </c>
      <c r="G40" s="31" t="inlineStr">
        <is>
          <t>smallcap</t>
        </is>
      </c>
      <c r="H40" s="32" t="n">
        <v>3969.82</v>
      </c>
      <c r="I40" s="32" t="n">
        <v>1298.05</v>
      </c>
      <c r="J40" s="32" t="n">
        <v>6.42</v>
      </c>
      <c r="K40" s="32" t="n">
        <v>0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78.06999999999999</v>
      </c>
      <c r="P40" s="32" t="n">
        <v>45.29</v>
      </c>
      <c r="Q40" s="32" t="n">
        <v>1003.17</v>
      </c>
      <c r="R40" s="31" t="inlineStr">
        <is>
          <t>Volume Spike &amp; Near 52W High Breakout</t>
        </is>
      </c>
      <c r="S40" s="31" t="inlineStr">
        <is>
          <t>Nifty Auto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27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UNIVCABLES</t>
        </is>
      </c>
      <c r="D41" s="31" t="inlineStr">
        <is>
          <t>Universal Cables Ltd</t>
        </is>
      </c>
      <c r="E41" s="31" t="inlineStr">
        <is>
          <t>industrials</t>
        </is>
      </c>
      <c r="F41" s="31" t="inlineStr">
        <is>
          <t>Cables - Power</t>
        </is>
      </c>
      <c r="G41" s="31" t="inlineStr">
        <is>
          <t>midcap</t>
        </is>
      </c>
      <c r="H41" s="32" t="n">
        <v>5724.74</v>
      </c>
      <c r="I41" s="32" t="n">
        <v>1650</v>
      </c>
      <c r="J41" s="32" t="n">
        <v>-3.07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76.83</v>
      </c>
      <c r="P41" s="32" t="n">
        <v>58.23</v>
      </c>
      <c r="Q41" s="32" t="n">
        <v>1183.88</v>
      </c>
      <c r="R41" s="31" t="inlineStr">
        <is>
          <t>Volume Spike &amp; Near 52W High Breakout</t>
        </is>
      </c>
      <c r="S41" s="31" t="inlineStr">
        <is>
          <t>Nifty Energy</t>
        </is>
      </c>
      <c r="T41" s="32" t="inlineStr"/>
      <c r="U41" s="32" t="inlineStr"/>
      <c r="V41" s="32" t="inlineStr"/>
      <c r="W41" s="32" t="inlineStr"/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26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ARVSMART</t>
        </is>
      </c>
      <c r="D42" s="31" t="inlineStr">
        <is>
          <t>Arvind SmartSpaces Ltd</t>
        </is>
      </c>
      <c r="E42" s="31" t="inlineStr">
        <is>
          <t>realty</t>
        </is>
      </c>
      <c r="F42" s="31" t="inlineStr">
        <is>
          <t>Realty - Construction &amp; Contracting</t>
        </is>
      </c>
      <c r="G42" s="31" t="inlineStr">
        <is>
          <t>smallcap</t>
        </is>
      </c>
      <c r="H42" s="32" t="n">
        <v>3008.55</v>
      </c>
      <c r="I42" s="32" t="n">
        <v>655.5</v>
      </c>
      <c r="J42" s="32" t="n">
        <v>-1.15</v>
      </c>
      <c r="K42" s="32" t="n">
        <v>0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60.67</v>
      </c>
      <c r="P42" s="32" t="n">
        <v>25.99</v>
      </c>
      <c r="Q42" s="32" t="n">
        <v>516.27</v>
      </c>
      <c r="R42" s="31" t="inlineStr">
        <is>
          <t>Near 52W High Breakout</t>
        </is>
      </c>
      <c r="S42" s="31" t="inlineStr">
        <is>
          <t>Nifty Realty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23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IRISDOREME</t>
        </is>
      </c>
      <c r="D43" s="31" t="inlineStr">
        <is>
          <t>Iris Clothings Ltd</t>
        </is>
      </c>
      <c r="E43" s="31" t="inlineStr">
        <is>
          <t>consumer discretionary</t>
        </is>
      </c>
      <c r="F43" s="31" t="inlineStr">
        <is>
          <t>Textiles - Readymade Apparel</t>
        </is>
      </c>
      <c r="G43" s="31" t="inlineStr">
        <is>
          <t>smallcap</t>
        </is>
      </c>
      <c r="H43" s="32" t="n">
        <v>1103.92</v>
      </c>
      <c r="I43" s="32" t="n">
        <v>58</v>
      </c>
      <c r="J43" s="32" t="n">
        <v>0.85</v>
      </c>
      <c r="K43" s="32" t="n">
        <v>0</v>
      </c>
      <c r="L43" s="31" t="n">
        <v>82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84.81</v>
      </c>
      <c r="P43" s="32" t="n">
        <v>39.43</v>
      </c>
      <c r="Q43" s="32" t="n">
        <v>44.76</v>
      </c>
      <c r="R43" s="31" t="inlineStr">
        <is>
          <t>Volume Spike &amp; Near 52W High Breakout</t>
        </is>
      </c>
      <c r="S43" s="31" t="inlineStr">
        <is>
          <t>Nifty 50</t>
        </is>
      </c>
      <c r="T43" s="32" t="n">
        <v>-1.08</v>
      </c>
      <c r="U43" s="32" t="n">
        <v>72.41</v>
      </c>
      <c r="V43" s="32" t="n">
        <v>74.29000000000001</v>
      </c>
      <c r="W43" s="32" t="n">
        <v>26.26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22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FINCABLES</t>
        </is>
      </c>
      <c r="D44" s="34" t="inlineStr">
        <is>
          <t>Finolex Cables Ltd</t>
        </is>
      </c>
      <c r="E44" s="31" t="inlineStr">
        <is>
          <t>industrials</t>
        </is>
      </c>
      <c r="F44" s="31" t="inlineStr">
        <is>
          <t>Cables - Telecom</t>
        </is>
      </c>
      <c r="G44" s="31" t="inlineStr">
        <is>
          <t>midcap</t>
        </is>
      </c>
      <c r="H44" s="32" t="n">
        <v>19147.24</v>
      </c>
      <c r="I44" s="32" t="n">
        <v>1251.95</v>
      </c>
      <c r="J44" s="32" t="n">
        <v>0.21</v>
      </c>
      <c r="K44" s="32" t="n">
        <v>0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65.51000000000001</v>
      </c>
      <c r="P44" s="32" t="n">
        <v>35.43</v>
      </c>
      <c r="Q44" s="32" t="n">
        <v>921.37</v>
      </c>
      <c r="R44" s="31" t="inlineStr">
        <is>
          <t>Volume Spike &amp; Near 52W High Breakout</t>
        </is>
      </c>
      <c r="S44" s="31" t="inlineStr">
        <is>
          <t>Nifty Energy</t>
        </is>
      </c>
      <c r="T44" s="32" t="inlineStr"/>
      <c r="U44" s="32" t="inlineStr"/>
      <c r="V44" s="32" t="inlineStr"/>
      <c r="W44" s="32" t="inlineStr"/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Oligopoly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22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3" t="inlineStr">
        <is>
          <t>ENTERO</t>
        </is>
      </c>
      <c r="D45" s="33" t="inlineStr">
        <is>
          <t>Entero Healthcare Solutions Ltd</t>
        </is>
      </c>
      <c r="E45" s="31" t="inlineStr">
        <is>
          <t>healthcare</t>
        </is>
      </c>
      <c r="F45" s="31" t="inlineStr">
        <is>
          <t>Pharmacy Distribution</t>
        </is>
      </c>
      <c r="G45" s="31" t="inlineStr">
        <is>
          <t>midcap</t>
        </is>
      </c>
      <c r="H45" s="32" t="n">
        <v>6188.98</v>
      </c>
      <c r="I45" s="32" t="n">
        <v>1422</v>
      </c>
      <c r="J45" s="32" t="n">
        <v>-1.8</v>
      </c>
      <c r="K45" s="32" t="n">
        <v>0</v>
      </c>
      <c r="L45" s="31" t="n">
        <v>34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64.98</v>
      </c>
      <c r="P45" s="32" t="n">
        <v>22.48</v>
      </c>
      <c r="Q45" s="32" t="n">
        <v>1087.85</v>
      </c>
      <c r="R45" s="31" t="inlineStr">
        <is>
          <t>Volume Spike &amp; Near 52W High Breakout</t>
        </is>
      </c>
      <c r="S45" s="31" t="inlineStr">
        <is>
          <t>Nifty Pharma</t>
        </is>
      </c>
      <c r="T45" s="32" t="n">
        <v>19.38</v>
      </c>
      <c r="U45" s="32" t="n">
        <v>17.42</v>
      </c>
      <c r="V45" s="32" t="n">
        <v>-1.64</v>
      </c>
      <c r="W45" s="32" t="n">
        <v>7.36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Close to 52 week high or retracement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Less than 1.5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30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MOREPENLAB</t>
        </is>
      </c>
      <c r="D46" s="31" t="inlineStr">
        <is>
          <t>Morepen Laboratories Ltd</t>
        </is>
      </c>
      <c r="E46" s="31" t="inlineStr">
        <is>
          <t>healthcare</t>
        </is>
      </c>
      <c r="F46" s="31" t="inlineStr">
        <is>
          <t>Pharma - API &amp; CRAMS</t>
        </is>
      </c>
      <c r="G46" s="31" t="inlineStr">
        <is>
          <t>smallcap</t>
        </is>
      </c>
      <c r="H46" s="32" t="n">
        <v>4609.39</v>
      </c>
      <c r="I46" s="32" t="n">
        <v>84.12</v>
      </c>
      <c r="J46" s="32" t="n">
        <v>3.99</v>
      </c>
      <c r="K46" s="32" t="n">
        <v>0</v>
      </c>
      <c r="L46" s="31" t="n">
        <v>92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79.76000000000001</v>
      </c>
      <c r="P46" s="32" t="n">
        <v>34.5</v>
      </c>
      <c r="Q46" s="32" t="n">
        <v>62.07</v>
      </c>
      <c r="R46" s="31" t="inlineStr">
        <is>
          <t>Near 52W High Breakout</t>
        </is>
      </c>
      <c r="S46" s="31" t="inlineStr">
        <is>
          <t>Nifty Pharma</t>
        </is>
      </c>
      <c r="T46" s="32" t="n">
        <v>19.38</v>
      </c>
      <c r="U46" s="32" t="n">
        <v>82.26000000000001</v>
      </c>
      <c r="V46" s="32" t="n">
        <v>52.67</v>
      </c>
      <c r="W46" s="32" t="n">
        <v>38.75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27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NEULANDLAB</t>
        </is>
      </c>
      <c r="D47" s="31" t="inlineStr">
        <is>
          <t>Neuland Laboratories Ltd</t>
        </is>
      </c>
      <c r="E47" s="31" t="inlineStr">
        <is>
          <t>healthcare</t>
        </is>
      </c>
      <c r="F47" s="31" t="inlineStr">
        <is>
          <t>Pharma - API &amp; CRAMS</t>
        </is>
      </c>
      <c r="G47" s="31" t="inlineStr">
        <is>
          <t>largecap</t>
        </is>
      </c>
      <c r="H47" s="32" t="n">
        <v>29932.13</v>
      </c>
      <c r="I47" s="32" t="n">
        <v>23330</v>
      </c>
      <c r="J47" s="32" t="n">
        <v>0.53</v>
      </c>
      <c r="K47" s="32" t="n">
        <v>0</v>
      </c>
      <c r="L47" s="31" t="n">
        <v>78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77.54000000000001</v>
      </c>
      <c r="P47" s="32" t="n">
        <v>52.42</v>
      </c>
      <c r="Q47" s="32" t="n">
        <v>18728.68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19.38</v>
      </c>
      <c r="U47" s="32" t="n">
        <v>75.95</v>
      </c>
      <c r="V47" s="32" t="n">
        <v>47.39</v>
      </c>
      <c r="W47" s="32" t="n">
        <v>23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26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TCPLPACK</t>
        </is>
      </c>
      <c r="D48" s="34" t="inlineStr">
        <is>
          <t>TCPL Packaging Ltd</t>
        </is>
      </c>
      <c r="E48" s="31" t="inlineStr">
        <is>
          <t>industrials</t>
        </is>
      </c>
      <c r="F48" s="31" t="inlineStr">
        <is>
          <t>Packaging - FMCG/Consumers</t>
        </is>
      </c>
      <c r="G48" s="31" t="inlineStr">
        <is>
          <t>smallcap</t>
        </is>
      </c>
      <c r="H48" s="32" t="n">
        <v>3687.32</v>
      </c>
      <c r="I48" s="32" t="n">
        <v>4052</v>
      </c>
      <c r="J48" s="32" t="n">
        <v>-4.78</v>
      </c>
      <c r="K48" s="32" t="n">
        <v>0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77.05</v>
      </c>
      <c r="P48" s="32" t="n">
        <v>25.55</v>
      </c>
      <c r="Q48" s="32" t="n">
        <v>3120.69</v>
      </c>
      <c r="R48" s="31" t="inlineStr">
        <is>
          <t>Volume Spike &amp; Near 52W High Breakout</t>
        </is>
      </c>
      <c r="S48" s="31" t="inlineStr">
        <is>
          <t>Nifty Infra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21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4" t="inlineStr">
        <is>
          <t>HONASA</t>
        </is>
      </c>
      <c r="D49" s="34" t="inlineStr">
        <is>
          <t>Honasa Consumer Ltd</t>
        </is>
      </c>
      <c r="E49" s="31" t="inlineStr">
        <is>
          <t>services</t>
        </is>
      </c>
      <c r="F49" s="31" t="inlineStr">
        <is>
          <t>New age - Platform - E-Retail</t>
        </is>
      </c>
      <c r="G49" s="31" t="inlineStr">
        <is>
          <t>midcap</t>
        </is>
      </c>
      <c r="H49" s="32" t="n">
        <v>16366.42</v>
      </c>
      <c r="I49" s="32" t="n">
        <v>502</v>
      </c>
      <c r="J49" s="32" t="n">
        <v>4.7</v>
      </c>
      <c r="K49" s="32" t="n">
        <v>0</v>
      </c>
      <c r="L49" s="31" t="n">
        <v>76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78.87</v>
      </c>
      <c r="P49" s="32" t="n">
        <v>58.18</v>
      </c>
      <c r="Q49" s="32" t="n">
        <v>411.34</v>
      </c>
      <c r="R49" s="31" t="inlineStr">
        <is>
          <t>Volume Spike &amp; Near 52W High Breakout</t>
        </is>
      </c>
      <c r="S49" s="31" t="inlineStr">
        <is>
          <t>Nifty 50</t>
        </is>
      </c>
      <c r="T49" s="32" t="n">
        <v>-1.08</v>
      </c>
      <c r="U49" s="32" t="n">
        <v>79.89</v>
      </c>
      <c r="V49" s="32" t="n">
        <v>81.84999999999999</v>
      </c>
      <c r="W49" s="32" t="n">
        <v>21.84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28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CHENNPETRO</t>
        </is>
      </c>
      <c r="D50" s="31" t="inlineStr">
        <is>
          <t>Chennai Petroleum Corporation Ltd</t>
        </is>
      </c>
      <c r="E50" s="31" t="inlineStr">
        <is>
          <t>energy</t>
        </is>
      </c>
      <c r="F50" s="31" t="inlineStr">
        <is>
          <t>Refineries</t>
        </is>
      </c>
      <c r="G50" s="31" t="inlineStr">
        <is>
          <t>midcap</t>
        </is>
      </c>
      <c r="H50" s="32" t="n">
        <v>19642.9</v>
      </c>
      <c r="I50" s="32" t="n">
        <v>1319.1</v>
      </c>
      <c r="J50" s="32" t="n">
        <v>-1.69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72.45999999999999</v>
      </c>
      <c r="P50" s="32" t="n">
        <v>49.4</v>
      </c>
      <c r="Q50" s="32" t="n">
        <v>968.62</v>
      </c>
      <c r="R50" s="31" t="inlineStr">
        <is>
          <t>Volume Spike &amp; Near 52W High Breakout</t>
        </is>
      </c>
      <c r="S50" s="31" t="inlineStr">
        <is>
          <t>Nifty Energy</t>
        </is>
      </c>
      <c r="T50" s="32" t="inlineStr"/>
      <c r="U50" s="32" t="inlineStr"/>
      <c r="V50" s="32" t="inlineStr"/>
      <c r="W50" s="32" t="inlineStr"/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Oligopoly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Cyclical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Volatile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26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4" t="inlineStr">
        <is>
          <t>PRECWIRE</t>
        </is>
      </c>
      <c r="D51" s="34" t="inlineStr">
        <is>
          <t>Precision Wires India Ltd</t>
        </is>
      </c>
      <c r="E51" s="31" t="inlineStr">
        <is>
          <t>metals &amp; mining</t>
        </is>
      </c>
      <c r="F51" s="31" t="inlineStr">
        <is>
          <t>Copper Wires</t>
        </is>
      </c>
      <c r="G51" s="31" t="inlineStr">
        <is>
          <t>midcap</t>
        </is>
      </c>
      <c r="H51" s="32" t="n">
        <v>8445.73</v>
      </c>
      <c r="I51" s="32" t="n">
        <v>462</v>
      </c>
      <c r="J51" s="32" t="n">
        <v>-1.42</v>
      </c>
      <c r="K51" s="32" t="n">
        <v>0</v>
      </c>
      <c r="L51" s="31" t="inlineStr"/>
      <c r="M51" s="31" t="inlineStr"/>
      <c r="N51" s="32">
        <f>IF(M51="Underperforming",-5,IF(L51&gt;=95,15,IF(L51&gt;=90,10,IF(L51&gt;=80,5,0))))</f>
        <v/>
      </c>
      <c r="O51" s="32" t="n">
        <v>66.31999999999999</v>
      </c>
      <c r="P51" s="32" t="n">
        <v>43.67</v>
      </c>
      <c r="Q51" s="32" t="n">
        <v>333.65</v>
      </c>
      <c r="R51" s="31" t="inlineStr">
        <is>
          <t>Volume Spike &amp; Near 52W High Breakout</t>
        </is>
      </c>
      <c r="S51" s="31" t="inlineStr">
        <is>
          <t>Nifty Metal</t>
        </is>
      </c>
      <c r="T51" s="32" t="inlineStr"/>
      <c r="U51" s="32" t="inlineStr"/>
      <c r="V51" s="32" t="inlineStr"/>
      <c r="W51" s="32" t="inlineStr"/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Cyclical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Volatile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26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YASHO</t>
        </is>
      </c>
      <c r="D52" s="31" t="inlineStr">
        <is>
          <t>Yasho Industries Ltd</t>
        </is>
      </c>
      <c r="E52" s="31" t="inlineStr">
        <is>
          <t>chemicals</t>
        </is>
      </c>
      <c r="F52" s="31" t="inlineStr">
        <is>
          <t>Speciality Chemicals</t>
        </is>
      </c>
      <c r="G52" s="31" t="inlineStr">
        <is>
          <t>midcap</t>
        </is>
      </c>
      <c r="H52" s="32" t="n">
        <v>5082.07</v>
      </c>
      <c r="I52" s="32" t="n">
        <v>4215</v>
      </c>
      <c r="J52" s="32" t="n">
        <v>-1.44</v>
      </c>
      <c r="K52" s="32" t="n">
        <v>0</v>
      </c>
      <c r="L52" s="31" t="n">
        <v>98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91.79000000000001</v>
      </c>
      <c r="P52" s="32" t="n">
        <v>65.09</v>
      </c>
      <c r="Q52" s="32" t="n">
        <v>3225.63</v>
      </c>
      <c r="R52" s="31" t="inlineStr">
        <is>
          <t>Near 52W High Breakout</t>
        </is>
      </c>
      <c r="S52" s="31" t="inlineStr">
        <is>
          <t>Nifty 50</t>
        </is>
      </c>
      <c r="T52" s="32" t="n">
        <v>-1.08</v>
      </c>
      <c r="U52" s="32" t="n">
        <v>141.89</v>
      </c>
      <c r="V52" s="32" t="n">
        <v>144.52</v>
      </c>
      <c r="W52" s="32" t="n">
        <v>59.9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More than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24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KRISHANA</t>
        </is>
      </c>
      <c r="D53" s="31" t="inlineStr">
        <is>
          <t>Krishana Phoschem Ltd</t>
        </is>
      </c>
      <c r="E53" s="31" t="inlineStr">
        <is>
          <t>chemicals</t>
        </is>
      </c>
      <c r="F53" s="31" t="inlineStr">
        <is>
          <t>Fertilisers</t>
        </is>
      </c>
      <c r="G53" s="31" t="inlineStr">
        <is>
          <t>midcap</t>
        </is>
      </c>
      <c r="H53" s="32" t="n">
        <v>5885.99</v>
      </c>
      <c r="I53" s="32" t="n">
        <v>190.4</v>
      </c>
      <c r="J53" s="32" t="n">
        <v>0.77</v>
      </c>
      <c r="K53" s="32" t="n">
        <v>0</v>
      </c>
      <c r="L53" s="31" t="n">
        <v>76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79.43000000000001</v>
      </c>
      <c r="P53" s="32" t="n">
        <v>46.33</v>
      </c>
      <c r="Q53" s="32" t="n">
        <v>150.15</v>
      </c>
      <c r="R53" s="31" t="inlineStr">
        <is>
          <t>Near 52W High Breakout</t>
        </is>
      </c>
      <c r="S53" s="31" t="inlineStr">
        <is>
          <t>Nifty 50</t>
        </is>
      </c>
      <c r="T53" s="32" t="n">
        <v>-1.08</v>
      </c>
      <c r="U53" s="32" t="n">
        <v>75.39</v>
      </c>
      <c r="V53" s="32" t="n">
        <v>77.3</v>
      </c>
      <c r="W53" s="32" t="n">
        <v>21.96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Above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More than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22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4" t="inlineStr">
        <is>
          <t>KRN</t>
        </is>
      </c>
      <c r="D54" s="34" t="inlineStr">
        <is>
          <t>KRN Heat Exchanger and Refrigeration Ltd</t>
        </is>
      </c>
      <c r="E54" s="31" t="inlineStr">
        <is>
          <t>industrials</t>
        </is>
      </c>
      <c r="F54" s="31" t="inlineStr">
        <is>
          <t>Engineering - General</t>
        </is>
      </c>
      <c r="G54" s="31" t="inlineStr">
        <is>
          <t>midcap</t>
        </is>
      </c>
      <c r="H54" s="32" t="n">
        <v>9611.27</v>
      </c>
      <c r="I54" s="32" t="n">
        <v>1468.3</v>
      </c>
      <c r="J54" s="32" t="n">
        <v>5</v>
      </c>
      <c r="K54" s="32" t="n">
        <v>0</v>
      </c>
      <c r="L54" s="31" t="n">
        <v>72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69.95999999999999</v>
      </c>
      <c r="P54" s="32" t="n">
        <v>29.23</v>
      </c>
      <c r="Q54" s="32" t="n">
        <v>1070.1</v>
      </c>
      <c r="R54" s="31" t="inlineStr">
        <is>
          <t>Volume Spike &amp; Near 52W High Breakout</t>
        </is>
      </c>
      <c r="S54" s="31" t="inlineStr">
        <is>
          <t>Nifty 50</t>
        </is>
      </c>
      <c r="T54" s="32" t="n">
        <v>-1.08</v>
      </c>
      <c r="U54" s="32" t="n">
        <v>72.13</v>
      </c>
      <c r="V54" s="32" t="n">
        <v>74.01000000000001</v>
      </c>
      <c r="W54" s="32" t="n">
        <v>19.56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21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4" t="inlineStr">
        <is>
          <t>SANSERA</t>
        </is>
      </c>
      <c r="D55" s="34" t="inlineStr">
        <is>
          <t>Sansera Engineering Ltd</t>
        </is>
      </c>
      <c r="E55" s="31" t="inlineStr">
        <is>
          <t>auto</t>
        </is>
      </c>
      <c r="F55" s="31" t="inlineStr">
        <is>
          <t>Auto Ancillaries - Diversified</t>
        </is>
      </c>
      <c r="G55" s="31" t="inlineStr">
        <is>
          <t>largecap</t>
        </is>
      </c>
      <c r="H55" s="32" t="n">
        <v>24496.52</v>
      </c>
      <c r="I55" s="32" t="n">
        <v>3925.5</v>
      </c>
      <c r="J55" s="32" t="n">
        <v>3.68</v>
      </c>
      <c r="K55" s="32" t="n">
        <v>0</v>
      </c>
      <c r="L55" s="31" t="inlineStr"/>
      <c r="M55" s="31" t="inlineStr"/>
      <c r="N55" s="32">
        <f>IF(M55="Underperforming",-5,IF(L55&gt;=95,15,IF(L55&gt;=90,10,IF(L55&gt;=80,5,0))))</f>
        <v/>
      </c>
      <c r="O55" s="32" t="n">
        <v>83.40000000000001</v>
      </c>
      <c r="P55" s="32" t="n">
        <v>56.36</v>
      </c>
      <c r="Q55" s="32" t="n">
        <v>3131.32</v>
      </c>
      <c r="R55" s="31" t="inlineStr">
        <is>
          <t>Volume Spike &amp; Near 52W High Breakout</t>
        </is>
      </c>
      <c r="S55" s="31" t="inlineStr">
        <is>
          <t>Nifty Auto</t>
        </is>
      </c>
      <c r="T55" s="32" t="inlineStr"/>
      <c r="U55" s="32" t="inlineStr"/>
      <c r="V55" s="32" t="inlineStr"/>
      <c r="W55" s="32" t="inlineStr"/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20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3" t="inlineStr">
        <is>
          <t>DPABHUSHAN</t>
        </is>
      </c>
      <c r="D56" s="33" t="inlineStr">
        <is>
          <t>DP Abhushan Ltd</t>
        </is>
      </c>
      <c r="E56" s="31" t="inlineStr">
        <is>
          <t>consumer discretionary</t>
        </is>
      </c>
      <c r="F56" s="31" t="inlineStr">
        <is>
          <t>Diamond, Gems &amp; Jewellery</t>
        </is>
      </c>
      <c r="G56" s="31" t="inlineStr">
        <is>
          <t>smallcap</t>
        </is>
      </c>
      <c r="H56" s="32" t="n">
        <v>3275.81</v>
      </c>
      <c r="I56" s="32" t="n">
        <v>1435</v>
      </c>
      <c r="J56" s="32" t="n">
        <v>5.12</v>
      </c>
      <c r="K56" s="32" t="n">
        <v>0</v>
      </c>
      <c r="L56" s="31" t="n">
        <v>51</v>
      </c>
      <c r="M56" s="31" t="inlineStr">
        <is>
          <t>Underperforming</t>
        </is>
      </c>
      <c r="N56" s="32">
        <f>IF(M56="Underperforming",-5,IF(L56&gt;=95,15,IF(L56&gt;=90,10,IF(L56&gt;=80,5,0))))</f>
        <v/>
      </c>
      <c r="O56" s="32" t="n">
        <v>65.65000000000001</v>
      </c>
      <c r="P56" s="32" t="n">
        <v>33.87</v>
      </c>
      <c r="Q56" s="32" t="n">
        <v>1032.49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-1.08</v>
      </c>
      <c r="U56" s="32" t="n">
        <v>-11.77</v>
      </c>
      <c r="V56" s="32" t="n">
        <v>-10.81</v>
      </c>
      <c r="W56" s="32" t="n">
        <v>11.74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19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4" t="inlineStr">
        <is>
          <t>LMW</t>
        </is>
      </c>
      <c r="D57" s="34" t="inlineStr">
        <is>
          <t>LMW Ltd</t>
        </is>
      </c>
      <c r="E57" s="31" t="inlineStr">
        <is>
          <t>industrials</t>
        </is>
      </c>
      <c r="F57" s="31" t="inlineStr">
        <is>
          <t>Textile machinery</t>
        </is>
      </c>
      <c r="G57" s="31" t="inlineStr">
        <is>
          <t>largecap</t>
        </is>
      </c>
      <c r="H57" s="32" t="n">
        <v>20404.53</v>
      </c>
      <c r="I57" s="32" t="n">
        <v>19100</v>
      </c>
      <c r="J57" s="32" t="n">
        <v>1.88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72.20999999999999</v>
      </c>
      <c r="P57" s="32" t="n">
        <v>34.19</v>
      </c>
      <c r="Q57" s="32" t="n">
        <v>15491.27</v>
      </c>
      <c r="R57" s="31" t="inlineStr">
        <is>
          <t>Volume Spike &amp; Near 52W High Breakout</t>
        </is>
      </c>
      <c r="S57" s="31" t="inlineStr">
        <is>
          <t>Nifty Infra</t>
        </is>
      </c>
      <c r="T57" s="32" t="inlineStr"/>
      <c r="U57" s="32" t="inlineStr"/>
      <c r="V57" s="32" t="inlineStr"/>
      <c r="W57" s="32" t="inlineStr"/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19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RRKABEL</t>
        </is>
      </c>
      <c r="D58" s="31" t="inlineStr">
        <is>
          <t>R R Kabel Ltd</t>
        </is>
      </c>
      <c r="E58" s="31" t="inlineStr">
        <is>
          <t>industrials</t>
        </is>
      </c>
      <c r="F58" s="31" t="inlineStr">
        <is>
          <t>Cables - Power</t>
        </is>
      </c>
      <c r="G58" s="31" t="inlineStr">
        <is>
          <t>largecap</t>
        </is>
      </c>
      <c r="H58" s="32" t="n">
        <v>31533.81</v>
      </c>
      <c r="I58" s="32" t="n">
        <v>2788</v>
      </c>
      <c r="J58" s="32" t="n">
        <v>-1.63</v>
      </c>
      <c r="K58" s="32" t="n">
        <v>0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77.43000000000001</v>
      </c>
      <c r="P58" s="32" t="n">
        <v>67.23999999999999</v>
      </c>
      <c r="Q58" s="32" t="n">
        <v>2226.92</v>
      </c>
      <c r="R58" s="31" t="inlineStr">
        <is>
          <t>Near 52W High Breakout</t>
        </is>
      </c>
      <c r="S58" s="31" t="inlineStr">
        <is>
          <t>Nifty Energy</t>
        </is>
      </c>
      <c r="T58" s="32" t="inlineStr"/>
      <c r="U58" s="32" t="inlineStr"/>
      <c r="V58" s="32" t="inlineStr"/>
      <c r="W58" s="32" t="inlineStr"/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19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4" t="inlineStr">
        <is>
          <t>MANORAMA</t>
        </is>
      </c>
      <c r="D59" s="34" t="inlineStr">
        <is>
          <t>Manorama Industries Ltd</t>
        </is>
      </c>
      <c r="E59" s="31" t="inlineStr">
        <is>
          <t>fmcg</t>
        </is>
      </c>
      <c r="F59" s="31" t="inlineStr">
        <is>
          <t>FMCG - Chocolate</t>
        </is>
      </c>
      <c r="G59" s="31" t="inlineStr">
        <is>
          <t>midcap</t>
        </is>
      </c>
      <c r="H59" s="32" t="n">
        <v>10995.92</v>
      </c>
      <c r="I59" s="32" t="n">
        <v>1742</v>
      </c>
      <c r="J59" s="32" t="n">
        <v>7.92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67.86</v>
      </c>
      <c r="P59" s="32" t="n">
        <v>16.14</v>
      </c>
      <c r="Q59" s="32" t="n">
        <v>1352.12</v>
      </c>
      <c r="R59" s="31" t="inlineStr">
        <is>
          <t>Volume Spike &amp; Near 52W High Breakout</t>
        </is>
      </c>
      <c r="S59" s="31" t="inlineStr">
        <is>
          <t>Nifty FMCG</t>
        </is>
      </c>
      <c r="T59" s="32" t="inlineStr"/>
      <c r="U59" s="32" t="inlineStr"/>
      <c r="V59" s="32" t="inlineStr"/>
      <c r="W59" s="32" t="inlineStr"/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24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KHAZANCHI</t>
        </is>
      </c>
      <c r="D60" s="34" t="inlineStr">
        <is>
          <t>Khazanchi Jewellers Ltd</t>
        </is>
      </c>
      <c r="E60" s="31" t="inlineStr">
        <is>
          <t>Consumer Cyclical</t>
        </is>
      </c>
      <c r="F60" s="31" t="inlineStr">
        <is>
          <t>Diamond, Gems &amp; Jewellery</t>
        </is>
      </c>
      <c r="G60" s="31" t="inlineStr">
        <is>
          <t>smallcap</t>
        </is>
      </c>
      <c r="H60" s="32" t="n">
        <v>1961.81</v>
      </c>
      <c r="I60" s="32" t="n">
        <v>792.75</v>
      </c>
      <c r="J60" s="32" t="n">
        <v>3.65</v>
      </c>
      <c r="K60" s="32" t="n">
        <v>0</v>
      </c>
      <c r="L60" s="31" t="n">
        <v>55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70.98999999999999</v>
      </c>
      <c r="P60" s="32" t="n">
        <v>25.75</v>
      </c>
      <c r="Q60" s="32" t="n">
        <v>686.99</v>
      </c>
      <c r="R60" s="31" t="inlineStr">
        <is>
          <t>Near 52W High Breakout</t>
        </is>
      </c>
      <c r="S60" s="31" t="inlineStr">
        <is>
          <t>Nifty 50</t>
        </is>
      </c>
      <c r="T60" s="32" t="n">
        <v>-1.08</v>
      </c>
      <c r="U60" s="32" t="n">
        <v>31.8</v>
      </c>
      <c r="V60" s="32" t="n">
        <v>33.24</v>
      </c>
      <c r="W60" s="32" t="n">
        <v>12.63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B2C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Negative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27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MACPOWER</t>
        </is>
      </c>
      <c r="D61" s="31" t="inlineStr">
        <is>
          <t>Macpower CNC Machines Ltd</t>
        </is>
      </c>
      <c r="E61" s="31" t="inlineStr">
        <is>
          <t>industrials</t>
        </is>
      </c>
      <c r="F61" s="31" t="inlineStr">
        <is>
          <t>CNC - Machines</t>
        </is>
      </c>
      <c r="G61" s="31" t="inlineStr">
        <is>
          <t>smallcap</t>
        </is>
      </c>
      <c r="H61" s="32" t="n">
        <v>1753.73</v>
      </c>
      <c r="I61" s="32" t="n">
        <v>1753</v>
      </c>
      <c r="J61" s="32" t="n">
        <v>0.38</v>
      </c>
      <c r="K61" s="32" t="n">
        <v>0</v>
      </c>
      <c r="L61" s="31" t="n">
        <v>88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75.06999999999999</v>
      </c>
      <c r="P61" s="32" t="n">
        <v>31.31</v>
      </c>
      <c r="Q61" s="32" t="n">
        <v>1256.16</v>
      </c>
      <c r="R61" s="31" t="inlineStr">
        <is>
          <t>Near 52W High Breakout</t>
        </is>
      </c>
      <c r="S61" s="31" t="inlineStr">
        <is>
          <t>Nifty 50</t>
        </is>
      </c>
      <c r="T61" s="32" t="n">
        <v>-1.08</v>
      </c>
      <c r="U61" s="32" t="n">
        <v>105.45</v>
      </c>
      <c r="V61" s="32" t="n">
        <v>107.68</v>
      </c>
      <c r="W61" s="32" t="n">
        <v>29.62</v>
      </c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24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STLTECH</t>
        </is>
      </c>
      <c r="D62" s="34" t="inlineStr">
        <is>
          <t>Sterlite Technologies Ltd</t>
        </is>
      </c>
      <c r="E62" s="31" t="inlineStr">
        <is>
          <t>industrials</t>
        </is>
      </c>
      <c r="F62" s="31" t="inlineStr">
        <is>
          <t>Cables - Telecom</t>
        </is>
      </c>
      <c r="G62" s="31" t="inlineStr">
        <is>
          <t>largecap</t>
        </is>
      </c>
      <c r="H62" s="32" t="n">
        <v>33298.88</v>
      </c>
      <c r="I62" s="32" t="n">
        <v>647.95</v>
      </c>
      <c r="J62" s="32" t="n">
        <v>-1.94</v>
      </c>
      <c r="K62" s="32" t="n">
        <v>0</v>
      </c>
      <c r="L62" s="31" t="inlineStr"/>
      <c r="M62" s="31" t="inlineStr"/>
      <c r="N62" s="32">
        <f>IF(M62="Underperforming",-5,IF(L62&gt;=95,15,IF(L62&gt;=90,10,IF(L62&gt;=80,5,0))))</f>
        <v/>
      </c>
      <c r="O62" s="32" t="n">
        <v>74.27</v>
      </c>
      <c r="P62" s="32" t="n">
        <v>80.28</v>
      </c>
      <c r="Q62" s="32" t="n">
        <v>452.92</v>
      </c>
      <c r="R62" s="31" t="inlineStr">
        <is>
          <t>Near 52W High Breakout</t>
        </is>
      </c>
      <c r="S62" s="31" t="inlineStr">
        <is>
          <t>Nifty Infra</t>
        </is>
      </c>
      <c r="T62" s="32" t="inlineStr"/>
      <c r="U62" s="32" t="inlineStr"/>
      <c r="V62" s="32" t="inlineStr"/>
      <c r="W62" s="32" t="inlineStr"/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Oligopoly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Between 0.7 to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21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MANINDS</t>
        </is>
      </c>
      <c r="D63" s="34" t="inlineStr">
        <is>
          <t>Man Industries (India) Ltd</t>
        </is>
      </c>
      <c r="E63" s="31" t="inlineStr">
        <is>
          <t>metals &amp; mining</t>
        </is>
      </c>
      <c r="F63" s="31" t="inlineStr">
        <is>
          <t>Steel - Tubes/Pipes</t>
        </is>
      </c>
      <c r="G63" s="31" t="inlineStr">
        <is>
          <t>smallcap</t>
        </is>
      </c>
      <c r="H63" s="32" t="n">
        <v>4493.07</v>
      </c>
      <c r="I63" s="32" t="n">
        <v>599</v>
      </c>
      <c r="J63" s="32" t="n">
        <v>3.97</v>
      </c>
      <c r="K63" s="32" t="n">
        <v>0</v>
      </c>
      <c r="L63" s="31" t="inlineStr"/>
      <c r="M63" s="31" t="inlineStr"/>
      <c r="N63" s="32">
        <f>IF(M63="Underperforming",-5,IF(L63&gt;=95,15,IF(L63&gt;=90,10,IF(L63&gt;=80,5,0))))</f>
        <v/>
      </c>
      <c r="O63" s="32" t="n">
        <v>62.78</v>
      </c>
      <c r="P63" s="32" t="n">
        <v>28.3</v>
      </c>
      <c r="Q63" s="32" t="n">
        <v>437.01</v>
      </c>
      <c r="R63" s="31" t="inlineStr">
        <is>
          <t>Volume Spike &amp; Near 52W High Breakout</t>
        </is>
      </c>
      <c r="S63" s="31" t="inlineStr">
        <is>
          <t>Nifty Metal</t>
        </is>
      </c>
      <c r="T63" s="32" t="inlineStr"/>
      <c r="U63" s="32" t="inlineStr"/>
      <c r="V63" s="32" t="inlineStr"/>
      <c r="W63" s="32" t="inlineStr"/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Cyclical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Volatile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20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MUNJALAU</t>
        </is>
      </c>
      <c r="D64" s="34" t="inlineStr">
        <is>
          <t>Munjal Auto Industries Ltd</t>
        </is>
      </c>
      <c r="E64" s="31" t="inlineStr">
        <is>
          <t>auto</t>
        </is>
      </c>
      <c r="F64" s="31" t="inlineStr">
        <is>
          <t>Auto Ancillaries - Diversified</t>
        </is>
      </c>
      <c r="G64" s="31" t="inlineStr">
        <is>
          <t>smallcap</t>
        </is>
      </c>
      <c r="H64" s="32" t="n">
        <v>1200.8</v>
      </c>
      <c r="I64" s="32" t="n">
        <v>120.08</v>
      </c>
      <c r="J64" s="32" t="n">
        <v>0.59</v>
      </c>
      <c r="K64" s="32" t="n">
        <v>0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76.51000000000001</v>
      </c>
      <c r="P64" s="32" t="n">
        <v>46.28</v>
      </c>
      <c r="Q64" s="32" t="n">
        <v>90.66</v>
      </c>
      <c r="R64" s="31" t="inlineStr">
        <is>
          <t>Volume Spike &amp; Near 52W High Breakout</t>
        </is>
      </c>
      <c r="S64" s="31" t="inlineStr">
        <is>
          <t>Nifty Auto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20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KMEW</t>
        </is>
      </c>
      <c r="D65" s="31" t="inlineStr">
        <is>
          <t>Knowledge Marine &amp; Engineering Works Ltd</t>
        </is>
      </c>
      <c r="E65" s="31" t="inlineStr">
        <is>
          <t>transportation</t>
        </is>
      </c>
      <c r="F65" s="31" t="inlineStr">
        <is>
          <t>Shipping</t>
        </is>
      </c>
      <c r="G65" s="31" t="inlineStr">
        <is>
          <t>midcap</t>
        </is>
      </c>
      <c r="H65" s="32" t="n">
        <v>6921.8</v>
      </c>
      <c r="I65" s="32" t="n">
        <v>2728.95</v>
      </c>
      <c r="J65" s="32" t="n">
        <v>0.78</v>
      </c>
      <c r="K65" s="32" t="n">
        <v>0</v>
      </c>
      <c r="L65" s="31" t="n">
        <v>91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77.16</v>
      </c>
      <c r="P65" s="32" t="n">
        <v>50.51</v>
      </c>
      <c r="Q65" s="32" t="n">
        <v>2004.24</v>
      </c>
      <c r="R65" s="31" t="inlineStr">
        <is>
          <t>Near 52W High Breakout</t>
        </is>
      </c>
      <c r="S65" s="31" t="inlineStr">
        <is>
          <t>Nifty 50</t>
        </is>
      </c>
      <c r="T65" s="32" t="n">
        <v>-1.08</v>
      </c>
      <c r="U65" s="32" t="n">
        <v>227.22</v>
      </c>
      <c r="V65" s="32" t="n">
        <v>230.78</v>
      </c>
      <c r="W65" s="32" t="n">
        <v>35.93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Negative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19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1" t="inlineStr">
        <is>
          <t>RATEGAIN</t>
        </is>
      </c>
      <c r="D66" s="31" t="inlineStr">
        <is>
          <t>Rategain Travel Technologies Ltd</t>
        </is>
      </c>
      <c r="E66" s="31" t="inlineStr">
        <is>
          <t>Technology</t>
        </is>
      </c>
      <c r="F66" s="31" t="inlineStr">
        <is>
          <t>IT Product Companies</t>
        </is>
      </c>
      <c r="G66" s="31" t="inlineStr">
        <is>
          <t>midcap</t>
        </is>
      </c>
      <c r="H66" s="32" t="n">
        <v>11137.89</v>
      </c>
      <c r="I66" s="32" t="n">
        <v>940.2</v>
      </c>
      <c r="J66" s="32" t="n">
        <v>6.23</v>
      </c>
      <c r="K66" s="32" t="n">
        <v>0</v>
      </c>
      <c r="L66" s="31" t="n">
        <v>85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71.97</v>
      </c>
      <c r="P66" s="32" t="n">
        <v>43.88</v>
      </c>
      <c r="Q66" s="32" t="n">
        <v>715.0700000000001</v>
      </c>
      <c r="R66" s="31" t="inlineStr">
        <is>
          <t>Near 52W High Breakout</t>
        </is>
      </c>
      <c r="S66" s="31" t="inlineStr">
        <is>
          <t>Nifty IT</t>
        </is>
      </c>
      <c r="T66" s="32" t="n">
        <v>-9.98</v>
      </c>
      <c r="U66" s="32" t="n">
        <v>92.92</v>
      </c>
      <c r="V66" s="32" t="n">
        <v>114.3</v>
      </c>
      <c r="W66" s="32" t="n">
        <v>27.44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Negative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23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AARTIPHARM</t>
        </is>
      </c>
      <c r="D67" s="34" t="inlineStr">
        <is>
          <t>Aarti Pharmalabs Ltd</t>
        </is>
      </c>
      <c r="E67" s="31" t="inlineStr">
        <is>
          <t>healthcare</t>
        </is>
      </c>
      <c r="F67" s="31" t="inlineStr">
        <is>
          <t>Pharma - API</t>
        </is>
      </c>
      <c r="G67" s="31" t="inlineStr">
        <is>
          <t>midcap</t>
        </is>
      </c>
      <c r="H67" s="32" t="n">
        <v>7725.92</v>
      </c>
      <c r="I67" s="32" t="n">
        <v>852</v>
      </c>
      <c r="J67" s="32" t="n">
        <v>-2.48</v>
      </c>
      <c r="K67" s="32" t="n">
        <v>0</v>
      </c>
      <c r="L67" s="31" t="n">
        <v>31</v>
      </c>
      <c r="M67" s="31" t="inlineStr">
        <is>
          <t>Underperforming</t>
        </is>
      </c>
      <c r="N67" s="32">
        <f>IF(M67="Underperforming",-5,IF(L67&gt;=95,15,IF(L67&gt;=90,10,IF(L67&gt;=80,5,0))))</f>
        <v/>
      </c>
      <c r="O67" s="32" t="n">
        <v>66.7</v>
      </c>
      <c r="P67" s="32" t="n">
        <v>10.38</v>
      </c>
      <c r="Q67" s="32" t="n">
        <v>650.59</v>
      </c>
      <c r="R67" s="31" t="inlineStr">
        <is>
          <t>Volume Spike / Accumulation</t>
        </is>
      </c>
      <c r="S67" s="31" t="inlineStr">
        <is>
          <t>Nifty Pharma</t>
        </is>
      </c>
      <c r="T67" s="32" t="n">
        <v>19.38</v>
      </c>
      <c r="U67" s="32" t="n">
        <v>12.91</v>
      </c>
      <c r="V67" s="32" t="n">
        <v>-5.43</v>
      </c>
      <c r="W67" s="32" t="n">
        <v>6.72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21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LUMAXTECH</t>
        </is>
      </c>
      <c r="D68" s="34" t="inlineStr">
        <is>
          <t>Lumax Auto Technologies Ltd</t>
        </is>
      </c>
      <c r="E68" s="31" t="inlineStr">
        <is>
          <t>auto</t>
        </is>
      </c>
      <c r="F68" s="31" t="inlineStr">
        <is>
          <t>Auto Ancillaries - Diversified</t>
        </is>
      </c>
      <c r="G68" s="31" t="inlineStr">
        <is>
          <t>midcap</t>
        </is>
      </c>
      <c r="H68" s="32" t="n">
        <v>13754.22</v>
      </c>
      <c r="I68" s="32" t="n">
        <v>2018</v>
      </c>
      <c r="J68" s="32" t="n">
        <v>1.53</v>
      </c>
      <c r="K68" s="32" t="n">
        <v>0</v>
      </c>
      <c r="L68" s="31" t="inlineStr"/>
      <c r="M68" s="31" t="inlineStr"/>
      <c r="N68" s="32">
        <f>IF(M68="Underperforming",-5,IF(L68&gt;=95,15,IF(L68&gt;=90,10,IF(L68&gt;=80,5,0))))</f>
        <v/>
      </c>
      <c r="O68" s="32" t="n">
        <v>67.64</v>
      </c>
      <c r="P68" s="32" t="n">
        <v>14.45</v>
      </c>
      <c r="Q68" s="32" t="n">
        <v>1517.74</v>
      </c>
      <c r="R68" s="31" t="inlineStr">
        <is>
          <t>Volume Spike &amp; Near 52W High Breakout</t>
        </is>
      </c>
      <c r="S68" s="31" t="inlineStr">
        <is>
          <t>Nifty Auto</t>
        </is>
      </c>
      <c r="T68" s="32" t="inlineStr"/>
      <c r="U68" s="32" t="inlineStr"/>
      <c r="V68" s="32" t="inlineStr"/>
      <c r="W68" s="32" t="inlineStr"/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Between 0.7 to 1.2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27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PAYTM</t>
        </is>
      </c>
      <c r="D69" s="31" t="inlineStr">
        <is>
          <t>One 97 Communications Ltd</t>
        </is>
      </c>
      <c r="E69" s="31" t="inlineStr">
        <is>
          <t>i.t</t>
        </is>
      </c>
      <c r="F69" s="31" t="inlineStr">
        <is>
          <t>E-Commerce - Platform - Utility</t>
        </is>
      </c>
      <c r="G69" s="31" t="inlineStr">
        <is>
          <t>largecap</t>
        </is>
      </c>
      <c r="H69" s="32" t="n">
        <v>102773.64</v>
      </c>
      <c r="I69" s="32" t="n">
        <v>1603</v>
      </c>
      <c r="J69" s="32" t="n">
        <v>-2.82</v>
      </c>
      <c r="K69" s="32" t="n">
        <v>0</v>
      </c>
      <c r="L69" s="31" t="n">
        <v>65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73.48999999999999</v>
      </c>
      <c r="P69" s="32" t="n">
        <v>18.6</v>
      </c>
      <c r="Q69" s="32" t="n">
        <v>1276.88</v>
      </c>
      <c r="R69" s="31" t="inlineStr">
        <is>
          <t>Volume Spike &amp; Near 52W High Breakout</t>
        </is>
      </c>
      <c r="S69" s="31" t="inlineStr">
        <is>
          <t>Nifty IT</t>
        </is>
      </c>
      <c r="T69" s="32" t="n">
        <v>-9.98</v>
      </c>
      <c r="U69" s="32" t="n">
        <v>39.23</v>
      </c>
      <c r="V69" s="32" t="n">
        <v>54.67</v>
      </c>
      <c r="W69" s="32" t="n">
        <v>16.68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Oligopoly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Between 1.5 to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22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COMSYN</t>
        </is>
      </c>
      <c r="D70" s="31" t="inlineStr">
        <is>
          <t>Commercial Syn Bags Ltd</t>
        </is>
      </c>
      <c r="E70" s="31" t="inlineStr">
        <is>
          <t>industrials</t>
        </is>
      </c>
      <c r="F70" s="31" t="inlineStr">
        <is>
          <t>Packaging - Polysacks</t>
        </is>
      </c>
      <c r="G70" s="31" t="inlineStr">
        <is>
          <t>smallcap</t>
        </is>
      </c>
      <c r="H70" s="32" t="n">
        <v>1161.37</v>
      </c>
      <c r="I70" s="32" t="n">
        <v>287.9</v>
      </c>
      <c r="J70" s="32" t="n">
        <v>1.85</v>
      </c>
      <c r="K70" s="32" t="n">
        <v>0</v>
      </c>
      <c r="L70" s="31" t="n">
        <v>92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81.61</v>
      </c>
      <c r="P70" s="32" t="n">
        <v>60.86</v>
      </c>
      <c r="Q70" s="32" t="n">
        <v>217.98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-1.08</v>
      </c>
      <c r="U70" s="32" t="n">
        <v>103.96</v>
      </c>
      <c r="V70" s="32" t="n">
        <v>106.18</v>
      </c>
      <c r="W70" s="32" t="n">
        <v>37.94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Less than 12%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21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ASKAUTOLTD</t>
        </is>
      </c>
      <c r="D71" s="31" t="inlineStr">
        <is>
          <t>ASK Automotive Ltd</t>
        </is>
      </c>
      <c r="E71" s="31" t="inlineStr">
        <is>
          <t>auto</t>
        </is>
      </c>
      <c r="F71" s="31" t="inlineStr">
        <is>
          <t>Auto Ancillaries - 2 Wheelers</t>
        </is>
      </c>
      <c r="G71" s="31" t="inlineStr">
        <is>
          <t>midcap</t>
        </is>
      </c>
      <c r="H71" s="32" t="n">
        <v>12668.38</v>
      </c>
      <c r="I71" s="32" t="n">
        <v>642.6</v>
      </c>
      <c r="J71" s="32" t="n">
        <v>-1.05</v>
      </c>
      <c r="K71" s="32" t="n">
        <v>0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80.3</v>
      </c>
      <c r="P71" s="32" t="n">
        <v>19.56</v>
      </c>
      <c r="Q71" s="32" t="n">
        <v>520.59</v>
      </c>
      <c r="R71" s="31" t="inlineStr">
        <is>
          <t>Near 52W High Breakout</t>
        </is>
      </c>
      <c r="S71" s="31" t="inlineStr">
        <is>
          <t>Nifty Auto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21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ARROWGREEN</t>
        </is>
      </c>
      <c r="D72" s="34" t="inlineStr">
        <is>
          <t>Arrow Greentech Ltd</t>
        </is>
      </c>
      <c r="E72" s="31" t="inlineStr">
        <is>
          <t>plastic products</t>
        </is>
      </c>
      <c r="F72" s="31" t="inlineStr">
        <is>
          <t>Plastics - Plastic &amp; Plastic Products</t>
        </is>
      </c>
      <c r="G72" s="31" t="inlineStr">
        <is>
          <t>smallcap</t>
        </is>
      </c>
      <c r="H72" s="32" t="n">
        <v>1237.21</v>
      </c>
      <c r="I72" s="32" t="n">
        <v>820</v>
      </c>
      <c r="J72" s="32" t="n">
        <v>4.79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73.95</v>
      </c>
      <c r="P72" s="32" t="n">
        <v>35.3</v>
      </c>
      <c r="Q72" s="32" t="n">
        <v>611.42</v>
      </c>
      <c r="R72" s="31" t="inlineStr">
        <is>
          <t>Near 52W High Breakout</t>
        </is>
      </c>
      <c r="S72" s="31" t="inlineStr">
        <is>
          <t>Nifty Infra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Between 50% to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20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MAHLIFE</t>
        </is>
      </c>
      <c r="D73" s="31" t="inlineStr">
        <is>
          <t>Mahindra Lifespace Developers Ltd</t>
        </is>
      </c>
      <c r="E73" s="31" t="inlineStr">
        <is>
          <t>realty</t>
        </is>
      </c>
      <c r="F73" s="31" t="inlineStr">
        <is>
          <t>Construction &amp; Contracting</t>
        </is>
      </c>
      <c r="G73" s="31" t="inlineStr">
        <is>
          <t>midcap</t>
        </is>
      </c>
      <c r="H73" s="32" t="n">
        <v>8199.950000000001</v>
      </c>
      <c r="I73" s="32" t="n">
        <v>384.3</v>
      </c>
      <c r="J73" s="32" t="n">
        <v>0.14</v>
      </c>
      <c r="K73" s="32" t="n">
        <v>0</v>
      </c>
      <c r="L73" s="31" t="inlineStr"/>
      <c r="M73" s="31" t="inlineStr"/>
      <c r="N73" s="32">
        <f>IF(M73="Underperforming",-5,IF(L73&gt;=95,15,IF(L73&gt;=90,10,IF(L73&gt;=80,5,0))))</f>
        <v/>
      </c>
      <c r="O73" s="32" t="n">
        <v>59.73</v>
      </c>
      <c r="P73" s="32" t="n">
        <v>15.52</v>
      </c>
      <c r="Q73" s="32" t="n">
        <v>320.96</v>
      </c>
      <c r="R73" s="31" t="inlineStr">
        <is>
          <t>Earnings / Momentum Support</t>
        </is>
      </c>
      <c r="S73" s="31" t="inlineStr">
        <is>
          <t>Nifty Realty</t>
        </is>
      </c>
      <c r="T73" s="32" t="inlineStr"/>
      <c r="U73" s="32" t="inlineStr"/>
      <c r="V73" s="32" t="inlineStr"/>
      <c r="W73" s="32" t="inlineStr"/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19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KMCSHIL</t>
        </is>
      </c>
      <c r="D74" s="34" t="inlineStr">
        <is>
          <t>KMC Speciality Hospitals (India) Ltd</t>
        </is>
      </c>
      <c r="E74" s="31" t="inlineStr">
        <is>
          <t>Healthcare</t>
        </is>
      </c>
      <c r="F74" s="31" t="inlineStr">
        <is>
          <t>Hospitals</t>
        </is>
      </c>
      <c r="G74" s="31" t="inlineStr">
        <is>
          <t>smallcap</t>
        </is>
      </c>
      <c r="H74" s="32" t="n">
        <v>2182.08</v>
      </c>
      <c r="I74" s="32" t="n">
        <v>133.8</v>
      </c>
      <c r="J74" s="32" t="n">
        <v>7.82</v>
      </c>
      <c r="K74" s="32" t="n">
        <v>0</v>
      </c>
      <c r="L74" s="31" t="n">
        <v>80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70.18000000000001</v>
      </c>
      <c r="P74" s="32" t="n">
        <v>63.79</v>
      </c>
      <c r="Q74" s="32" t="n">
        <v>102.67</v>
      </c>
      <c r="R74" s="31" t="inlineStr">
        <is>
          <t>Near 52W High Breakout</t>
        </is>
      </c>
      <c r="S74" s="31" t="inlineStr">
        <is>
          <t>Nifty Pharma</t>
        </is>
      </c>
      <c r="T74" s="32" t="n">
        <v>19.38</v>
      </c>
      <c r="U74" s="32" t="n">
        <v>97.34999999999999</v>
      </c>
      <c r="V74" s="32" t="n">
        <v>65.31</v>
      </c>
      <c r="W74" s="32" t="n">
        <v>23.37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Yes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Annuity, Lower One Time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Negative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22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EMIL</t>
        </is>
      </c>
      <c r="D75" s="31" t="inlineStr">
        <is>
          <t>Electronics Mart India Ltd</t>
        </is>
      </c>
      <c r="E75" s="31" t="inlineStr">
        <is>
          <t>consumer discretionary</t>
        </is>
      </c>
      <c r="F75" s="31" t="inlineStr">
        <is>
          <t>Retail - Electronics</t>
        </is>
      </c>
      <c r="G75" s="31" t="inlineStr">
        <is>
          <t>midcap</t>
        </is>
      </c>
      <c r="H75" s="32" t="n">
        <v>7273.68</v>
      </c>
      <c r="I75" s="32" t="n">
        <v>189.05</v>
      </c>
      <c r="J75" s="32" t="n">
        <v>-1.42</v>
      </c>
      <c r="K75" s="32" t="n">
        <v>0</v>
      </c>
      <c r="L75" s="31" t="n">
        <v>81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77.44</v>
      </c>
      <c r="P75" s="32" t="n">
        <v>27.33</v>
      </c>
      <c r="Q75" s="32" t="n">
        <v>144.2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-1.08</v>
      </c>
      <c r="U75" s="32" t="n">
        <v>58.9</v>
      </c>
      <c r="V75" s="32" t="n">
        <v>60.63</v>
      </c>
      <c r="W75" s="32" t="n">
        <v>24.32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B2C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More than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31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4" t="inlineStr">
        <is>
          <t>DOLPHIN</t>
        </is>
      </c>
      <c r="D76" s="34" t="inlineStr">
        <is>
          <t>Dolphin Offshore Enterprises (India) Ltd</t>
        </is>
      </c>
      <c r="E76" s="31" t="inlineStr">
        <is>
          <t>energy</t>
        </is>
      </c>
      <c r="F76" s="31" t="inlineStr">
        <is>
          <t>Oil Drilling &amp; Exploration</t>
        </is>
      </c>
      <c r="G76" s="31" t="inlineStr">
        <is>
          <t>smallcap</t>
        </is>
      </c>
      <c r="H76" s="32" t="n">
        <v>2060.24</v>
      </c>
      <c r="I76" s="32" t="n">
        <v>515</v>
      </c>
      <c r="J76" s="32" t="n">
        <v>6.21</v>
      </c>
      <c r="K76" s="32" t="n">
        <v>0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71.95</v>
      </c>
      <c r="P76" s="32" t="n">
        <v>27.74</v>
      </c>
      <c r="Q76" s="32" t="n">
        <v>379.8</v>
      </c>
      <c r="R76" s="31" t="inlineStr">
        <is>
          <t>Volume Spike &amp; Near 52W High Breakout</t>
        </is>
      </c>
      <c r="S76" s="31" t="inlineStr">
        <is>
          <t>Nifty Energy</t>
        </is>
      </c>
      <c r="T76" s="32" t="inlineStr"/>
      <c r="U76" s="32" t="inlineStr"/>
      <c r="V76" s="32" t="inlineStr"/>
      <c r="W76" s="32" t="inlineStr"/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Oligopoly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24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KABRAEXTRU</t>
        </is>
      </c>
      <c r="D77" s="31" t="inlineStr">
        <is>
          <t>Kabra Extrusion Technik Ltd</t>
        </is>
      </c>
      <c r="E77" s="31" t="inlineStr">
        <is>
          <t>industrials</t>
        </is>
      </c>
      <c r="F77" s="31" t="inlineStr">
        <is>
          <t>Capital Goods - Engineering Heavy</t>
        </is>
      </c>
      <c r="G77" s="31" t="inlineStr">
        <is>
          <t>smallcap</t>
        </is>
      </c>
      <c r="H77" s="32" t="n">
        <v>1794.11</v>
      </c>
      <c r="I77" s="32" t="n">
        <v>513</v>
      </c>
      <c r="J77" s="32" t="n">
        <v>5.93</v>
      </c>
      <c r="K77" s="32" t="n">
        <v>0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84.75</v>
      </c>
      <c r="P77" s="32" t="n">
        <v>33.69</v>
      </c>
      <c r="Q77" s="32" t="n">
        <v>390.79</v>
      </c>
      <c r="R77" s="31" t="inlineStr">
        <is>
          <t>Volume Spike &amp; Near 52W High Breakout</t>
        </is>
      </c>
      <c r="S77" s="31" t="inlineStr">
        <is>
          <t>Nifty Infra</t>
        </is>
      </c>
      <c r="T77" s="32" t="inlineStr"/>
      <c r="U77" s="32" t="inlineStr"/>
      <c r="V77" s="32" t="inlineStr"/>
      <c r="W77" s="32" t="inlineStr"/>
      <c r="X77" s="31" t="inlineStr">
        <is>
          <t>Cyclical in an Upturn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23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PITTIENG</t>
        </is>
      </c>
      <c r="D78" s="34" t="inlineStr">
        <is>
          <t>Pitti Engineering Ltd</t>
        </is>
      </c>
      <c r="E78" s="31" t="inlineStr">
        <is>
          <t>industrials</t>
        </is>
      </c>
      <c r="F78" s="31" t="inlineStr">
        <is>
          <t>Capital Goods - Engineering General</t>
        </is>
      </c>
      <c r="G78" s="31" t="inlineStr">
        <is>
          <t>smallcap</t>
        </is>
      </c>
      <c r="H78" s="32" t="n">
        <v>3963.04</v>
      </c>
      <c r="I78" s="32" t="n">
        <v>1052.5</v>
      </c>
      <c r="J78" s="32" t="n">
        <v>-0.88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64.17</v>
      </c>
      <c r="P78" s="32" t="n">
        <v>6.89</v>
      </c>
      <c r="Q78" s="32" t="n">
        <v>832.26</v>
      </c>
      <c r="R78" s="31" t="inlineStr">
        <is>
          <t>Volume Spike &amp; Near 52W High Breakout</t>
        </is>
      </c>
      <c r="S78" s="31" t="inlineStr">
        <is>
          <t>Nifty Infra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Between 0.7 to 1.2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20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BHEL</t>
        </is>
      </c>
      <c r="D79" s="31" t="inlineStr">
        <is>
          <t>Bharat Heavy Electricals Ltd</t>
        </is>
      </c>
      <c r="E79" s="31" t="inlineStr">
        <is>
          <t>industrials</t>
        </is>
      </c>
      <c r="F79" s="31" t="inlineStr">
        <is>
          <t>Capital Goods - Engineering Heavy</t>
        </is>
      </c>
      <c r="G79" s="31" t="inlineStr">
        <is>
          <t>largecap</t>
        </is>
      </c>
      <c r="H79" s="32" t="n">
        <v>146838.61</v>
      </c>
      <c r="I79" s="32" t="n">
        <v>421.7</v>
      </c>
      <c r="J79" s="32" t="n">
        <v>0.4</v>
      </c>
      <c r="K79" s="32" t="n">
        <v>0</v>
      </c>
      <c r="L79" s="31" t="n">
        <v>66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65.66</v>
      </c>
      <c r="P79" s="32" t="n">
        <v>42.28</v>
      </c>
      <c r="Q79" s="32" t="n">
        <v>337.14</v>
      </c>
      <c r="R79" s="31" t="inlineStr">
        <is>
          <t>Near 52W High Breakout</t>
        </is>
      </c>
      <c r="S79" s="31" t="inlineStr">
        <is>
          <t>Nifty 500</t>
        </is>
      </c>
      <c r="T79" s="32" t="n">
        <v>4.03</v>
      </c>
      <c r="U79" s="32" t="n">
        <v>91.14</v>
      </c>
      <c r="V79" s="32" t="n">
        <v>83.73</v>
      </c>
      <c r="W79" s="32" t="n">
        <v>17.24</v>
      </c>
      <c r="X79" s="31" t="inlineStr">
        <is>
          <t>Cyclical in an Upturn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Negative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19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4" t="inlineStr">
        <is>
          <t>GALAXYSURF</t>
        </is>
      </c>
      <c r="D80" s="34" t="inlineStr">
        <is>
          <t>Galaxy Surfactants Ltd</t>
        </is>
      </c>
      <c r="E80" s="31" t="inlineStr">
        <is>
          <t>chemicals</t>
        </is>
      </c>
      <c r="F80" s="31" t="inlineStr">
        <is>
          <t>Speciality Chemicals</t>
        </is>
      </c>
      <c r="G80" s="31" t="inlineStr">
        <is>
          <t>midcap</t>
        </is>
      </c>
      <c r="H80" s="32" t="n">
        <v>8893.469999999999</v>
      </c>
      <c r="I80" s="32" t="n">
        <v>2508.4</v>
      </c>
      <c r="J80" s="32" t="n">
        <v>20</v>
      </c>
      <c r="K80" s="32" t="n">
        <v>0</v>
      </c>
      <c r="L80" s="31" t="n">
        <v>50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73.56999999999999</v>
      </c>
      <c r="P80" s="32" t="n">
        <v>16.22</v>
      </c>
      <c r="Q80" s="32" t="n">
        <v>2045.79</v>
      </c>
      <c r="R80" s="31" t="inlineStr">
        <is>
          <t>Volume Spike &amp; Near 52W High Breakout</t>
        </is>
      </c>
      <c r="S80" s="31" t="inlineStr">
        <is>
          <t>Nifty IT</t>
        </is>
      </c>
      <c r="T80" s="32" t="n">
        <v>-9.98</v>
      </c>
      <c r="U80" s="32" t="n">
        <v>11.82</v>
      </c>
      <c r="V80" s="32" t="n">
        <v>24.22</v>
      </c>
      <c r="W80" s="32" t="n">
        <v>11.52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Less than 12%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26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KOLTEPATIL</t>
        </is>
      </c>
      <c r="D81" s="31" t="inlineStr">
        <is>
          <t>Kolte Patil Developers Ltd</t>
        </is>
      </c>
      <c r="E81" s="31" t="inlineStr">
        <is>
          <t>realty</t>
        </is>
      </c>
      <c r="F81" s="31" t="inlineStr">
        <is>
          <t>Realty - Construction &amp; Contracting</t>
        </is>
      </c>
      <c r="G81" s="31" t="inlineStr">
        <is>
          <t>smallcap</t>
        </is>
      </c>
      <c r="H81" s="32" t="n">
        <v>4203.44</v>
      </c>
      <c r="I81" s="32" t="n">
        <v>474</v>
      </c>
      <c r="J81" s="32" t="n">
        <v>-3.64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72.23</v>
      </c>
      <c r="P81" s="32" t="n">
        <v>16.25</v>
      </c>
      <c r="Q81" s="32" t="n">
        <v>367.82</v>
      </c>
      <c r="R81" s="31" t="inlineStr">
        <is>
          <t>Volume Spike &amp; Near 52W High Breakout</t>
        </is>
      </c>
      <c r="S81" s="31" t="inlineStr">
        <is>
          <t>Nifty Realty</t>
        </is>
      </c>
      <c r="T81" s="32" t="inlineStr"/>
      <c r="U81" s="32" t="inlineStr"/>
      <c r="V81" s="32" t="inlineStr"/>
      <c r="W81" s="32" t="inlineStr"/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0 to 20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26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RATNAVEER</t>
        </is>
      </c>
      <c r="D82" s="34" t="inlineStr">
        <is>
          <t>Ratnaveer Precision Engineering Ltd</t>
        </is>
      </c>
      <c r="E82" s="31" t="inlineStr">
        <is>
          <t>metals &amp; mining</t>
        </is>
      </c>
      <c r="F82" s="31" t="inlineStr">
        <is>
          <t>Stainless Steel</t>
        </is>
      </c>
      <c r="G82" s="31" t="inlineStr">
        <is>
          <t>smallcap</t>
        </is>
      </c>
      <c r="H82" s="32" t="n">
        <v>1632.1</v>
      </c>
      <c r="I82" s="32" t="n">
        <v>228.5</v>
      </c>
      <c r="J82" s="32" t="n">
        <v>3.86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72.51000000000001</v>
      </c>
      <c r="P82" s="32" t="n">
        <v>50.29</v>
      </c>
      <c r="Q82" s="32" t="n">
        <v>168.84</v>
      </c>
      <c r="R82" s="31" t="inlineStr">
        <is>
          <t>Volume Spike &amp; Near 52W High Breakout</t>
        </is>
      </c>
      <c r="S82" s="31" t="inlineStr">
        <is>
          <t>Nifty Metal</t>
        </is>
      </c>
      <c r="T82" s="32" t="inlineStr"/>
      <c r="U82" s="32" t="inlineStr"/>
      <c r="V82" s="32" t="inlineStr"/>
      <c r="W82" s="32" t="inlineStr"/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Cyclical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Volatile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Less than 12%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20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SOTL</t>
        </is>
      </c>
      <c r="D83" s="31" t="inlineStr">
        <is>
          <t>Savita Oil Technologies Ltd</t>
        </is>
      </c>
      <c r="E83" s="31" t="inlineStr">
        <is>
          <t>energy</t>
        </is>
      </c>
      <c r="F83" s="31" t="inlineStr">
        <is>
          <t>Petrochem - Others</t>
        </is>
      </c>
      <c r="G83" s="31" t="inlineStr">
        <is>
          <t>smallcap</t>
        </is>
      </c>
      <c r="H83" s="32" t="n">
        <v>4833.51</v>
      </c>
      <c r="I83" s="32" t="n">
        <v>705</v>
      </c>
      <c r="J83" s="32" t="n">
        <v>3.39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65.81</v>
      </c>
      <c r="P83" s="32" t="n">
        <v>50.07</v>
      </c>
      <c r="Q83" s="32" t="n">
        <v>546.38</v>
      </c>
      <c r="R83" s="31" t="inlineStr">
        <is>
          <t>Earnings / Momentum Support</t>
        </is>
      </c>
      <c r="S83" s="31" t="inlineStr">
        <is>
          <t>Nifty Energy</t>
        </is>
      </c>
      <c r="T83" s="32" t="inlineStr"/>
      <c r="U83" s="32" t="inlineStr"/>
      <c r="V83" s="32" t="inlineStr"/>
      <c r="W83" s="32" t="inlineStr"/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No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Close to 52 week high or retracement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26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NAVINFLUOR</t>
        </is>
      </c>
      <c r="D84" s="31" t="inlineStr">
        <is>
          <t>Navin Fluorine International Ltd</t>
        </is>
      </c>
      <c r="E84" s="31" t="inlineStr">
        <is>
          <t>chemicals</t>
        </is>
      </c>
      <c r="F84" s="31" t="inlineStr">
        <is>
          <t>Chemicals - Flourine</t>
        </is>
      </c>
      <c r="G84" s="31" t="inlineStr">
        <is>
          <t>largecap</t>
        </is>
      </c>
      <c r="H84" s="32" t="n">
        <v>42430.49</v>
      </c>
      <c r="I84" s="32" t="n">
        <v>8270</v>
      </c>
      <c r="J84" s="32" t="n">
        <v>-0.29</v>
      </c>
      <c r="K84" s="32" t="n">
        <v>0</v>
      </c>
      <c r="L84" s="31" t="n">
        <v>58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73.36</v>
      </c>
      <c r="P84" s="32" t="n">
        <v>55.5</v>
      </c>
      <c r="Q84" s="32" t="n">
        <v>6807.62</v>
      </c>
      <c r="R84" s="31" t="inlineStr">
        <is>
          <t>Near 52W High Breakout</t>
        </is>
      </c>
      <c r="S84" s="31" t="inlineStr">
        <is>
          <t>Nifty 50</t>
        </is>
      </c>
      <c r="T84" s="32" t="n">
        <v>-1.08</v>
      </c>
      <c r="U84" s="32" t="n">
        <v>65.14</v>
      </c>
      <c r="V84" s="32" t="n">
        <v>66.94</v>
      </c>
      <c r="W84" s="32" t="n">
        <v>14.38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Shallow Cyclical (2 to 3 Years Growth)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3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Between 50% to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19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SVRL</t>
        </is>
      </c>
      <c r="D85" s="34" t="inlineStr">
        <is>
          <t>Shri Venkatesh Refineries Ltd</t>
        </is>
      </c>
      <c r="E85" s="31" t="inlineStr">
        <is>
          <t>Consumer Defensive</t>
        </is>
      </c>
      <c r="F85" s="31" t="inlineStr">
        <is>
          <t>Solvent Extraction</t>
        </is>
      </c>
      <c r="G85" s="31" t="inlineStr">
        <is>
          <t>smallcap</t>
        </is>
      </c>
      <c r="H85" s="32" t="n">
        <v>1232.05</v>
      </c>
      <c r="I85" s="32" t="n">
        <v>557</v>
      </c>
      <c r="J85" s="32" t="n">
        <v>1.41</v>
      </c>
      <c r="K85" s="32" t="n">
        <v>0</v>
      </c>
      <c r="L85" s="31" t="n">
        <v>96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85.41</v>
      </c>
      <c r="P85" s="32" t="n">
        <v>28.61</v>
      </c>
      <c r="Q85" s="32" t="n">
        <v>424.85</v>
      </c>
      <c r="R85" s="31" t="inlineStr">
        <is>
          <t>Near 52W High Breakout</t>
        </is>
      </c>
      <c r="S85" s="31" t="inlineStr">
        <is>
          <t>Nifty 50</t>
        </is>
      </c>
      <c r="T85" s="32" t="n">
        <v>-1.08</v>
      </c>
      <c r="U85" s="32" t="n">
        <v>129</v>
      </c>
      <c r="V85" s="32" t="n">
        <v>131.5</v>
      </c>
      <c r="W85" s="32" t="n">
        <v>49.14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Negative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19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RBA</t>
        </is>
      </c>
      <c r="D86" s="31" t="inlineStr">
        <is>
          <t>Restaurant Brands Asia Ltd</t>
        </is>
      </c>
      <c r="E86" s="31" t="inlineStr">
        <is>
          <t>consumer discretionary</t>
        </is>
      </c>
      <c r="F86" s="31" t="inlineStr">
        <is>
          <t>Quick Service Restaurant - QSR</t>
        </is>
      </c>
      <c r="G86" s="31" t="inlineStr">
        <is>
          <t>midcap</t>
        </is>
      </c>
      <c r="H86" s="32" t="n">
        <v>7051</v>
      </c>
      <c r="I86" s="32" t="n">
        <v>99.06999999999999</v>
      </c>
      <c r="J86" s="32" t="n">
        <v>0.73</v>
      </c>
      <c r="K86" s="32" t="n">
        <v>0</v>
      </c>
      <c r="L86" s="31" t="n">
        <v>63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75.34</v>
      </c>
      <c r="P86" s="32" t="n">
        <v>28.38</v>
      </c>
      <c r="Q86" s="32" t="n">
        <v>78.72</v>
      </c>
      <c r="R86" s="31" t="inlineStr">
        <is>
          <t>Near 52W High Breakout</t>
        </is>
      </c>
      <c r="S86" s="31" t="inlineStr">
        <is>
          <t>Nifty 50</t>
        </is>
      </c>
      <c r="T86" s="32" t="n">
        <v>-1.08</v>
      </c>
      <c r="U86" s="32" t="n">
        <v>25.75</v>
      </c>
      <c r="V86" s="32" t="n">
        <v>27.12</v>
      </c>
      <c r="W86" s="32" t="n">
        <v>15.98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More than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19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PRICOLLTD</t>
        </is>
      </c>
      <c r="D87" s="31" t="inlineStr">
        <is>
          <t>Pricol Ltd</t>
        </is>
      </c>
      <c r="E87" s="31" t="inlineStr">
        <is>
          <t>auto</t>
        </is>
      </c>
      <c r="F87" s="31" t="inlineStr">
        <is>
          <t>Auto Ancillaries - 2 Wheelers</t>
        </is>
      </c>
      <c r="G87" s="31" t="inlineStr">
        <is>
          <t>midcap</t>
        </is>
      </c>
      <c r="H87" s="32" t="n">
        <v>9665.200000000001</v>
      </c>
      <c r="I87" s="32" t="n">
        <v>793</v>
      </c>
      <c r="J87" s="32" t="n">
        <v>3.66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75.37</v>
      </c>
      <c r="P87" s="32" t="n">
        <v>25.78</v>
      </c>
      <c r="Q87" s="32" t="n">
        <v>638.9299999999999</v>
      </c>
      <c r="R87" s="31" t="inlineStr">
        <is>
          <t>Near 52W High Breakout</t>
        </is>
      </c>
      <c r="S87" s="31" t="inlineStr">
        <is>
          <t>Nifty Auto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Shallow Cyclical (2 to 3 Years Growth)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Fully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Allocated capital in Non-core Areas</t>
        </is>
      </c>
      <c r="AU87" s="31">
        <f>IF(AT87="Good",10,0)</f>
        <v/>
      </c>
      <c r="AV87" s="31" t="inlineStr">
        <is>
          <t>Yes only for next 1 to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Between 12 to 20%</t>
        </is>
      </c>
      <c r="BO87" s="31">
        <f>IF(BN87="More than 20%",10,IF(BN87="Between 12 to 20%",5,IF(BN87="Less than 12%",0,0)))</f>
        <v/>
      </c>
      <c r="BP87" s="31" t="inlineStr">
        <is>
          <t>Yes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Between 1.5 to 2</t>
        </is>
      </c>
      <c r="BU87" s="31">
        <f>IF(BT87="Above 2",0,IF(BT87="Between 1.5 to 2",5,IF(BT87="Less than 1.5",10,0)))</f>
        <v/>
      </c>
      <c r="BV87" s="31" t="inlineStr">
        <is>
          <t>Between 50% to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KERNEX</t>
        </is>
      </c>
      <c r="D88" s="34" t="inlineStr">
        <is>
          <t>Kernex Microsystems (India) Ltd</t>
        </is>
      </c>
      <c r="E88" s="31" t="inlineStr">
        <is>
          <t>Technology</t>
        </is>
      </c>
      <c r="F88" s="31" t="inlineStr">
        <is>
          <t>Railways - Kavach/Springs</t>
        </is>
      </c>
      <c r="G88" s="31" t="inlineStr">
        <is>
          <t>smallcap</t>
        </is>
      </c>
      <c r="H88" s="32" t="n">
        <v>3436.34</v>
      </c>
      <c r="I88" s="32" t="n">
        <v>2045</v>
      </c>
      <c r="J88" s="32" t="n">
        <v>-8.82</v>
      </c>
      <c r="K88" s="32" t="n">
        <v>0</v>
      </c>
      <c r="L88" s="31" t="n">
        <v>79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57.43</v>
      </c>
      <c r="P88" s="32" t="n">
        <v>60.88</v>
      </c>
      <c r="Q88" s="32" t="n">
        <v>1719.27</v>
      </c>
      <c r="R88" s="31" t="inlineStr">
        <is>
          <t>Volume Spike / Accumulation</t>
        </is>
      </c>
      <c r="S88" s="31" t="inlineStr">
        <is>
          <t>Nifty IT</t>
        </is>
      </c>
      <c r="T88" s="32" t="n">
        <v>-9.98</v>
      </c>
      <c r="U88" s="32" t="n">
        <v>82.84999999999999</v>
      </c>
      <c r="V88" s="32" t="n">
        <v>103.12</v>
      </c>
      <c r="W88" s="32" t="n">
        <v>23.02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Negative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20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3" t="inlineStr">
        <is>
          <t>VMARCIND</t>
        </is>
      </c>
      <c r="D89" s="33" t="inlineStr">
        <is>
          <t>V-Marc India Ltd</t>
        </is>
      </c>
      <c r="E89" s="31" t="inlineStr">
        <is>
          <t>unknown</t>
        </is>
      </c>
      <c r="F89" s="31" t="inlineStr">
        <is>
          <t>Cables - Power</t>
        </is>
      </c>
      <c r="G89" s="31" t="inlineStr">
        <is>
          <t>midcap</t>
        </is>
      </c>
      <c r="H89" s="32" t="n">
        <v>5346.67</v>
      </c>
      <c r="I89" s="32" t="n">
        <v>364.9</v>
      </c>
      <c r="J89" s="32" t="n">
        <v>5.22</v>
      </c>
      <c r="K89" s="32" t="n">
        <v>0</v>
      </c>
      <c r="L89" s="31" t="n">
        <v>1</v>
      </c>
      <c r="M89" s="31" t="inlineStr">
        <is>
          <t>Underperforming</t>
        </is>
      </c>
      <c r="N89" s="32">
        <f>IF(M89="Underperforming",-5,IF(L89&gt;=95,15,IF(L89&gt;=90,10,IF(L89&gt;=80,5,0))))</f>
        <v/>
      </c>
      <c r="O89" s="32" t="n">
        <v>38.42</v>
      </c>
      <c r="P89" s="32" t="n">
        <v>44.5</v>
      </c>
      <c r="Q89" s="32" t="n">
        <v>1116.04</v>
      </c>
      <c r="R89" s="31" t="inlineStr">
        <is>
          <t>Volume Spike / Accumulation</t>
        </is>
      </c>
      <c r="S89" s="31" t="inlineStr">
        <is>
          <t>Nifty 50</t>
        </is>
      </c>
      <c r="T89" s="32" t="n">
        <v>-1.08</v>
      </c>
      <c r="U89" s="32" t="n">
        <v>-23.91</v>
      </c>
      <c r="V89" s="32" t="n">
        <v>-23.08</v>
      </c>
      <c r="W89" s="32" t="n">
        <v>-3.2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Headwind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Below 45</t>
        </is>
      </c>
      <c r="BA89" s="31">
        <f>IF(AZ89="Between 50 to 75",10,IF(AZ89="Above 75",0,0))</f>
        <v/>
      </c>
      <c r="BB89" s="31" t="inlineStr">
        <is>
          <t>Stage 4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No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24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1" t="inlineStr">
        <is>
          <t>DEEPINDS</t>
        </is>
      </c>
      <c r="D90" s="31" t="inlineStr">
        <is>
          <t>Deep Industries Ltd</t>
        </is>
      </c>
      <c r="E90" s="31" t="inlineStr">
        <is>
          <t>energy</t>
        </is>
      </c>
      <c r="F90" s="31" t="inlineStr">
        <is>
          <t>Oil Drilling &amp; Exploration</t>
        </is>
      </c>
      <c r="G90" s="31" t="inlineStr">
        <is>
          <t>smallcap</t>
        </is>
      </c>
      <c r="H90" s="32" t="n">
        <v>4294.4</v>
      </c>
      <c r="I90" s="32" t="n">
        <v>671</v>
      </c>
      <c r="J90" s="32" t="n">
        <v>0.77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75.54000000000001</v>
      </c>
      <c r="P90" s="32" t="n">
        <v>19.26</v>
      </c>
      <c r="Q90" s="32" t="n">
        <v>514.53</v>
      </c>
      <c r="R90" s="31" t="inlineStr">
        <is>
          <t>Near 52W High Breakout</t>
        </is>
      </c>
      <c r="S90" s="31" t="inlineStr">
        <is>
          <t>Nifty Energy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Oligopoly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19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SILVERTUC</t>
        </is>
      </c>
      <c r="D91" s="33" t="inlineStr">
        <is>
          <t>Silver Touch Technologies Ltd</t>
        </is>
      </c>
      <c r="E91" s="31" t="inlineStr">
        <is>
          <t>i.t</t>
        </is>
      </c>
      <c r="F91" s="31" t="inlineStr">
        <is>
          <t>IT - Software</t>
        </is>
      </c>
      <c r="G91" s="31" t="inlineStr">
        <is>
          <t>smallcap</t>
        </is>
      </c>
      <c r="H91" s="32" t="n">
        <v>2647.16</v>
      </c>
      <c r="I91" s="32" t="n">
        <v>208.75</v>
      </c>
      <c r="J91" s="32" t="n">
        <v>1.18</v>
      </c>
      <c r="K91" s="32" t="n">
        <v>0</v>
      </c>
      <c r="L91" s="31" t="n">
        <v>26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46.33</v>
      </c>
      <c r="P91" s="32" t="n">
        <v>17.8</v>
      </c>
      <c r="Q91" s="32" t="n">
        <v>117.58</v>
      </c>
      <c r="R91" s="31" t="inlineStr">
        <is>
          <t>Earnings / Momentum Support</t>
        </is>
      </c>
      <c r="S91" s="31" t="inlineStr">
        <is>
          <t>Nifty IT</t>
        </is>
      </c>
      <c r="T91" s="32" t="n">
        <v>-9.98</v>
      </c>
      <c r="U91" s="32" t="n">
        <v>-71.14</v>
      </c>
      <c r="V91" s="32" t="n">
        <v>-67.94</v>
      </c>
      <c r="W91" s="32" t="n">
        <v>5.22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0 to 20</t>
        </is>
      </c>
      <c r="AY91" s="31">
        <f>IF(AX91="Above 40",20,IF(AX91="20 to 40",10,IF(AX91="0 to 20",-5,0)))</f>
        <v/>
      </c>
      <c r="AZ91" s="31" t="inlineStr">
        <is>
          <t>Below 45</t>
        </is>
      </c>
      <c r="BA91" s="31">
        <f>IF(AZ91="Between 50 to 75",10,IF(AZ91="Above 75",0,0))</f>
        <v/>
      </c>
      <c r="BB91" s="31" t="inlineStr">
        <is>
          <t>Stage 4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23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GAEL</t>
        </is>
      </c>
      <c r="D92" s="31" t="inlineStr">
        <is>
          <t>Gujarat Ambuja Exports Ltd</t>
        </is>
      </c>
      <c r="E92" s="31" t="inlineStr">
        <is>
          <t>fmcg</t>
        </is>
      </c>
      <c r="F92" s="31" t="inlineStr">
        <is>
          <t>Agricultural Processing - Maize</t>
        </is>
      </c>
      <c r="G92" s="31" t="inlineStr">
        <is>
          <t>midcap</t>
        </is>
      </c>
      <c r="H92" s="32" t="n">
        <v>7912.53</v>
      </c>
      <c r="I92" s="32" t="n">
        <v>172.51</v>
      </c>
      <c r="J92" s="32" t="n">
        <v>1.37</v>
      </c>
      <c r="K92" s="32" t="n">
        <v>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63.34</v>
      </c>
      <c r="P92" s="32" t="n">
        <v>36.54</v>
      </c>
      <c r="Q92" s="32" t="n">
        <v>136.12</v>
      </c>
      <c r="R92" s="31" t="inlineStr">
        <is>
          <t>Near 52W High Breakout</t>
        </is>
      </c>
      <c r="S92" s="31" t="inlineStr">
        <is>
          <t>Nifty FMCG</t>
        </is>
      </c>
      <c r="T92" s="32" t="inlineStr"/>
      <c r="U92" s="32" t="inlineStr"/>
      <c r="V92" s="32" t="inlineStr"/>
      <c r="W92" s="32" t="inlineStr"/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Oligopoly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Shallow Cyclical (2 to 3 Years Growth)</t>
        </is>
      </c>
      <c r="AG92" s="31">
        <f>IF(AF92="Structural (10 Years Consistency)",10,IF(AF92="Shallow Cyclical (2 to 3 years growth)",5,0))</f>
        <v/>
      </c>
      <c r="AH92" s="31" t="inlineStr">
        <is>
          <t>Yes due to Product Mix change or Operating Leverage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Volatile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Allocated capital in Non-core Areas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3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Sideways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Overhead supply in last 2 years in last 2 years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More than 15%</t>
        </is>
      </c>
      <c r="CC92" s="31">
        <f>IF(CB92="More than 15%",-10,IF(CB92="Less than 15%",10,0))</f>
        <v/>
      </c>
      <c r="CD92" s="31" t="inlineStr">
        <is>
          <t>Yes Upto 10%</t>
        </is>
      </c>
      <c r="CE92" s="31">
        <f>IF(CD92="Yes, more than 10%",-10,IF(CD92="No",10,0))</f>
        <v/>
      </c>
      <c r="CF92" s="31" t="inlineStr">
        <is>
          <t>22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OBSCP</t>
        </is>
      </c>
      <c r="D93" s="34" t="inlineStr">
        <is>
          <t>OBSC Perfection Ltd</t>
        </is>
      </c>
      <c r="E93" s="31" t="inlineStr">
        <is>
          <t>unknown</t>
        </is>
      </c>
      <c r="F93" s="31" t="inlineStr">
        <is>
          <t>Auto Ancillaries - Diversified</t>
        </is>
      </c>
      <c r="G93" s="31" t="inlineStr">
        <is>
          <t>smallcap</t>
        </is>
      </c>
      <c r="H93" s="32" t="n">
        <v>2209.8</v>
      </c>
      <c r="I93" s="32" t="n">
        <v>855</v>
      </c>
      <c r="J93" s="32" t="n">
        <v>4.39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MONOLITH</t>
        </is>
      </c>
      <c r="D94" s="34" t="inlineStr">
        <is>
          <t>Monolithisch India Ltd</t>
        </is>
      </c>
      <c r="E94" s="31" t="inlineStr">
        <is>
          <t>unknown</t>
        </is>
      </c>
      <c r="F94" s="31" t="inlineStr">
        <is>
          <t>Refractories</t>
        </is>
      </c>
      <c r="G94" s="31" t="inlineStr">
        <is>
          <t>smallcap</t>
        </is>
      </c>
      <c r="H94" s="32" t="n">
        <v>2043.18</v>
      </c>
      <c r="I94" s="32" t="n">
        <v>940</v>
      </c>
      <c r="J94" s="32" t="n">
        <v>-2.85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LLOYDSME</t>
        </is>
      </c>
      <c r="D95" s="31" t="inlineStr">
        <is>
          <t>Lloyds Metals &amp; Energy Ltd</t>
        </is>
      </c>
      <c r="E95" s="31" t="inlineStr">
        <is>
          <t>unknown</t>
        </is>
      </c>
      <c r="F95" s="31" t="inlineStr">
        <is>
          <t>Mining/Minerals - Iron Ore</t>
        </is>
      </c>
      <c r="G95" s="31" t="inlineStr">
        <is>
          <t>largecap</t>
        </is>
      </c>
      <c r="H95" s="32" t="n">
        <v>108072.51</v>
      </c>
      <c r="I95" s="32" t="n">
        <v>1919.9</v>
      </c>
      <c r="J95" s="32" t="n">
        <v>1.13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ASMTEC</t>
        </is>
      </c>
      <c r="D96" s="31" t="inlineStr">
        <is>
          <t>ASM Technologies Ltd</t>
        </is>
      </c>
      <c r="E96" s="31" t="inlineStr">
        <is>
          <t>unknown</t>
        </is>
      </c>
      <c r="F96" s="31" t="inlineStr">
        <is>
          <t>IT - Software</t>
        </is>
      </c>
      <c r="G96" s="31" t="inlineStr">
        <is>
          <t>midcap</t>
        </is>
      </c>
      <c r="H96" s="32" t="n">
        <v>7027.85</v>
      </c>
      <c r="I96" s="32" t="n">
        <v>4818</v>
      </c>
      <c r="J96" s="32" t="n">
        <v>-1.84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SUNRAKSHAK</t>
        </is>
      </c>
      <c r="D97" s="31" t="inlineStr">
        <is>
          <t>Sunrakshakk Industries India Ltd</t>
        </is>
      </c>
      <c r="E97" s="31" t="inlineStr">
        <is>
          <t>unknown</t>
        </is>
      </c>
      <c r="F97" s="31" t="inlineStr">
        <is>
          <t>Textiles - Processing/Texturising</t>
        </is>
      </c>
      <c r="G97" s="31" t="inlineStr">
        <is>
          <t>smallcap</t>
        </is>
      </c>
      <c r="H97" s="32" t="n">
        <v>1177.95</v>
      </c>
      <c r="I97" s="32" t="n">
        <v>379.9</v>
      </c>
      <c r="J97" s="32" t="n">
        <v>0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AARTIIND</t>
        </is>
      </c>
      <c r="B103" s="37" t="inlineStr">
        <is>
          <t>Aarti Industries Limited</t>
        </is>
      </c>
      <c r="C103" s="37" t="inlineStr">
        <is>
          <t>Basic Materials</t>
        </is>
      </c>
      <c r="D103" s="38" t="inlineStr">
        <is>
          <t>2026-08-14</t>
        </is>
      </c>
    </row>
    <row r="104">
      <c r="A104" s="36" t="inlineStr">
        <is>
          <t>ACCENTMIC</t>
        </is>
      </c>
      <c r="B104" s="37" t="inlineStr">
        <is>
          <t>ACCENTMIC</t>
        </is>
      </c>
      <c r="C104" s="37" t="inlineStr">
        <is>
          <t>unknown</t>
        </is>
      </c>
      <c r="D104" s="38" t="inlineStr">
        <is>
          <t>2026-08-13</t>
        </is>
      </c>
    </row>
    <row r="105">
      <c r="A105" s="36" t="inlineStr">
        <is>
          <t>AEGISLOG</t>
        </is>
      </c>
      <c r="B105" s="37" t="inlineStr">
        <is>
          <t>AEGISLOG</t>
        </is>
      </c>
      <c r="C105" s="37" t="inlineStr">
        <is>
          <t>unknown</t>
        </is>
      </c>
      <c r="D105" s="38" t="inlineStr">
        <is>
          <t>2026-08-12</t>
        </is>
      </c>
    </row>
    <row r="106">
      <c r="A106" s="36" t="inlineStr">
        <is>
          <t>AETHER</t>
        </is>
      </c>
      <c r="B106" s="37" t="inlineStr">
        <is>
          <t>Aether Industries Limited</t>
        </is>
      </c>
      <c r="C106" s="37" t="inlineStr">
        <is>
          <t>Basic Materials</t>
        </is>
      </c>
      <c r="D106" s="38" t="inlineStr">
        <is>
          <t>2026-08-14</t>
        </is>
      </c>
    </row>
    <row r="107">
      <c r="A107" s="36" t="inlineStr">
        <is>
          <t>AIMTRON</t>
        </is>
      </c>
      <c r="B107" s="37" t="inlineStr">
        <is>
          <t>AIMTRON</t>
        </is>
      </c>
      <c r="C107" s="37" t="inlineStr">
        <is>
          <t>unknown</t>
        </is>
      </c>
      <c r="D107" s="38" t="inlineStr">
        <is>
          <t>2026-08-11</t>
        </is>
      </c>
    </row>
    <row r="108">
      <c r="A108" s="36" t="inlineStr">
        <is>
          <t>AKUMS</t>
        </is>
      </c>
      <c r="B108" s="37" t="inlineStr">
        <is>
          <t>AKUMS</t>
        </is>
      </c>
      <c r="C108" s="37" t="inlineStr">
        <is>
          <t>Healthcare</t>
        </is>
      </c>
      <c r="D108" s="38" t="inlineStr">
        <is>
          <t>2026-08-14</t>
        </is>
      </c>
    </row>
    <row r="109">
      <c r="A109" s="36" t="inlineStr">
        <is>
          <t>APCOTEXIND</t>
        </is>
      </c>
      <c r="B109" s="37" t="inlineStr">
        <is>
          <t>APCOTEXIND</t>
        </is>
      </c>
      <c r="C109" s="37" t="inlineStr">
        <is>
          <t>unknown</t>
        </is>
      </c>
      <c r="D109" s="38" t="inlineStr">
        <is>
          <t>2026-08-12</t>
        </is>
      </c>
    </row>
    <row r="110">
      <c r="A110" s="36" t="inlineStr">
        <is>
          <t>ASMTEC</t>
        </is>
      </c>
      <c r="B110" s="37" t="inlineStr">
        <is>
          <t>ASMTEC</t>
        </is>
      </c>
      <c r="C110" s="37" t="inlineStr">
        <is>
          <t>unknown</t>
        </is>
      </c>
      <c r="D110" s="38" t="inlineStr">
        <is>
          <t>2026-08-13</t>
        </is>
      </c>
    </row>
    <row r="111">
      <c r="A111" s="36" t="inlineStr">
        <is>
          <t>ATHERENERG</t>
        </is>
      </c>
      <c r="B111" s="37" t="inlineStr">
        <is>
          <t>Ather Energy Limited</t>
        </is>
      </c>
      <c r="C111" s="37" t="inlineStr">
        <is>
          <t>Consumer Cyclical</t>
        </is>
      </c>
      <c r="D111" s="38" t="inlineStr">
        <is>
          <t>2026-08-11</t>
        </is>
      </c>
    </row>
    <row r="112">
      <c r="A112" s="36" t="inlineStr">
        <is>
          <t>ATUL</t>
        </is>
      </c>
      <c r="B112" s="37" t="inlineStr">
        <is>
          <t>ATUL</t>
        </is>
      </c>
      <c r="C112" s="37" t="inlineStr">
        <is>
          <t>unknown</t>
        </is>
      </c>
      <c r="D112" s="38" t="inlineStr">
        <is>
          <t>2026-08-14</t>
        </is>
      </c>
    </row>
    <row r="113">
      <c r="A113" s="36" t="inlineStr">
        <is>
          <t>ATULAUTO</t>
        </is>
      </c>
      <c r="B113" s="37" t="inlineStr">
        <is>
          <t>ATULAUTO</t>
        </is>
      </c>
      <c r="C113" s="37" t="inlineStr">
        <is>
          <t>unknown</t>
        </is>
      </c>
      <c r="D113" s="38" t="inlineStr">
        <is>
          <t>2026-08-11</t>
        </is>
      </c>
    </row>
    <row r="114">
      <c r="A114" s="36" t="inlineStr">
        <is>
          <t>AURUM</t>
        </is>
      </c>
      <c r="B114" s="37" t="inlineStr">
        <is>
          <t>AURUM</t>
        </is>
      </c>
      <c r="C114" s="37" t="inlineStr">
        <is>
          <t>unknown</t>
        </is>
      </c>
      <c r="D114" s="38" t="inlineStr">
        <is>
          <t>2026-08-14</t>
        </is>
      </c>
    </row>
    <row r="115">
      <c r="A115" s="36" t="inlineStr">
        <is>
          <t>BLUESTONE</t>
        </is>
      </c>
      <c r="B115" s="37" t="inlineStr">
        <is>
          <t>BLUESTONE</t>
        </is>
      </c>
      <c r="C115" s="37" t="inlineStr">
        <is>
          <t>unknown</t>
        </is>
      </c>
      <c r="D115" s="38" t="inlineStr">
        <is>
          <t>2026-08-14</t>
        </is>
      </c>
    </row>
    <row r="116">
      <c r="A116" s="36" t="inlineStr">
        <is>
          <t>BOSCH-HCIL</t>
        </is>
      </c>
      <c r="B116" s="37" t="inlineStr">
        <is>
          <t>Bosch Home Comfort India Limited</t>
        </is>
      </c>
      <c r="C116" s="37" t="inlineStr">
        <is>
          <t>Consumer Cyclical</t>
        </is>
      </c>
      <c r="D116" s="38" t="inlineStr">
        <is>
          <t>2026-08-13</t>
        </is>
      </c>
    </row>
    <row r="117">
      <c r="A117" s="36" t="inlineStr">
        <is>
          <t>CENTENKA</t>
        </is>
      </c>
      <c r="B117" s="37" t="inlineStr">
        <is>
          <t>CENTENKA</t>
        </is>
      </c>
      <c r="C117" s="37" t="inlineStr">
        <is>
          <t>unknown</t>
        </is>
      </c>
      <c r="D117" s="38" t="inlineStr">
        <is>
          <t>2026-08-14</t>
        </is>
      </c>
    </row>
    <row r="118">
      <c r="A118" s="36" t="inlineStr">
        <is>
          <t>CGCL</t>
        </is>
      </c>
      <c r="B118" s="37" t="inlineStr">
        <is>
          <t>CGCL</t>
        </is>
      </c>
      <c r="C118" s="37" t="inlineStr">
        <is>
          <t>unknown</t>
        </is>
      </c>
      <c r="D118" s="38" t="inlineStr">
        <is>
          <t>2026-08-11</t>
        </is>
      </c>
    </row>
    <row r="119">
      <c r="A119" s="36" t="inlineStr">
        <is>
          <t>COFORGE</t>
        </is>
      </c>
      <c r="B119" s="37" t="inlineStr">
        <is>
          <t>Coforge Limited</t>
        </is>
      </c>
      <c r="C119" s="37" t="inlineStr">
        <is>
          <t>Technology</t>
        </is>
      </c>
      <c r="D119" s="38" t="inlineStr">
        <is>
          <t>2026-08-14</t>
        </is>
      </c>
    </row>
    <row r="120">
      <c r="A120" s="36" t="inlineStr">
        <is>
          <t>CRAFTSMAN</t>
        </is>
      </c>
      <c r="B120" s="37" t="inlineStr">
        <is>
          <t>Craftsman Automation Limited</t>
        </is>
      </c>
      <c r="C120" s="37" t="inlineStr">
        <is>
          <t>Consumer Cyclical</t>
        </is>
      </c>
      <c r="D120" s="38" t="inlineStr">
        <is>
          <t>2026-08-12</t>
        </is>
      </c>
    </row>
    <row r="121">
      <c r="A121" s="36" t="inlineStr">
        <is>
          <t>CYIENTDLM</t>
        </is>
      </c>
      <c r="B121" s="37" t="inlineStr">
        <is>
          <t>Cyient DLM Limited</t>
        </is>
      </c>
      <c r="C121" s="37" t="inlineStr">
        <is>
          <t>Industrials</t>
        </is>
      </c>
      <c r="D121" s="38" t="inlineStr">
        <is>
          <t>2026-08-14</t>
        </is>
      </c>
    </row>
    <row r="122">
      <c r="A122" s="36" t="inlineStr">
        <is>
          <t>DPABHUSHAN</t>
        </is>
      </c>
      <c r="B122" s="37" t="inlineStr">
        <is>
          <t>D. P. Abhushan Limited</t>
        </is>
      </c>
      <c r="C122" s="37" t="inlineStr">
        <is>
          <t>Consumer Cyclical</t>
        </is>
      </c>
      <c r="D122" s="38" t="inlineStr">
        <is>
          <t>2026-08-12</t>
        </is>
      </c>
    </row>
    <row r="123">
      <c r="A123" s="36" t="inlineStr">
        <is>
          <t>ESAFSFB</t>
        </is>
      </c>
      <c r="B123" s="37" t="inlineStr">
        <is>
          <t>ESAFSFB</t>
        </is>
      </c>
      <c r="C123" s="37" t="inlineStr">
        <is>
          <t>unknown</t>
        </is>
      </c>
      <c r="D123" s="38" t="inlineStr">
        <is>
          <t>2026-08-11</t>
        </is>
      </c>
    </row>
    <row r="124">
      <c r="A124" s="36" t="inlineStr">
        <is>
          <t>ETHOSLTD</t>
        </is>
      </c>
      <c r="B124" s="37" t="inlineStr">
        <is>
          <t>ETHOSLTD</t>
        </is>
      </c>
      <c r="C124" s="37" t="inlineStr">
        <is>
          <t>unknown</t>
        </is>
      </c>
      <c r="D124" s="38" t="inlineStr">
        <is>
          <t>2026-08-11</t>
        </is>
      </c>
    </row>
    <row r="125">
      <c r="A125" s="36" t="inlineStr">
        <is>
          <t>FCL</t>
        </is>
      </c>
      <c r="B125" s="37" t="inlineStr">
        <is>
          <t>Fineotex Chemical Limited</t>
        </is>
      </c>
      <c r="C125" s="37" t="inlineStr">
        <is>
          <t>Basic Materials</t>
        </is>
      </c>
      <c r="D125" s="38" t="inlineStr">
        <is>
          <t>2026-08-12</t>
        </is>
      </c>
    </row>
    <row r="126">
      <c r="A126" s="36" t="inlineStr">
        <is>
          <t>FIEMIND</t>
        </is>
      </c>
      <c r="B126" s="37" t="inlineStr">
        <is>
          <t>FIEMIND</t>
        </is>
      </c>
      <c r="C126" s="37" t="inlineStr">
        <is>
          <t>unknown</t>
        </is>
      </c>
      <c r="D126" s="38" t="inlineStr">
        <is>
          <t>2026-08-12</t>
        </is>
      </c>
    </row>
    <row r="127">
      <c r="A127" s="36" t="inlineStr">
        <is>
          <t>GCSL</t>
        </is>
      </c>
      <c r="B127" s="37" t="inlineStr">
        <is>
          <t>GCSL</t>
        </is>
      </c>
      <c r="C127" s="37" t="inlineStr">
        <is>
          <t>unknown</t>
        </is>
      </c>
      <c r="D127" s="38" t="inlineStr">
        <is>
          <t>2026-08-11</t>
        </is>
      </c>
    </row>
    <row r="128">
      <c r="A128" s="36" t="inlineStr">
        <is>
          <t>GHCLTEXTIL</t>
        </is>
      </c>
      <c r="B128" s="37" t="inlineStr">
        <is>
          <t>GHCL Textiles Limited</t>
        </is>
      </c>
      <c r="C128" s="37" t="inlineStr">
        <is>
          <t>Consumer Cyclical</t>
        </is>
      </c>
      <c r="D128" s="38" t="inlineStr">
        <is>
          <t>2026-08-14</t>
        </is>
      </c>
    </row>
    <row r="129">
      <c r="A129" s="36" t="inlineStr">
        <is>
          <t>GIPCL</t>
        </is>
      </c>
      <c r="B129" s="37" t="inlineStr">
        <is>
          <t>Gujarat Industries Power Company Limited</t>
        </is>
      </c>
      <c r="C129" s="37" t="inlineStr">
        <is>
          <t>Utilities</t>
        </is>
      </c>
      <c r="D129" s="38" t="inlineStr">
        <is>
          <t>2026-08-14</t>
        </is>
      </c>
    </row>
    <row r="130">
      <c r="A130" s="36" t="inlineStr">
        <is>
          <t>IBULLSLTD</t>
        </is>
      </c>
      <c r="B130" s="37" t="inlineStr">
        <is>
          <t>IBULLSLTD</t>
        </is>
      </c>
      <c r="C130" s="37" t="inlineStr">
        <is>
          <t>unknown</t>
        </is>
      </c>
      <c r="D130" s="38" t="inlineStr">
        <is>
          <t>2026-08-12</t>
        </is>
      </c>
    </row>
    <row r="131">
      <c r="A131" s="36" t="inlineStr">
        <is>
          <t>IMFA</t>
        </is>
      </c>
      <c r="B131" s="37" t="inlineStr">
        <is>
          <t>IMFA</t>
        </is>
      </c>
      <c r="C131" s="37" t="inlineStr">
        <is>
          <t>unknown</t>
        </is>
      </c>
      <c r="D131" s="38" t="inlineStr">
        <is>
          <t>2026-08-13</t>
        </is>
      </c>
    </row>
    <row r="132">
      <c r="A132" s="36" t="inlineStr">
        <is>
          <t>INDOTECH</t>
        </is>
      </c>
      <c r="B132" s="37" t="inlineStr">
        <is>
          <t>Indo Tech Transformers Limited</t>
        </is>
      </c>
      <c r="C132" s="37" t="inlineStr">
        <is>
          <t>Industrials</t>
        </is>
      </c>
      <c r="D132" s="38" t="inlineStr">
        <is>
          <t>2026-08-13</t>
        </is>
      </c>
    </row>
    <row r="133">
      <c r="A133" s="36" t="inlineStr">
        <is>
          <t>IOLCP</t>
        </is>
      </c>
      <c r="B133" s="37" t="inlineStr">
        <is>
          <t>IOL Chemicals and Pharmaceuticals Limited</t>
        </is>
      </c>
      <c r="C133" s="37" t="inlineStr">
        <is>
          <t>Healthcare</t>
        </is>
      </c>
      <c r="D133" s="38" t="inlineStr">
        <is>
          <t>2026-08-11</t>
        </is>
      </c>
    </row>
    <row r="134">
      <c r="A134" s="36" t="inlineStr">
        <is>
          <t>KESAR</t>
        </is>
      </c>
      <c r="B134" s="37" t="inlineStr">
        <is>
          <t>KESAR</t>
        </is>
      </c>
      <c r="C134" s="37" t="inlineStr">
        <is>
          <t>unknown</t>
        </is>
      </c>
      <c r="D134" s="38" t="inlineStr">
        <is>
          <t>2026-08-12</t>
        </is>
      </c>
    </row>
    <row r="135">
      <c r="A135" s="36" t="inlineStr">
        <is>
          <t>KINGFA</t>
        </is>
      </c>
      <c r="B135" s="37" t="inlineStr">
        <is>
          <t>Kingfa Science &amp; Technology (India) Limited</t>
        </is>
      </c>
      <c r="C135" s="37" t="inlineStr">
        <is>
          <t>Basic Materials</t>
        </is>
      </c>
      <c r="D135" s="38" t="inlineStr">
        <is>
          <t>2026-08-14</t>
        </is>
      </c>
    </row>
    <row r="136">
      <c r="A136" s="36" t="inlineStr">
        <is>
          <t>LLOYDSENT</t>
        </is>
      </c>
      <c r="B136" s="37" t="inlineStr">
        <is>
          <t>LLOYDSENT</t>
        </is>
      </c>
      <c r="C136" s="37" t="inlineStr">
        <is>
          <t>unknown</t>
        </is>
      </c>
      <c r="D136" s="38" t="inlineStr">
        <is>
          <t>2026-08-11</t>
        </is>
      </c>
    </row>
    <row r="137">
      <c r="A137" s="36" t="inlineStr">
        <is>
          <t>LLOYDSME</t>
        </is>
      </c>
      <c r="B137" s="37" t="inlineStr">
        <is>
          <t>LLOYDSME</t>
        </is>
      </c>
      <c r="C137" s="37" t="inlineStr">
        <is>
          <t>unknown</t>
        </is>
      </c>
      <c r="D137" s="38" t="inlineStr">
        <is>
          <t>2026-08-14</t>
        </is>
      </c>
    </row>
    <row r="138">
      <c r="A138" s="36" t="inlineStr">
        <is>
          <t>MAHLIFE</t>
        </is>
      </c>
      <c r="B138" s="37" t="inlineStr">
        <is>
          <t>Mahindra Lifespace Developers Limited</t>
        </is>
      </c>
      <c r="C138" s="37" t="inlineStr">
        <is>
          <t>Real Estate</t>
        </is>
      </c>
      <c r="D138" s="38" t="inlineStr">
        <is>
          <t>2026-08-14</t>
        </is>
      </c>
    </row>
    <row r="139">
      <c r="A139" s="36" t="inlineStr">
        <is>
          <t>MMFL</t>
        </is>
      </c>
      <c r="B139" s="37" t="inlineStr">
        <is>
          <t>M M Forgings Limited</t>
        </is>
      </c>
      <c r="C139" s="37" t="inlineStr">
        <is>
          <t>Industrials</t>
        </is>
      </c>
      <c r="D139" s="38" t="inlineStr">
        <is>
          <t>2026-08-14</t>
        </is>
      </c>
    </row>
    <row r="140">
      <c r="A140" s="36" t="inlineStr">
        <is>
          <t>NATIONALUM</t>
        </is>
      </c>
      <c r="B140" s="37" t="inlineStr">
        <is>
          <t>NATIONALUM</t>
        </is>
      </c>
      <c r="C140" s="37" t="inlineStr">
        <is>
          <t>unknown</t>
        </is>
      </c>
      <c r="D140" s="38" t="inlineStr">
        <is>
          <t>2026-08-13</t>
        </is>
      </c>
    </row>
    <row r="141">
      <c r="A141" s="36" t="inlineStr">
        <is>
          <t>NAVINFLUOR</t>
        </is>
      </c>
      <c r="B141" s="37" t="inlineStr">
        <is>
          <t>Navin Fluorine International Limited</t>
        </is>
      </c>
      <c r="C141" s="37" t="inlineStr">
        <is>
          <t>Basic Materials</t>
        </is>
      </c>
      <c r="D141" s="38" t="inlineStr">
        <is>
          <t>2026-08-14</t>
        </is>
      </c>
    </row>
    <row r="142">
      <c r="A142" s="36" t="inlineStr">
        <is>
          <t>NHIT</t>
        </is>
      </c>
      <c r="B142" s="37" t="inlineStr">
        <is>
          <t>NHIT</t>
        </is>
      </c>
      <c r="C142" s="37" t="inlineStr">
        <is>
          <t>unknown</t>
        </is>
      </c>
      <c r="D142" s="38" t="inlineStr">
        <is>
          <t>2026-08-12</t>
        </is>
      </c>
    </row>
    <row r="143">
      <c r="A143" s="36" t="inlineStr">
        <is>
          <t>PANAMAPET</t>
        </is>
      </c>
      <c r="B143" s="37" t="inlineStr">
        <is>
          <t>PANAMAPET</t>
        </is>
      </c>
      <c r="C143" s="37" t="inlineStr">
        <is>
          <t>unknown</t>
        </is>
      </c>
      <c r="D143" s="38" t="inlineStr">
        <is>
          <t>2026-08-13</t>
        </is>
      </c>
    </row>
    <row r="144">
      <c r="A144" s="36" t="inlineStr">
        <is>
          <t>PNGJL</t>
        </is>
      </c>
      <c r="B144" s="37" t="inlineStr">
        <is>
          <t>PNGJL</t>
        </is>
      </c>
      <c r="C144" s="37" t="inlineStr">
        <is>
          <t>unknown</t>
        </is>
      </c>
      <c r="D144" s="38" t="inlineStr">
        <is>
          <t>2026-08-12</t>
        </is>
      </c>
    </row>
    <row r="145">
      <c r="A145" s="36" t="inlineStr">
        <is>
          <t>QUESS</t>
        </is>
      </c>
      <c r="B145" s="37" t="inlineStr">
        <is>
          <t>Quess Corp Limited</t>
        </is>
      </c>
      <c r="C145" s="37" t="inlineStr">
        <is>
          <t>Industrials</t>
        </is>
      </c>
      <c r="D145" s="38" t="inlineStr">
        <is>
          <t>2026-08-13</t>
        </is>
      </c>
    </row>
    <row r="146">
      <c r="A146" s="36" t="inlineStr">
        <is>
          <t>RAMCOIND</t>
        </is>
      </c>
      <c r="B146" s="37" t="inlineStr">
        <is>
          <t>Ramco Industries Limited</t>
        </is>
      </c>
      <c r="C146" s="37" t="inlineStr">
        <is>
          <t>Industrials</t>
        </is>
      </c>
      <c r="D146" s="38" t="inlineStr">
        <is>
          <t>2026-08-11</t>
        </is>
      </c>
    </row>
    <row r="147">
      <c r="A147" s="36" t="inlineStr">
        <is>
          <t>REDINGTON</t>
        </is>
      </c>
      <c r="B147" s="37" t="inlineStr">
        <is>
          <t>Redington Limited</t>
        </is>
      </c>
      <c r="C147" s="37" t="inlineStr">
        <is>
          <t>Technology</t>
        </is>
      </c>
      <c r="D147" s="38" t="inlineStr">
        <is>
          <t>2026-08-14</t>
        </is>
      </c>
    </row>
    <row r="148">
      <c r="A148" s="36" t="inlineStr">
        <is>
          <t>ROSSTECH</t>
        </is>
      </c>
      <c r="B148" s="37" t="inlineStr">
        <is>
          <t>Rossell Techsys Limited</t>
        </is>
      </c>
      <c r="C148" s="37" t="inlineStr">
        <is>
          <t>Industrials</t>
        </is>
      </c>
      <c r="D148" s="38" t="inlineStr">
        <is>
          <t>2026-08-13</t>
        </is>
      </c>
    </row>
    <row r="149">
      <c r="A149" s="36" t="inlineStr">
        <is>
          <t>SAKAR</t>
        </is>
      </c>
      <c r="B149" s="37" t="inlineStr">
        <is>
          <t>SAKAR</t>
        </is>
      </c>
      <c r="C149" s="37" t="inlineStr">
        <is>
          <t>unknown</t>
        </is>
      </c>
      <c r="D149" s="38" t="inlineStr">
        <is>
          <t>2026-08-14</t>
        </is>
      </c>
    </row>
    <row r="150">
      <c r="A150" s="36" t="inlineStr">
        <is>
          <t>SANGHVIMOV</t>
        </is>
      </c>
      <c r="B150" s="37" t="inlineStr">
        <is>
          <t>Sanghvi Movers Limited</t>
        </is>
      </c>
      <c r="C150" s="37" t="inlineStr">
        <is>
          <t>Industrials</t>
        </is>
      </c>
      <c r="D150" s="38" t="inlineStr">
        <is>
          <t>2026-08-14</t>
        </is>
      </c>
    </row>
    <row r="151">
      <c r="A151" s="36" t="inlineStr">
        <is>
          <t>SAPL</t>
        </is>
      </c>
      <c r="B151" s="37" t="inlineStr">
        <is>
          <t>SAPL</t>
        </is>
      </c>
      <c r="C151" s="37" t="inlineStr">
        <is>
          <t>unknown</t>
        </is>
      </c>
      <c r="D151" s="38" t="inlineStr">
        <is>
          <t>2026-08-13</t>
        </is>
      </c>
    </row>
    <row r="152">
      <c r="A152" s="36" t="inlineStr">
        <is>
          <t>SENORES</t>
        </is>
      </c>
      <c r="B152" s="37" t="inlineStr">
        <is>
          <t>SENORES</t>
        </is>
      </c>
      <c r="C152" s="37" t="inlineStr">
        <is>
          <t>Healthcare</t>
        </is>
      </c>
      <c r="D152" s="38" t="inlineStr">
        <is>
          <t>2026-08-14</t>
        </is>
      </c>
    </row>
    <row r="153">
      <c r="A153" s="36" t="inlineStr">
        <is>
          <t>SIGMAADV</t>
        </is>
      </c>
      <c r="B153" s="37" t="inlineStr">
        <is>
          <t>Sigma Advanced Systems Limited</t>
        </is>
      </c>
      <c r="C153" s="37" t="inlineStr">
        <is>
          <t>Industrials</t>
        </is>
      </c>
      <c r="D153" s="38" t="inlineStr">
        <is>
          <t>2026-08-14</t>
        </is>
      </c>
    </row>
    <row r="154">
      <c r="A154" s="36" t="inlineStr">
        <is>
          <t>SOLARINDS</t>
        </is>
      </c>
      <c r="B154" s="37" t="inlineStr">
        <is>
          <t>Solar Industries India Limited</t>
        </is>
      </c>
      <c r="C154" s="37" t="inlineStr">
        <is>
          <t>Basic Materials</t>
        </is>
      </c>
      <c r="D154" s="38" t="inlineStr">
        <is>
          <t>2026-08-14</t>
        </is>
      </c>
    </row>
    <row r="155">
      <c r="A155" s="36" t="inlineStr">
        <is>
          <t>SPORTKING</t>
        </is>
      </c>
      <c r="B155" s="37" t="inlineStr">
        <is>
          <t>SPORTKING</t>
        </is>
      </c>
      <c r="C155" s="37" t="inlineStr">
        <is>
          <t>unknown</t>
        </is>
      </c>
      <c r="D155" s="38" t="inlineStr">
        <is>
          <t>2026-08-12</t>
        </is>
      </c>
    </row>
    <row r="156">
      <c r="A156" s="36" t="inlineStr">
        <is>
          <t>STOVEKRAFT</t>
        </is>
      </c>
      <c r="B156" s="37" t="inlineStr">
        <is>
          <t>STOVEKRAFT</t>
        </is>
      </c>
      <c r="C156" s="37" t="inlineStr">
        <is>
          <t>unknown</t>
        </is>
      </c>
      <c r="D156" s="38" t="inlineStr">
        <is>
          <t>2026-08-11</t>
        </is>
      </c>
    </row>
    <row r="157">
      <c r="A157" s="36" t="inlineStr">
        <is>
          <t>SYRMA</t>
        </is>
      </c>
      <c r="B157" s="37" t="inlineStr">
        <is>
          <t>Syrma SGS Technology Limited</t>
        </is>
      </c>
      <c r="C157" s="37" t="inlineStr">
        <is>
          <t>Technology</t>
        </is>
      </c>
      <c r="D157" s="38" t="inlineStr">
        <is>
          <t>2026-08-14</t>
        </is>
      </c>
    </row>
    <row r="158">
      <c r="A158" s="36" t="inlineStr">
        <is>
          <t>TAALTECH</t>
        </is>
      </c>
      <c r="B158" s="37" t="inlineStr">
        <is>
          <t>TAALTECH</t>
        </is>
      </c>
      <c r="C158" s="37" t="inlineStr">
        <is>
          <t>unknown</t>
        </is>
      </c>
      <c r="D158" s="38" t="inlineStr">
        <is>
          <t>2026-08-14</t>
        </is>
      </c>
    </row>
    <row r="159">
      <c r="A159" s="36" t="inlineStr">
        <is>
          <t>TATVA</t>
        </is>
      </c>
      <c r="B159" s="37" t="inlineStr">
        <is>
          <t>Tatva Chintan Pharma Chem Limited</t>
        </is>
      </c>
      <c r="C159" s="37" t="inlineStr">
        <is>
          <t>Basic Materials</t>
        </is>
      </c>
      <c r="D159" s="38" t="inlineStr">
        <is>
          <t>2026-08-11</t>
        </is>
      </c>
    </row>
    <row r="160">
      <c r="A160" s="36" t="inlineStr">
        <is>
          <t>THEJO</t>
        </is>
      </c>
      <c r="B160" s="37" t="inlineStr">
        <is>
          <t>Thejo Engineering Limited</t>
        </is>
      </c>
      <c r="C160" s="37" t="inlineStr">
        <is>
          <t>Industrials</t>
        </is>
      </c>
      <c r="D160" s="38" t="inlineStr">
        <is>
          <t>2026-08-12</t>
        </is>
      </c>
    </row>
    <row r="161">
      <c r="A161" s="36" t="inlineStr">
        <is>
          <t>UEL</t>
        </is>
      </c>
      <c r="B161" s="37" t="inlineStr">
        <is>
          <t>Ujaas Energy Limited</t>
        </is>
      </c>
      <c r="C161" s="37" t="inlineStr">
        <is>
          <t>Technology</t>
        </is>
      </c>
      <c r="D161" s="38" t="inlineStr">
        <is>
          <t>2026-08-11</t>
        </is>
      </c>
    </row>
    <row r="162">
      <c r="A162" s="36" t="inlineStr">
        <is>
          <t>UFBL</t>
        </is>
      </c>
      <c r="B162" s="37" t="inlineStr">
        <is>
          <t>UFBL</t>
        </is>
      </c>
      <c r="C162" s="37" t="inlineStr">
        <is>
          <t>Consumer Cyclical</t>
        </is>
      </c>
      <c r="D162" s="38" t="inlineStr">
        <is>
          <t>2026-08-12</t>
        </is>
      </c>
    </row>
    <row r="163">
      <c r="A163" s="36" t="inlineStr">
        <is>
          <t>UNIMECH</t>
        </is>
      </c>
      <c r="B163" s="37" t="inlineStr">
        <is>
          <t>UNIMECH</t>
        </is>
      </c>
      <c r="C163" s="37" t="inlineStr">
        <is>
          <t>Industrials</t>
        </is>
      </c>
      <c r="D163" s="38" t="inlineStr">
        <is>
          <t>2026-08-12</t>
        </is>
      </c>
    </row>
    <row r="164">
      <c r="A164" s="36" t="inlineStr">
        <is>
          <t>VALIANT</t>
        </is>
      </c>
      <c r="B164" s="37" t="inlineStr">
        <is>
          <t>VALIANT</t>
        </is>
      </c>
      <c r="C164" s="37" t="inlineStr">
        <is>
          <t>unknown</t>
        </is>
      </c>
      <c r="D164" s="38" t="inlineStr">
        <is>
          <t>2026-08-14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1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UJJIVANSFB</t>
        </is>
      </c>
      <c r="D2" s="31" t="inlineStr">
        <is>
          <t>Ujjivan Small Finance Bank Ltd</t>
        </is>
      </c>
      <c r="E2" s="31" t="inlineStr">
        <is>
          <t>bank</t>
        </is>
      </c>
      <c r="F2" s="31" t="inlineStr">
        <is>
          <t>Banks - Small Finance</t>
        </is>
      </c>
      <c r="G2" s="31" t="inlineStr">
        <is>
          <t>midcap</t>
        </is>
      </c>
      <c r="H2" s="32" t="n">
        <v>14117.18</v>
      </c>
      <c r="I2" s="32" t="n">
        <v>72.45</v>
      </c>
      <c r="J2" s="32" t="n">
        <v>1.77</v>
      </c>
      <c r="K2" s="32" t="n">
        <v>0</v>
      </c>
      <c r="L2" s="31" t="n">
        <v>70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68.23999999999999</v>
      </c>
      <c r="P2" s="32" t="n">
        <v>35.92</v>
      </c>
      <c r="Q2" s="32" t="n">
        <v>57.74</v>
      </c>
      <c r="R2" s="31" t="inlineStr">
        <is>
          <t>Near 52W High Breakout</t>
        </is>
      </c>
      <c r="S2" s="31" t="inlineStr">
        <is>
          <t>Nifty Bank</t>
        </is>
      </c>
      <c r="T2" s="32" t="n">
        <v>3.88</v>
      </c>
      <c r="U2" s="32" t="n">
        <v>73.91</v>
      </c>
      <c r="V2" s="32" t="n">
        <v>67.41</v>
      </c>
      <c r="W2" s="32" t="n">
        <v>18.66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20 to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20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SGFIN</t>
        </is>
      </c>
      <c r="D3" s="34" t="inlineStr">
        <is>
          <t>SG Finserve Ltd</t>
        </is>
      </c>
      <c r="E3" s="31" t="inlineStr">
        <is>
          <t>Financial Services</t>
        </is>
      </c>
      <c r="F3" s="31" t="inlineStr">
        <is>
          <t>Finance &amp; Investments - MSME Lending</t>
        </is>
      </c>
      <c r="G3" s="31" t="inlineStr">
        <is>
          <t>smallcap</t>
        </is>
      </c>
      <c r="H3" s="32" t="n">
        <v>4339.19</v>
      </c>
      <c r="I3" s="32" t="n">
        <v>658.5</v>
      </c>
      <c r="J3" s="32" t="n">
        <v>0.04</v>
      </c>
      <c r="K3" s="32" t="n">
        <v>0</v>
      </c>
      <c r="L3" s="31" t="n">
        <v>61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62.9</v>
      </c>
      <c r="P3" s="32" t="n">
        <v>55.44</v>
      </c>
      <c r="Q3" s="32" t="n">
        <v>516.9</v>
      </c>
      <c r="R3" s="31" t="inlineStr">
        <is>
          <t>Near 52W High Breakout</t>
        </is>
      </c>
      <c r="S3" s="31" t="inlineStr">
        <is>
          <t>Nifty Bank</t>
        </is>
      </c>
      <c r="T3" s="32" t="n">
        <v>3.88</v>
      </c>
      <c r="U3" s="32" t="n">
        <v>71.31999999999999</v>
      </c>
      <c r="V3" s="32" t="n">
        <v>64.91</v>
      </c>
      <c r="W3" s="32" t="n">
        <v>15.3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19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TFCILTD</t>
        </is>
      </c>
      <c r="D4" s="31" t="inlineStr">
        <is>
          <t>Tourism Finance Corporation of India Ltd</t>
        </is>
      </c>
      <c r="E4" s="31" t="inlineStr">
        <is>
          <t>financials</t>
        </is>
      </c>
      <c r="F4" s="31" t="inlineStr">
        <is>
          <t>Finance - PSU Lending</t>
        </is>
      </c>
      <c r="G4" s="31" t="inlineStr">
        <is>
          <t>midcap</t>
        </is>
      </c>
      <c r="H4" s="32" t="n">
        <v>5409.89</v>
      </c>
      <c r="I4" s="32" t="n">
        <v>116.85</v>
      </c>
      <c r="J4" s="32" t="n">
        <v>1.34</v>
      </c>
      <c r="K4" s="32" t="n">
        <v>0</v>
      </c>
      <c r="L4" s="31" t="n">
        <v>83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79.65000000000001</v>
      </c>
      <c r="P4" s="32" t="n">
        <v>51.38</v>
      </c>
      <c r="Q4" s="32" t="n">
        <v>92.73999999999999</v>
      </c>
      <c r="R4" s="31" t="inlineStr">
        <is>
          <t>Near 52W High Breakout</t>
        </is>
      </c>
      <c r="S4" s="31" t="inlineStr">
        <is>
          <t>Nifty Bank</t>
        </is>
      </c>
      <c r="T4" s="32" t="n">
        <v>3.88</v>
      </c>
      <c r="U4" s="32" t="n">
        <v>89.97</v>
      </c>
      <c r="V4" s="32" t="n">
        <v>82.87</v>
      </c>
      <c r="W4" s="32" t="n">
        <v>26.3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23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i.t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102992.91</v>
      </c>
      <c r="I5" s="32" t="n">
        <v>11828</v>
      </c>
      <c r="J5" s="32" t="n">
        <v>3.57</v>
      </c>
      <c r="K5" s="32" t="n">
        <v>0</v>
      </c>
      <c r="L5" s="31" t="n">
        <v>64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69.2</v>
      </c>
      <c r="P5" s="32" t="n">
        <v>30.81</v>
      </c>
      <c r="Q5" s="32" t="n">
        <v>9411.690000000001</v>
      </c>
      <c r="R5" s="31" t="inlineStr">
        <is>
          <t>Near 52W High Breakout</t>
        </is>
      </c>
      <c r="S5" s="31" t="inlineStr">
        <is>
          <t>Nifty IT</t>
        </is>
      </c>
      <c r="T5" s="32" t="n">
        <v>-9.98</v>
      </c>
      <c r="U5" s="32" t="n">
        <v>43.89</v>
      </c>
      <c r="V5" s="32" t="n">
        <v>59.84</v>
      </c>
      <c r="W5" s="32" t="n">
        <v>16.02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  <row r="11">
      <c r="A11" s="36" t="inlineStr">
        <is>
          <t>SHRIRAMFIN</t>
        </is>
      </c>
      <c r="B11" s="37" t="inlineStr">
        <is>
          <t>Shriram Finance Limited</t>
        </is>
      </c>
      <c r="C11" s="37" t="inlineStr">
        <is>
          <t>Financial Services</t>
        </is>
      </c>
      <c r="D11" s="38" t="inlineStr">
        <is>
          <t>2026-08-13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2026-08-14T11:12:37Z</dcterms:created>
  <dcterms:modified xmlns:dcterms="http://purl.org/dc/terms/" xmlns:xsi="http://www.w3.org/2001/XMLSchema-instance" xsi:type="dcterms:W3CDTF">2026-08-14T11:14:23Z</dcterms:modified>
</cp:coreProperties>
</file>