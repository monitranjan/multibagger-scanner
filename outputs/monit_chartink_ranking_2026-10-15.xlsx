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Universe'!$A$1:$J$178</definedName>
    <definedName name="_xlnm._FilterDatabase" localSheetId="3" hidden="1">'Confluence Overlap'!$A$1:$K$75</definedName>
    <definedName name="_xlnm._FilterDatabase" localSheetId="4" hidden="1">'Monit Non Financial'!$A$1:$CE$156</definedName>
    <definedName name="_xlnm._FilterDatabase" localSheetId="5" hidden="1">'Monit Banks NBFC'!$A$1:$CA$23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Financial'!$A$1:$CG$92</definedName>
    <definedName name="_xlnm._FilterDatabase" localSheetId="9" hidden="1">'Scan Match Banks NBFC'!$A$1:$CC$10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Thursday, 15 October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33" customWidth="1" min="3" max="3"/>
    <col width="37" customWidth="1" min="4" max="4"/>
    <col width="22" customWidth="1" min="5" max="5"/>
    <col width="45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480</v>
      </c>
      <c r="C6" s="17" t="inlineStr">
        <is>
          <t>KABRAEXTRU</t>
        </is>
      </c>
      <c r="D6" s="18" t="inlineStr">
        <is>
          <t>Kabra Extrusion Technik Limited</t>
        </is>
      </c>
      <c r="E6" s="18" t="inlineStr">
        <is>
          <t>industrials</t>
        </is>
      </c>
      <c r="F6" s="16" t="n">
        <v>65</v>
      </c>
      <c r="G6" s="19" t="n">
        <v>3248.33</v>
      </c>
      <c r="H6" s="18" t="inlineStr">
        <is>
          <t>Potential Leader</t>
        </is>
      </c>
      <c r="J6" s="18" t="inlineStr">
        <is>
          <t>bank</t>
        </is>
      </c>
      <c r="K6" s="16" t="n">
        <v>39</v>
      </c>
      <c r="L6" s="16" t="n">
        <v>14</v>
      </c>
      <c r="M6" s="20" t="inlineStr">
        <is>
          <t>178.6%</t>
        </is>
      </c>
    </row>
    <row r="7">
      <c r="A7" s="16" t="n">
        <v>2</v>
      </c>
      <c r="B7" s="17" t="n">
        <v>318</v>
      </c>
      <c r="C7" s="17" t="inlineStr">
        <is>
          <t>BAFNAPH</t>
        </is>
      </c>
      <c r="D7" s="18" t="inlineStr">
        <is>
          <t>Bafna Pharmaceuticals Ltd</t>
        </is>
      </c>
      <c r="E7" s="18" t="inlineStr">
        <is>
          <t>healthcare</t>
        </is>
      </c>
      <c r="F7" s="16" t="n">
        <v>38</v>
      </c>
      <c r="G7" s="19" t="n">
        <v>1049.16</v>
      </c>
      <c r="H7" s="18" t="inlineStr">
        <is>
          <t>Potential Leader</t>
        </is>
      </c>
      <c r="J7" s="18" t="inlineStr">
        <is>
          <t>media</t>
        </is>
      </c>
      <c r="K7" s="16" t="n">
        <v>15</v>
      </c>
      <c r="L7" s="16" t="n">
        <v>8</v>
      </c>
      <c r="M7" s="20" t="inlineStr">
        <is>
          <t>87.5%</t>
        </is>
      </c>
    </row>
    <row r="8">
      <c r="A8" s="16" t="n">
        <v>3</v>
      </c>
      <c r="B8" s="17" t="n">
        <v>312</v>
      </c>
      <c r="C8" s="17" t="inlineStr">
        <is>
          <t>ROSSTECH</t>
        </is>
      </c>
      <c r="D8" s="18" t="inlineStr">
        <is>
          <t>Rossell Techsys Ltd</t>
        </is>
      </c>
      <c r="E8" s="18" t="inlineStr">
        <is>
          <t>aerospace &amp; defence</t>
        </is>
      </c>
      <c r="F8" s="16" t="n">
        <v>37</v>
      </c>
      <c r="G8" s="19" t="n">
        <v>5904.4</v>
      </c>
      <c r="H8" s="18" t="inlineStr">
        <is>
          <t>Potential Leader</t>
        </is>
      </c>
      <c r="J8" s="18" t="inlineStr">
        <is>
          <t>i.t</t>
        </is>
      </c>
      <c r="K8" s="16" t="n">
        <v>75</v>
      </c>
      <c r="L8" s="16" t="n">
        <v>46</v>
      </c>
      <c r="M8" s="20" t="inlineStr">
        <is>
          <t>63.0%</t>
        </is>
      </c>
    </row>
    <row r="9">
      <c r="A9" s="16" t="n">
        <v>4</v>
      </c>
      <c r="B9" s="17" t="n">
        <v>306</v>
      </c>
      <c r="C9" s="17" t="inlineStr">
        <is>
          <t>NRL</t>
        </is>
      </c>
      <c r="D9" s="18" t="inlineStr">
        <is>
          <t>Nupur Recyclers Ltd</t>
        </is>
      </c>
      <c r="E9" s="18" t="inlineStr">
        <is>
          <t>services</t>
        </is>
      </c>
      <c r="F9" s="16" t="n">
        <v>36</v>
      </c>
      <c r="G9" s="19" t="n">
        <v>1120.99</v>
      </c>
      <c r="H9" s="18" t="inlineStr">
        <is>
          <t>Potential Leader</t>
        </is>
      </c>
      <c r="J9" s="18" t="inlineStr">
        <is>
          <t>miscellaneous</t>
        </is>
      </c>
      <c r="K9" s="16" t="n">
        <v>28</v>
      </c>
      <c r="L9" s="16" t="n">
        <v>20</v>
      </c>
      <c r="M9" s="20" t="inlineStr">
        <is>
          <t>40.0%</t>
        </is>
      </c>
    </row>
    <row r="10">
      <c r="A10" s="16" t="n">
        <v>5</v>
      </c>
      <c r="B10" s="17" t="n">
        <v>306</v>
      </c>
      <c r="C10" s="17" t="inlineStr">
        <is>
          <t>SBC</t>
        </is>
      </c>
      <c r="D10" s="18" t="inlineStr">
        <is>
          <t>SBC Exports Ltd</t>
        </is>
      </c>
      <c r="E10" s="18" t="inlineStr">
        <is>
          <t>textiles</t>
        </is>
      </c>
      <c r="F10" s="16" t="n">
        <v>36</v>
      </c>
      <c r="G10" s="19" t="n">
        <v>3052.85</v>
      </c>
      <c r="H10" s="18" t="inlineStr">
        <is>
          <t>Potential Leader</t>
        </is>
      </c>
      <c r="J10" s="18" t="inlineStr">
        <is>
          <t>fmcg</t>
        </is>
      </c>
      <c r="K10" s="16" t="n">
        <v>86</v>
      </c>
      <c r="L10" s="16" t="n">
        <v>64</v>
      </c>
      <c r="M10" s="20" t="inlineStr">
        <is>
          <t>34.4%</t>
        </is>
      </c>
    </row>
    <row r="11">
      <c r="A11" s="16" t="n">
        <v>6</v>
      </c>
      <c r="B11" s="17" t="n">
        <v>306</v>
      </c>
      <c r="C11" s="17" t="inlineStr">
        <is>
          <t>WHEELS</t>
        </is>
      </c>
      <c r="D11" s="18" t="inlineStr">
        <is>
          <t>Wheels India Limited</t>
        </is>
      </c>
      <c r="E11" s="18" t="inlineStr">
        <is>
          <t>auto</t>
        </is>
      </c>
      <c r="F11" s="16" t="n">
        <v>36</v>
      </c>
      <c r="G11" s="19" t="n">
        <v>6471.95</v>
      </c>
      <c r="H11" s="18" t="inlineStr">
        <is>
          <t>Potential Leader</t>
        </is>
      </c>
      <c r="J11" s="18" t="inlineStr">
        <is>
          <t>financials</t>
        </is>
      </c>
      <c r="K11" s="16" t="n">
        <v>67</v>
      </c>
      <c r="L11" s="16" t="n">
        <v>57</v>
      </c>
      <c r="M11" s="20" t="inlineStr">
        <is>
          <t>17.5%</t>
        </is>
      </c>
    </row>
    <row r="12">
      <c r="A12" s="16" t="n">
        <v>7</v>
      </c>
      <c r="B12" s="17" t="n">
        <v>288</v>
      </c>
      <c r="C12" s="17" t="inlineStr">
        <is>
          <t>GLOBAL</t>
        </is>
      </c>
      <c r="D12" s="18" t="inlineStr">
        <is>
          <t>Global Education Ltd</t>
        </is>
      </c>
      <c r="E12" s="18" t="inlineStr">
        <is>
          <t>services</t>
        </is>
      </c>
      <c r="F12" s="16" t="n">
        <v>33</v>
      </c>
      <c r="G12" s="19" t="n">
        <v>733.95</v>
      </c>
      <c r="H12" s="18" t="inlineStr">
        <is>
          <t>Potential Leader</t>
        </is>
      </c>
      <c r="J12" s="18" t="inlineStr">
        <is>
          <t>consumer discretionary</t>
        </is>
      </c>
      <c r="K12" s="16" t="n">
        <v>89</v>
      </c>
      <c r="L12" s="16" t="n">
        <v>76</v>
      </c>
      <c r="M12" s="20" t="inlineStr">
        <is>
          <t>17.1%</t>
        </is>
      </c>
    </row>
    <row r="13">
      <c r="A13" s="16" t="n">
        <v>8</v>
      </c>
      <c r="B13" s="17" t="n">
        <v>288</v>
      </c>
      <c r="C13" s="17" t="inlineStr">
        <is>
          <t>RAYMOND</t>
        </is>
      </c>
      <c r="D13" s="18" t="inlineStr">
        <is>
          <t>Raymond Limited</t>
        </is>
      </c>
      <c r="E13" s="18" t="inlineStr">
        <is>
          <t>transportation</t>
        </is>
      </c>
      <c r="F13" s="16" t="n">
        <v>33</v>
      </c>
      <c r="G13" s="19" t="n">
        <v>7896.31</v>
      </c>
      <c r="H13" s="18" t="inlineStr">
        <is>
          <t>Potential Leader</t>
        </is>
      </c>
      <c r="J13" s="18" t="inlineStr">
        <is>
          <t>textiles</t>
        </is>
      </c>
      <c r="K13" s="16" t="n">
        <v>47</v>
      </c>
      <c r="L13" s="16" t="n">
        <v>41</v>
      </c>
      <c r="M13" s="20" t="inlineStr">
        <is>
          <t>14.6%</t>
        </is>
      </c>
    </row>
    <row r="14">
      <c r="A14" s="16" t="n">
        <v>9</v>
      </c>
      <c r="B14" s="17" t="n">
        <v>276</v>
      </c>
      <c r="C14" s="17" t="inlineStr">
        <is>
          <t>LOTUSDEV</t>
        </is>
      </c>
      <c r="D14" s="18" t="inlineStr">
        <is>
          <t>Sri Lotus Developers &amp; Realty Ltd</t>
        </is>
      </c>
      <c r="E14" s="18" t="inlineStr">
        <is>
          <t>realty</t>
        </is>
      </c>
      <c r="F14" s="16" t="n">
        <v>31</v>
      </c>
      <c r="G14" s="19" t="n">
        <v>11652.15</v>
      </c>
      <c r="H14" s="18" t="inlineStr">
        <is>
          <t>Potential Leader</t>
        </is>
      </c>
      <c r="J14" s="18" t="inlineStr">
        <is>
          <t>telecom-service</t>
        </is>
      </c>
      <c r="K14" s="16" t="n">
        <v>4</v>
      </c>
      <c r="L14" s="16" t="n">
        <v>4</v>
      </c>
      <c r="M14" s="20" t="inlineStr">
        <is>
          <t>0.0%</t>
        </is>
      </c>
    </row>
    <row r="15">
      <c r="A15" s="16" t="n">
        <v>10</v>
      </c>
      <c r="B15" s="17" t="n">
        <v>276</v>
      </c>
      <c r="C15" s="17" t="inlineStr">
        <is>
          <t>SHREEJISPG</t>
        </is>
      </c>
      <c r="D15" s="18" t="inlineStr">
        <is>
          <t>Shreeji Shipping Global Ltd</t>
        </is>
      </c>
      <c r="E15" s="18" t="inlineStr">
        <is>
          <t>transportation</t>
        </is>
      </c>
      <c r="F15" s="16" t="n">
        <v>31</v>
      </c>
      <c r="G15" s="19" t="n">
        <v>13464.38</v>
      </c>
      <c r="H15" s="18" t="inlineStr">
        <is>
          <t>Potential Leader</t>
        </is>
      </c>
      <c r="J15" s="18" t="inlineStr">
        <is>
          <t>services</t>
        </is>
      </c>
      <c r="K15" s="16" t="n">
        <v>39</v>
      </c>
      <c r="L15" s="16" t="n">
        <v>40</v>
      </c>
      <c r="M15" s="21" t="inlineStr">
        <is>
          <t>-2.5%</t>
        </is>
      </c>
    </row>
    <row r="16">
      <c r="A16" s="16" t="n">
        <v>11</v>
      </c>
      <c r="B16" s="17" t="n">
        <v>270</v>
      </c>
      <c r="C16" s="17" t="inlineStr">
        <is>
          <t>KILITCH</t>
        </is>
      </c>
      <c r="D16" s="18" t="inlineStr">
        <is>
          <t>Kilitch Drugs (india) Limited</t>
        </is>
      </c>
      <c r="E16" s="18" t="inlineStr">
        <is>
          <t>healthcare</t>
        </is>
      </c>
      <c r="F16" s="16" t="n">
        <v>30</v>
      </c>
      <c r="G16" s="19" t="n">
        <v>805.41</v>
      </c>
      <c r="H16" s="18" t="inlineStr">
        <is>
          <t>Potential Leader</t>
        </is>
      </c>
      <c r="J16" s="18" t="inlineStr">
        <is>
          <t>transportation</t>
        </is>
      </c>
      <c r="K16" s="16" t="n">
        <v>32</v>
      </c>
      <c r="L16" s="16" t="n">
        <v>34</v>
      </c>
      <c r="M16" s="21" t="inlineStr">
        <is>
          <t>-5.9%</t>
        </is>
      </c>
    </row>
    <row r="17">
      <c r="A17" s="16" t="n">
        <v>12</v>
      </c>
      <c r="B17" s="17" t="n">
        <v>270</v>
      </c>
      <c r="C17" s="17" t="inlineStr">
        <is>
          <t>SPECTRUM</t>
        </is>
      </c>
      <c r="D17" s="18" t="inlineStr">
        <is>
          <t>Spectrum Electrical Industries Ltd</t>
        </is>
      </c>
      <c r="E17" s="18" t="inlineStr">
        <is>
          <t>industrials</t>
        </is>
      </c>
      <c r="F17" s="16" t="n">
        <v>30</v>
      </c>
      <c r="G17" s="19" t="n">
        <v>6591.49</v>
      </c>
      <c r="H17" s="18" t="inlineStr">
        <is>
          <t>Potential Leader</t>
        </is>
      </c>
      <c r="J17" s="18" t="inlineStr">
        <is>
          <t>plastic products</t>
        </is>
      </c>
      <c r="K17" s="16" t="n">
        <v>11</v>
      </c>
      <c r="L17" s="16" t="n">
        <v>13</v>
      </c>
      <c r="M17" s="21" t="inlineStr">
        <is>
          <t>-15.4%</t>
        </is>
      </c>
    </row>
    <row r="18">
      <c r="A18" s="16" t="n">
        <v>13</v>
      </c>
      <c r="B18" s="17" t="n">
        <v>270</v>
      </c>
      <c r="C18" s="17" t="inlineStr">
        <is>
          <t>UNITEDPOLY</t>
        </is>
      </c>
      <c r="D18" s="18" t="inlineStr">
        <is>
          <t>United Polyfab Gujarat Ltd</t>
        </is>
      </c>
      <c r="E18" s="18" t="inlineStr">
        <is>
          <t>textiles</t>
        </is>
      </c>
      <c r="F18" s="16" t="n">
        <v>30</v>
      </c>
      <c r="G18" s="19" t="n">
        <v>1186.14</v>
      </c>
      <c r="H18" s="18" t="inlineStr">
        <is>
          <t>Potential Leader</t>
        </is>
      </c>
      <c r="J18" s="18" t="inlineStr">
        <is>
          <t>readymade garments/apparels</t>
        </is>
      </c>
      <c r="K18" s="16" t="n">
        <v>5</v>
      </c>
      <c r="L18" s="16" t="n">
        <v>6</v>
      </c>
      <c r="M18" s="21" t="inlineStr">
        <is>
          <t>-16.7%</t>
        </is>
      </c>
    </row>
    <row r="19">
      <c r="A19" s="16" t="n">
        <v>14</v>
      </c>
      <c r="B19" s="17" t="n">
        <v>270</v>
      </c>
      <c r="C19" s="17" t="inlineStr">
        <is>
          <t>VALIANTORG</t>
        </is>
      </c>
      <c r="D19" s="18" t="inlineStr">
        <is>
          <t>Valiant Organics Ltd</t>
        </is>
      </c>
      <c r="E19" s="18" t="inlineStr">
        <is>
          <t>chemicals</t>
        </is>
      </c>
      <c r="F19" s="16" t="n">
        <v>30</v>
      </c>
      <c r="G19" s="19" t="n">
        <v>1284.55</v>
      </c>
      <c r="H19" s="18" t="inlineStr">
        <is>
          <t>Potential Leader</t>
        </is>
      </c>
      <c r="J19" s="18" t="inlineStr">
        <is>
          <t>building materials</t>
        </is>
      </c>
      <c r="K19" s="16" t="n">
        <v>29</v>
      </c>
      <c r="L19" s="16" t="n">
        <v>35</v>
      </c>
      <c r="M19" s="21" t="inlineStr">
        <is>
          <t>-17.1%</t>
        </is>
      </c>
    </row>
    <row r="20">
      <c r="A20" s="16" t="n">
        <v>15</v>
      </c>
      <c r="B20" s="17" t="n">
        <v>261</v>
      </c>
      <c r="C20" s="17" t="inlineStr">
        <is>
          <t>LAURUSLABS</t>
        </is>
      </c>
      <c r="D20" s="18" t="inlineStr">
        <is>
          <t>Laurus Labs Limited</t>
        </is>
      </c>
      <c r="E20" s="18" t="inlineStr">
        <is>
          <t>healthcare</t>
        </is>
      </c>
      <c r="F20" s="16" t="n">
        <v>29</v>
      </c>
      <c r="G20" s="19" t="n">
        <v>110043.44</v>
      </c>
      <c r="H20" s="18" t="inlineStr">
        <is>
          <t>Potential Leader</t>
        </is>
      </c>
      <c r="J20" s="18" t="inlineStr">
        <is>
          <t>telecom</t>
        </is>
      </c>
      <c r="K20" s="16" t="n">
        <v>8</v>
      </c>
      <c r="L20" s="16" t="n">
        <v>10</v>
      </c>
      <c r="M20" s="21" t="inlineStr">
        <is>
          <t>-20.0%</t>
        </is>
      </c>
    </row>
    <row r="21">
      <c r="A21" s="16" t="n">
        <v>16</v>
      </c>
      <c r="B21" s="17" t="n">
        <v>237</v>
      </c>
      <c r="C21" s="17" t="inlineStr">
        <is>
          <t>DYNAMATECH</t>
        </is>
      </c>
      <c r="D21" s="18" t="inlineStr">
        <is>
          <t>Dynamatic Technologies Limited</t>
        </is>
      </c>
      <c r="E21" s="18" t="inlineStr">
        <is>
          <t>aerospace &amp; defence</t>
        </is>
      </c>
      <c r="F21" s="16" t="n">
        <v>25</v>
      </c>
      <c r="G21" s="19" t="n">
        <v>9795.98</v>
      </c>
      <c r="H21" s="18" t="inlineStr">
        <is>
          <t>Potential Leader</t>
        </is>
      </c>
    </row>
    <row r="22">
      <c r="A22" s="16" t="n">
        <v>17</v>
      </c>
      <c r="B22" s="17" t="n">
        <v>234</v>
      </c>
      <c r="C22" s="17" t="inlineStr">
        <is>
          <t>GCSL</t>
        </is>
      </c>
      <c r="D22" s="18" t="inlineStr">
        <is>
          <t>Gretex Corporate Services Ltd</t>
        </is>
      </c>
      <c r="E22" s="18" t="inlineStr">
        <is>
          <t>financials</t>
        </is>
      </c>
      <c r="F22" s="16" t="n">
        <v>26</v>
      </c>
      <c r="G22" s="19" t="n">
        <v>1847.9</v>
      </c>
      <c r="H22" s="18" t="inlineStr">
        <is>
          <t>Potential Leader</t>
        </is>
      </c>
    </row>
    <row r="23">
      <c r="A23" s="16" t="n">
        <v>18</v>
      </c>
      <c r="B23" s="17" t="n">
        <v>225</v>
      </c>
      <c r="C23" s="17" t="inlineStr">
        <is>
          <t>ABDL</t>
        </is>
      </c>
      <c r="D23" s="18" t="inlineStr">
        <is>
          <t>Allied Blenders &amp; Distillers Ltd</t>
        </is>
      </c>
      <c r="E23" s="18" t="inlineStr">
        <is>
          <t>fmcg</t>
        </is>
      </c>
      <c r="F23" s="16" t="n">
        <v>25</v>
      </c>
      <c r="G23" s="19" t="n">
        <v>20795.05</v>
      </c>
      <c r="H23" s="18" t="inlineStr">
        <is>
          <t>Potential Leader</t>
        </is>
      </c>
    </row>
    <row r="24">
      <c r="A24" s="16" t="n">
        <v>19</v>
      </c>
      <c r="B24" s="17" t="n">
        <v>225</v>
      </c>
      <c r="C24" s="17" t="inlineStr">
        <is>
          <t>FILATEX</t>
        </is>
      </c>
      <c r="D24" s="18" t="inlineStr">
        <is>
          <t>Filatex India Limited</t>
        </is>
      </c>
      <c r="E24" s="18" t="inlineStr">
        <is>
          <t>textiles</t>
        </is>
      </c>
      <c r="F24" s="16" t="n">
        <v>25</v>
      </c>
      <c r="G24" s="19" t="n">
        <v>4964.57</v>
      </c>
      <c r="H24" s="18" t="inlineStr">
        <is>
          <t>Potential Leader</t>
        </is>
      </c>
    </row>
    <row r="25">
      <c r="A25" s="16" t="n">
        <v>20</v>
      </c>
      <c r="B25" s="17" t="n">
        <v>219</v>
      </c>
      <c r="C25" s="17" t="inlineStr">
        <is>
          <t>SSWL</t>
        </is>
      </c>
      <c r="D25" s="18" t="inlineStr">
        <is>
          <t>Steel Strips Wheels Limited</t>
        </is>
      </c>
      <c r="E25" s="18" t="inlineStr">
        <is>
          <t>auto</t>
        </is>
      </c>
      <c r="F25" s="16" t="n">
        <v>22</v>
      </c>
      <c r="G25" s="19" t="n">
        <v>6393.31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ALICON</t>
        </is>
      </c>
      <c r="B30" s="18" t="inlineStr">
        <is>
          <t>Alicon Castalloy Limited</t>
        </is>
      </c>
      <c r="C30" s="18" t="inlineStr">
        <is>
          <t>castings, forgings &amp; fasteners</t>
        </is>
      </c>
      <c r="D30" s="16" t="n">
        <v>10</v>
      </c>
      <c r="E30" s="16" t="n">
        <v>2</v>
      </c>
      <c r="F30" s="19" t="n">
        <v>1415.19</v>
      </c>
      <c r="J30" s="17" t="inlineStr">
        <is>
          <t>KTKBANK</t>
        </is>
      </c>
      <c r="K30" s="18" t="inlineStr">
        <is>
          <t>bank</t>
        </is>
      </c>
      <c r="L30" s="19" t="n">
        <v>295</v>
      </c>
      <c r="M30" s="19" t="n">
        <v>12828.66</v>
      </c>
      <c r="N30" s="16" t="n">
        <v>13</v>
      </c>
    </row>
    <row r="31">
      <c r="A31" s="17" t="inlineStr">
        <is>
          <t>ISGEC</t>
        </is>
      </c>
      <c r="B31" s="18" t="inlineStr">
        <is>
          <t>ISGEC Heavy Engineering  Ltd</t>
        </is>
      </c>
      <c r="C31" s="18" t="inlineStr">
        <is>
          <t>realty</t>
        </is>
      </c>
      <c r="D31" s="16" t="n">
        <v>10</v>
      </c>
      <c r="E31" s="16" t="n">
        <v>1</v>
      </c>
      <c r="F31" s="19" t="n">
        <v>6818.76</v>
      </c>
      <c r="J31" s="17" t="inlineStr">
        <is>
          <t>PGIL</t>
        </is>
      </c>
      <c r="K31" s="18" t="inlineStr">
        <is>
          <t>Consumer Cyclical</t>
        </is>
      </c>
      <c r="L31" s="19" t="n">
        <v>295</v>
      </c>
      <c r="M31" s="19" t="n">
        <v>11670.5</v>
      </c>
      <c r="N31" s="16" t="n">
        <v>20</v>
      </c>
    </row>
    <row r="32">
      <c r="A32" s="17" t="inlineStr">
        <is>
          <t>PATELRMART</t>
        </is>
      </c>
      <c r="B32" s="18" t="inlineStr">
        <is>
          <t>Patel Retail Ltd</t>
        </is>
      </c>
      <c r="C32" s="18" t="inlineStr">
        <is>
          <t>consumer discretionary</t>
        </is>
      </c>
      <c r="D32" s="16" t="n">
        <v>9</v>
      </c>
      <c r="E32" s="16" t="n">
        <v>0</v>
      </c>
      <c r="F32" s="19" t="n">
        <v>806.99</v>
      </c>
      <c r="J32" s="17" t="inlineStr">
        <is>
          <t>MANBA</t>
        </is>
      </c>
      <c r="K32" s="18" t="inlineStr">
        <is>
          <t>financials</t>
        </is>
      </c>
      <c r="L32" s="19" t="n">
        <v>290</v>
      </c>
      <c r="M32" s="19" t="n">
        <v>703.65</v>
      </c>
      <c r="N32" s="16" t="n">
        <v>22</v>
      </c>
    </row>
    <row r="33">
      <c r="A33" s="17" t="inlineStr">
        <is>
          <t>GPTINFRA</t>
        </is>
      </c>
      <c r="B33" s="18" t="inlineStr">
        <is>
          <t>Gpt Infraprojects Limited</t>
        </is>
      </c>
      <c r="C33" s="18" t="inlineStr">
        <is>
          <t>realty</t>
        </is>
      </c>
      <c r="D33" s="16" t="n">
        <v>8</v>
      </c>
      <c r="E33" s="16" t="n">
        <v>0</v>
      </c>
      <c r="F33" s="19" t="n">
        <v>1581.2</v>
      </c>
      <c r="J33" s="17" t="inlineStr">
        <is>
          <t>IBULLSLTD</t>
        </is>
      </c>
      <c r="K33" s="18" t="inlineStr">
        <is>
          <t>miscellaneous</t>
        </is>
      </c>
      <c r="L33" s="19" t="n">
        <v>290</v>
      </c>
      <c r="M33" s="19" t="n">
        <v>8768.4</v>
      </c>
      <c r="N33" s="16" t="n">
        <v>22</v>
      </c>
    </row>
    <row r="34">
      <c r="A34" s="17" t="inlineStr">
        <is>
          <t>ADFFOODS</t>
        </is>
      </c>
      <c r="B34" s="18" t="inlineStr">
        <is>
          <t>ADF Foods Limited</t>
        </is>
      </c>
      <c r="C34" s="18" t="inlineStr">
        <is>
          <t>Consumer Defensive</t>
        </is>
      </c>
      <c r="D34" s="16" t="n">
        <v>8</v>
      </c>
      <c r="E34" s="16" t="n">
        <v>2</v>
      </c>
      <c r="F34" s="19" t="n">
        <v>3027.84</v>
      </c>
      <c r="J34" s="17" t="inlineStr">
        <is>
          <t>MODISONLTD</t>
        </is>
      </c>
      <c r="K34" s="18" t="inlineStr">
        <is>
          <t>industrials</t>
        </is>
      </c>
      <c r="L34" s="19" t="n">
        <v>290</v>
      </c>
      <c r="M34" s="19" t="n">
        <v>1769.5</v>
      </c>
      <c r="N34" s="16" t="n">
        <v>23</v>
      </c>
    </row>
    <row r="35">
      <c r="A35" s="17" t="inlineStr">
        <is>
          <t>PARAGMILK</t>
        </is>
      </c>
      <c r="B35" s="18" t="inlineStr">
        <is>
          <t>Parag Milk Foods Limited</t>
        </is>
      </c>
      <c r="C35" s="18" t="inlineStr">
        <is>
          <t>Consumer Defensive</t>
        </is>
      </c>
      <c r="D35" s="16" t="n">
        <v>7</v>
      </c>
      <c r="E35" s="16" t="n">
        <v>0</v>
      </c>
      <c r="F35" s="19" t="n">
        <v>3699.15</v>
      </c>
      <c r="J35" s="17" t="inlineStr">
        <is>
          <t>KROSS</t>
        </is>
      </c>
      <c r="K35" s="18" t="inlineStr">
        <is>
          <t>auto</t>
        </is>
      </c>
      <c r="L35" s="19" t="n">
        <v>290</v>
      </c>
      <c r="M35" s="19" t="n">
        <v>1756.27</v>
      </c>
      <c r="N35" s="16" t="n">
        <v>24</v>
      </c>
    </row>
    <row r="36">
      <c r="A36" s="17" t="inlineStr">
        <is>
          <t>MAYURUNIQ</t>
        </is>
      </c>
      <c r="B36" s="18" t="inlineStr">
        <is>
          <t>Mayur Uniquoters Ltd</t>
        </is>
      </c>
      <c r="C36" s="18" t="inlineStr">
        <is>
          <t>consumer discretionary</t>
        </is>
      </c>
      <c r="D36" s="16" t="n">
        <v>7</v>
      </c>
      <c r="E36" s="16" t="n">
        <v>0</v>
      </c>
      <c r="F36" s="19" t="n">
        <v>3493.15</v>
      </c>
      <c r="J36" s="17" t="inlineStr">
        <is>
          <t>PASUPTAC</t>
        </is>
      </c>
      <c r="K36" s="18" t="inlineStr">
        <is>
          <t>textiles</t>
        </is>
      </c>
      <c r="L36" s="19" t="n">
        <v>288</v>
      </c>
      <c r="M36" s="19" t="n">
        <v>751.21</v>
      </c>
      <c r="N36" s="16" t="n">
        <v>24</v>
      </c>
    </row>
    <row r="37">
      <c r="A37" s="17" t="inlineStr">
        <is>
          <t>MOBIKWIK</t>
        </is>
      </c>
      <c r="B37" s="18" t="inlineStr">
        <is>
          <t>One MobiKwik Systems Limited</t>
        </is>
      </c>
      <c r="C37" s="18" t="inlineStr">
        <is>
          <t>Technology</t>
        </is>
      </c>
      <c r="D37" s="16" t="n">
        <v>7</v>
      </c>
      <c r="E37" s="16" t="n">
        <v>0</v>
      </c>
      <c r="F37" s="19" t="n">
        <v>1822.83</v>
      </c>
      <c r="J37" s="17" t="inlineStr">
        <is>
          <t>AVTNPL</t>
        </is>
      </c>
      <c r="K37" s="18" t="inlineStr">
        <is>
          <t>fmcg</t>
        </is>
      </c>
      <c r="L37" s="19" t="n">
        <v>287</v>
      </c>
      <c r="M37" s="19" t="n">
        <v>1505.18</v>
      </c>
      <c r="N37" s="16" t="n">
        <v>18</v>
      </c>
    </row>
    <row r="38">
      <c r="A38" s="17" t="inlineStr">
        <is>
          <t>ARIHANTCAP</t>
        </is>
      </c>
      <c r="B38" s="18" t="inlineStr">
        <is>
          <t>Arihant Capital Markets Ltd</t>
        </is>
      </c>
      <c r="C38" s="18" t="inlineStr">
        <is>
          <t>financials</t>
        </is>
      </c>
      <c r="D38" s="16" t="n">
        <v>6</v>
      </c>
      <c r="E38" s="16" t="n">
        <v>0</v>
      </c>
      <c r="F38" s="19" t="n">
        <v>1080.89</v>
      </c>
      <c r="J38" s="17" t="inlineStr">
        <is>
          <t>TCPLPACK</t>
        </is>
      </c>
      <c r="K38" s="18" t="inlineStr">
        <is>
          <t>industrials</t>
        </is>
      </c>
      <c r="L38" s="19" t="n">
        <v>287</v>
      </c>
      <c r="M38" s="19" t="n">
        <v>3985.8</v>
      </c>
      <c r="N38" s="16" t="n">
        <v>13</v>
      </c>
    </row>
    <row r="39">
      <c r="A39" s="17" t="inlineStr">
        <is>
          <t>SHRINGARMS</t>
        </is>
      </c>
      <c r="B39" s="18" t="inlineStr">
        <is>
          <t>Shringar House of Mangalsutra Ltd</t>
        </is>
      </c>
      <c r="C39" s="18" t="inlineStr">
        <is>
          <t>consumer discretionary</t>
        </is>
      </c>
      <c r="D39" s="16" t="n">
        <v>6</v>
      </c>
      <c r="E39" s="16" t="n">
        <v>2</v>
      </c>
      <c r="F39" s="19" t="n">
        <v>3064.03</v>
      </c>
      <c r="J39" s="17" t="inlineStr">
        <is>
          <t>VINCOFE</t>
        </is>
      </c>
      <c r="K39" s="18" t="inlineStr">
        <is>
          <t>Consumer Defensive</t>
        </is>
      </c>
      <c r="L39" s="19" t="n">
        <v>287</v>
      </c>
      <c r="M39" s="19" t="n">
        <v>2611.3</v>
      </c>
      <c r="N39" s="16" t="n">
        <v>22</v>
      </c>
    </row>
    <row r="40">
      <c r="A40" s="17" t="inlineStr">
        <is>
          <t>ATLANTAELE</t>
        </is>
      </c>
      <c r="B40" s="18" t="inlineStr">
        <is>
          <t>Atlanta Electricals Limited</t>
        </is>
      </c>
      <c r="C40" s="18" t="inlineStr">
        <is>
          <t>Industrials</t>
        </is>
      </c>
      <c r="D40" s="16" t="n">
        <v>5</v>
      </c>
      <c r="E40" s="16" t="n">
        <v>0</v>
      </c>
      <c r="F40" s="19" t="n">
        <v>13159.32</v>
      </c>
      <c r="J40" s="17" t="inlineStr">
        <is>
          <t>SHANTIGOLD</t>
        </is>
      </c>
      <c r="K40" s="18" t="inlineStr">
        <is>
          <t>consumer discretionary</t>
        </is>
      </c>
      <c r="L40" s="19" t="n">
        <v>285</v>
      </c>
      <c r="M40" s="19" t="n">
        <v>2976.72</v>
      </c>
      <c r="N40" s="16" t="n">
        <v>26</v>
      </c>
    </row>
    <row r="41">
      <c r="A41" s="17" t="inlineStr">
        <is>
          <t>BLKASHYAP</t>
        </is>
      </c>
      <c r="B41" s="18" t="inlineStr">
        <is>
          <t>B. L. Kashyap And Sons Limited</t>
        </is>
      </c>
      <c r="C41" s="18" t="inlineStr">
        <is>
          <t>realty</t>
        </is>
      </c>
      <c r="D41" s="16" t="n">
        <v>5</v>
      </c>
      <c r="E41" s="16" t="n">
        <v>1</v>
      </c>
      <c r="F41" s="19" t="n">
        <v>1352.19</v>
      </c>
      <c r="J41" s="17" t="inlineStr">
        <is>
          <t>DPABHUSHAN</t>
        </is>
      </c>
      <c r="K41" s="18" t="inlineStr">
        <is>
          <t>consumer discretionary</t>
        </is>
      </c>
      <c r="L41" s="19" t="n">
        <v>285</v>
      </c>
      <c r="M41" s="19" t="n">
        <v>5564.99</v>
      </c>
      <c r="N41" s="16" t="n">
        <v>16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102.28</v>
      </c>
      <c r="D47" s="28" t="n">
        <v>295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2945.02</v>
      </c>
    </row>
    <row r="48">
      <c r="A48" s="16" t="n">
        <v>2</v>
      </c>
      <c r="B48" s="27" t="n">
        <v>98</v>
      </c>
      <c r="C48" s="28" t="n">
        <v>83.39</v>
      </c>
      <c r="D48" s="28" t="n">
        <v>285</v>
      </c>
      <c r="E48" s="17" t="inlineStr">
        <is>
          <t>TBZ</t>
        </is>
      </c>
      <c r="F48" s="18" t="inlineStr">
        <is>
          <t>Tribhovandas Bhimji Zaveri Limited</t>
        </is>
      </c>
      <c r="G48" s="18" t="inlineStr">
        <is>
          <t>consumer discretionary</t>
        </is>
      </c>
      <c r="H48" s="19" t="n">
        <v>4595.07</v>
      </c>
    </row>
    <row r="49">
      <c r="A49" s="16" t="n">
        <v>3</v>
      </c>
      <c r="B49" s="27" t="n">
        <v>98</v>
      </c>
      <c r="C49" s="28" t="n">
        <v>66.42</v>
      </c>
      <c r="D49" s="28" t="n">
        <v>273</v>
      </c>
      <c r="E49" s="17" t="inlineStr">
        <is>
          <t>KABRAEXTRU</t>
        </is>
      </c>
      <c r="F49" s="18" t="inlineStr">
        <is>
          <t>Kabra Extrusion Technik Limited</t>
        </is>
      </c>
      <c r="G49" s="18" t="inlineStr">
        <is>
          <t>industrials</t>
        </is>
      </c>
      <c r="H49" s="19" t="n">
        <v>3248.33</v>
      </c>
    </row>
    <row r="50">
      <c r="A50" s="16" t="n">
        <v>4</v>
      </c>
      <c r="B50" s="27" t="n">
        <v>97</v>
      </c>
      <c r="C50" s="28" t="n">
        <v>52.11</v>
      </c>
      <c r="D50" s="28" t="n">
        <v>265</v>
      </c>
      <c r="E50" s="17" t="inlineStr">
        <is>
          <t>BAFNAPH</t>
        </is>
      </c>
      <c r="F50" s="18" t="inlineStr">
        <is>
          <t>Bafna Pharmaceuticals Ltd</t>
        </is>
      </c>
      <c r="G50" s="18" t="inlineStr">
        <is>
          <t>healthcare</t>
        </is>
      </c>
      <c r="H50" s="19" t="n">
        <v>1049.16</v>
      </c>
    </row>
    <row r="51">
      <c r="A51" s="16" t="n">
        <v>5</v>
      </c>
      <c r="B51" s="27" t="n">
        <v>97</v>
      </c>
      <c r="C51" s="28" t="n">
        <v>52.05</v>
      </c>
      <c r="D51" s="28" t="n">
        <v>280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15484.34</v>
      </c>
    </row>
    <row r="52">
      <c r="A52" s="16" t="n">
        <v>6</v>
      </c>
      <c r="B52" s="27" t="n">
        <v>96</v>
      </c>
      <c r="C52" s="28" t="n">
        <v>50.88</v>
      </c>
      <c r="D52" s="28" t="n">
        <v>290</v>
      </c>
      <c r="E52" s="17" t="inlineStr">
        <is>
          <t>MODISONLTD</t>
        </is>
      </c>
      <c r="F52" s="18" t="inlineStr">
        <is>
          <t>Modison Ltd</t>
        </is>
      </c>
      <c r="G52" s="18" t="inlineStr">
        <is>
          <t>industrials</t>
        </is>
      </c>
      <c r="H52" s="19" t="n">
        <v>1769.5</v>
      </c>
    </row>
    <row r="53">
      <c r="A53" s="16" t="n">
        <v>7</v>
      </c>
      <c r="B53" s="27" t="n">
        <v>95</v>
      </c>
      <c r="C53" s="28" t="n">
        <v>48.51</v>
      </c>
      <c r="D53" s="28" t="n">
        <v>265</v>
      </c>
      <c r="E53" s="17" t="inlineStr">
        <is>
          <t>SPECTRUM</t>
        </is>
      </c>
      <c r="F53" s="18" t="inlineStr">
        <is>
          <t>Spectrum Electrical Industries Ltd</t>
        </is>
      </c>
      <c r="G53" s="18" t="inlineStr">
        <is>
          <t>industrials</t>
        </is>
      </c>
      <c r="H53" s="19" t="n">
        <v>6591.49</v>
      </c>
    </row>
    <row r="54">
      <c r="A54" s="16" t="n">
        <v>8</v>
      </c>
      <c r="B54" s="27" t="n">
        <v>95</v>
      </c>
      <c r="C54" s="28" t="n">
        <v>46.36</v>
      </c>
      <c r="D54" s="28" t="n">
        <v>280</v>
      </c>
      <c r="E54" s="17" t="inlineStr">
        <is>
          <t>HIIL</t>
        </is>
      </c>
      <c r="F54" s="18" t="inlineStr">
        <is>
          <t>Hindusthan Insulators &amp; Industries Limited</t>
        </is>
      </c>
      <c r="G54" s="18" t="inlineStr">
        <is>
          <t>Industrials</t>
        </is>
      </c>
      <c r="H54" s="19" t="n">
        <v>1334.74</v>
      </c>
    </row>
    <row r="55">
      <c r="A55" s="16" t="n">
        <v>9</v>
      </c>
      <c r="B55" s="29" t="n">
        <v>94</v>
      </c>
      <c r="C55" s="28" t="n">
        <v>44.66</v>
      </c>
      <c r="D55" s="28" t="n">
        <v>235</v>
      </c>
      <c r="E55" s="17" t="inlineStr">
        <is>
          <t>SVRL</t>
        </is>
      </c>
      <c r="F55" s="18" t="inlineStr">
        <is>
          <t>Shri Venkatesh Refineries Limited</t>
        </is>
      </c>
      <c r="G55" s="18" t="inlineStr">
        <is>
          <t>Consumer Defensive</t>
        </is>
      </c>
      <c r="H55" s="19" t="n">
        <v>1601.55</v>
      </c>
    </row>
    <row r="56">
      <c r="A56" s="16" t="n">
        <v>10</v>
      </c>
      <c r="B56" s="29" t="n">
        <v>94</v>
      </c>
      <c r="C56" s="28" t="n">
        <v>43.53</v>
      </c>
      <c r="D56" s="28" t="n">
        <v>252</v>
      </c>
      <c r="E56" s="17" t="inlineStr">
        <is>
          <t>BIRLACABLE</t>
        </is>
      </c>
      <c r="F56" s="18" t="inlineStr">
        <is>
          <t>Birla Cable Limited</t>
        </is>
      </c>
      <c r="G56" s="18" t="inlineStr">
        <is>
          <t>Technology</t>
        </is>
      </c>
      <c r="H56" s="19" t="n">
        <v>1081.05</v>
      </c>
    </row>
    <row r="57">
      <c r="A57" s="16" t="n">
        <v>11</v>
      </c>
      <c r="B57" s="29" t="n">
        <v>93</v>
      </c>
      <c r="C57" s="28" t="n">
        <v>41.22</v>
      </c>
      <c r="D57" s="28" t="n">
        <v>272</v>
      </c>
      <c r="E57" s="17" t="inlineStr">
        <is>
          <t>SHUKRAPHAR</t>
        </is>
      </c>
      <c r="F57" s="18" t="inlineStr">
        <is>
          <t>Shukra Pharmaceuticals Limited</t>
        </is>
      </c>
      <c r="G57" s="18" t="inlineStr">
        <is>
          <t>Healthcare</t>
        </is>
      </c>
      <c r="H57" s="19" t="n">
        <v>2954.28</v>
      </c>
    </row>
    <row r="58">
      <c r="A58" s="16" t="n">
        <v>12</v>
      </c>
      <c r="B58" s="29" t="n">
        <v>92</v>
      </c>
      <c r="C58" s="28" t="n">
        <v>40.2</v>
      </c>
      <c r="D58" s="28" t="n">
        <v>273</v>
      </c>
      <c r="E58" s="17" t="inlineStr">
        <is>
          <t>CYIENTDLM</t>
        </is>
      </c>
      <c r="F58" s="18" t="inlineStr">
        <is>
          <t>Cyient DLM Ltd</t>
        </is>
      </c>
      <c r="G58" s="18" t="inlineStr">
        <is>
          <t>aerospace &amp; defence</t>
        </is>
      </c>
      <c r="H58" s="19" t="n">
        <v>8244.360000000001</v>
      </c>
    </row>
    <row r="59">
      <c r="A59" s="16" t="n">
        <v>13</v>
      </c>
      <c r="B59" s="29" t="n">
        <v>92</v>
      </c>
      <c r="C59" s="28" t="n">
        <v>39.32</v>
      </c>
      <c r="D59" s="28" t="n">
        <v>265</v>
      </c>
      <c r="E59" s="17" t="inlineStr">
        <is>
          <t>SKYGOLD</t>
        </is>
      </c>
      <c r="F59" s="18" t="inlineStr">
        <is>
          <t>Sky Gold Ltd</t>
        </is>
      </c>
      <c r="G59" s="18" t="inlineStr">
        <is>
          <t>consumer discretionary</t>
        </is>
      </c>
      <c r="H59" s="19" t="n">
        <v>14987.15</v>
      </c>
    </row>
    <row r="60">
      <c r="A60" s="16" t="n">
        <v>14</v>
      </c>
      <c r="B60" s="29" t="n">
        <v>91</v>
      </c>
      <c r="C60" s="28" t="n">
        <v>39.25</v>
      </c>
      <c r="D60" s="28" t="n">
        <v>258</v>
      </c>
      <c r="E60" s="17" t="inlineStr">
        <is>
          <t>RAYMOND</t>
        </is>
      </c>
      <c r="F60" s="18" t="inlineStr">
        <is>
          <t>Raymond Limited</t>
        </is>
      </c>
      <c r="G60" s="18" t="inlineStr">
        <is>
          <t>transportation</t>
        </is>
      </c>
      <c r="H60" s="19" t="n">
        <v>7896.31</v>
      </c>
    </row>
    <row r="61">
      <c r="A61" s="16" t="n">
        <v>15</v>
      </c>
      <c r="B61" s="29" t="n">
        <v>91</v>
      </c>
      <c r="C61" s="28" t="n">
        <v>39.25</v>
      </c>
      <c r="D61" s="28" t="n">
        <v>263</v>
      </c>
      <c r="E61" s="17" t="inlineStr">
        <is>
          <t>SHREEJISPG</t>
        </is>
      </c>
      <c r="F61" s="18" t="inlineStr">
        <is>
          <t>Shreeji Shipping Global Ltd</t>
        </is>
      </c>
      <c r="G61" s="18" t="inlineStr">
        <is>
          <t>transportation</t>
        </is>
      </c>
      <c r="H61" s="19" t="n">
        <v>13464.38</v>
      </c>
    </row>
    <row r="62">
      <c r="A62" s="16" t="n">
        <v>16</v>
      </c>
      <c r="B62" s="29" t="n">
        <v>90</v>
      </c>
      <c r="C62" s="28" t="n">
        <v>38.03</v>
      </c>
      <c r="D62" s="28" t="n">
        <v>275</v>
      </c>
      <c r="E62" s="17" t="inlineStr">
        <is>
          <t>E2E</t>
        </is>
      </c>
      <c r="F62" s="18" t="inlineStr">
        <is>
          <t>E2E Networks Ltd</t>
        </is>
      </c>
      <c r="G62" s="18" t="inlineStr">
        <is>
          <t>i.t</t>
        </is>
      </c>
      <c r="H62" s="19" t="n">
        <v>15382.42</v>
      </c>
    </row>
    <row r="63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ORIENTELEC</t>
        </is>
      </c>
      <c r="B2" s="31" t="inlineStr">
        <is>
          <t>Orient Electric Ltd</t>
        </is>
      </c>
      <c r="C2" s="31" t="inlineStr">
        <is>
          <t>consumer discretionary</t>
        </is>
      </c>
      <c r="D2" s="31" t="inlineStr">
        <is>
          <t>domestic appliances</t>
        </is>
      </c>
      <c r="E2" s="31" t="inlineStr">
        <is>
          <t>smallcap</t>
        </is>
      </c>
      <c r="F2" s="31" t="n">
        <v>3709.58</v>
      </c>
      <c r="G2" s="31" t="n">
        <v>197.14</v>
      </c>
      <c r="H2" s="31" t="n">
        <v>13.39</v>
      </c>
      <c r="I2" s="31" t="n">
        <v>10829446</v>
      </c>
      <c r="J2" s="31" t="inlineStr">
        <is>
          <t>541301</t>
        </is>
      </c>
    </row>
    <row r="3">
      <c r="A3" s="31" t="inlineStr">
        <is>
          <t>OAL</t>
        </is>
      </c>
      <c r="B3" s="31" t="inlineStr">
        <is>
          <t>Oriental Aromatics Ltd</t>
        </is>
      </c>
      <c r="C3" s="31" t="inlineStr">
        <is>
          <t>chemicals</t>
        </is>
      </c>
      <c r="D3" s="31" t="inlineStr">
        <is>
          <t>chemicals</t>
        </is>
      </c>
      <c r="E3" s="31" t="inlineStr">
        <is>
          <t>smallcap</t>
        </is>
      </c>
      <c r="F3" s="31" t="n">
        <v>1757.89</v>
      </c>
      <c r="G3" s="31" t="n">
        <v>579.15</v>
      </c>
      <c r="H3" s="31" t="n">
        <v>10.87</v>
      </c>
      <c r="I3" s="31" t="n">
        <v>3082035</v>
      </c>
      <c r="J3" s="31" t="inlineStr">
        <is>
          <t>500078</t>
        </is>
      </c>
    </row>
    <row r="4">
      <c r="A4" s="31" t="inlineStr">
        <is>
          <t>SEJALLTD</t>
        </is>
      </c>
      <c r="B4" s="31" t="inlineStr">
        <is>
          <t>Sejal Glass Ltd</t>
        </is>
      </c>
      <c r="C4" s="31" t="inlineStr">
        <is>
          <t>building materials</t>
        </is>
      </c>
      <c r="D4" s="31" t="inlineStr">
        <is>
          <t>glass &amp; glass products</t>
        </is>
      </c>
      <c r="E4" s="31" t="inlineStr">
        <is>
          <t>smallcap</t>
        </is>
      </c>
      <c r="F4" s="31" t="n">
        <v>998.64</v>
      </c>
      <c r="G4" s="31" t="n">
        <v>966.15</v>
      </c>
      <c r="H4" s="31" t="n">
        <v>10.29</v>
      </c>
      <c r="I4" s="31" t="n">
        <v>951136</v>
      </c>
      <c r="J4" s="31" t="inlineStr">
        <is>
          <t>532993</t>
        </is>
      </c>
    </row>
    <row r="5">
      <c r="A5" s="31" t="inlineStr">
        <is>
          <t>BMWVENTLTD</t>
        </is>
      </c>
      <c r="B5" s="31" t="inlineStr">
        <is>
          <t>BMW Ventures Ltd</t>
        </is>
      </c>
      <c r="C5" s="31" t="inlineStr">
        <is>
          <t>services</t>
        </is>
      </c>
      <c r="D5" s="31" t="inlineStr">
        <is>
          <t>trading</t>
        </is>
      </c>
      <c r="E5" s="31" t="inlineStr">
        <is>
          <t>smallcap</t>
        </is>
      </c>
      <c r="F5" s="31" t="n">
        <v>567.8099999999999</v>
      </c>
      <c r="G5" s="31" t="n">
        <v>71.27</v>
      </c>
      <c r="H5" s="31" t="n">
        <v>8.84</v>
      </c>
      <c r="I5" s="31" t="n">
        <v>1720880</v>
      </c>
      <c r="J5" s="31" t="inlineStr">
        <is>
          <t>544543</t>
        </is>
      </c>
    </row>
    <row r="6">
      <c r="A6" s="31" t="inlineStr">
        <is>
          <t>TATACOMM</t>
        </is>
      </c>
      <c r="B6" s="31" t="inlineStr">
        <is>
          <t>Tata Communications Limited</t>
        </is>
      </c>
      <c r="C6" s="31" t="inlineStr">
        <is>
          <t>telecom-service</t>
        </is>
      </c>
      <c r="D6" s="31" t="inlineStr">
        <is>
          <t>telecommunications - service provider</t>
        </is>
      </c>
      <c r="E6" s="31" t="inlineStr">
        <is>
          <t>largecap</t>
        </is>
      </c>
      <c r="F6" s="31" t="n">
        <v>47281.43</v>
      </c>
      <c r="G6" s="31" t="n">
        <v>1763.7</v>
      </c>
      <c r="H6" s="31" t="n">
        <v>6.32</v>
      </c>
      <c r="I6" s="31" t="n">
        <v>5090596</v>
      </c>
      <c r="J6" s="31" t="inlineStr">
        <is>
          <t>500483</t>
        </is>
      </c>
    </row>
    <row r="7">
      <c r="A7" s="31" t="inlineStr">
        <is>
          <t>IRISDOREME</t>
        </is>
      </c>
      <c r="B7" s="31" t="inlineStr">
        <is>
          <t>Iris Clothings Ltd</t>
        </is>
      </c>
      <c r="C7" s="31" t="inlineStr">
        <is>
          <t>readymade garments/apparels</t>
        </is>
      </c>
      <c r="D7" s="31" t="inlineStr">
        <is>
          <t>textiles - products</t>
        </is>
      </c>
      <c r="E7" s="31" t="inlineStr">
        <is>
          <t>smallcap</t>
        </is>
      </c>
      <c r="F7" s="31" t="n">
        <v>1182.69</v>
      </c>
      <c r="G7" s="31" t="n">
        <v>63.13</v>
      </c>
      <c r="H7" s="31" t="n">
        <v>5.71</v>
      </c>
      <c r="I7" s="31" t="n">
        <v>1475203</v>
      </c>
      <c r="J7" s="31" t="inlineStr">
        <is>
          <t>535123</t>
        </is>
      </c>
    </row>
    <row r="8">
      <c r="A8" s="31" t="inlineStr">
        <is>
          <t>BHARTIHEXA</t>
        </is>
      </c>
      <c r="B8" s="31" t="inlineStr">
        <is>
          <t>Bharti Hexacom Ltd</t>
        </is>
      </c>
      <c r="C8" s="31" t="inlineStr">
        <is>
          <t>telecom-service</t>
        </is>
      </c>
      <c r="D8" s="31" t="inlineStr">
        <is>
          <t>telecommunications - service provider</t>
        </is>
      </c>
      <c r="E8" s="31" t="inlineStr">
        <is>
          <t>largecap</t>
        </is>
      </c>
      <c r="F8" s="31" t="n">
        <v>78515</v>
      </c>
      <c r="G8" s="31" t="n">
        <v>1650.5</v>
      </c>
      <c r="H8" s="31" t="n">
        <v>5.11</v>
      </c>
      <c r="I8" s="31" t="n">
        <v>479856</v>
      </c>
      <c r="J8" s="31" t="inlineStr">
        <is>
          <t>544162</t>
        </is>
      </c>
    </row>
    <row r="9">
      <c r="A9" s="31" t="inlineStr">
        <is>
          <t>MGEL</t>
        </is>
      </c>
      <c r="B9" s="31" t="inlineStr">
        <is>
          <t>Mangalam Global Enterprise Ltd</t>
        </is>
      </c>
      <c r="C9" s="31" t="inlineStr">
        <is>
          <t>services</t>
        </is>
      </c>
      <c r="D9" s="31" t="inlineStr">
        <is>
          <t>trading</t>
        </is>
      </c>
      <c r="E9" s="31" t="inlineStr">
        <is>
          <t>smallcap</t>
        </is>
      </c>
      <c r="F9" s="31" t="n">
        <v>528.9400000000001</v>
      </c>
      <c r="G9" s="31" t="n">
        <v>16.87</v>
      </c>
      <c r="H9" s="31" t="n">
        <v>5.11</v>
      </c>
      <c r="I9" s="31" t="n">
        <v>904136</v>
      </c>
      <c r="J9" s="31" t="inlineStr">
        <is>
          <t>535349</t>
        </is>
      </c>
    </row>
    <row r="10">
      <c r="A10" s="31" t="inlineStr">
        <is>
          <t>TBZ</t>
        </is>
      </c>
      <c r="B10" s="31" t="inlineStr">
        <is>
          <t>Tribhovandas Bhimji Zaveri Limited</t>
        </is>
      </c>
      <c r="C10" s="31" t="inlineStr">
        <is>
          <t>consumer discretionary</t>
        </is>
      </c>
      <c r="D10" s="31" t="inlineStr">
        <is>
          <t>diamond cutting / jewellery</t>
        </is>
      </c>
      <c r="E10" s="31" t="inlineStr">
        <is>
          <t>smallcap</t>
        </is>
      </c>
      <c r="F10" s="31" t="n">
        <v>4595.07</v>
      </c>
      <c r="G10" s="31" t="n">
        <v>723</v>
      </c>
      <c r="H10" s="31" t="n">
        <v>5</v>
      </c>
      <c r="I10" s="31" t="n">
        <v>191145</v>
      </c>
      <c r="J10" s="31" t="inlineStr">
        <is>
          <t>534369</t>
        </is>
      </c>
    </row>
    <row r="11">
      <c r="A11" s="31" t="inlineStr">
        <is>
          <t>HITECHCORP</t>
        </is>
      </c>
      <c r="B11" s="31" t="inlineStr">
        <is>
          <t>Hitech Corporation</t>
        </is>
      </c>
      <c r="C11" s="31" t="inlineStr">
        <is>
          <t>industrials</t>
        </is>
      </c>
      <c r="D11" s="31" t="inlineStr">
        <is>
          <t>packaging</t>
        </is>
      </c>
      <c r="E11" s="31" t="inlineStr">
        <is>
          <t>smallcap</t>
        </is>
      </c>
      <c r="F11" s="31" t="n">
        <v>673.12</v>
      </c>
      <c r="G11" s="31" t="n">
        <v>411.45</v>
      </c>
      <c r="H11" s="31" t="n">
        <v>4.99</v>
      </c>
      <c r="I11" s="31" t="n">
        <v>12777</v>
      </c>
      <c r="J11" s="31" t="inlineStr">
        <is>
          <t>526217</t>
        </is>
      </c>
    </row>
    <row r="12">
      <c r="A12" s="31" t="inlineStr">
        <is>
          <t>KANORICHEM</t>
        </is>
      </c>
      <c r="B12" s="31" t="inlineStr">
        <is>
          <t>Kanoria Chemicals &amp; Industries Limited</t>
        </is>
      </c>
      <c r="C12" s="31" t="inlineStr">
        <is>
          <t>chemicals</t>
        </is>
      </c>
      <c r="D12" s="31" t="inlineStr">
        <is>
          <t>chemicals</t>
        </is>
      </c>
      <c r="E12" s="31" t="inlineStr">
        <is>
          <t>smallcap</t>
        </is>
      </c>
      <c r="F12" s="31" t="n">
        <v>791.77</v>
      </c>
      <c r="G12" s="31" t="n">
        <v>190.04</v>
      </c>
      <c r="H12" s="31" t="n">
        <v>4.87</v>
      </c>
      <c r="I12" s="31" t="n">
        <v>179564</v>
      </c>
      <c r="J12" s="31" t="inlineStr">
        <is>
          <t>506525</t>
        </is>
      </c>
    </row>
    <row r="13">
      <c r="A13" s="31" t="inlineStr">
        <is>
          <t>TECHM</t>
        </is>
      </c>
      <c r="B13" s="31" t="inlineStr">
        <is>
          <t>Tech Mahindra Limited</t>
        </is>
      </c>
      <c r="C13" s="31" t="inlineStr">
        <is>
          <t>i.t</t>
        </is>
      </c>
      <c r="D13" s="31" t="inlineStr">
        <is>
          <t>computers - software - large</t>
        </is>
      </c>
      <c r="E13" s="31" t="inlineStr">
        <is>
          <t>largecap</t>
        </is>
      </c>
      <c r="F13" s="31" t="n">
        <v>154378.73</v>
      </c>
      <c r="G13" s="31" t="n">
        <v>1650</v>
      </c>
      <c r="H13" s="31" t="n">
        <v>4.75</v>
      </c>
      <c r="I13" s="31" t="n">
        <v>8657928</v>
      </c>
      <c r="J13" s="31" t="inlineStr">
        <is>
          <t>532755</t>
        </is>
      </c>
    </row>
    <row r="14">
      <c r="A14" s="31" t="inlineStr">
        <is>
          <t>VALIANTLAB</t>
        </is>
      </c>
      <c r="B14" s="31" t="inlineStr">
        <is>
          <t>Valiant Laboratories Ltd</t>
        </is>
      </c>
      <c r="C14" s="31" t="inlineStr">
        <is>
          <t>healthcare</t>
        </is>
      </c>
      <c r="D14" s="31" t="inlineStr">
        <is>
          <t>pharmaceuticals - indian - bulk drugs &amp; formln</t>
        </is>
      </c>
      <c r="E14" s="31" t="inlineStr">
        <is>
          <t>smallcap</t>
        </is>
      </c>
      <c r="F14" s="31" t="n">
        <v>665</v>
      </c>
      <c r="G14" s="31" t="n">
        <v>128.24</v>
      </c>
      <c r="H14" s="31" t="n">
        <v>4.74</v>
      </c>
      <c r="I14" s="31" t="n">
        <v>108638</v>
      </c>
      <c r="J14" s="31" t="n"/>
    </row>
    <row r="15">
      <c r="A15" s="31" t="inlineStr">
        <is>
          <t>BAJAJHLDNG</t>
        </is>
      </c>
      <c r="B15" s="31" t="inlineStr">
        <is>
          <t>Bajaj Holdings &amp; Investment Limited</t>
        </is>
      </c>
      <c r="C15" s="31" t="inlineStr">
        <is>
          <t>financials</t>
        </is>
      </c>
      <c r="D15" s="31" t="inlineStr">
        <is>
          <t>finance &amp; investments</t>
        </is>
      </c>
      <c r="E15" s="31" t="inlineStr">
        <is>
          <t>largecap</t>
        </is>
      </c>
      <c r="F15" s="31" t="n">
        <v>119907.63</v>
      </c>
      <c r="G15" s="31" t="n">
        <v>11225</v>
      </c>
      <c r="H15" s="31" t="n">
        <v>4.19</v>
      </c>
      <c r="I15" s="31" t="n">
        <v>80420</v>
      </c>
      <c r="J15" s="31" t="inlineStr">
        <is>
          <t>500490</t>
        </is>
      </c>
    </row>
    <row r="16">
      <c r="A16" s="31" t="inlineStr">
        <is>
          <t>BLUSPRING</t>
        </is>
      </c>
      <c r="B16" s="31" t="inlineStr">
        <is>
          <t>Bluspring Enterprises Ltd</t>
        </is>
      </c>
      <c r="C16" s="31" t="inlineStr">
        <is>
          <t>miscellaneous</t>
        </is>
      </c>
      <c r="D16" s="31" t="inlineStr">
        <is>
          <t>diversified - large</t>
        </is>
      </c>
      <c r="E16" s="31" t="inlineStr">
        <is>
          <t>smallcap</t>
        </is>
      </c>
      <c r="F16" s="31" t="n">
        <v>2484.46</v>
      </c>
      <c r="G16" s="31" t="n">
        <v>172.68</v>
      </c>
      <c r="H16" s="31" t="n">
        <v>3.87</v>
      </c>
      <c r="I16" s="31" t="n">
        <v>2958294</v>
      </c>
      <c r="J16" s="31" t="inlineStr">
        <is>
          <t>544414</t>
        </is>
      </c>
    </row>
    <row r="17">
      <c r="A17" s="31" t="inlineStr">
        <is>
          <t>ICICIBANK</t>
        </is>
      </c>
      <c r="B17" s="31" t="inlineStr">
        <is>
          <t>Icici Bank Limited</t>
        </is>
      </c>
      <c r="C17" s="31" t="inlineStr">
        <is>
          <t>bank</t>
        </is>
      </c>
      <c r="D17" s="31" t="inlineStr">
        <is>
          <t>banks - private sector</t>
        </is>
      </c>
      <c r="E17" s="31" t="inlineStr">
        <is>
          <t>largecap</t>
        </is>
      </c>
      <c r="F17" s="31" t="n">
        <v>960260.2</v>
      </c>
      <c r="G17" s="31" t="n">
        <v>1389.4</v>
      </c>
      <c r="H17" s="31" t="n">
        <v>3.8</v>
      </c>
      <c r="I17" s="31" t="n">
        <v>17551899</v>
      </c>
      <c r="J17" s="31" t="inlineStr">
        <is>
          <t>532174</t>
        </is>
      </c>
    </row>
    <row r="18">
      <c r="A18" s="31" t="inlineStr">
        <is>
          <t>SOUTHBANK</t>
        </is>
      </c>
      <c r="B18" s="31" t="inlineStr">
        <is>
          <t>The South Indian Bank Limited</t>
        </is>
      </c>
      <c r="C18" s="31" t="inlineStr">
        <is>
          <t>bank</t>
        </is>
      </c>
      <c r="D18" s="31" t="inlineStr">
        <is>
          <t>banks - private sector</t>
        </is>
      </c>
      <c r="E18" s="31" t="inlineStr">
        <is>
          <t>midcap</t>
        </is>
      </c>
      <c r="F18" s="31" t="n">
        <v>13003.22</v>
      </c>
      <c r="G18" s="31" t="n">
        <v>51.48</v>
      </c>
      <c r="H18" s="31" t="n">
        <v>3.71</v>
      </c>
      <c r="I18" s="31" t="n">
        <v>76826122</v>
      </c>
      <c r="J18" s="31" t="inlineStr">
        <is>
          <t>532218</t>
        </is>
      </c>
    </row>
    <row r="19">
      <c r="A19" s="31" t="inlineStr">
        <is>
          <t>SKYGOLD</t>
        </is>
      </c>
      <c r="B19" s="31" t="inlineStr">
        <is>
          <t>Sky Gold Ltd</t>
        </is>
      </c>
      <c r="C19" s="31" t="inlineStr">
        <is>
          <t>consumer discretionary</t>
        </is>
      </c>
      <c r="D19" s="31" t="inlineStr">
        <is>
          <t>diamond cutting / jewellery</t>
        </is>
      </c>
      <c r="E19" s="31" t="inlineStr">
        <is>
          <t>midcap</t>
        </is>
      </c>
      <c r="F19" s="31" t="n">
        <v>14987.15</v>
      </c>
      <c r="G19" s="31" t="n">
        <v>1001.45</v>
      </c>
      <c r="H19" s="31" t="n">
        <v>3.49</v>
      </c>
      <c r="I19" s="31" t="n">
        <v>3351689</v>
      </c>
      <c r="J19" s="31" t="inlineStr">
        <is>
          <t>541967</t>
        </is>
      </c>
    </row>
    <row r="20">
      <c r="A20" s="31" t="inlineStr">
        <is>
          <t>ORIENTHOT</t>
        </is>
      </c>
      <c r="B20" s="31" t="inlineStr">
        <is>
          <t>Oriental Hotels Limited</t>
        </is>
      </c>
      <c r="C20" s="31" t="inlineStr">
        <is>
          <t>services</t>
        </is>
      </c>
      <c r="D20" s="31" t="inlineStr">
        <is>
          <t>hotels</t>
        </is>
      </c>
      <c r="E20" s="31" t="inlineStr">
        <is>
          <t>smallcap</t>
        </is>
      </c>
      <c r="F20" s="31" t="n">
        <v>2526.29</v>
      </c>
      <c r="G20" s="31" t="n">
        <v>145.58</v>
      </c>
      <c r="H20" s="31" t="n">
        <v>2.92</v>
      </c>
      <c r="I20" s="31" t="n">
        <v>2188070</v>
      </c>
      <c r="J20" s="31" t="inlineStr">
        <is>
          <t>500314</t>
        </is>
      </c>
    </row>
    <row r="21">
      <c r="A21" s="31" t="inlineStr">
        <is>
          <t>HINDCOMPOS</t>
        </is>
      </c>
      <c r="B21" s="31" t="inlineStr">
        <is>
          <t>Hindustan Composites Limited</t>
        </is>
      </c>
      <c r="C21" s="31" t="inlineStr">
        <is>
          <t>miscellaneous</t>
        </is>
      </c>
      <c r="D21" s="31" t="inlineStr">
        <is>
          <t>diversified - medium / small</t>
        </is>
      </c>
      <c r="E21" s="31" t="inlineStr">
        <is>
          <t>smallcap</t>
        </is>
      </c>
      <c r="F21" s="31" t="n">
        <v>687.9400000000001</v>
      </c>
      <c r="G21" s="31" t="n">
        <v>478.2</v>
      </c>
      <c r="H21" s="31" t="n">
        <v>2.66</v>
      </c>
      <c r="I21" s="31" t="n">
        <v>147660</v>
      </c>
      <c r="J21" s="31" t="inlineStr">
        <is>
          <t>509635</t>
        </is>
      </c>
    </row>
    <row r="22">
      <c r="A22" s="31" t="inlineStr">
        <is>
          <t>KRISHANA</t>
        </is>
      </c>
      <c r="B22" s="31" t="inlineStr">
        <is>
          <t>Krishana Phoschem Ltd</t>
        </is>
      </c>
      <c r="C22" s="31" t="inlineStr">
        <is>
          <t>chemicals</t>
        </is>
      </c>
      <c r="D22" s="31" t="inlineStr">
        <is>
          <t>fertilizers</t>
        </is>
      </c>
      <c r="E22" s="31" t="inlineStr">
        <is>
          <t>smallcap</t>
        </is>
      </c>
      <c r="F22" s="31" t="n">
        <v>1276.55</v>
      </c>
      <c r="G22" s="31" t="n">
        <v>211.95</v>
      </c>
      <c r="H22" s="31" t="n">
        <v>2.65</v>
      </c>
      <c r="I22" s="31" t="n">
        <v>1814905</v>
      </c>
      <c r="J22" s="31" t="inlineStr">
        <is>
          <t>538405</t>
        </is>
      </c>
    </row>
    <row r="23">
      <c r="A23" s="31" t="inlineStr">
        <is>
          <t>PRINCEPIPE</t>
        </is>
      </c>
      <c r="B23" s="31" t="inlineStr">
        <is>
          <t>Prince Pipes &amp; Fittings Ltd</t>
        </is>
      </c>
      <c r="C23" s="31" t="inlineStr">
        <is>
          <t>plastic products</t>
        </is>
      </c>
      <c r="D23" s="31" t="inlineStr">
        <is>
          <t>plastics products</t>
        </is>
      </c>
      <c r="E23" s="31" t="inlineStr">
        <is>
          <t>smallcap</t>
        </is>
      </c>
      <c r="F23" s="31" t="n">
        <v>2980.73</v>
      </c>
      <c r="G23" s="31" t="n">
        <v>276.55</v>
      </c>
      <c r="H23" s="31" t="n">
        <v>2.58</v>
      </c>
      <c r="I23" s="31" t="n">
        <v>321831</v>
      </c>
      <c r="J23" s="31" t="inlineStr">
        <is>
          <t>542907</t>
        </is>
      </c>
    </row>
    <row r="24">
      <c r="A24" s="31" t="inlineStr">
        <is>
          <t>KILITCH</t>
        </is>
      </c>
      <c r="B24" s="31" t="inlineStr">
        <is>
          <t>Kilitch Drugs (india) Limited</t>
        </is>
      </c>
      <c r="C24" s="31" t="inlineStr">
        <is>
          <t>healthcare</t>
        </is>
      </c>
      <c r="D24" s="31" t="inlineStr">
        <is>
          <t>pharmaceuticals - indian - formulations</t>
        </is>
      </c>
      <c r="E24" s="31" t="inlineStr">
        <is>
          <t>smallcap</t>
        </is>
      </c>
      <c r="F24" s="31" t="n">
        <v>805.41</v>
      </c>
      <c r="G24" s="31" t="n">
        <v>236.2</v>
      </c>
      <c r="H24" s="31" t="n">
        <v>2.53</v>
      </c>
      <c r="I24" s="31" t="n">
        <v>68673</v>
      </c>
      <c r="J24" s="31" t="inlineStr">
        <is>
          <t>524500</t>
        </is>
      </c>
    </row>
    <row r="25">
      <c r="A25" s="31" t="inlineStr">
        <is>
          <t>VHLTD</t>
        </is>
      </c>
      <c r="B25" s="31" t="inlineStr">
        <is>
          <t>Viceroy Hotels Ltd</t>
        </is>
      </c>
      <c r="C25" s="31" t="inlineStr">
        <is>
          <t>services</t>
        </is>
      </c>
      <c r="D25" s="31" t="inlineStr">
        <is>
          <t>hotels</t>
        </is>
      </c>
      <c r="E25" s="31" t="inlineStr">
        <is>
          <t>smallcap</t>
        </is>
      </c>
      <c r="F25" s="31" t="n">
        <v>1168.7</v>
      </c>
      <c r="G25" s="31" t="n">
        <v>155.93</v>
      </c>
      <c r="H25" s="31" t="n">
        <v>2.44</v>
      </c>
      <c r="I25" s="31" t="n">
        <v>35311</v>
      </c>
      <c r="J25" s="31" t="inlineStr">
        <is>
          <t>523796</t>
        </is>
      </c>
    </row>
    <row r="26">
      <c r="A26" s="31" t="inlineStr">
        <is>
          <t>TCPLPACK</t>
        </is>
      </c>
      <c r="B26" s="31" t="inlineStr">
        <is>
          <t>TCPL Packaging Ltd</t>
        </is>
      </c>
      <c r="C26" s="31" t="inlineStr">
        <is>
          <t>industrials</t>
        </is>
      </c>
      <c r="D26" s="31" t="inlineStr">
        <is>
          <t>packaging</t>
        </is>
      </c>
      <c r="E26" s="31" t="inlineStr">
        <is>
          <t>smallcap</t>
        </is>
      </c>
      <c r="F26" s="31" t="n">
        <v>3985.8</v>
      </c>
      <c r="G26" s="31" t="n">
        <v>4485</v>
      </c>
      <c r="H26" s="31" t="n">
        <v>2.4</v>
      </c>
      <c r="I26" s="31" t="n">
        <v>22202</v>
      </c>
      <c r="J26" s="31" t="inlineStr">
        <is>
          <t>523301</t>
        </is>
      </c>
    </row>
    <row r="27">
      <c r="A27" s="31" t="inlineStr">
        <is>
          <t>ANGELONE</t>
        </is>
      </c>
      <c r="B27" s="31" t="inlineStr">
        <is>
          <t>Angel One Ltd</t>
        </is>
      </c>
      <c r="C27" s="31" t="inlineStr">
        <is>
          <t>financials</t>
        </is>
      </c>
      <c r="D27" s="31" t="inlineStr">
        <is>
          <t>finance &amp; investments</t>
        </is>
      </c>
      <c r="E27" s="31" t="inlineStr">
        <is>
          <t>largecap</t>
        </is>
      </c>
      <c r="F27" s="31" t="n">
        <v>27958.25</v>
      </c>
      <c r="G27" s="31" t="n">
        <v>313</v>
      </c>
      <c r="H27" s="31" t="n">
        <v>2.27</v>
      </c>
      <c r="I27" s="31" t="n">
        <v>11641856</v>
      </c>
      <c r="J27" s="31" t="n"/>
    </row>
    <row r="28">
      <c r="A28" s="31" t="inlineStr">
        <is>
          <t>KOTAKBANK</t>
        </is>
      </c>
      <c r="B28" s="31" t="inlineStr">
        <is>
          <t>Kotak Mahindra Bank Limited</t>
        </is>
      </c>
      <c r="C28" s="31" t="inlineStr">
        <is>
          <t>bank</t>
        </is>
      </c>
      <c r="D28" s="31" t="inlineStr">
        <is>
          <t>banks - private sector</t>
        </is>
      </c>
      <c r="E28" s="31" t="inlineStr">
        <is>
          <t>largecap</t>
        </is>
      </c>
      <c r="F28" s="31" t="n">
        <v>435715.59</v>
      </c>
      <c r="G28" s="31" t="n">
        <v>447.95</v>
      </c>
      <c r="H28" s="31" t="n">
        <v>2.26</v>
      </c>
      <c r="I28" s="31" t="n">
        <v>32710771</v>
      </c>
      <c r="J28" s="31" t="inlineStr">
        <is>
          <t>500247</t>
        </is>
      </c>
    </row>
    <row r="29">
      <c r="A29" s="31" t="inlineStr">
        <is>
          <t>MOTILALOFS</t>
        </is>
      </c>
      <c r="B29" s="31" t="inlineStr">
        <is>
          <t>Motilal Oswal Financial Services Limited</t>
        </is>
      </c>
      <c r="C29" s="31" t="inlineStr">
        <is>
          <t>financials</t>
        </is>
      </c>
      <c r="D29" s="31" t="inlineStr">
        <is>
          <t>finance &amp; investments</t>
        </is>
      </c>
      <c r="E29" s="31" t="inlineStr">
        <is>
          <t>largecap</t>
        </is>
      </c>
      <c r="F29" s="31" t="n">
        <v>62593.15</v>
      </c>
      <c r="G29" s="31" t="n">
        <v>1062.95</v>
      </c>
      <c r="H29" s="31" t="n">
        <v>2.26</v>
      </c>
      <c r="I29" s="31" t="n">
        <v>855706</v>
      </c>
      <c r="J29" s="31" t="inlineStr">
        <is>
          <t>532892</t>
        </is>
      </c>
    </row>
    <row r="30">
      <c r="A30" s="31" t="inlineStr">
        <is>
          <t>INDHOTEL</t>
        </is>
      </c>
      <c r="B30" s="31" t="inlineStr">
        <is>
          <t>The Indian Hotels Company Limited</t>
        </is>
      </c>
      <c r="C30" s="31" t="inlineStr">
        <is>
          <t>services</t>
        </is>
      </c>
      <c r="D30" s="31" t="inlineStr">
        <is>
          <t>hotels</t>
        </is>
      </c>
      <c r="E30" s="31" t="inlineStr">
        <is>
          <t>largecap</t>
        </is>
      </c>
      <c r="F30" s="31" t="n">
        <v>103255.77</v>
      </c>
      <c r="G30" s="31" t="n">
        <v>741.45</v>
      </c>
      <c r="H30" s="31" t="n">
        <v>2.21</v>
      </c>
      <c r="I30" s="31" t="n">
        <v>5011978</v>
      </c>
      <c r="J30" s="31" t="inlineStr">
        <is>
          <t>500850</t>
        </is>
      </c>
    </row>
    <row r="31">
      <c r="A31" s="31" t="inlineStr">
        <is>
          <t>VALIANTORG</t>
        </is>
      </c>
      <c r="B31" s="31" t="inlineStr">
        <is>
          <t>Valiant Organics Ltd</t>
        </is>
      </c>
      <c r="C31" s="31" t="inlineStr">
        <is>
          <t>chemicals</t>
        </is>
      </c>
      <c r="D31" s="31" t="inlineStr">
        <is>
          <t>chemicals</t>
        </is>
      </c>
      <c r="E31" s="31" t="inlineStr">
        <is>
          <t>smallcap</t>
        </is>
      </c>
      <c r="F31" s="31" t="n">
        <v>1284.55</v>
      </c>
      <c r="G31" s="31" t="n">
        <v>468.3</v>
      </c>
      <c r="H31" s="31" t="n">
        <v>2.2</v>
      </c>
      <c r="I31" s="31" t="n">
        <v>167701</v>
      </c>
      <c r="J31" s="31" t="inlineStr">
        <is>
          <t>540145</t>
        </is>
      </c>
    </row>
    <row r="32">
      <c r="A32" s="31" t="inlineStr">
        <is>
          <t>RAJRILTD</t>
        </is>
      </c>
      <c r="B32" s="31" t="inlineStr">
        <is>
          <t>Raj Rayon Industries Ltd</t>
        </is>
      </c>
      <c r="C32" s="31" t="inlineStr">
        <is>
          <t>textiles</t>
        </is>
      </c>
      <c r="D32" s="31" t="inlineStr">
        <is>
          <t>textiles - manmade</t>
        </is>
      </c>
      <c r="E32" s="31" t="inlineStr">
        <is>
          <t>smallcap</t>
        </is>
      </c>
      <c r="F32" s="31" t="n">
        <v>1251.74</v>
      </c>
      <c r="G32" s="31" t="n">
        <v>22.96</v>
      </c>
      <c r="H32" s="31" t="n">
        <v>2</v>
      </c>
      <c r="I32" s="31" t="n">
        <v>9593</v>
      </c>
      <c r="J32" s="31" t="inlineStr">
        <is>
          <t>530699</t>
        </is>
      </c>
    </row>
    <row r="33">
      <c r="A33" s="31" t="inlineStr">
        <is>
          <t>BAFNAPH</t>
        </is>
      </c>
      <c r="B33" s="31" t="inlineStr">
        <is>
          <t>Bafna Pharmaceuticals Ltd</t>
        </is>
      </c>
      <c r="C33" s="31" t="inlineStr">
        <is>
          <t>healthcare</t>
        </is>
      </c>
      <c r="D33" s="31" t="inlineStr">
        <is>
          <t>pharmaceuticals - indian - formulations</t>
        </is>
      </c>
      <c r="E33" s="31" t="inlineStr">
        <is>
          <t>smallcap</t>
        </is>
      </c>
      <c r="F33" s="31" t="n">
        <v>1049.16</v>
      </c>
      <c r="G33" s="31" t="n">
        <v>452.35</v>
      </c>
      <c r="H33" s="31" t="n">
        <v>2</v>
      </c>
      <c r="I33" s="31" t="n">
        <v>811</v>
      </c>
      <c r="J33" s="31" t="inlineStr">
        <is>
          <t>532989</t>
        </is>
      </c>
    </row>
    <row r="34">
      <c r="A34" s="31" t="inlineStr">
        <is>
          <t>NRL</t>
        </is>
      </c>
      <c r="B34" s="31" t="inlineStr">
        <is>
          <t>Nupur Recyclers Ltd</t>
        </is>
      </c>
      <c r="C34" s="31" t="inlineStr">
        <is>
          <t>services</t>
        </is>
      </c>
      <c r="D34" s="31" t="inlineStr">
        <is>
          <t>trading</t>
        </is>
      </c>
      <c r="E34" s="31" t="inlineStr">
        <is>
          <t>smallcap</t>
        </is>
      </c>
      <c r="F34" s="31" t="n">
        <v>1120.99</v>
      </c>
      <c r="G34" s="31" t="n">
        <v>165.54</v>
      </c>
      <c r="H34" s="31" t="n">
        <v>2</v>
      </c>
      <c r="I34" s="31" t="n">
        <v>22351</v>
      </c>
      <c r="J34" s="31" t="inlineStr">
        <is>
          <t>535413</t>
        </is>
      </c>
    </row>
    <row r="35">
      <c r="A35" s="31" t="inlineStr">
        <is>
          <t>PANACHE</t>
        </is>
      </c>
      <c r="B35" s="31" t="inlineStr">
        <is>
          <t>Panache Digilife Ltd</t>
        </is>
      </c>
      <c r="C35" s="31" t="inlineStr">
        <is>
          <t>i.t</t>
        </is>
      </c>
      <c r="D35" s="31" t="inlineStr">
        <is>
          <t>computers - hardware</t>
        </is>
      </c>
      <c r="E35" s="31" t="inlineStr">
        <is>
          <t>smallcap</t>
        </is>
      </c>
      <c r="F35" s="31" t="n">
        <v>1010.48</v>
      </c>
      <c r="G35" s="31" t="n">
        <v>643.6</v>
      </c>
      <c r="H35" s="31" t="n">
        <v>2</v>
      </c>
      <c r="I35" s="31" t="n">
        <v>14289</v>
      </c>
      <c r="J35" s="31" t="inlineStr">
        <is>
          <t>538424</t>
        </is>
      </c>
    </row>
    <row r="36">
      <c r="A36" s="31" t="inlineStr">
        <is>
          <t>UDS</t>
        </is>
      </c>
      <c r="B36" s="31" t="inlineStr">
        <is>
          <t>Updater Services Ltd</t>
        </is>
      </c>
      <c r="C36" s="31" t="inlineStr">
        <is>
          <t>miscellaneous</t>
        </is>
      </c>
      <c r="D36" s="31" t="inlineStr">
        <is>
          <t>miscellaneous</t>
        </is>
      </c>
      <c r="E36" s="31" t="inlineStr">
        <is>
          <t>smallcap</t>
        </is>
      </c>
      <c r="F36" s="31" t="n">
        <v>1442.11</v>
      </c>
      <c r="G36" s="31" t="n">
        <v>219.42</v>
      </c>
      <c r="H36" s="31" t="n">
        <v>1.87</v>
      </c>
      <c r="I36" s="31" t="n">
        <v>464479</v>
      </c>
      <c r="J36" s="31" t="inlineStr">
        <is>
          <t>543996</t>
        </is>
      </c>
    </row>
    <row r="37">
      <c r="A37" s="31" t="inlineStr">
        <is>
          <t>AXISBANK</t>
        </is>
      </c>
      <c r="B37" s="31" t="inlineStr">
        <is>
          <t>Axis Bank Limited</t>
        </is>
      </c>
      <c r="C37" s="31" t="inlineStr">
        <is>
          <t>bank</t>
        </is>
      </c>
      <c r="D37" s="31" t="inlineStr">
        <is>
          <t>banks - private sector</t>
        </is>
      </c>
      <c r="E37" s="31" t="inlineStr">
        <is>
          <t>largecap</t>
        </is>
      </c>
      <c r="F37" s="31" t="n">
        <v>393757.2</v>
      </c>
      <c r="G37" s="31" t="n">
        <v>1288</v>
      </c>
      <c r="H37" s="31" t="n">
        <v>1.85</v>
      </c>
      <c r="I37" s="31" t="n">
        <v>8794655</v>
      </c>
      <c r="J37" s="31" t="inlineStr">
        <is>
          <t>532215</t>
        </is>
      </c>
    </row>
    <row r="38">
      <c r="A38" s="31" t="inlineStr">
        <is>
          <t>ADVANCE</t>
        </is>
      </c>
      <c r="B38" s="31" t="inlineStr">
        <is>
          <t>Advance Agrolife Ltd</t>
        </is>
      </c>
      <c r="C38" s="31" t="inlineStr">
        <is>
          <t>chemicals</t>
        </is>
      </c>
      <c r="D38" s="31" t="inlineStr">
        <is>
          <t>pesticides / agrochemicals - indian</t>
        </is>
      </c>
      <c r="E38" s="31" t="inlineStr">
        <is>
          <t>smallcap</t>
        </is>
      </c>
      <c r="F38" s="31" t="n">
        <v>1000.74</v>
      </c>
      <c r="G38" s="31" t="n">
        <v>158.43</v>
      </c>
      <c r="H38" s="31" t="n">
        <v>1.77</v>
      </c>
      <c r="I38" s="31" t="n">
        <v>5969574</v>
      </c>
      <c r="J38" s="31" t="inlineStr">
        <is>
          <t>544562</t>
        </is>
      </c>
    </row>
    <row r="39">
      <c r="A39" s="31" t="inlineStr">
        <is>
          <t>BALRAMCHIN</t>
        </is>
      </c>
      <c r="B39" s="31" t="inlineStr">
        <is>
          <t>Balrampur Chini Mills Limited</t>
        </is>
      </c>
      <c r="C39" s="31" t="inlineStr">
        <is>
          <t>fmcg</t>
        </is>
      </c>
      <c r="D39" s="31" t="inlineStr">
        <is>
          <t>sugar</t>
        </is>
      </c>
      <c r="E39" s="31" t="inlineStr">
        <is>
          <t>midcap</t>
        </is>
      </c>
      <c r="F39" s="31" t="n">
        <v>15104.89</v>
      </c>
      <c r="G39" s="31" t="n">
        <v>726</v>
      </c>
      <c r="H39" s="31" t="n">
        <v>1.7</v>
      </c>
      <c r="I39" s="31" t="n">
        <v>1071852</v>
      </c>
      <c r="J39" s="31" t="inlineStr">
        <is>
          <t>500038</t>
        </is>
      </c>
    </row>
    <row r="40">
      <c r="A40" s="31" t="inlineStr">
        <is>
          <t>ECLERX</t>
        </is>
      </c>
      <c r="B40" s="31" t="inlineStr">
        <is>
          <t>Eclerx Services Limited</t>
        </is>
      </c>
      <c r="C40" s="31" t="inlineStr">
        <is>
          <t>i.t</t>
        </is>
      </c>
      <c r="D40" s="31" t="inlineStr">
        <is>
          <t>computers - software - medium / small</t>
        </is>
      </c>
      <c r="E40" s="31" t="inlineStr">
        <is>
          <t>midcap</t>
        </is>
      </c>
      <c r="F40" s="31" t="n">
        <v>18505.42</v>
      </c>
      <c r="G40" s="31" t="n">
        <v>1998.2</v>
      </c>
      <c r="H40" s="31" t="n">
        <v>1.56</v>
      </c>
      <c r="I40" s="31" t="n">
        <v>228040</v>
      </c>
      <c r="J40" s="31" t="inlineStr">
        <is>
          <t>532927</t>
        </is>
      </c>
    </row>
    <row r="41">
      <c r="A41" s="31" t="inlineStr">
        <is>
          <t>SVLL</t>
        </is>
      </c>
      <c r="B41" s="31" t="inlineStr">
        <is>
          <t>Shree Vasu Logistics Ltd</t>
        </is>
      </c>
      <c r="C41" s="31" t="inlineStr">
        <is>
          <t>transportation</t>
        </is>
      </c>
      <c r="D41" s="31" t="inlineStr">
        <is>
          <t>miscellaneous</t>
        </is>
      </c>
      <c r="E41" s="31" t="inlineStr">
        <is>
          <t>smallcap</t>
        </is>
      </c>
      <c r="F41" s="31" t="n">
        <v>982.37</v>
      </c>
      <c r="G41" s="31" t="n">
        <v>867.95</v>
      </c>
      <c r="H41" s="31" t="n">
        <v>1.55</v>
      </c>
      <c r="I41" s="31" t="n">
        <v>8193</v>
      </c>
      <c r="J41" s="31" t="inlineStr">
        <is>
          <t>535084</t>
        </is>
      </c>
    </row>
    <row r="42">
      <c r="A42" s="31" t="inlineStr">
        <is>
          <t>AARTIIND</t>
        </is>
      </c>
      <c r="B42" s="31" t="inlineStr">
        <is>
          <t>Aarti Industries Limited</t>
        </is>
      </c>
      <c r="C42" s="31" t="inlineStr">
        <is>
          <t>chemicals</t>
        </is>
      </c>
      <c r="D42" s="31" t="inlineStr">
        <is>
          <t>chemicals</t>
        </is>
      </c>
      <c r="E42" s="31" t="inlineStr">
        <is>
          <t>midcap</t>
        </is>
      </c>
      <c r="F42" s="31" t="n">
        <v>18060.16</v>
      </c>
      <c r="G42" s="31" t="n">
        <v>505.05</v>
      </c>
      <c r="H42" s="31" t="n">
        <v>1.44</v>
      </c>
      <c r="I42" s="31" t="n">
        <v>823566</v>
      </c>
      <c r="J42" s="31" t="inlineStr">
        <is>
          <t>524208</t>
        </is>
      </c>
    </row>
    <row r="43">
      <c r="A43" s="31" t="inlineStr">
        <is>
          <t>SHYAMMETL</t>
        </is>
      </c>
      <c r="B43" s="31" t="inlineStr">
        <is>
          <t>Shyam Metalics &amp; Energy Ltd</t>
        </is>
      </c>
      <c r="C43" s="31" t="inlineStr">
        <is>
          <t>metals &amp; mining</t>
        </is>
      </c>
      <c r="D43" s="31" t="inlineStr">
        <is>
          <t>steel - large</t>
        </is>
      </c>
      <c r="E43" s="31" t="inlineStr">
        <is>
          <t>largecap</t>
        </is>
      </c>
      <c r="F43" s="31" t="n">
        <v>31865.69</v>
      </c>
      <c r="G43" s="31" t="n">
        <v>1157</v>
      </c>
      <c r="H43" s="31" t="n">
        <v>1.35</v>
      </c>
      <c r="I43" s="31" t="n">
        <v>545252</v>
      </c>
      <c r="J43" s="31" t="inlineStr">
        <is>
          <t>543299</t>
        </is>
      </c>
    </row>
    <row r="44">
      <c r="A44" s="31" t="inlineStr">
        <is>
          <t>KARURVYSYA</t>
        </is>
      </c>
      <c r="B44" s="31" t="inlineStr">
        <is>
          <t>Karur Vysya Bank Limited</t>
        </is>
      </c>
      <c r="C44" s="31" t="inlineStr">
        <is>
          <t>bank</t>
        </is>
      </c>
      <c r="D44" s="31" t="inlineStr">
        <is>
          <t>banks - private sector</t>
        </is>
      </c>
      <c r="E44" s="31" t="inlineStr">
        <is>
          <t>largecap</t>
        </is>
      </c>
      <c r="F44" s="31" t="n">
        <v>32987.57</v>
      </c>
      <c r="G44" s="31" t="n">
        <v>345.65</v>
      </c>
      <c r="H44" s="31" t="n">
        <v>1.29</v>
      </c>
      <c r="I44" s="31" t="n">
        <v>5606933</v>
      </c>
      <c r="J44" s="31" t="inlineStr">
        <is>
          <t>590003</t>
        </is>
      </c>
    </row>
    <row r="45">
      <c r="A45" s="31" t="inlineStr">
        <is>
          <t>ELECON</t>
        </is>
      </c>
      <c r="B45" s="31" t="inlineStr">
        <is>
          <t>Elecon Engineering Company Limited</t>
        </is>
      </c>
      <c r="C45" s="31" t="inlineStr">
        <is>
          <t>industrials</t>
        </is>
      </c>
      <c r="D45" s="31" t="inlineStr">
        <is>
          <t>engineering</t>
        </is>
      </c>
      <c r="E45" s="31" t="inlineStr">
        <is>
          <t>midcap</t>
        </is>
      </c>
      <c r="F45" s="31" t="n">
        <v>10926.03</v>
      </c>
      <c r="G45" s="31" t="n">
        <v>493.05</v>
      </c>
      <c r="H45" s="31" t="n">
        <v>1.26</v>
      </c>
      <c r="I45" s="31" t="n">
        <v>5565939</v>
      </c>
      <c r="J45" s="31" t="inlineStr">
        <is>
          <t>505700</t>
        </is>
      </c>
    </row>
    <row r="46">
      <c r="A46" s="31" t="inlineStr">
        <is>
          <t>MBAPL</t>
        </is>
      </c>
      <c r="B46" s="31" t="inlineStr">
        <is>
          <t>Madhya Bharat Agro Products Ltd</t>
        </is>
      </c>
      <c r="C46" s="31" t="inlineStr">
        <is>
          <t>chemicals</t>
        </is>
      </c>
      <c r="D46" s="31" t="inlineStr">
        <is>
          <t>fertilizers</t>
        </is>
      </c>
      <c r="E46" s="31" t="inlineStr">
        <is>
          <t>midcap</t>
        </is>
      </c>
      <c r="F46" s="31" t="n">
        <v>7746.89</v>
      </c>
      <c r="G46" s="31" t="n">
        <v>170.78</v>
      </c>
      <c r="H46" s="31" t="n">
        <v>1.16</v>
      </c>
      <c r="I46" s="31" t="n">
        <v>1135388</v>
      </c>
      <c r="J46" s="31" t="inlineStr">
        <is>
          <t>538370</t>
        </is>
      </c>
    </row>
    <row r="47">
      <c r="A47" s="31" t="inlineStr">
        <is>
          <t>SHREEJISPG</t>
        </is>
      </c>
      <c r="B47" s="31" t="inlineStr">
        <is>
          <t>Shreeji Shipping Global Ltd</t>
        </is>
      </c>
      <c r="C47" s="31" t="inlineStr">
        <is>
          <t>transportation</t>
        </is>
      </c>
      <c r="D47" s="31" t="inlineStr">
        <is>
          <t>shipping</t>
        </is>
      </c>
      <c r="E47" s="31" t="inlineStr">
        <is>
          <t>midcap</t>
        </is>
      </c>
      <c r="F47" s="31" t="n">
        <v>13464.38</v>
      </c>
      <c r="G47" s="31" t="n">
        <v>835.15</v>
      </c>
      <c r="H47" s="31" t="n">
        <v>1.05</v>
      </c>
      <c r="I47" s="31" t="n">
        <v>907165</v>
      </c>
      <c r="J47" s="31" t="inlineStr">
        <is>
          <t>544490</t>
        </is>
      </c>
    </row>
    <row r="48">
      <c r="A48" s="31" t="inlineStr">
        <is>
          <t>AVTNPL</t>
        </is>
      </c>
      <c r="B48" s="31" t="inlineStr">
        <is>
          <t>Avt Natural Products Limited</t>
        </is>
      </c>
      <c r="C48" s="31" t="inlineStr">
        <is>
          <t>fmcg</t>
        </is>
      </c>
      <c r="D48" s="31" t="inlineStr">
        <is>
          <t>solvent extraction</t>
        </is>
      </c>
      <c r="E48" s="31" t="inlineStr">
        <is>
          <t>smallcap</t>
        </is>
      </c>
      <c r="F48" s="31" t="n">
        <v>1505.18</v>
      </c>
      <c r="G48" s="31" t="n">
        <v>99.75</v>
      </c>
      <c r="H48" s="31" t="n">
        <v>0.92</v>
      </c>
      <c r="I48" s="31" t="n">
        <v>1690824</v>
      </c>
      <c r="J48" s="31" t="inlineStr">
        <is>
          <t>519105</t>
        </is>
      </c>
    </row>
    <row r="49">
      <c r="A49" s="31" t="inlineStr">
        <is>
          <t>TEXINFRA</t>
        </is>
      </c>
      <c r="B49" s="31" t="inlineStr">
        <is>
          <t>Texmaco Infrastructure &amp; Holdings Limited</t>
        </is>
      </c>
      <c r="C49" s="31" t="inlineStr">
        <is>
          <t>realty</t>
        </is>
      </c>
      <c r="D49" s="31" t="inlineStr">
        <is>
          <t>construction</t>
        </is>
      </c>
      <c r="E49" s="31" t="inlineStr">
        <is>
          <t>smallcap</t>
        </is>
      </c>
      <c r="F49" s="31" t="n">
        <v>1565.69</v>
      </c>
      <c r="G49" s="31" t="n">
        <v>123.98</v>
      </c>
      <c r="H49" s="31" t="n">
        <v>0.9</v>
      </c>
      <c r="I49" s="31" t="n">
        <v>545425</v>
      </c>
      <c r="J49" s="31" t="inlineStr">
        <is>
          <t>505400</t>
        </is>
      </c>
    </row>
    <row r="50">
      <c r="A50" s="31" t="inlineStr">
        <is>
          <t>THELEELA</t>
        </is>
      </c>
      <c r="B50" s="31" t="inlineStr">
        <is>
          <t>Leela Palaces Hotels &amp; Resorts Ltd</t>
        </is>
      </c>
      <c r="C50" s="31" t="inlineStr">
        <is>
          <t>services</t>
        </is>
      </c>
      <c r="D50" s="31" t="inlineStr">
        <is>
          <t>hotels</t>
        </is>
      </c>
      <c r="E50" s="31" t="inlineStr">
        <is>
          <t>midcap</t>
        </is>
      </c>
      <c r="F50" s="31" t="n">
        <v>19746.93</v>
      </c>
      <c r="G50" s="31" t="n">
        <v>596.5</v>
      </c>
      <c r="H50" s="31" t="n">
        <v>0.88</v>
      </c>
      <c r="I50" s="31" t="n">
        <v>3557411</v>
      </c>
      <c r="J50" s="31" t="inlineStr">
        <is>
          <t>544408</t>
        </is>
      </c>
    </row>
    <row r="51">
      <c r="A51" s="31" t="inlineStr">
        <is>
          <t>GABRIEL</t>
        </is>
      </c>
      <c r="B51" s="31" t="inlineStr">
        <is>
          <t>Gabriel India Limited</t>
        </is>
      </c>
      <c r="C51" s="31" t="inlineStr">
        <is>
          <t>auto</t>
        </is>
      </c>
      <c r="D51" s="31" t="inlineStr">
        <is>
          <t>auto ancillaries</t>
        </is>
      </c>
      <c r="E51" s="31" t="inlineStr">
        <is>
          <t>largecap</t>
        </is>
      </c>
      <c r="F51" s="31" t="n">
        <v>27217.81</v>
      </c>
      <c r="G51" s="31" t="n">
        <v>1432.3</v>
      </c>
      <c r="H51" s="31" t="n">
        <v>0.84</v>
      </c>
      <c r="I51" s="31" t="n">
        <v>157386</v>
      </c>
      <c r="J51" s="31" t="inlineStr">
        <is>
          <t>505714</t>
        </is>
      </c>
    </row>
    <row r="52">
      <c r="A52" s="31" t="inlineStr">
        <is>
          <t>63MOONS</t>
        </is>
      </c>
      <c r="B52" s="31" t="inlineStr">
        <is>
          <t>63 Moons Technologies Ltd</t>
        </is>
      </c>
      <c r="C52" s="31" t="inlineStr">
        <is>
          <t>i.t</t>
        </is>
      </c>
      <c r="D52" s="31" t="inlineStr">
        <is>
          <t>computers - software - medium / small</t>
        </is>
      </c>
      <c r="E52" s="31" t="inlineStr">
        <is>
          <t>smallcap</t>
        </is>
      </c>
      <c r="F52" s="31" t="n">
        <v>4208.81</v>
      </c>
      <c r="G52" s="31" t="n">
        <v>920.85</v>
      </c>
      <c r="H52" s="31" t="n">
        <v>0.82</v>
      </c>
      <c r="I52" s="31" t="n">
        <v>1013289</v>
      </c>
      <c r="J52" s="31" t="inlineStr">
        <is>
          <t>526881</t>
        </is>
      </c>
    </row>
    <row r="53">
      <c r="A53" s="31" t="inlineStr">
        <is>
          <t>SHANTIGOLD</t>
        </is>
      </c>
      <c r="B53" s="31" t="inlineStr">
        <is>
          <t>Shanti Gold International Ltd</t>
        </is>
      </c>
      <c r="C53" s="31" t="inlineStr">
        <is>
          <t>consumer discretionary</t>
        </is>
      </c>
      <c r="D53" s="31" t="inlineStr">
        <is>
          <t>diamond cutting / jewellery</t>
        </is>
      </c>
      <c r="E53" s="31" t="inlineStr">
        <is>
          <t>smallcap</t>
        </is>
      </c>
      <c r="F53" s="31" t="n">
        <v>2976.72</v>
      </c>
      <c r="G53" s="31" t="n">
        <v>390.95</v>
      </c>
      <c r="H53" s="31" t="n">
        <v>0.79</v>
      </c>
      <c r="I53" s="31" t="n">
        <v>1712040</v>
      </c>
      <c r="J53" s="31" t="inlineStr">
        <is>
          <t>544459</t>
        </is>
      </c>
    </row>
    <row r="54">
      <c r="A54" s="31" t="inlineStr">
        <is>
          <t>PETRONET</t>
        </is>
      </c>
      <c r="B54" s="31" t="inlineStr">
        <is>
          <t>Petronet Lng Limited</t>
        </is>
      </c>
      <c r="C54" s="31" t="inlineStr">
        <is>
          <t>energy</t>
        </is>
      </c>
      <c r="D54" s="31" t="inlineStr">
        <is>
          <t>miscellaneous</t>
        </is>
      </c>
      <c r="E54" s="31" t="inlineStr">
        <is>
          <t>largecap</t>
        </is>
      </c>
      <c r="F54" s="31" t="n">
        <v>43942.5</v>
      </c>
      <c r="G54" s="31" t="n">
        <v>295.2</v>
      </c>
      <c r="H54" s="31" t="n">
        <v>0.77</v>
      </c>
      <c r="I54" s="31" t="n">
        <v>1839630</v>
      </c>
      <c r="J54" s="31" t="inlineStr">
        <is>
          <t>532522</t>
        </is>
      </c>
    </row>
    <row r="55">
      <c r="A55" s="31" t="inlineStr">
        <is>
          <t>MPHASIS</t>
        </is>
      </c>
      <c r="B55" s="31" t="inlineStr">
        <is>
          <t>Mphasis Limited</t>
        </is>
      </c>
      <c r="C55" s="31" t="inlineStr">
        <is>
          <t>i.t</t>
        </is>
      </c>
      <c r="D55" s="31" t="inlineStr">
        <is>
          <t>computers - software - large</t>
        </is>
      </c>
      <c r="E55" s="31" t="inlineStr">
        <is>
          <t>largecap</t>
        </is>
      </c>
      <c r="F55" s="31" t="n">
        <v>46502.06</v>
      </c>
      <c r="G55" s="31" t="n">
        <v>2453.2</v>
      </c>
      <c r="H55" s="31" t="n">
        <v>0.74</v>
      </c>
      <c r="I55" s="31" t="n">
        <v>683418</v>
      </c>
      <c r="J55" s="31" t="inlineStr">
        <is>
          <t>526299</t>
        </is>
      </c>
    </row>
    <row r="56">
      <c r="A56" s="31" t="inlineStr">
        <is>
          <t>NINSYS</t>
        </is>
      </c>
      <c r="B56" s="31" t="inlineStr">
        <is>
          <t>NINtec Systems Ltd</t>
        </is>
      </c>
      <c r="C56" s="31" t="inlineStr">
        <is>
          <t>i.t</t>
        </is>
      </c>
      <c r="D56" s="31" t="inlineStr">
        <is>
          <t>computers - software - medium / small</t>
        </is>
      </c>
      <c r="E56" s="31" t="inlineStr">
        <is>
          <t>smallcap</t>
        </is>
      </c>
      <c r="F56" s="31" t="n">
        <v>1523.88</v>
      </c>
      <c r="G56" s="31" t="n">
        <v>826.3</v>
      </c>
      <c r="H56" s="31" t="n">
        <v>0.73</v>
      </c>
      <c r="I56" s="31" t="n">
        <v>5867</v>
      </c>
      <c r="J56" s="31" t="inlineStr">
        <is>
          <t>539843</t>
        </is>
      </c>
    </row>
    <row r="57">
      <c r="A57" s="31" t="inlineStr">
        <is>
          <t>LOTUSDEV</t>
        </is>
      </c>
      <c r="B57" s="31" t="inlineStr">
        <is>
          <t>Sri Lotus Developers &amp; Realty Ltd</t>
        </is>
      </c>
      <c r="C57" s="31" t="inlineStr">
        <is>
          <t>realty</t>
        </is>
      </c>
      <c r="D57" s="31" t="inlineStr">
        <is>
          <t>construction</t>
        </is>
      </c>
      <c r="E57" s="31" t="inlineStr">
        <is>
          <t>midcap</t>
        </is>
      </c>
      <c r="F57" s="31" t="n">
        <v>11652.15</v>
      </c>
      <c r="G57" s="31" t="n">
        <v>240.14</v>
      </c>
      <c r="H57" s="31" t="n">
        <v>0.72</v>
      </c>
      <c r="I57" s="31" t="n">
        <v>649446</v>
      </c>
      <c r="J57" s="31" t="inlineStr">
        <is>
          <t>544469</t>
        </is>
      </c>
    </row>
    <row r="58">
      <c r="A58" s="31" t="inlineStr">
        <is>
          <t>JINDALSAW</t>
        </is>
      </c>
      <c r="B58" s="31" t="inlineStr">
        <is>
          <t>Jindal Saw Limited</t>
        </is>
      </c>
      <c r="C58" s="31" t="inlineStr">
        <is>
          <t>industrials</t>
        </is>
      </c>
      <c r="D58" s="31" t="inlineStr">
        <is>
          <t>steel - large</t>
        </is>
      </c>
      <c r="E58" s="31" t="inlineStr">
        <is>
          <t>midcap</t>
        </is>
      </c>
      <c r="F58" s="31" t="n">
        <v>18999.79</v>
      </c>
      <c r="G58" s="31" t="n">
        <v>299.2</v>
      </c>
      <c r="H58" s="31" t="n">
        <v>0.71</v>
      </c>
      <c r="I58" s="31" t="n">
        <v>2613658</v>
      </c>
      <c r="J58" s="31" t="inlineStr">
        <is>
          <t>500378</t>
        </is>
      </c>
    </row>
    <row r="59">
      <c r="A59" s="31" t="inlineStr">
        <is>
          <t>ARIHANTCAP</t>
        </is>
      </c>
      <c r="B59" s="31" t="inlineStr">
        <is>
          <t>Arihant Capital Markets Ltd</t>
        </is>
      </c>
      <c r="C59" s="31" t="inlineStr">
        <is>
          <t>financials</t>
        </is>
      </c>
      <c r="D59" s="31" t="inlineStr">
        <is>
          <t>finance &amp; investments</t>
        </is>
      </c>
      <c r="E59" s="31" t="inlineStr">
        <is>
          <t>smallcap</t>
        </is>
      </c>
      <c r="F59" s="31" t="n">
        <v>1080.89</v>
      </c>
      <c r="G59" s="31" t="n">
        <v>99.31</v>
      </c>
      <c r="H59" s="31" t="n">
        <v>0.71</v>
      </c>
      <c r="I59" s="31" t="n">
        <v>1008102</v>
      </c>
      <c r="J59" s="31" t="inlineStr">
        <is>
          <t>511605</t>
        </is>
      </c>
    </row>
    <row r="60">
      <c r="A60" s="31" t="inlineStr">
        <is>
          <t>SGFIN</t>
        </is>
      </c>
      <c r="B60" s="31" t="inlineStr">
        <is>
          <t>SG Finserve Ltd</t>
        </is>
      </c>
      <c r="C60" s="31" t="inlineStr">
        <is>
          <t>financials</t>
        </is>
      </c>
      <c r="D60" s="31" t="inlineStr">
        <is>
          <t>finance &amp; investments</t>
        </is>
      </c>
      <c r="E60" s="31" t="inlineStr">
        <is>
          <t>smallcap</t>
        </is>
      </c>
      <c r="F60" s="31" t="n">
        <v>4543.13</v>
      </c>
      <c r="G60" s="31" t="n">
        <v>694.25</v>
      </c>
      <c r="H60" s="31" t="n">
        <v>0.7</v>
      </c>
      <c r="I60" s="31" t="n">
        <v>322382</v>
      </c>
      <c r="J60" s="31" t="inlineStr">
        <is>
          <t>539199</t>
        </is>
      </c>
    </row>
    <row r="61">
      <c r="A61" s="31" t="inlineStr">
        <is>
          <t>IGPL</t>
        </is>
      </c>
      <c r="B61" s="31" t="inlineStr">
        <is>
          <t>Ig Petrochemicals Limited</t>
        </is>
      </c>
      <c r="C61" s="31" t="inlineStr">
        <is>
          <t>chemicals</t>
        </is>
      </c>
      <c r="D61" s="31" t="inlineStr">
        <is>
          <t>chemicals</t>
        </is>
      </c>
      <c r="E61" s="31" t="inlineStr">
        <is>
          <t>smallcap</t>
        </is>
      </c>
      <c r="F61" s="31" t="n">
        <v>1774.09</v>
      </c>
      <c r="G61" s="31" t="n">
        <v>578.85</v>
      </c>
      <c r="H61" s="31" t="n">
        <v>0.48</v>
      </c>
      <c r="I61" s="31" t="n">
        <v>66111</v>
      </c>
      <c r="J61" s="31" t="inlineStr">
        <is>
          <t>500199</t>
        </is>
      </c>
    </row>
    <row r="62">
      <c r="A62" s="31" t="inlineStr">
        <is>
          <t>GLAND</t>
        </is>
      </c>
      <c r="B62" s="31" t="inlineStr">
        <is>
          <t>Gland Pharma Ltd</t>
        </is>
      </c>
      <c r="C62" s="31" t="inlineStr">
        <is>
          <t>healthcare</t>
        </is>
      </c>
      <c r="D62" s="31" t="inlineStr">
        <is>
          <t>pharmaceuticals - indian - formulations</t>
        </is>
      </c>
      <c r="E62" s="31" t="inlineStr">
        <is>
          <t>largecap</t>
        </is>
      </c>
      <c r="F62" s="31" t="n">
        <v>50350.64</v>
      </c>
      <c r="G62" s="31" t="n">
        <v>3066.3</v>
      </c>
      <c r="H62" s="31" t="n">
        <v>0.46</v>
      </c>
      <c r="I62" s="31" t="n">
        <v>156231</v>
      </c>
      <c r="J62" s="31" t="inlineStr">
        <is>
          <t>543245</t>
        </is>
      </c>
    </row>
    <row r="63">
      <c r="A63" s="31" t="inlineStr">
        <is>
          <t>YUKEN</t>
        </is>
      </c>
      <c r="B63" s="31" t="inlineStr">
        <is>
          <t>Yuken India Ltd</t>
        </is>
      </c>
      <c r="C63" s="31" t="inlineStr">
        <is>
          <t>industrials</t>
        </is>
      </c>
      <c r="D63" s="31" t="inlineStr">
        <is>
          <t>engineering</t>
        </is>
      </c>
      <c r="E63" s="31" t="inlineStr">
        <is>
          <t>smallcap</t>
        </is>
      </c>
      <c r="F63" s="31" t="n">
        <v>1539.61</v>
      </c>
      <c r="G63" s="31" t="n">
        <v>1138.5</v>
      </c>
      <c r="H63" s="31" t="n">
        <v>0.45</v>
      </c>
      <c r="I63" s="31" t="n">
        <v>10934</v>
      </c>
      <c r="J63" s="31" t="inlineStr">
        <is>
          <t>522108</t>
        </is>
      </c>
    </row>
    <row r="64">
      <c r="A64" s="31" t="inlineStr">
        <is>
          <t>MANBA</t>
        </is>
      </c>
      <c r="B64" s="31" t="inlineStr">
        <is>
          <t>Manba Finance Ltd</t>
        </is>
      </c>
      <c r="C64" s="31" t="inlineStr">
        <is>
          <t>financials</t>
        </is>
      </c>
      <c r="D64" s="31" t="inlineStr">
        <is>
          <t>finance &amp; investments</t>
        </is>
      </c>
      <c r="E64" s="31" t="inlineStr">
        <is>
          <t>smallcap</t>
        </is>
      </c>
      <c r="F64" s="31" t="n">
        <v>703.65</v>
      </c>
      <c r="G64" s="31" t="n">
        <v>140.64</v>
      </c>
      <c r="H64" s="31" t="n">
        <v>0.41</v>
      </c>
      <c r="I64" s="31" t="n">
        <v>79613</v>
      </c>
      <c r="J64" s="31" t="inlineStr">
        <is>
          <t>544262</t>
        </is>
      </c>
    </row>
    <row r="65">
      <c r="A65" s="31" t="inlineStr">
        <is>
          <t>NAZARA</t>
        </is>
      </c>
      <c r="B65" s="31" t="inlineStr">
        <is>
          <t>Nazara Technologies Ltd</t>
        </is>
      </c>
      <c r="C65" s="31" t="inlineStr">
        <is>
          <t>i.t</t>
        </is>
      </c>
      <c r="D65" s="31" t="inlineStr">
        <is>
          <t>telecommunications - service provider</t>
        </is>
      </c>
      <c r="E65" s="31" t="inlineStr">
        <is>
          <t>midcap</t>
        </is>
      </c>
      <c r="F65" s="31" t="n">
        <v>15587.88</v>
      </c>
      <c r="G65" s="31" t="n">
        <v>406.7</v>
      </c>
      <c r="H65" s="31" t="n">
        <v>0.37</v>
      </c>
      <c r="I65" s="31" t="n">
        <v>1224190</v>
      </c>
      <c r="J65" s="31" t="inlineStr">
        <is>
          <t>543280</t>
        </is>
      </c>
    </row>
    <row r="66">
      <c r="A66" s="31" t="inlineStr">
        <is>
          <t>COFORGE</t>
        </is>
      </c>
      <c r="B66" s="31" t="inlineStr">
        <is>
          <t>Coforge (Niit Tech) Ltd</t>
        </is>
      </c>
      <c r="C66" s="31" t="inlineStr">
        <is>
          <t>i.t</t>
        </is>
      </c>
      <c r="D66" s="31" t="inlineStr">
        <is>
          <t>computers - software - large</t>
        </is>
      </c>
      <c r="E66" s="31" t="inlineStr">
        <is>
          <t>largecap</t>
        </is>
      </c>
      <c r="F66" s="31" t="n">
        <v>85350.78999999999</v>
      </c>
      <c r="G66" s="31" t="n">
        <v>1934.3</v>
      </c>
      <c r="H66" s="31" t="n">
        <v>0.33</v>
      </c>
      <c r="I66" s="31" t="n">
        <v>2618693</v>
      </c>
      <c r="J66" s="31" t="inlineStr">
        <is>
          <t>532541</t>
        </is>
      </c>
    </row>
    <row r="67">
      <c r="A67" s="31" t="inlineStr">
        <is>
          <t>PTCIL</t>
        </is>
      </c>
      <c r="B67" s="31" t="inlineStr">
        <is>
          <t>PTC Industries Ltd</t>
        </is>
      </c>
      <c r="C67" s="31" t="inlineStr">
        <is>
          <t>castings, forgings &amp; fasteners</t>
        </is>
      </c>
      <c r="D67" s="31" t="inlineStr">
        <is>
          <t>castings &amp; forgings</t>
        </is>
      </c>
      <c r="E67" s="31" t="inlineStr">
        <is>
          <t>largecap</t>
        </is>
      </c>
      <c r="F67" s="31" t="n">
        <v>37443.89</v>
      </c>
      <c r="G67" s="31" t="n">
        <v>25045</v>
      </c>
      <c r="H67" s="31" t="n">
        <v>0.28</v>
      </c>
      <c r="I67" s="31" t="n">
        <v>24203</v>
      </c>
      <c r="J67" s="31" t="inlineStr">
        <is>
          <t>539006</t>
        </is>
      </c>
    </row>
    <row r="68">
      <c r="A68" s="31" t="inlineStr">
        <is>
          <t>SUPREMEIND</t>
        </is>
      </c>
      <c r="B68" s="31" t="inlineStr">
        <is>
          <t>Supreme Industries Limited</t>
        </is>
      </c>
      <c r="C68" s="31" t="inlineStr">
        <is>
          <t>plastic products</t>
        </is>
      </c>
      <c r="D68" s="31" t="inlineStr">
        <is>
          <t>plastics products</t>
        </is>
      </c>
      <c r="E68" s="31" t="inlineStr">
        <is>
          <t>largecap</t>
        </is>
      </c>
      <c r="F68" s="31" t="n">
        <v>45818.59</v>
      </c>
      <c r="G68" s="31" t="n">
        <v>3616</v>
      </c>
      <c r="H68" s="31" t="n">
        <v>0.25</v>
      </c>
      <c r="I68" s="31" t="n">
        <v>206957</v>
      </c>
      <c r="J68" s="31" t="inlineStr">
        <is>
          <t>509930</t>
        </is>
      </c>
    </row>
    <row r="69">
      <c r="A69" s="31" t="inlineStr">
        <is>
          <t>IIFLCAPS</t>
        </is>
      </c>
      <c r="B69" s="31" t="inlineStr">
        <is>
          <t>IIFL Capital Services Ltd</t>
        </is>
      </c>
      <c r="C69" s="31" t="inlineStr">
        <is>
          <t>financials</t>
        </is>
      </c>
      <c r="D69" s="31" t="inlineStr">
        <is>
          <t>finance &amp; investments</t>
        </is>
      </c>
      <c r="E69" s="31" t="inlineStr">
        <is>
          <t>midcap</t>
        </is>
      </c>
      <c r="F69" s="31" t="n">
        <v>10854.79</v>
      </c>
      <c r="G69" s="31" t="n">
        <v>347.1</v>
      </c>
      <c r="H69" s="31" t="n">
        <v>0.23</v>
      </c>
      <c r="I69" s="31" t="n">
        <v>318198</v>
      </c>
      <c r="J69" s="31" t="inlineStr">
        <is>
          <t>542773</t>
        </is>
      </c>
    </row>
    <row r="70">
      <c r="A70" s="31" t="inlineStr">
        <is>
          <t>GLOBAL</t>
        </is>
      </c>
      <c r="B70" s="31" t="inlineStr">
        <is>
          <t>Global Education Ltd</t>
        </is>
      </c>
      <c r="C70" s="31" t="inlineStr">
        <is>
          <t>services</t>
        </is>
      </c>
      <c r="D70" s="31" t="inlineStr">
        <is>
          <t>miscellaneous</t>
        </is>
      </c>
      <c r="E70" s="31" t="inlineStr">
        <is>
          <t>smallcap</t>
        </is>
      </c>
      <c r="F70" s="31" t="n">
        <v>733.95</v>
      </c>
      <c r="G70" s="31" t="n">
        <v>144.5</v>
      </c>
      <c r="H70" s="31" t="n">
        <v>0.22</v>
      </c>
      <c r="I70" s="31" t="n">
        <v>130023</v>
      </c>
      <c r="J70" s="31" t="inlineStr">
        <is>
          <t>538406</t>
        </is>
      </c>
    </row>
    <row r="71">
      <c r="A71" s="31" t="inlineStr">
        <is>
          <t>SWANDEF</t>
        </is>
      </c>
      <c r="B71" s="31" t="inlineStr">
        <is>
          <t>Swan Defence and Heavy Industries Ltd</t>
        </is>
      </c>
      <c r="C71" s="31" t="inlineStr">
        <is>
          <t>transportation</t>
        </is>
      </c>
      <c r="D71" s="31" t="inlineStr">
        <is>
          <t>miscellaneous</t>
        </is>
      </c>
      <c r="E71" s="31" t="inlineStr">
        <is>
          <t>midcap</t>
        </is>
      </c>
      <c r="F71" s="31" t="n">
        <v>15484.34</v>
      </c>
      <c r="G71" s="31" t="n">
        <v>2944.8</v>
      </c>
      <c r="H71" s="31" t="n">
        <v>0.19</v>
      </c>
      <c r="I71" s="31" t="n">
        <v>18019</v>
      </c>
      <c r="J71" s="31" t="inlineStr">
        <is>
          <t>533107</t>
        </is>
      </c>
    </row>
    <row r="72">
      <c r="A72" s="31" t="inlineStr">
        <is>
          <t>MUKKA</t>
        </is>
      </c>
      <c r="B72" s="31" t="inlineStr">
        <is>
          <t>Mukka Proteins Ltd</t>
        </is>
      </c>
      <c r="C72" s="31" t="inlineStr">
        <is>
          <t>fmcg</t>
        </is>
      </c>
      <c r="D72" s="31" t="inlineStr">
        <is>
          <t>food - processing - indian</t>
        </is>
      </c>
      <c r="E72" s="31" t="inlineStr">
        <is>
          <t>smallcap</t>
        </is>
      </c>
      <c r="F72" s="31" t="n">
        <v>864.3</v>
      </c>
      <c r="G72" s="31" t="n">
        <v>28.86</v>
      </c>
      <c r="H72" s="31" t="n">
        <v>0.17</v>
      </c>
      <c r="I72" s="31" t="n">
        <v>652123</v>
      </c>
      <c r="J72" s="31" t="inlineStr">
        <is>
          <t>544135</t>
        </is>
      </c>
    </row>
    <row r="73">
      <c r="A73" s="31" t="inlineStr">
        <is>
          <t>ALICON</t>
        </is>
      </c>
      <c r="B73" s="31" t="inlineStr">
        <is>
          <t>Alicon Castalloy Limited</t>
        </is>
      </c>
      <c r="C73" s="31" t="inlineStr">
        <is>
          <t>castings, forgings &amp; fasteners</t>
        </is>
      </c>
      <c r="D73" s="31" t="inlineStr">
        <is>
          <t>castings &amp; forgings</t>
        </is>
      </c>
      <c r="E73" s="31" t="inlineStr">
        <is>
          <t>smallcap</t>
        </is>
      </c>
      <c r="F73" s="31" t="n">
        <v>1415.19</v>
      </c>
      <c r="G73" s="31" t="n">
        <v>863.8</v>
      </c>
      <c r="H73" s="31" t="n">
        <v>0.17</v>
      </c>
      <c r="I73" s="31" t="n">
        <v>33355</v>
      </c>
      <c r="J73" s="31" t="inlineStr">
        <is>
          <t>531147</t>
        </is>
      </c>
    </row>
    <row r="74">
      <c r="A74" s="31" t="inlineStr">
        <is>
          <t>CEIGALL</t>
        </is>
      </c>
      <c r="B74" s="31" t="inlineStr">
        <is>
          <t>Ceigall India Ltd</t>
        </is>
      </c>
      <c r="C74" s="31" t="inlineStr">
        <is>
          <t>realty</t>
        </is>
      </c>
      <c r="D74" s="31" t="inlineStr">
        <is>
          <t>construction</t>
        </is>
      </c>
      <c r="E74" s="31" t="inlineStr">
        <is>
          <t>midcap</t>
        </is>
      </c>
      <c r="F74" s="31" t="n">
        <v>6765.25</v>
      </c>
      <c r="G74" s="31" t="n">
        <v>389</v>
      </c>
      <c r="H74" s="31" t="n">
        <v>0.17</v>
      </c>
      <c r="I74" s="31" t="n">
        <v>168890</v>
      </c>
      <c r="J74" s="31" t="inlineStr">
        <is>
          <t>544223</t>
        </is>
      </c>
    </row>
    <row r="75">
      <c r="A75" s="31" t="inlineStr">
        <is>
          <t>SBC</t>
        </is>
      </c>
      <c r="B75" s="31" t="inlineStr">
        <is>
          <t>SBC Exports Ltd</t>
        </is>
      </c>
      <c r="C75" s="31" t="inlineStr">
        <is>
          <t>textiles</t>
        </is>
      </c>
      <c r="D75" s="31" t="inlineStr">
        <is>
          <t>textiles - products</t>
        </is>
      </c>
      <c r="E75" s="31" t="inlineStr">
        <is>
          <t>smallcap</t>
        </is>
      </c>
      <c r="F75" s="31" t="n">
        <v>3052.85</v>
      </c>
      <c r="G75" s="31" t="n">
        <v>64.20999999999999</v>
      </c>
      <c r="H75" s="31" t="n">
        <v>0.16</v>
      </c>
      <c r="I75" s="31" t="n">
        <v>19922396</v>
      </c>
      <c r="J75" s="31" t="inlineStr">
        <is>
          <t>542725</t>
        </is>
      </c>
    </row>
    <row r="76">
      <c r="A76" s="31" t="inlineStr">
        <is>
          <t>PREMEXPLN</t>
        </is>
      </c>
      <c r="B76" s="31" t="inlineStr">
        <is>
          <t>Premier Explosives Limited</t>
        </is>
      </c>
      <c r="C76" s="31" t="inlineStr">
        <is>
          <t>aerospace &amp; defence</t>
        </is>
      </c>
      <c r="D76" s="31" t="inlineStr">
        <is>
          <t>chemicals</t>
        </is>
      </c>
      <c r="E76" s="31" t="inlineStr">
        <is>
          <t>smallcap</t>
        </is>
      </c>
      <c r="F76" s="31" t="n">
        <v>3710.33</v>
      </c>
      <c r="G76" s="31" t="n">
        <v>690.6</v>
      </c>
      <c r="H76" s="31" t="n">
        <v>0.07000000000000001</v>
      </c>
      <c r="I76" s="31" t="n">
        <v>388785</v>
      </c>
      <c r="J76" s="31" t="inlineStr">
        <is>
          <t>526247</t>
        </is>
      </c>
    </row>
    <row r="77">
      <c r="A77" s="31" t="inlineStr">
        <is>
          <t>PVRINOX</t>
        </is>
      </c>
      <c r="B77" s="31" t="inlineStr">
        <is>
          <t>PVR Inox Ltd</t>
        </is>
      </c>
      <c r="C77" s="31" t="inlineStr">
        <is>
          <t>media</t>
        </is>
      </c>
      <c r="D77" s="31" t="inlineStr">
        <is>
          <t>entertainment / electronic media software</t>
        </is>
      </c>
      <c r="E77" s="31" t="inlineStr">
        <is>
          <t>midcap</t>
        </is>
      </c>
      <c r="F77" s="31" t="n">
        <v>13275.69</v>
      </c>
      <c r="G77" s="31" t="n">
        <v>1381.9</v>
      </c>
      <c r="H77" s="31" t="n">
        <v>0.07000000000000001</v>
      </c>
      <c r="I77" s="31" t="n">
        <v>264329</v>
      </c>
      <c r="J77" s="31" t="inlineStr">
        <is>
          <t>532689</t>
        </is>
      </c>
    </row>
    <row r="78">
      <c r="A78" s="31" t="inlineStr">
        <is>
          <t>MANAKSTEEL</t>
        </is>
      </c>
      <c r="B78" s="31" t="inlineStr">
        <is>
          <t>Manaksia Steels Limited</t>
        </is>
      </c>
      <c r="C78" s="31" t="inlineStr">
        <is>
          <t>metals &amp; mining</t>
        </is>
      </c>
      <c r="D78" s="31" t="inlineStr">
        <is>
          <t>steel - medium / small</t>
        </is>
      </c>
      <c r="E78" s="31" t="inlineStr">
        <is>
          <t>smallcap</t>
        </is>
      </c>
      <c r="F78" s="31" t="n">
        <v>722.3200000000001</v>
      </c>
      <c r="G78" s="31" t="n">
        <v>110.28</v>
      </c>
      <c r="H78" s="31" t="n">
        <v>0.05</v>
      </c>
      <c r="I78" s="31" t="n">
        <v>23973</v>
      </c>
      <c r="J78" s="31" t="inlineStr">
        <is>
          <t>539044</t>
        </is>
      </c>
    </row>
    <row r="79">
      <c r="A79" s="31" t="inlineStr">
        <is>
          <t>TATVA</t>
        </is>
      </c>
      <c r="B79" s="31" t="inlineStr">
        <is>
          <t>Tatva Chintan Pharma Chem Ltd</t>
        </is>
      </c>
      <c r="C79" s="31" t="inlineStr">
        <is>
          <t>chemicals</t>
        </is>
      </c>
      <c r="D79" s="31" t="inlineStr">
        <is>
          <t>chemicals</t>
        </is>
      </c>
      <c r="E79" s="31" t="inlineStr">
        <is>
          <t>smallcap</t>
        </is>
      </c>
      <c r="F79" s="31" t="n">
        <v>4539.46</v>
      </c>
      <c r="G79" s="31" t="n">
        <v>1940.7</v>
      </c>
      <c r="H79" s="31" t="n">
        <v>0.01</v>
      </c>
      <c r="I79" s="31" t="n">
        <v>76534</v>
      </c>
      <c r="J79" s="31" t="inlineStr">
        <is>
          <t>543321</t>
        </is>
      </c>
    </row>
    <row r="80">
      <c r="A80" s="31" t="inlineStr">
        <is>
          <t>ORBTEXP</t>
        </is>
      </c>
      <c r="B80" s="31" t="inlineStr">
        <is>
          <t>Orbit Exports Limited</t>
        </is>
      </c>
      <c r="C80" s="31" t="inlineStr">
        <is>
          <t>textiles</t>
        </is>
      </c>
      <c r="D80" s="31" t="inlineStr">
        <is>
          <t>textiles - processing</t>
        </is>
      </c>
      <c r="E80" s="31" t="inlineStr">
        <is>
          <t>smallcap</t>
        </is>
      </c>
      <c r="F80" s="31" t="n">
        <v>687.7</v>
      </c>
      <c r="G80" s="31" t="n">
        <v>259.1</v>
      </c>
      <c r="H80" s="31" t="n">
        <v>-0.12</v>
      </c>
      <c r="I80" s="31" t="n">
        <v>5674</v>
      </c>
      <c r="J80" s="31" t="inlineStr">
        <is>
          <t>512626</t>
        </is>
      </c>
    </row>
    <row r="81">
      <c r="A81" s="31" t="inlineStr">
        <is>
          <t>ROSSTECH</t>
        </is>
      </c>
      <c r="B81" s="31" t="inlineStr">
        <is>
          <t>Rossell Techsys Ltd</t>
        </is>
      </c>
      <c r="C81" s="31" t="inlineStr">
        <is>
          <t>aerospace &amp; defence</t>
        </is>
      </c>
      <c r="D81" s="31" t="inlineStr">
        <is>
          <t>engineering</t>
        </is>
      </c>
      <c r="E81" s="31" t="inlineStr">
        <is>
          <t>midcap</t>
        </is>
      </c>
      <c r="F81" s="31" t="n">
        <v>5904.4</v>
      </c>
      <c r="G81" s="31" t="n">
        <v>1564.3</v>
      </c>
      <c r="H81" s="31" t="n">
        <v>-0.13</v>
      </c>
      <c r="I81" s="31" t="n">
        <v>110634</v>
      </c>
      <c r="J81" s="31" t="inlineStr">
        <is>
          <t>544294</t>
        </is>
      </c>
    </row>
    <row r="82">
      <c r="A82" s="31" t="inlineStr">
        <is>
          <t>PCJEWELLER</t>
        </is>
      </c>
      <c r="B82" s="31" t="inlineStr">
        <is>
          <t>Pc Jeweller Limited</t>
        </is>
      </c>
      <c r="C82" s="31" t="inlineStr">
        <is>
          <t>consumer discretionary</t>
        </is>
      </c>
      <c r="D82" s="31" t="inlineStr">
        <is>
          <t>diamond cutting / jewellery</t>
        </is>
      </c>
      <c r="E82" s="31" t="inlineStr">
        <is>
          <t>midcap</t>
        </is>
      </c>
      <c r="F82" s="31" t="n">
        <v>14191.82</v>
      </c>
      <c r="G82" s="31" t="n">
        <v>14.45</v>
      </c>
      <c r="H82" s="31" t="n">
        <v>-0.14</v>
      </c>
      <c r="I82" s="31" t="n">
        <v>481661644</v>
      </c>
      <c r="J82" s="31" t="inlineStr">
        <is>
          <t>534809</t>
        </is>
      </c>
    </row>
    <row r="83">
      <c r="A83" s="31" t="inlineStr">
        <is>
          <t>SANATHAN</t>
        </is>
      </c>
      <c r="B83" s="31" t="inlineStr">
        <is>
          <t>Sanathan Textiles Ltd</t>
        </is>
      </c>
      <c r="C83" s="31" t="inlineStr">
        <is>
          <t>textiles</t>
        </is>
      </c>
      <c r="D83" s="31" t="inlineStr">
        <is>
          <t>textiles - cotton/blended</t>
        </is>
      </c>
      <c r="E83" s="31" t="inlineStr">
        <is>
          <t>smallcap</t>
        </is>
      </c>
      <c r="F83" s="31" t="n">
        <v>4626.61</v>
      </c>
      <c r="G83" s="31" t="n">
        <v>546.7</v>
      </c>
      <c r="H83" s="31" t="n">
        <v>-0.26</v>
      </c>
      <c r="I83" s="31" t="n">
        <v>231626</v>
      </c>
      <c r="J83" s="31" t="inlineStr">
        <is>
          <t>544314</t>
        </is>
      </c>
    </row>
    <row r="84">
      <c r="A84" s="31" t="inlineStr">
        <is>
          <t>KRONOX</t>
        </is>
      </c>
      <c r="B84" s="31" t="inlineStr">
        <is>
          <t>Kronox Lab Sciences Ltd</t>
        </is>
      </c>
      <c r="C84" s="31" t="inlineStr">
        <is>
          <t>chemicals</t>
        </is>
      </c>
      <c r="D84" s="31" t="inlineStr">
        <is>
          <t>chemicals</t>
        </is>
      </c>
      <c r="E84" s="31" t="inlineStr">
        <is>
          <t>smallcap</t>
        </is>
      </c>
      <c r="F84" s="31" t="n">
        <v>811.8</v>
      </c>
      <c r="G84" s="31" t="n">
        <v>218.18</v>
      </c>
      <c r="H84" s="31" t="n">
        <v>-0.28</v>
      </c>
      <c r="I84" s="31" t="n">
        <v>85827</v>
      </c>
      <c r="J84" s="31" t="inlineStr">
        <is>
          <t>544187</t>
        </is>
      </c>
    </row>
    <row r="85">
      <c r="A85" s="31" t="inlineStr">
        <is>
          <t>UNITEDPOLY</t>
        </is>
      </c>
      <c r="B85" s="31" t="inlineStr">
        <is>
          <t>United Polyfab Gujarat Ltd</t>
        </is>
      </c>
      <c r="C85" s="31" t="inlineStr">
        <is>
          <t>textiles</t>
        </is>
      </c>
      <c r="D85" s="31" t="inlineStr">
        <is>
          <t>textiles - products</t>
        </is>
      </c>
      <c r="E85" s="31" t="inlineStr">
        <is>
          <t>smallcap</t>
        </is>
      </c>
      <c r="F85" s="31" t="n">
        <v>1186.14</v>
      </c>
      <c r="G85" s="31" t="n">
        <v>51.53</v>
      </c>
      <c r="H85" s="31" t="n">
        <v>-0.29</v>
      </c>
      <c r="I85" s="31" t="n">
        <v>222503</v>
      </c>
      <c r="J85" s="31" t="inlineStr">
        <is>
          <t>533024</t>
        </is>
      </c>
    </row>
    <row r="86">
      <c r="A86" s="31" t="inlineStr">
        <is>
          <t>GPTINFRA</t>
        </is>
      </c>
      <c r="B86" s="31" t="inlineStr">
        <is>
          <t>Gpt Infraprojects Limited</t>
        </is>
      </c>
      <c r="C86" s="31" t="inlineStr">
        <is>
          <t>realty</t>
        </is>
      </c>
      <c r="D86" s="31" t="inlineStr">
        <is>
          <t>construction</t>
        </is>
      </c>
      <c r="E86" s="31" t="inlineStr">
        <is>
          <t>smallcap</t>
        </is>
      </c>
      <c r="F86" s="31" t="n">
        <v>1581.2</v>
      </c>
      <c r="G86" s="31" t="n">
        <v>124.76</v>
      </c>
      <c r="H86" s="31" t="n">
        <v>-0.3</v>
      </c>
      <c r="I86" s="31" t="n">
        <v>225906</v>
      </c>
      <c r="J86" s="31" t="inlineStr">
        <is>
          <t>533761</t>
        </is>
      </c>
    </row>
    <row r="87">
      <c r="A87" s="31" t="inlineStr">
        <is>
          <t>DALMIASUG</t>
        </is>
      </c>
      <c r="B87" s="31" t="inlineStr">
        <is>
          <t>Dalmia Bharat Sugar And Industries Limited</t>
        </is>
      </c>
      <c r="C87" s="31" t="inlineStr">
        <is>
          <t>fmcg</t>
        </is>
      </c>
      <c r="D87" s="31" t="inlineStr">
        <is>
          <t>sugar</t>
        </is>
      </c>
      <c r="E87" s="31" t="inlineStr">
        <is>
          <t>smallcap</t>
        </is>
      </c>
      <c r="F87" s="31" t="n">
        <v>3918.68</v>
      </c>
      <c r="G87" s="31" t="n">
        <v>482.35</v>
      </c>
      <c r="H87" s="31" t="n">
        <v>-0.37</v>
      </c>
      <c r="I87" s="31" t="n">
        <v>344483</v>
      </c>
      <c r="J87" s="31" t="inlineStr">
        <is>
          <t>500097</t>
        </is>
      </c>
    </row>
    <row r="88">
      <c r="A88" s="31" t="inlineStr">
        <is>
          <t>NPST</t>
        </is>
      </c>
      <c r="B88" s="31" t="inlineStr">
        <is>
          <t>Network People Services Technologies Ltd</t>
        </is>
      </c>
      <c r="C88" s="31" t="inlineStr">
        <is>
          <t>i.t</t>
        </is>
      </c>
      <c r="D88" s="31" t="inlineStr">
        <is>
          <t>computers - software - medium / small</t>
        </is>
      </c>
      <c r="E88" s="31" t="inlineStr">
        <is>
          <t>smallcap</t>
        </is>
      </c>
      <c r="F88" s="31" t="n">
        <v>3820.11</v>
      </c>
      <c r="G88" s="31" t="n">
        <v>1823.9</v>
      </c>
      <c r="H88" s="31" t="n">
        <v>-0.39</v>
      </c>
      <c r="I88" s="31" t="n">
        <v>20600</v>
      </c>
      <c r="J88" s="31" t="inlineStr">
        <is>
          <t>535391</t>
        </is>
      </c>
    </row>
    <row r="89">
      <c r="A89" s="31" t="inlineStr">
        <is>
          <t>WHEELS</t>
        </is>
      </c>
      <c r="B89" s="31" t="inlineStr">
        <is>
          <t>Wheels India Limited</t>
        </is>
      </c>
      <c r="C89" s="31" t="inlineStr">
        <is>
          <t>auto</t>
        </is>
      </c>
      <c r="D89" s="31" t="inlineStr">
        <is>
          <t>auto ancillaries</t>
        </is>
      </c>
      <c r="E89" s="31" t="inlineStr">
        <is>
          <t>midcap</t>
        </is>
      </c>
      <c r="F89" s="31" t="n">
        <v>6471.95</v>
      </c>
      <c r="G89" s="31" t="n">
        <v>2399.5</v>
      </c>
      <c r="H89" s="31" t="n">
        <v>-0.41</v>
      </c>
      <c r="I89" s="31" t="n">
        <v>102847</v>
      </c>
      <c r="J89" s="31" t="inlineStr">
        <is>
          <t>590073</t>
        </is>
      </c>
    </row>
    <row r="90">
      <c r="A90" s="31" t="inlineStr">
        <is>
          <t>SAMBHV</t>
        </is>
      </c>
      <c r="B90" s="31" t="inlineStr">
        <is>
          <t>Sambhv Steel Tubes Ltd</t>
        </is>
      </c>
      <c r="C90" s="31" t="inlineStr">
        <is>
          <t>metals &amp; mining</t>
        </is>
      </c>
      <c r="D90" s="31" t="inlineStr">
        <is>
          <t>steel - medium / small</t>
        </is>
      </c>
      <c r="E90" s="31" t="inlineStr">
        <is>
          <t>smallcap</t>
        </is>
      </c>
      <c r="F90" s="31" t="n">
        <v>4828.19</v>
      </c>
      <c r="G90" s="31" t="n">
        <v>163.15</v>
      </c>
      <c r="H90" s="31" t="n">
        <v>-0.43</v>
      </c>
      <c r="I90" s="31" t="n">
        <v>1757240</v>
      </c>
      <c r="J90" s="31" t="inlineStr">
        <is>
          <t>544430</t>
        </is>
      </c>
    </row>
    <row r="91">
      <c r="A91" s="31" t="inlineStr">
        <is>
          <t>ONEPOINT</t>
        </is>
      </c>
      <c r="B91" s="31" t="inlineStr">
        <is>
          <t>One Point One Solutions Ltd</t>
        </is>
      </c>
      <c r="C91" s="31" t="inlineStr">
        <is>
          <t>i.t</t>
        </is>
      </c>
      <c r="D91" s="31" t="inlineStr">
        <is>
          <t>computers - software - medium / small</t>
        </is>
      </c>
      <c r="E91" s="31" t="inlineStr">
        <is>
          <t>smallcap</t>
        </is>
      </c>
      <c r="F91" s="31" t="n">
        <v>2238.64</v>
      </c>
      <c r="G91" s="31" t="n">
        <v>84.77</v>
      </c>
      <c r="H91" s="31" t="n">
        <v>-0.43</v>
      </c>
      <c r="I91" s="31" t="n">
        <v>3373274</v>
      </c>
      <c r="J91" s="31" t="inlineStr">
        <is>
          <t>535039</t>
        </is>
      </c>
    </row>
    <row r="92">
      <c r="A92" s="31" t="inlineStr">
        <is>
          <t>VHL</t>
        </is>
      </c>
      <c r="B92" s="31" t="inlineStr">
        <is>
          <t>Vardhman Holdings Limited</t>
        </is>
      </c>
      <c r="C92" s="31" t="inlineStr">
        <is>
          <t>financials</t>
        </is>
      </c>
      <c r="D92" s="31" t="inlineStr">
        <is>
          <t>finance &amp; investments</t>
        </is>
      </c>
      <c r="E92" s="31" t="inlineStr">
        <is>
          <t>smallcap</t>
        </is>
      </c>
      <c r="F92" s="31" t="n">
        <v>1184.38</v>
      </c>
      <c r="G92" s="31" t="n">
        <v>3694.4</v>
      </c>
      <c r="H92" s="31" t="n">
        <v>-0.45</v>
      </c>
      <c r="I92" s="31" t="n">
        <v>631</v>
      </c>
      <c r="J92" s="31" t="inlineStr">
        <is>
          <t>500439</t>
        </is>
      </c>
    </row>
    <row r="93">
      <c r="A93" s="31" t="inlineStr">
        <is>
          <t>KROSS</t>
        </is>
      </c>
      <c r="B93" s="31" t="inlineStr">
        <is>
          <t>Kross Ltd</t>
        </is>
      </c>
      <c r="C93" s="31" t="inlineStr">
        <is>
          <t>auto</t>
        </is>
      </c>
      <c r="D93" s="31" t="inlineStr">
        <is>
          <t>auto ancillaries</t>
        </is>
      </c>
      <c r="E93" s="31" t="inlineStr">
        <is>
          <t>smallcap</t>
        </is>
      </c>
      <c r="F93" s="31" t="n">
        <v>1756.27</v>
      </c>
      <c r="G93" s="31" t="n">
        <v>271</v>
      </c>
      <c r="H93" s="31" t="n">
        <v>-0.46</v>
      </c>
      <c r="I93" s="31" t="n">
        <v>1561614</v>
      </c>
      <c r="J93" s="31" t="inlineStr">
        <is>
          <t>544253</t>
        </is>
      </c>
    </row>
    <row r="94">
      <c r="A94" s="31" t="inlineStr">
        <is>
          <t>MUFIN</t>
        </is>
      </c>
      <c r="B94" s="31" t="inlineStr">
        <is>
          <t>Mufin Green Finance Ltd</t>
        </is>
      </c>
      <c r="C94" s="31" t="inlineStr">
        <is>
          <t>financials</t>
        </is>
      </c>
      <c r="D94" s="31" t="inlineStr">
        <is>
          <t>finance &amp; investments</t>
        </is>
      </c>
      <c r="E94" s="31" t="inlineStr">
        <is>
          <t>smallcap</t>
        </is>
      </c>
      <c r="F94" s="31" t="n">
        <v>2778.23</v>
      </c>
      <c r="G94" s="31" t="n">
        <v>139.54</v>
      </c>
      <c r="H94" s="31" t="n">
        <v>-0.47</v>
      </c>
      <c r="I94" s="31" t="n">
        <v>1378806</v>
      </c>
      <c r="J94" s="31" t="inlineStr">
        <is>
          <t>542774</t>
        </is>
      </c>
    </row>
    <row r="95">
      <c r="A95" s="31" t="inlineStr">
        <is>
          <t>HAL</t>
        </is>
      </c>
      <c r="B95" s="31" t="inlineStr">
        <is>
          <t>Hindustan Aeronautics Ltd</t>
        </is>
      </c>
      <c r="C95" s="31" t="inlineStr">
        <is>
          <t>aerospace &amp; defence</t>
        </is>
      </c>
      <c r="D95" s="31" t="inlineStr">
        <is>
          <t>engineering</t>
        </is>
      </c>
      <c r="E95" s="31" t="inlineStr">
        <is>
          <t>largecap</t>
        </is>
      </c>
      <c r="F95" s="31" t="n">
        <v>329906.71</v>
      </c>
      <c r="G95" s="31" t="n">
        <v>4910</v>
      </c>
      <c r="H95" s="31" t="n">
        <v>-0.47</v>
      </c>
      <c r="I95" s="31" t="n">
        <v>802602</v>
      </c>
      <c r="J95" s="31" t="inlineStr">
        <is>
          <t>541154</t>
        </is>
      </c>
    </row>
    <row r="96">
      <c r="A96" s="31" t="inlineStr">
        <is>
          <t>CYIENT</t>
        </is>
      </c>
      <c r="B96" s="31" t="inlineStr">
        <is>
          <t>Cyient Limited</t>
        </is>
      </c>
      <c r="C96" s="31" t="inlineStr">
        <is>
          <t>i.t</t>
        </is>
      </c>
      <c r="D96" s="31" t="inlineStr">
        <is>
          <t>computers - software - medium / small</t>
        </is>
      </c>
      <c r="E96" s="31" t="inlineStr">
        <is>
          <t>midcap</t>
        </is>
      </c>
      <c r="F96" s="31" t="n">
        <v>12520.84</v>
      </c>
      <c r="G96" s="31" t="n">
        <v>1189.8</v>
      </c>
      <c r="H96" s="31" t="n">
        <v>-0.47</v>
      </c>
      <c r="I96" s="31" t="n">
        <v>415484</v>
      </c>
      <c r="J96" s="31" t="inlineStr">
        <is>
          <t>532175</t>
        </is>
      </c>
    </row>
    <row r="97">
      <c r="A97" s="31" t="inlineStr">
        <is>
          <t>EMAMIPAP</t>
        </is>
      </c>
      <c r="B97" s="31" t="inlineStr">
        <is>
          <t>Emami Paper Mills Ltd</t>
        </is>
      </c>
      <c r="C97" s="31" t="inlineStr">
        <is>
          <t>building materials</t>
        </is>
      </c>
      <c r="D97" s="31" t="inlineStr">
        <is>
          <t>paper</t>
        </is>
      </c>
      <c r="E97" s="31" t="inlineStr">
        <is>
          <t>smallcap</t>
        </is>
      </c>
      <c r="F97" s="31" t="n">
        <v>739.24</v>
      </c>
      <c r="G97" s="31" t="n">
        <v>121.6</v>
      </c>
      <c r="H97" s="31" t="n">
        <v>-0.48</v>
      </c>
      <c r="I97" s="31" t="n">
        <v>28094</v>
      </c>
      <c r="J97" s="31" t="inlineStr">
        <is>
          <t>533208</t>
        </is>
      </c>
    </row>
    <row r="98">
      <c r="A98" s="31" t="inlineStr">
        <is>
          <t>GCSL</t>
        </is>
      </c>
      <c r="B98" s="31" t="inlineStr">
        <is>
          <t>Gretex Corporate Services Ltd</t>
        </is>
      </c>
      <c r="C98" s="31" t="inlineStr">
        <is>
          <t>financials</t>
        </is>
      </c>
      <c r="D98" s="31" t="inlineStr">
        <is>
          <t>finance &amp; investments</t>
        </is>
      </c>
      <c r="E98" s="31" t="inlineStr">
        <is>
          <t>smallcap</t>
        </is>
      </c>
      <c r="F98" s="31" t="n">
        <v>1847.9</v>
      </c>
      <c r="G98" s="31" t="n">
        <v>735.3</v>
      </c>
      <c r="H98" s="31" t="n">
        <v>-0.5</v>
      </c>
      <c r="I98" s="31" t="n">
        <v>279530</v>
      </c>
      <c r="J98" s="31" t="inlineStr">
        <is>
          <t>543324</t>
        </is>
      </c>
    </row>
    <row r="99">
      <c r="A99" s="31" t="inlineStr">
        <is>
          <t>CRAFTSMAN</t>
        </is>
      </c>
      <c r="B99" s="31" t="inlineStr">
        <is>
          <t>Craftsman Automation Ltd</t>
        </is>
      </c>
      <c r="C99" s="31" t="inlineStr">
        <is>
          <t>auto</t>
        </is>
      </c>
      <c r="D99" s="31" t="inlineStr">
        <is>
          <t>auto ancillaries</t>
        </is>
      </c>
      <c r="E99" s="31" t="inlineStr">
        <is>
          <t>largecap</t>
        </is>
      </c>
      <c r="F99" s="31" t="n">
        <v>28762.03</v>
      </c>
      <c r="G99" s="31" t="n">
        <v>10941</v>
      </c>
      <c r="H99" s="31" t="n">
        <v>-0.51</v>
      </c>
      <c r="I99" s="31" t="n">
        <v>64306</v>
      </c>
      <c r="J99" s="31" t="inlineStr">
        <is>
          <t>543276</t>
        </is>
      </c>
    </row>
    <row r="100">
      <c r="A100" s="31" t="inlineStr">
        <is>
          <t>MATRIMONY</t>
        </is>
      </c>
      <c r="B100" s="31" t="inlineStr">
        <is>
          <t>Matrimony.com Ltd</t>
        </is>
      </c>
      <c r="C100" s="31" t="inlineStr">
        <is>
          <t>miscellaneous</t>
        </is>
      </c>
      <c r="D100" s="31" t="inlineStr">
        <is>
          <t>miscellaneous</t>
        </is>
      </c>
      <c r="E100" s="31" t="inlineStr">
        <is>
          <t>smallcap</t>
        </is>
      </c>
      <c r="F100" s="31" t="n">
        <v>1115.85</v>
      </c>
      <c r="G100" s="31" t="n">
        <v>536.85</v>
      </c>
      <c r="H100" s="31" t="n">
        <v>-0.54</v>
      </c>
      <c r="I100" s="31" t="n">
        <v>4639</v>
      </c>
      <c r="J100" s="31" t="inlineStr">
        <is>
          <t>540704</t>
        </is>
      </c>
    </row>
    <row r="101">
      <c r="A101" s="31" t="inlineStr">
        <is>
          <t>STOVEKRAFT</t>
        </is>
      </c>
      <c r="B101" s="31" t="inlineStr">
        <is>
          <t>Stove Kraft Ltd</t>
        </is>
      </c>
      <c r="C101" s="31" t="inlineStr">
        <is>
          <t>consumer discretionary</t>
        </is>
      </c>
      <c r="D101" s="31" t="inlineStr">
        <is>
          <t>domestic appliances</t>
        </is>
      </c>
      <c r="E101" s="31" t="inlineStr">
        <is>
          <t>smallcap</t>
        </is>
      </c>
      <c r="F101" s="31" t="n">
        <v>2816.77</v>
      </c>
      <c r="G101" s="31" t="n">
        <v>846</v>
      </c>
      <c r="H101" s="31" t="n">
        <v>-0.5600000000000001</v>
      </c>
      <c r="I101" s="31" t="n">
        <v>105868</v>
      </c>
      <c r="J101" s="31" t="inlineStr">
        <is>
          <t>543260</t>
        </is>
      </c>
    </row>
    <row r="102">
      <c r="A102" s="31" t="inlineStr">
        <is>
          <t>ABDL</t>
        </is>
      </c>
      <c r="B102" s="31" t="inlineStr">
        <is>
          <t>Allied Blenders &amp; Distillers Ltd</t>
        </is>
      </c>
      <c r="C102" s="31" t="inlineStr">
        <is>
          <t>fmcg</t>
        </is>
      </c>
      <c r="D102" s="31" t="inlineStr">
        <is>
          <t>breweries &amp; distilleries</t>
        </is>
      </c>
      <c r="E102" s="31" t="inlineStr">
        <is>
          <t>largecap</t>
        </is>
      </c>
      <c r="F102" s="31" t="n">
        <v>20795.05</v>
      </c>
      <c r="G102" s="31" t="n">
        <v>739.25</v>
      </c>
      <c r="H102" s="31" t="n">
        <v>-0.5600000000000001</v>
      </c>
      <c r="I102" s="31" t="n">
        <v>1104621</v>
      </c>
      <c r="J102" s="31" t="inlineStr">
        <is>
          <t>544203</t>
        </is>
      </c>
    </row>
    <row r="103">
      <c r="A103" s="31" t="inlineStr">
        <is>
          <t>CUPID</t>
        </is>
      </c>
      <c r="B103" s="31" t="inlineStr">
        <is>
          <t>Cupid Limited</t>
        </is>
      </c>
      <c r="C103" s="31" t="inlineStr">
        <is>
          <t>fmcg</t>
        </is>
      </c>
      <c r="D103" s="31" t="inlineStr">
        <is>
          <t>personal care - indian</t>
        </is>
      </c>
      <c r="E103" s="31" t="inlineStr">
        <is>
          <t>largecap</t>
        </is>
      </c>
      <c r="F103" s="31" t="n">
        <v>47681.67</v>
      </c>
      <c r="G103" s="31" t="n">
        <v>352.5</v>
      </c>
      <c r="H103" s="31" t="n">
        <v>-0.59</v>
      </c>
      <c r="I103" s="31" t="n">
        <v>11757828</v>
      </c>
      <c r="J103" s="31" t="inlineStr">
        <is>
          <t>530843</t>
        </is>
      </c>
    </row>
    <row r="104">
      <c r="A104" s="31" t="inlineStr">
        <is>
          <t>TRENT</t>
        </is>
      </c>
      <c r="B104" s="31" t="inlineStr">
        <is>
          <t>Trent Limited</t>
        </is>
      </c>
      <c r="C104" s="31" t="inlineStr">
        <is>
          <t>consumer discretionary</t>
        </is>
      </c>
      <c r="D104" s="31" t="inlineStr">
        <is>
          <t>trading</t>
        </is>
      </c>
      <c r="E104" s="31" t="inlineStr">
        <is>
          <t>largecap</t>
        </is>
      </c>
      <c r="F104" s="31" t="n">
        <v>158423.32</v>
      </c>
      <c r="G104" s="31" t="n">
        <v>2949.7</v>
      </c>
      <c r="H104" s="31" t="n">
        <v>-0.72</v>
      </c>
      <c r="I104" s="31" t="n">
        <v>830106</v>
      </c>
      <c r="J104" s="31" t="inlineStr">
        <is>
          <t>500251</t>
        </is>
      </c>
    </row>
    <row r="105">
      <c r="A105" s="31" t="inlineStr">
        <is>
          <t>PRIMO</t>
        </is>
      </c>
      <c r="B105" s="31" t="inlineStr">
        <is>
          <t>Primo Chemicals Ltd</t>
        </is>
      </c>
      <c r="C105" s="31" t="inlineStr">
        <is>
          <t>chemicals</t>
        </is>
      </c>
      <c r="D105" s="31" t="inlineStr">
        <is>
          <t>chlor alkali / soda ash</t>
        </is>
      </c>
      <c r="E105" s="31" t="inlineStr">
        <is>
          <t>smallcap</t>
        </is>
      </c>
      <c r="F105" s="31" t="n">
        <v>633.97</v>
      </c>
      <c r="G105" s="31" t="n">
        <v>25.97</v>
      </c>
      <c r="H105" s="31" t="n">
        <v>-0.73</v>
      </c>
      <c r="I105" s="31" t="n">
        <v>145997</v>
      </c>
      <c r="J105" s="31" t="inlineStr">
        <is>
          <t>506852</t>
        </is>
      </c>
    </row>
    <row r="106">
      <c r="A106" s="31" t="inlineStr">
        <is>
          <t>CYIENTDLM</t>
        </is>
      </c>
      <c r="B106" s="31" t="inlineStr">
        <is>
          <t>Cyient DLM Ltd</t>
        </is>
      </c>
      <c r="C106" s="31" t="inlineStr">
        <is>
          <t>aerospace &amp; defence</t>
        </is>
      </c>
      <c r="D106" s="31" t="inlineStr">
        <is>
          <t>electronics - components</t>
        </is>
      </c>
      <c r="E106" s="31" t="inlineStr">
        <is>
          <t>midcap</t>
        </is>
      </c>
      <c r="F106" s="31" t="n">
        <v>8244.360000000001</v>
      </c>
      <c r="G106" s="31" t="n">
        <v>1030.1</v>
      </c>
      <c r="H106" s="31" t="n">
        <v>-0.8100000000000001</v>
      </c>
      <c r="I106" s="31" t="n">
        <v>671244</v>
      </c>
      <c r="J106" s="31" t="inlineStr">
        <is>
          <t>543933</t>
        </is>
      </c>
    </row>
    <row r="107">
      <c r="A107" s="31" t="inlineStr">
        <is>
          <t>BOSCH-HCIL</t>
        </is>
      </c>
      <c r="B107" s="31" t="inlineStr">
        <is>
          <t>Bosch Home Comfort India Ltd</t>
        </is>
      </c>
      <c r="C107" s="31" t="inlineStr">
        <is>
          <t>consumer discretionary</t>
        </is>
      </c>
      <c r="D107" s="31" t="inlineStr">
        <is>
          <t>air-conditioners</t>
        </is>
      </c>
      <c r="E107" s="31" t="inlineStr">
        <is>
          <t>midcap</t>
        </is>
      </c>
      <c r="F107" s="31" t="n">
        <v>5172.25</v>
      </c>
      <c r="G107" s="31" t="n">
        <v>1886.8</v>
      </c>
      <c r="H107" s="31" t="n">
        <v>-0.8100000000000001</v>
      </c>
      <c r="I107" s="31" t="n">
        <v>10204</v>
      </c>
      <c r="J107" s="31" t="inlineStr">
        <is>
          <t>523398</t>
        </is>
      </c>
    </row>
    <row r="108">
      <c r="A108" s="31" t="inlineStr">
        <is>
          <t>DBOL</t>
        </is>
      </c>
      <c r="B108" s="31" t="inlineStr">
        <is>
          <t>Dhampur Bio Organics Ltd</t>
        </is>
      </c>
      <c r="C108" s="31" t="inlineStr">
        <is>
          <t>fmcg</t>
        </is>
      </c>
      <c r="D108" s="31" t="inlineStr">
        <is>
          <t>sugar</t>
        </is>
      </c>
      <c r="E108" s="31" t="inlineStr">
        <is>
          <t>smallcap</t>
        </is>
      </c>
      <c r="F108" s="31" t="n">
        <v>964.21</v>
      </c>
      <c r="G108" s="31" t="n">
        <v>144.04</v>
      </c>
      <c r="H108" s="31" t="n">
        <v>-0.83</v>
      </c>
      <c r="I108" s="31" t="n">
        <v>234296</v>
      </c>
      <c r="J108" s="31" t="inlineStr">
        <is>
          <t>543593</t>
        </is>
      </c>
    </row>
    <row r="109">
      <c r="A109" s="31" t="inlineStr">
        <is>
          <t>UTTAMSUGAR</t>
        </is>
      </c>
      <c r="B109" s="31" t="inlineStr">
        <is>
          <t>Uttam Sugar Mills Limited</t>
        </is>
      </c>
      <c r="C109" s="31" t="inlineStr">
        <is>
          <t>fmcg</t>
        </is>
      </c>
      <c r="D109" s="31" t="inlineStr">
        <is>
          <t>sugar</t>
        </is>
      </c>
      <c r="E109" s="31" t="inlineStr">
        <is>
          <t>smallcap</t>
        </is>
      </c>
      <c r="F109" s="31" t="n">
        <v>1449.44</v>
      </c>
      <c r="G109" s="31" t="n">
        <v>376.65</v>
      </c>
      <c r="H109" s="31" t="n">
        <v>-0.89</v>
      </c>
      <c r="I109" s="31" t="n">
        <v>1070912</v>
      </c>
      <c r="J109" s="31" t="inlineStr">
        <is>
          <t>532729</t>
        </is>
      </c>
    </row>
    <row r="110">
      <c r="A110" s="31" t="inlineStr">
        <is>
          <t>BIL</t>
        </is>
      </c>
      <c r="B110" s="31" t="inlineStr">
        <is>
          <t>Bhartiya International Limited</t>
        </is>
      </c>
      <c r="C110" s="31" t="inlineStr">
        <is>
          <t>consumer discretionary</t>
        </is>
      </c>
      <c r="D110" s="31" t="inlineStr">
        <is>
          <t>leather / leather products</t>
        </is>
      </c>
      <c r="E110" s="31" t="inlineStr">
        <is>
          <t>smallcap</t>
        </is>
      </c>
      <c r="F110" s="31" t="n">
        <v>1418.89</v>
      </c>
      <c r="G110" s="31" t="n">
        <v>1048.65</v>
      </c>
      <c r="H110" s="31" t="n">
        <v>-0.89</v>
      </c>
      <c r="I110" s="31" t="n">
        <v>3622</v>
      </c>
      <c r="J110" s="31" t="inlineStr">
        <is>
          <t>526666</t>
        </is>
      </c>
    </row>
    <row r="111">
      <c r="A111" s="31" t="inlineStr">
        <is>
          <t>LAURUSLABS</t>
        </is>
      </c>
      <c r="B111" s="31" t="inlineStr">
        <is>
          <t>Laurus Labs Limited</t>
        </is>
      </c>
      <c r="C111" s="31" t="inlineStr">
        <is>
          <t>healthcare</t>
        </is>
      </c>
      <c r="D111" s="31" t="inlineStr">
        <is>
          <t>pharmaceuticals - indian - bulk drugs &amp; formln</t>
        </is>
      </c>
      <c r="E111" s="31" t="inlineStr">
        <is>
          <t>largecap</t>
        </is>
      </c>
      <c r="F111" s="31" t="n">
        <v>110043.44</v>
      </c>
      <c r="G111" s="31" t="n">
        <v>2018.5</v>
      </c>
      <c r="H111" s="31" t="n">
        <v>-0.9</v>
      </c>
      <c r="I111" s="31" t="n">
        <v>858713</v>
      </c>
      <c r="J111" s="31" t="inlineStr">
        <is>
          <t>540222</t>
        </is>
      </c>
    </row>
    <row r="112">
      <c r="A112" s="31" t="inlineStr">
        <is>
          <t>ONWARDTEC</t>
        </is>
      </c>
      <c r="B112" s="31" t="inlineStr">
        <is>
          <t>Onward Technologies Limited</t>
        </is>
      </c>
      <c r="C112" s="31" t="inlineStr">
        <is>
          <t>i.t</t>
        </is>
      </c>
      <c r="D112" s="31" t="inlineStr">
        <is>
          <t>computers - software - medium / small</t>
        </is>
      </c>
      <c r="E112" s="31" t="inlineStr">
        <is>
          <t>smallcap</t>
        </is>
      </c>
      <c r="F112" s="31" t="n">
        <v>799.75</v>
      </c>
      <c r="G112" s="31" t="n">
        <v>356.2</v>
      </c>
      <c r="H112" s="31" t="n">
        <v>-0.9</v>
      </c>
      <c r="I112" s="31" t="n">
        <v>163298</v>
      </c>
      <c r="J112" s="31" t="inlineStr">
        <is>
          <t>517536</t>
        </is>
      </c>
    </row>
    <row r="113">
      <c r="A113" s="31" t="inlineStr">
        <is>
          <t>KTKBANK</t>
        </is>
      </c>
      <c r="B113" s="31" t="inlineStr">
        <is>
          <t>The Karnataka Bank Limited</t>
        </is>
      </c>
      <c r="C113" s="31" t="inlineStr">
        <is>
          <t>bank</t>
        </is>
      </c>
      <c r="D113" s="31" t="inlineStr">
        <is>
          <t>banks - private sector</t>
        </is>
      </c>
      <c r="E113" s="31" t="inlineStr">
        <is>
          <t>midcap</t>
        </is>
      </c>
      <c r="F113" s="31" t="n">
        <v>12828.66</v>
      </c>
      <c r="G113" s="31" t="n">
        <v>335.95</v>
      </c>
      <c r="H113" s="31" t="n">
        <v>-0.96</v>
      </c>
      <c r="I113" s="31" t="n">
        <v>1441044</v>
      </c>
      <c r="J113" s="31" t="inlineStr">
        <is>
          <t>532652</t>
        </is>
      </c>
    </row>
    <row r="114">
      <c r="A114" s="31" t="inlineStr">
        <is>
          <t>SSWL</t>
        </is>
      </c>
      <c r="B114" s="31" t="inlineStr">
        <is>
          <t>Steel Strips Wheels Limited</t>
        </is>
      </c>
      <c r="C114" s="31" t="inlineStr">
        <is>
          <t>auto</t>
        </is>
      </c>
      <c r="D114" s="31" t="inlineStr">
        <is>
          <t>auto ancillaries</t>
        </is>
      </c>
      <c r="E114" s="31" t="inlineStr">
        <is>
          <t>midcap</t>
        </is>
      </c>
      <c r="F114" s="31" t="n">
        <v>6393.31</v>
      </c>
      <c r="G114" s="31" t="n">
        <v>402.8</v>
      </c>
      <c r="H114" s="31" t="n">
        <v>-0.97</v>
      </c>
      <c r="I114" s="31" t="n">
        <v>564334</v>
      </c>
      <c r="J114" s="31" t="inlineStr">
        <is>
          <t>513262</t>
        </is>
      </c>
    </row>
    <row r="115">
      <c r="A115" s="31" t="inlineStr">
        <is>
          <t>PERSISTENT</t>
        </is>
      </c>
      <c r="B115" s="31" t="inlineStr">
        <is>
          <t>Persistent Systems Limited</t>
        </is>
      </c>
      <c r="C115" s="31" t="inlineStr">
        <is>
          <t>i.t</t>
        </is>
      </c>
      <c r="D115" s="31" t="inlineStr">
        <is>
          <t>computers - software - large</t>
        </is>
      </c>
      <c r="E115" s="31" t="inlineStr">
        <is>
          <t>largecap</t>
        </is>
      </c>
      <c r="F115" s="31" t="n">
        <v>93040.95</v>
      </c>
      <c r="G115" s="31" t="n">
        <v>5840</v>
      </c>
      <c r="H115" s="31" t="n">
        <v>-0.98</v>
      </c>
      <c r="I115" s="31" t="n">
        <v>1334838</v>
      </c>
      <c r="J115" s="31" t="inlineStr">
        <is>
          <t>533179</t>
        </is>
      </c>
    </row>
    <row r="116">
      <c r="A116" s="31" t="inlineStr">
        <is>
          <t>ISGEC</t>
        </is>
      </c>
      <c r="B116" s="31" t="inlineStr">
        <is>
          <t>ISGEC Heavy Engineering  Ltd</t>
        </is>
      </c>
      <c r="C116" s="31" t="inlineStr">
        <is>
          <t>realty</t>
        </is>
      </c>
      <c r="D116" s="31" t="inlineStr">
        <is>
          <t>engineering - turnkey services</t>
        </is>
      </c>
      <c r="E116" s="31" t="inlineStr">
        <is>
          <t>midcap</t>
        </is>
      </c>
      <c r="F116" s="31" t="n">
        <v>6818.76</v>
      </c>
      <c r="G116" s="31" t="n">
        <v>918.05</v>
      </c>
      <c r="H116" s="31" t="n">
        <v>-1</v>
      </c>
      <c r="I116" s="31" t="n">
        <v>42359</v>
      </c>
      <c r="J116" s="31" t="inlineStr">
        <is>
          <t>533033</t>
        </is>
      </c>
    </row>
    <row r="117">
      <c r="A117" s="31" t="inlineStr">
        <is>
          <t>APOLLO</t>
        </is>
      </c>
      <c r="B117" s="31" t="inlineStr">
        <is>
          <t>Apollo Micro Systems Ltd</t>
        </is>
      </c>
      <c r="C117" s="31" t="inlineStr">
        <is>
          <t>aerospace &amp; defence</t>
        </is>
      </c>
      <c r="D117" s="31" t="inlineStr">
        <is>
          <t>electronics - components</t>
        </is>
      </c>
      <c r="E117" s="31" t="inlineStr">
        <is>
          <t>midcap</t>
        </is>
      </c>
      <c r="F117" s="31" t="n">
        <v>15670.35</v>
      </c>
      <c r="G117" s="31" t="n">
        <v>417.1</v>
      </c>
      <c r="H117" s="31" t="n">
        <v>-1.09</v>
      </c>
      <c r="I117" s="31" t="n">
        <v>8069949</v>
      </c>
      <c r="J117" s="31" t="inlineStr">
        <is>
          <t>540879</t>
        </is>
      </c>
    </row>
    <row r="118">
      <c r="A118" s="31" t="inlineStr">
        <is>
          <t>AURUM</t>
        </is>
      </c>
      <c r="B118" s="31" t="inlineStr">
        <is>
          <t>Aurum Proptech Ltd</t>
        </is>
      </c>
      <c r="C118" s="31" t="inlineStr">
        <is>
          <t>i.t</t>
        </is>
      </c>
      <c r="D118" s="31" t="inlineStr">
        <is>
          <t>computers - software - medium / small</t>
        </is>
      </c>
      <c r="E118" s="31" t="inlineStr">
        <is>
          <t>smallcap</t>
        </is>
      </c>
      <c r="F118" s="31" t="n">
        <v>2338.45</v>
      </c>
      <c r="G118" s="31" t="n">
        <v>239.1</v>
      </c>
      <c r="H118" s="31" t="n">
        <v>-1.27</v>
      </c>
      <c r="I118" s="31" t="n">
        <v>1914031</v>
      </c>
      <c r="J118" s="31" t="inlineStr">
        <is>
          <t>539289</t>
        </is>
      </c>
    </row>
    <row r="119">
      <c r="A119" s="31" t="inlineStr">
        <is>
          <t>DIACABS</t>
        </is>
      </c>
      <c r="B119" s="31" t="inlineStr">
        <is>
          <t>Diamond Power Infrastructure Ltd</t>
        </is>
      </c>
      <c r="C119" s="31" t="inlineStr">
        <is>
          <t>industrials</t>
        </is>
      </c>
      <c r="D119" s="31" t="inlineStr">
        <is>
          <t>cables - power</t>
        </is>
      </c>
      <c r="E119" s="31" t="inlineStr">
        <is>
          <t>largecap</t>
        </is>
      </c>
      <c r="F119" s="31" t="n">
        <v>22651.94</v>
      </c>
      <c r="G119" s="31" t="n">
        <v>373.75</v>
      </c>
      <c r="H119" s="31" t="n">
        <v>-1.32</v>
      </c>
      <c r="I119" s="31" t="n">
        <v>772248</v>
      </c>
      <c r="J119" s="31" t="inlineStr">
        <is>
          <t>522163</t>
        </is>
      </c>
    </row>
    <row r="120">
      <c r="A120" s="31" t="inlineStr">
        <is>
          <t>PNBHOUSING</t>
        </is>
      </c>
      <c r="B120" s="31" t="inlineStr">
        <is>
          <t>Pnb Housing Finance Limited</t>
        </is>
      </c>
      <c r="C120" s="31" t="inlineStr">
        <is>
          <t>financials</t>
        </is>
      </c>
      <c r="D120" s="31" t="inlineStr">
        <is>
          <t>finance - housing</t>
        </is>
      </c>
      <c r="E120" s="31" t="inlineStr">
        <is>
          <t>largecap</t>
        </is>
      </c>
      <c r="F120" s="31" t="n">
        <v>31270.79</v>
      </c>
      <c r="G120" s="31" t="n">
        <v>1183.9</v>
      </c>
      <c r="H120" s="31" t="n">
        <v>-1.34</v>
      </c>
      <c r="I120" s="31" t="n">
        <v>462065</v>
      </c>
      <c r="J120" s="31" t="inlineStr">
        <is>
          <t>540173</t>
        </is>
      </c>
    </row>
    <row r="121">
      <c r="A121" s="31" t="inlineStr">
        <is>
          <t>KMEW</t>
        </is>
      </c>
      <c r="B121" s="31" t="inlineStr">
        <is>
          <t>Knowledge Marine &amp; Engineering Works Ltd</t>
        </is>
      </c>
      <c r="C121" s="31" t="inlineStr">
        <is>
          <t>transportation</t>
        </is>
      </c>
      <c r="D121" s="31" t="inlineStr">
        <is>
          <t>miscellaneous</t>
        </is>
      </c>
      <c r="E121" s="31" t="inlineStr">
        <is>
          <t>midcap</t>
        </is>
      </c>
      <c r="F121" s="31" t="n">
        <v>8286.01</v>
      </c>
      <c r="G121" s="31" t="n">
        <v>3242.3</v>
      </c>
      <c r="H121" s="31" t="n">
        <v>-1.36</v>
      </c>
      <c r="I121" s="31" t="n">
        <v>91819</v>
      </c>
      <c r="J121" s="31" t="inlineStr">
        <is>
          <t>543273</t>
        </is>
      </c>
    </row>
    <row r="122">
      <c r="A122" s="31" t="inlineStr">
        <is>
          <t>CCL</t>
        </is>
      </c>
      <c r="B122" s="31" t="inlineStr">
        <is>
          <t>Ccl Products (india) Limited</t>
        </is>
      </c>
      <c r="C122" s="31" t="inlineStr">
        <is>
          <t>fmcg</t>
        </is>
      </c>
      <c r="D122" s="31" t="inlineStr">
        <is>
          <t>tea</t>
        </is>
      </c>
      <c r="E122" s="31" t="inlineStr">
        <is>
          <t>midcap</t>
        </is>
      </c>
      <c r="F122" s="31" t="n">
        <v>14696.08</v>
      </c>
      <c r="G122" s="31" t="n">
        <v>1085.4</v>
      </c>
      <c r="H122" s="31" t="n">
        <v>-1.38</v>
      </c>
      <c r="I122" s="31" t="n">
        <v>137667</v>
      </c>
      <c r="J122" s="31" t="inlineStr">
        <is>
          <t>519600</t>
        </is>
      </c>
    </row>
    <row r="123">
      <c r="A123" s="31" t="inlineStr">
        <is>
          <t>FEDFINA</t>
        </is>
      </c>
      <c r="B123" s="31" t="inlineStr">
        <is>
          <t>Fedbank Financial Services Ltd</t>
        </is>
      </c>
      <c r="C123" s="31" t="inlineStr">
        <is>
          <t>financials</t>
        </is>
      </c>
      <c r="D123" s="31" t="inlineStr">
        <is>
          <t>finance &amp; investments</t>
        </is>
      </c>
      <c r="E123" s="31" t="inlineStr">
        <is>
          <t>midcap</t>
        </is>
      </c>
      <c r="F123" s="31" t="n">
        <v>5996.25</v>
      </c>
      <c r="G123" s="31" t="n">
        <v>157.58</v>
      </c>
      <c r="H123" s="31" t="n">
        <v>-1.48</v>
      </c>
      <c r="I123" s="31" t="n">
        <v>5760348</v>
      </c>
      <c r="J123" s="31" t="inlineStr">
        <is>
          <t>544027</t>
        </is>
      </c>
    </row>
    <row r="124">
      <c r="A124" s="31" t="inlineStr">
        <is>
          <t>ARFIN</t>
        </is>
      </c>
      <c r="B124" s="31" t="inlineStr">
        <is>
          <t>Arfin India Ltd</t>
        </is>
      </c>
      <c r="C124" s="31" t="inlineStr">
        <is>
          <t>metals &amp; mining</t>
        </is>
      </c>
      <c r="D124" s="31" t="inlineStr">
        <is>
          <t>aluminium and aluminium products</t>
        </is>
      </c>
      <c r="E124" s="31" t="inlineStr">
        <is>
          <t>smallcap</t>
        </is>
      </c>
      <c r="F124" s="31" t="n">
        <v>1783.4</v>
      </c>
      <c r="G124" s="31" t="n">
        <v>104.11</v>
      </c>
      <c r="H124" s="31" t="n">
        <v>-1.5</v>
      </c>
      <c r="I124" s="31" t="n">
        <v>4397879</v>
      </c>
      <c r="J124" s="31" t="inlineStr">
        <is>
          <t>539151</t>
        </is>
      </c>
    </row>
    <row r="125">
      <c r="A125" s="31" t="inlineStr">
        <is>
          <t>SPECTRUM</t>
        </is>
      </c>
      <c r="B125" s="31" t="inlineStr">
        <is>
          <t>Spectrum Electrical Industries Ltd</t>
        </is>
      </c>
      <c r="C125" s="31" t="inlineStr">
        <is>
          <t>industrials</t>
        </is>
      </c>
      <c r="D125" s="31" t="inlineStr">
        <is>
          <t>electric equipment</t>
        </is>
      </c>
      <c r="E125" s="31" t="inlineStr">
        <is>
          <t>midcap</t>
        </is>
      </c>
      <c r="F125" s="31" t="n">
        <v>6591.49</v>
      </c>
      <c r="G125" s="31" t="n">
        <v>3798.8</v>
      </c>
      <c r="H125" s="31" t="n">
        <v>-1.52</v>
      </c>
      <c r="I125" s="31" t="n">
        <v>3851</v>
      </c>
      <c r="J125" s="31" t="inlineStr">
        <is>
          <t>535112</t>
        </is>
      </c>
    </row>
    <row r="126">
      <c r="A126" s="31" t="inlineStr">
        <is>
          <t>SIMPLEXINF</t>
        </is>
      </c>
      <c r="B126" s="31" t="inlineStr">
        <is>
          <t>Simplex Infrastructures Limited</t>
        </is>
      </c>
      <c r="C126" s="31" t="inlineStr">
        <is>
          <t>realty</t>
        </is>
      </c>
      <c r="D126" s="31" t="inlineStr">
        <is>
          <t>construction</t>
        </is>
      </c>
      <c r="E126" s="31" t="inlineStr">
        <is>
          <t>smallcap</t>
        </is>
      </c>
      <c r="F126" s="31" t="n">
        <v>2108.76</v>
      </c>
      <c r="G126" s="31" t="n">
        <v>262.5</v>
      </c>
      <c r="H126" s="31" t="n">
        <v>-1.54</v>
      </c>
      <c r="I126" s="31" t="n">
        <v>85702</v>
      </c>
      <c r="J126" s="31" t="inlineStr">
        <is>
          <t>523838</t>
        </is>
      </c>
    </row>
    <row r="127">
      <c r="A127" s="31" t="inlineStr">
        <is>
          <t>ESAFSFB</t>
        </is>
      </c>
      <c r="B127" s="31" t="inlineStr">
        <is>
          <t>ESAF Small Finance Bank Ltd</t>
        </is>
      </c>
      <c r="C127" s="31" t="inlineStr">
        <is>
          <t>bank</t>
        </is>
      </c>
      <c r="D127" s="31" t="inlineStr">
        <is>
          <t>banks - private sector</t>
        </is>
      </c>
      <c r="E127" s="31" t="inlineStr">
        <is>
          <t>smallcap</t>
        </is>
      </c>
      <c r="F127" s="31" t="n">
        <v>2290.31</v>
      </c>
      <c r="G127" s="31" t="n">
        <v>43.68</v>
      </c>
      <c r="H127" s="31" t="n">
        <v>-1.6</v>
      </c>
      <c r="I127" s="31" t="n">
        <v>308276</v>
      </c>
      <c r="J127" s="31" t="inlineStr">
        <is>
          <t>544020</t>
        </is>
      </c>
    </row>
    <row r="128">
      <c r="A128" s="31" t="inlineStr">
        <is>
          <t>NRAIL</t>
        </is>
      </c>
      <c r="B128" s="31" t="inlineStr">
        <is>
          <t>N R Agarwal Industries Ltd</t>
        </is>
      </c>
      <c r="C128" s="31" t="inlineStr">
        <is>
          <t>building materials</t>
        </is>
      </c>
      <c r="D128" s="31" t="inlineStr">
        <is>
          <t>paper</t>
        </is>
      </c>
      <c r="E128" s="31" t="inlineStr">
        <is>
          <t>smallcap</t>
        </is>
      </c>
      <c r="F128" s="31" t="n">
        <v>1317.62</v>
      </c>
      <c r="G128" s="31" t="n">
        <v>761.5</v>
      </c>
      <c r="H128" s="31" t="n">
        <v>-1.64</v>
      </c>
      <c r="I128" s="31" t="n">
        <v>64910</v>
      </c>
      <c r="J128" s="31" t="inlineStr">
        <is>
          <t>516082</t>
        </is>
      </c>
    </row>
    <row r="129">
      <c r="A129" s="31" t="inlineStr">
        <is>
          <t>MAYURUNIQ</t>
        </is>
      </c>
      <c r="B129" s="31" t="inlineStr">
        <is>
          <t>Mayur Uniquoters Ltd</t>
        </is>
      </c>
      <c r="C129" s="31" t="inlineStr">
        <is>
          <t>consumer discretionary</t>
        </is>
      </c>
      <c r="D129" s="31" t="inlineStr">
        <is>
          <t>leather / leather products</t>
        </is>
      </c>
      <c r="E129" s="31" t="inlineStr">
        <is>
          <t>smallcap</t>
        </is>
      </c>
      <c r="F129" s="31" t="n">
        <v>3493.15</v>
      </c>
      <c r="G129" s="31" t="n">
        <v>790.65</v>
      </c>
      <c r="H129" s="31" t="n">
        <v>-1.65</v>
      </c>
      <c r="I129" s="31" t="n">
        <v>66090</v>
      </c>
      <c r="J129" s="31" t="inlineStr">
        <is>
          <t>522249</t>
        </is>
      </c>
    </row>
    <row r="130">
      <c r="A130" s="31" t="inlineStr">
        <is>
          <t>DELTACORP</t>
        </is>
      </c>
      <c r="B130" s="31" t="inlineStr">
        <is>
          <t>Delta Corp Limited</t>
        </is>
      </c>
      <c r="C130" s="31" t="inlineStr">
        <is>
          <t>miscellaneous</t>
        </is>
      </c>
      <c r="D130" s="31" t="inlineStr">
        <is>
          <t>recreation / amusement parks</t>
        </is>
      </c>
      <c r="E130" s="31" t="inlineStr">
        <is>
          <t>smallcap</t>
        </is>
      </c>
      <c r="F130" s="31" t="n">
        <v>2174.57</v>
      </c>
      <c r="G130" s="31" t="n">
        <v>79.72</v>
      </c>
      <c r="H130" s="31" t="n">
        <v>-1.83</v>
      </c>
      <c r="I130" s="31" t="n">
        <v>3674107</v>
      </c>
      <c r="J130" s="31" t="inlineStr">
        <is>
          <t>532848</t>
        </is>
      </c>
    </row>
    <row r="131">
      <c r="A131" s="31" t="inlineStr">
        <is>
          <t>INDORAMA</t>
        </is>
      </c>
      <c r="B131" s="31" t="inlineStr">
        <is>
          <t>Indo Rama Synthetics (india) Limited</t>
        </is>
      </c>
      <c r="C131" s="31" t="inlineStr">
        <is>
          <t>textiles</t>
        </is>
      </c>
      <c r="D131" s="31" t="inlineStr">
        <is>
          <t>textiles - manmade</t>
        </is>
      </c>
      <c r="E131" s="31" t="inlineStr">
        <is>
          <t>smallcap</t>
        </is>
      </c>
      <c r="F131" s="31" t="n">
        <v>2515.56</v>
      </c>
      <c r="G131" s="31" t="n">
        <v>94.56</v>
      </c>
      <c r="H131" s="31" t="n">
        <v>-1.85</v>
      </c>
      <c r="I131" s="31" t="n">
        <v>458125</v>
      </c>
      <c r="J131" s="31" t="inlineStr">
        <is>
          <t>500207</t>
        </is>
      </c>
    </row>
    <row r="132">
      <c r="A132" s="31" t="inlineStr">
        <is>
          <t>TFCILTD</t>
        </is>
      </c>
      <c r="B132" s="31" t="inlineStr">
        <is>
          <t>Tourism Finance Corporation Of India Limited</t>
        </is>
      </c>
      <c r="C132" s="31" t="inlineStr">
        <is>
          <t>financials</t>
        </is>
      </c>
      <c r="D132" s="31" t="inlineStr">
        <is>
          <t>finance - term-lending institutions</t>
        </is>
      </c>
      <c r="E132" s="31" t="inlineStr">
        <is>
          <t>midcap</t>
        </is>
      </c>
      <c r="F132" s="31" t="n">
        <v>7444.67</v>
      </c>
      <c r="G132" s="31" t="n">
        <v>157.82</v>
      </c>
      <c r="H132" s="31" t="n">
        <v>-1.85</v>
      </c>
      <c r="I132" s="31" t="n">
        <v>17645856</v>
      </c>
      <c r="J132" s="31" t="inlineStr">
        <is>
          <t>526650</t>
        </is>
      </c>
    </row>
    <row r="133">
      <c r="A133" s="31" t="inlineStr">
        <is>
          <t>DPABHUSHAN</t>
        </is>
      </c>
      <c r="B133" s="31" t="inlineStr">
        <is>
          <t>D.P. Abhushan Ltd</t>
        </is>
      </c>
      <c r="C133" s="31" t="inlineStr">
        <is>
          <t>consumer discretionary</t>
        </is>
      </c>
      <c r="D133" s="31" t="inlineStr">
        <is>
          <t>trading</t>
        </is>
      </c>
      <c r="E133" s="31" t="inlineStr">
        <is>
          <t>midcap</t>
        </is>
      </c>
      <c r="F133" s="31" t="n">
        <v>5564.99</v>
      </c>
      <c r="G133" s="31" t="n">
        <v>2392.5</v>
      </c>
      <c r="H133" s="31" t="n">
        <v>-1.86</v>
      </c>
      <c r="I133" s="31" t="n">
        <v>55002</v>
      </c>
      <c r="J133" s="31" t="inlineStr">
        <is>
          <t>535026</t>
        </is>
      </c>
    </row>
    <row r="134">
      <c r="A134" s="31" t="inlineStr">
        <is>
          <t>MBECL</t>
        </is>
      </c>
      <c r="B134" s="31" t="inlineStr">
        <is>
          <t>Mcnally Bharat Engineering Company Limited</t>
        </is>
      </c>
      <c r="C134" s="31" t="inlineStr">
        <is>
          <t>realty</t>
        </is>
      </c>
      <c r="D134" s="31" t="inlineStr">
        <is>
          <t>engineering - turnkey services</t>
        </is>
      </c>
      <c r="E134" s="31" t="inlineStr">
        <is>
          <t>smallcap</t>
        </is>
      </c>
      <c r="F134" s="31" t="n">
        <v>1458.67</v>
      </c>
      <c r="G134" s="31" t="n">
        <v>428.85</v>
      </c>
      <c r="H134" s="31" t="n">
        <v>-2</v>
      </c>
      <c r="I134" s="31" t="n">
        <v>59</v>
      </c>
      <c r="J134" s="31" t="inlineStr">
        <is>
          <t>532629</t>
        </is>
      </c>
    </row>
    <row r="135">
      <c r="A135" s="31" t="inlineStr">
        <is>
          <t>BLKASHYAP</t>
        </is>
      </c>
      <c r="B135" s="31" t="inlineStr">
        <is>
          <t>B. L. Kashyap And Sons Limited</t>
        </is>
      </c>
      <c r="C135" s="31" t="inlineStr">
        <is>
          <t>realty</t>
        </is>
      </c>
      <c r="D135" s="31" t="inlineStr">
        <is>
          <t>construction</t>
        </is>
      </c>
      <c r="E135" s="31" t="inlineStr">
        <is>
          <t>smallcap</t>
        </is>
      </c>
      <c r="F135" s="31" t="n">
        <v>1352.19</v>
      </c>
      <c r="G135" s="31" t="n">
        <v>58.78</v>
      </c>
      <c r="H135" s="31" t="n">
        <v>-2</v>
      </c>
      <c r="I135" s="31" t="n">
        <v>1179804</v>
      </c>
      <c r="J135" s="31" t="inlineStr">
        <is>
          <t>532719</t>
        </is>
      </c>
    </row>
    <row r="136">
      <c r="A136" s="31" t="inlineStr">
        <is>
          <t>OCCLLTD</t>
        </is>
      </c>
      <c r="B136" s="31" t="inlineStr">
        <is>
          <t>OCCL Ltd</t>
        </is>
      </c>
      <c r="C136" s="31" t="inlineStr">
        <is>
          <t>chemicals</t>
        </is>
      </c>
      <c r="D136" s="31" t="inlineStr">
        <is>
          <t>chemicals</t>
        </is>
      </c>
      <c r="E136" s="31" t="inlineStr">
        <is>
          <t>smallcap</t>
        </is>
      </c>
      <c r="F136" s="31" t="n">
        <v>1152.66</v>
      </c>
      <c r="G136" s="31" t="n">
        <v>226.15</v>
      </c>
      <c r="H136" s="31" t="n">
        <v>-2</v>
      </c>
      <c r="I136" s="31" t="n">
        <v>187890</v>
      </c>
      <c r="J136" s="31" t="inlineStr">
        <is>
          <t>544278</t>
        </is>
      </c>
    </row>
    <row r="137">
      <c r="A137" s="31" t="inlineStr">
        <is>
          <t>FINEORG</t>
        </is>
      </c>
      <c r="B137" s="31" t="inlineStr">
        <is>
          <t>Fine Organic Industries Ltd</t>
        </is>
      </c>
      <c r="C137" s="31" t="inlineStr">
        <is>
          <t>chemicals</t>
        </is>
      </c>
      <c r="D137" s="31" t="inlineStr">
        <is>
          <t>chemicals</t>
        </is>
      </c>
      <c r="E137" s="31" t="inlineStr">
        <is>
          <t>midcap</t>
        </is>
      </c>
      <c r="F137" s="31" t="n">
        <v>16908.98</v>
      </c>
      <c r="G137" s="31" t="n">
        <v>5402.5</v>
      </c>
      <c r="H137" s="31" t="n">
        <v>-2.04</v>
      </c>
      <c r="I137" s="31" t="n">
        <v>19733</v>
      </c>
      <c r="J137" s="31" t="inlineStr">
        <is>
          <t>541557</t>
        </is>
      </c>
    </row>
    <row r="138">
      <c r="A138" s="31" t="inlineStr">
        <is>
          <t>PATELRMART</t>
        </is>
      </c>
      <c r="B138" s="31" t="inlineStr">
        <is>
          <t>Patel Retail Ltd</t>
        </is>
      </c>
      <c r="C138" s="31" t="inlineStr">
        <is>
          <t>consumer discretionary</t>
        </is>
      </c>
      <c r="D138" s="31" t="inlineStr">
        <is>
          <t>trading</t>
        </is>
      </c>
      <c r="E138" s="31" t="inlineStr">
        <is>
          <t>smallcap</t>
        </is>
      </c>
      <c r="F138" s="31" t="n">
        <v>806.99</v>
      </c>
      <c r="G138" s="31" t="n">
        <v>236.58</v>
      </c>
      <c r="H138" s="31" t="n">
        <v>-2.08</v>
      </c>
      <c r="I138" s="31" t="n">
        <v>100288</v>
      </c>
      <c r="J138" s="31" t="inlineStr">
        <is>
          <t>544487</t>
        </is>
      </c>
    </row>
    <row r="139">
      <c r="A139" s="31" t="inlineStr">
        <is>
          <t>UNIMECH</t>
        </is>
      </c>
      <c r="B139" s="31" t="inlineStr">
        <is>
          <t>Unimech Aerospace and Manufacturing Ltd</t>
        </is>
      </c>
      <c r="C139" s="31" t="inlineStr">
        <is>
          <t>aerospace &amp; defence</t>
        </is>
      </c>
      <c r="D139" s="31" t="inlineStr">
        <is>
          <t>engineering</t>
        </is>
      </c>
      <c r="E139" s="31" t="inlineStr">
        <is>
          <t>midcap</t>
        </is>
      </c>
      <c r="F139" s="31" t="n">
        <v>9163.379999999999</v>
      </c>
      <c r="G139" s="31" t="n">
        <v>1757.8</v>
      </c>
      <c r="H139" s="31" t="n">
        <v>-2.36</v>
      </c>
      <c r="I139" s="31" t="n">
        <v>93711</v>
      </c>
      <c r="J139" s="31" t="inlineStr">
        <is>
          <t>544322</t>
        </is>
      </c>
    </row>
    <row r="140">
      <c r="A140" s="31" t="inlineStr">
        <is>
          <t>PREMIERPOL</t>
        </is>
      </c>
      <c r="B140" s="31" t="inlineStr">
        <is>
          <t>Premier Polyfilm Limited</t>
        </is>
      </c>
      <c r="C140" s="31" t="inlineStr">
        <is>
          <t>plastic products</t>
        </is>
      </c>
      <c r="D140" s="31" t="inlineStr">
        <is>
          <t>plastics products</t>
        </is>
      </c>
      <c r="E140" s="31" t="inlineStr">
        <is>
          <t>smallcap</t>
        </is>
      </c>
      <c r="F140" s="31" t="n">
        <v>1140.23</v>
      </c>
      <c r="G140" s="31" t="n">
        <v>106.13</v>
      </c>
      <c r="H140" s="31" t="n">
        <v>-2.51</v>
      </c>
      <c r="I140" s="31" t="n">
        <v>318480</v>
      </c>
      <c r="J140" s="31" t="inlineStr">
        <is>
          <t>514354</t>
        </is>
      </c>
    </row>
    <row r="141">
      <c r="A141" s="31" t="inlineStr">
        <is>
          <t>AVADHSUGAR</t>
        </is>
      </c>
      <c r="B141" s="31" t="inlineStr">
        <is>
          <t>Avadh Sugar &amp; Energy</t>
        </is>
      </c>
      <c r="C141" s="31" t="inlineStr">
        <is>
          <t>fmcg</t>
        </is>
      </c>
      <c r="D141" s="31" t="inlineStr">
        <is>
          <t>sugar</t>
        </is>
      </c>
      <c r="E141" s="31" t="inlineStr">
        <is>
          <t>smallcap</t>
        </is>
      </c>
      <c r="F141" s="31" t="n">
        <v>1994.13</v>
      </c>
      <c r="G141" s="31" t="n">
        <v>970.25</v>
      </c>
      <c r="H141" s="31" t="n">
        <v>-2.6</v>
      </c>
      <c r="I141" s="31" t="n">
        <v>134429</v>
      </c>
      <c r="J141" s="31" t="inlineStr">
        <is>
          <t>540649</t>
        </is>
      </c>
    </row>
    <row r="142">
      <c r="A142" s="31" t="inlineStr">
        <is>
          <t>JAYNECOIND</t>
        </is>
      </c>
      <c r="B142" s="31" t="inlineStr">
        <is>
          <t>Jayaswal Neco Industries Limited</t>
        </is>
      </c>
      <c r="C142" s="31" t="inlineStr">
        <is>
          <t>metals &amp; mining</t>
        </is>
      </c>
      <c r="D142" s="31" t="inlineStr">
        <is>
          <t>steel - large</t>
        </is>
      </c>
      <c r="E142" s="31" t="inlineStr">
        <is>
          <t>midcap</t>
        </is>
      </c>
      <c r="F142" s="31" t="n">
        <v>9609.969999999999</v>
      </c>
      <c r="G142" s="31" t="n">
        <v>96.34999999999999</v>
      </c>
      <c r="H142" s="31" t="n">
        <v>-2.65</v>
      </c>
      <c r="I142" s="31" t="n">
        <v>3007344</v>
      </c>
      <c r="J142" s="31" t="inlineStr">
        <is>
          <t>522285</t>
        </is>
      </c>
    </row>
    <row r="143">
      <c r="A143" s="31" t="inlineStr">
        <is>
          <t>MUKANDLTD</t>
        </is>
      </c>
      <c r="B143" s="31" t="inlineStr">
        <is>
          <t>Mukand Limited</t>
        </is>
      </c>
      <c r="C143" s="31" t="inlineStr">
        <is>
          <t>metals &amp; mining</t>
        </is>
      </c>
      <c r="D143" s="31" t="inlineStr">
        <is>
          <t>steel - medium / small</t>
        </is>
      </c>
      <c r="E143" s="31" t="inlineStr">
        <is>
          <t>smallcap</t>
        </is>
      </c>
      <c r="F143" s="31" t="n">
        <v>2528.96</v>
      </c>
      <c r="G143" s="31" t="n">
        <v>170.35</v>
      </c>
      <c r="H143" s="31" t="n">
        <v>-2.67</v>
      </c>
      <c r="I143" s="31" t="n">
        <v>213334</v>
      </c>
      <c r="J143" s="31" t="inlineStr">
        <is>
          <t>500460</t>
        </is>
      </c>
    </row>
    <row r="144">
      <c r="A144" s="31" t="inlineStr">
        <is>
          <t>MMP</t>
        </is>
      </c>
      <c r="B144" s="31" t="inlineStr">
        <is>
          <t>MMP Industries Ltd</t>
        </is>
      </c>
      <c r="C144" s="31" t="inlineStr">
        <is>
          <t>metals &amp; mining</t>
        </is>
      </c>
      <c r="D144" s="31" t="inlineStr">
        <is>
          <t>aluminium and aluminium products</t>
        </is>
      </c>
      <c r="E144" s="31" t="inlineStr">
        <is>
          <t>smallcap</t>
        </is>
      </c>
      <c r="F144" s="31" t="n">
        <v>1292.1</v>
      </c>
      <c r="G144" s="31" t="n">
        <v>494.8</v>
      </c>
      <c r="H144" s="31" t="n">
        <v>-2.72</v>
      </c>
      <c r="I144" s="31" t="n">
        <v>104467</v>
      </c>
      <c r="J144" s="31" t="inlineStr">
        <is>
          <t>535071</t>
        </is>
      </c>
    </row>
    <row r="145">
      <c r="A145" s="31" t="inlineStr">
        <is>
          <t>BAJAJHIND</t>
        </is>
      </c>
      <c r="B145" s="31" t="inlineStr">
        <is>
          <t>Bajaj Hindusthan Sugar Limited</t>
        </is>
      </c>
      <c r="C145" s="31" t="inlineStr">
        <is>
          <t>fmcg</t>
        </is>
      </c>
      <c r="D145" s="31" t="inlineStr">
        <is>
          <t>sugar</t>
        </is>
      </c>
      <c r="E145" s="31" t="inlineStr">
        <is>
          <t>midcap</t>
        </is>
      </c>
      <c r="F145" s="31" t="n">
        <v>5273.81</v>
      </c>
      <c r="G145" s="31" t="n">
        <v>21.45</v>
      </c>
      <c r="H145" s="31" t="n">
        <v>-2.77</v>
      </c>
      <c r="I145" s="31" t="n">
        <v>13767923</v>
      </c>
      <c r="J145" s="31" t="inlineStr">
        <is>
          <t>500032</t>
        </is>
      </c>
    </row>
    <row r="146">
      <c r="A146" s="31" t="inlineStr">
        <is>
          <t>KABRAEXTRU</t>
        </is>
      </c>
      <c r="B146" s="31" t="inlineStr">
        <is>
          <t>Kabra Extrusion Technik Limited</t>
        </is>
      </c>
      <c r="C146" s="31" t="inlineStr">
        <is>
          <t>industrials</t>
        </is>
      </c>
      <c r="D146" s="31" t="inlineStr">
        <is>
          <t>engineering</t>
        </is>
      </c>
      <c r="E146" s="31" t="inlineStr">
        <is>
          <t>smallcap</t>
        </is>
      </c>
      <c r="F146" s="31" t="n">
        <v>3248.33</v>
      </c>
      <c r="G146" s="31" t="n">
        <v>814.7</v>
      </c>
      <c r="H146" s="31" t="n">
        <v>-2.86</v>
      </c>
      <c r="I146" s="31" t="n">
        <v>99236</v>
      </c>
      <c r="J146" s="31" t="inlineStr">
        <is>
          <t>524109</t>
        </is>
      </c>
    </row>
    <row r="147">
      <c r="A147" s="31" t="inlineStr">
        <is>
          <t>DHANBANK</t>
        </is>
      </c>
      <c r="B147" s="31" t="inlineStr">
        <is>
          <t>Dhanlaxmi Bank Limited</t>
        </is>
      </c>
      <c r="C147" s="31" t="inlineStr">
        <is>
          <t>bank</t>
        </is>
      </c>
      <c r="D147" s="31" t="inlineStr">
        <is>
          <t>banks - private sector</t>
        </is>
      </c>
      <c r="E147" s="31" t="inlineStr">
        <is>
          <t>smallcap</t>
        </is>
      </c>
      <c r="F147" s="31" t="n">
        <v>1358.16</v>
      </c>
      <c r="G147" s="31" t="n">
        <v>33.42</v>
      </c>
      <c r="H147" s="31" t="n">
        <v>-2.88</v>
      </c>
      <c r="I147" s="31" t="n">
        <v>2380082</v>
      </c>
      <c r="J147" s="31" t="inlineStr">
        <is>
          <t>532180</t>
        </is>
      </c>
    </row>
    <row r="148">
      <c r="A148" s="31" t="inlineStr">
        <is>
          <t>GAEL</t>
        </is>
      </c>
      <c r="B148" s="31" t="inlineStr">
        <is>
          <t>Gujarat Ambuja Exports Limited</t>
        </is>
      </c>
      <c r="C148" s="31" t="inlineStr">
        <is>
          <t>fmcg</t>
        </is>
      </c>
      <c r="D148" s="31" t="inlineStr">
        <is>
          <t>miscellaneous</t>
        </is>
      </c>
      <c r="E148" s="31" t="inlineStr">
        <is>
          <t>midcap</t>
        </is>
      </c>
      <c r="F148" s="31" t="n">
        <v>8209.290000000001</v>
      </c>
      <c r="G148" s="31" t="n">
        <v>173.7</v>
      </c>
      <c r="H148" s="31" t="n">
        <v>-2.95</v>
      </c>
      <c r="I148" s="31" t="n">
        <v>841803</v>
      </c>
      <c r="J148" s="31" t="inlineStr">
        <is>
          <t>524226</t>
        </is>
      </c>
    </row>
    <row r="149">
      <c r="A149" s="31" t="inlineStr">
        <is>
          <t>MAGADSUGAR</t>
        </is>
      </c>
      <c r="B149" s="31" t="inlineStr">
        <is>
          <t>Magadh Sugar &amp; Energy Ltd</t>
        </is>
      </c>
      <c r="C149" s="31" t="inlineStr">
        <is>
          <t>fmcg</t>
        </is>
      </c>
      <c r="D149" s="31" t="inlineStr">
        <is>
          <t>sugar</t>
        </is>
      </c>
      <c r="E149" s="31" t="inlineStr">
        <is>
          <t>smallcap</t>
        </is>
      </c>
      <c r="F149" s="31" t="n">
        <v>845.22</v>
      </c>
      <c r="G149" s="31" t="n">
        <v>581.15</v>
      </c>
      <c r="H149" s="31" t="n">
        <v>-3.11</v>
      </c>
      <c r="I149" s="31" t="n">
        <v>22967</v>
      </c>
      <c r="J149" s="31" t="inlineStr">
        <is>
          <t>540650</t>
        </is>
      </c>
    </row>
    <row r="150">
      <c r="A150" s="31" t="inlineStr">
        <is>
          <t>GOODLUCK</t>
        </is>
      </c>
      <c r="B150" s="31" t="inlineStr">
        <is>
          <t>Goodluck India Limited</t>
        </is>
      </c>
      <c r="C150" s="31" t="inlineStr">
        <is>
          <t>metals &amp; mining</t>
        </is>
      </c>
      <c r="D150" s="31" t="inlineStr">
        <is>
          <t>steel - medium / small</t>
        </is>
      </c>
      <c r="E150" s="31" t="inlineStr">
        <is>
          <t>midcap</t>
        </is>
      </c>
      <c r="F150" s="31" t="n">
        <v>5947.03</v>
      </c>
      <c r="G150" s="31" t="n">
        <v>577.2</v>
      </c>
      <c r="H150" s="31" t="n">
        <v>-3.22</v>
      </c>
      <c r="I150" s="31" t="n">
        <v>2045591</v>
      </c>
      <c r="J150" s="31" t="inlineStr">
        <is>
          <t>530655</t>
        </is>
      </c>
    </row>
    <row r="151">
      <c r="A151" s="31" t="inlineStr">
        <is>
          <t>RGL</t>
        </is>
      </c>
      <c r="B151" s="31" t="inlineStr">
        <is>
          <t>Renaissance Global Ltd</t>
        </is>
      </c>
      <c r="C151" s="31" t="inlineStr">
        <is>
          <t>consumer discretionary</t>
        </is>
      </c>
      <c r="D151" s="31" t="inlineStr">
        <is>
          <t>diamond cutting / jewellery</t>
        </is>
      </c>
      <c r="E151" s="31" t="inlineStr">
        <is>
          <t>smallcap</t>
        </is>
      </c>
      <c r="F151" s="31" t="n">
        <v>1825.69</v>
      </c>
      <c r="G151" s="31" t="n">
        <v>164.47</v>
      </c>
      <c r="H151" s="31" t="n">
        <v>-3.28</v>
      </c>
      <c r="I151" s="31" t="n">
        <v>241438</v>
      </c>
      <c r="J151" s="31" t="inlineStr">
        <is>
          <t>532923</t>
        </is>
      </c>
    </row>
    <row r="152">
      <c r="A152" s="31" t="inlineStr">
        <is>
          <t>KOPRAN</t>
        </is>
      </c>
      <c r="B152" s="31" t="inlineStr">
        <is>
          <t>Kopran Limited</t>
        </is>
      </c>
      <c r="C152" s="31" t="inlineStr">
        <is>
          <t>healthcare</t>
        </is>
      </c>
      <c r="D152" s="31" t="inlineStr">
        <is>
          <t>pharmaceuticals - indian - bulk drugs &amp; formln</t>
        </is>
      </c>
      <c r="E152" s="31" t="inlineStr">
        <is>
          <t>smallcap</t>
        </is>
      </c>
      <c r="F152" s="31" t="n">
        <v>1372.22</v>
      </c>
      <c r="G152" s="31" t="n">
        <v>273.9</v>
      </c>
      <c r="H152" s="31" t="n">
        <v>-3.54</v>
      </c>
      <c r="I152" s="31" t="n">
        <v>304250</v>
      </c>
      <c r="J152" s="31" t="inlineStr">
        <is>
          <t>524280</t>
        </is>
      </c>
    </row>
    <row r="153">
      <c r="A153" s="31" t="inlineStr">
        <is>
          <t>MODISONLTD</t>
        </is>
      </c>
      <c r="B153" s="31" t="inlineStr">
        <is>
          <t>Modison Ltd</t>
        </is>
      </c>
      <c r="C153" s="31" t="inlineStr">
        <is>
          <t>industrials</t>
        </is>
      </c>
      <c r="D153" s="31" t="inlineStr">
        <is>
          <t>electric equipment</t>
        </is>
      </c>
      <c r="E153" s="31" t="inlineStr">
        <is>
          <t>smallcap</t>
        </is>
      </c>
      <c r="F153" s="31" t="n">
        <v>1769.5</v>
      </c>
      <c r="G153" s="31" t="n">
        <v>525.5</v>
      </c>
      <c r="H153" s="31" t="n">
        <v>-3.63</v>
      </c>
      <c r="I153" s="31" t="n">
        <v>110904</v>
      </c>
      <c r="J153" s="31" t="inlineStr">
        <is>
          <t>506261</t>
        </is>
      </c>
    </row>
    <row r="154">
      <c r="A154" s="31" t="inlineStr">
        <is>
          <t>SUNTV</t>
        </is>
      </c>
      <c r="B154" s="31" t="inlineStr">
        <is>
          <t>Sun Tv Network Limited</t>
        </is>
      </c>
      <c r="C154" s="31" t="inlineStr">
        <is>
          <t>media</t>
        </is>
      </c>
      <c r="D154" s="31" t="inlineStr">
        <is>
          <t>entertainment / electronic media software</t>
        </is>
      </c>
      <c r="E154" s="31" t="inlineStr">
        <is>
          <t>largecap</t>
        </is>
      </c>
      <c r="F154" s="31" t="n">
        <v>25737.67</v>
      </c>
      <c r="G154" s="31" t="n">
        <v>629.15</v>
      </c>
      <c r="H154" s="31" t="n">
        <v>-3.67</v>
      </c>
      <c r="I154" s="31" t="n">
        <v>1492968</v>
      </c>
      <c r="J154" s="31" t="inlineStr">
        <is>
          <t>532733</t>
        </is>
      </c>
    </row>
    <row r="155">
      <c r="A155" s="31" t="inlineStr">
        <is>
          <t>RAYMOND</t>
        </is>
      </c>
      <c r="B155" s="31" t="inlineStr">
        <is>
          <t>Raymond Limited</t>
        </is>
      </c>
      <c r="C155" s="31" t="inlineStr">
        <is>
          <t>transportation</t>
        </is>
      </c>
      <c r="D155" s="31" t="inlineStr">
        <is>
          <t>transport - airlines</t>
        </is>
      </c>
      <c r="E155" s="31" t="inlineStr">
        <is>
          <t>midcap</t>
        </is>
      </c>
      <c r="F155" s="31" t="n">
        <v>7896.31</v>
      </c>
      <c r="G155" s="31" t="n">
        <v>1142.1</v>
      </c>
      <c r="H155" s="31" t="n">
        <v>-3.71</v>
      </c>
      <c r="I155" s="31" t="n">
        <v>558292</v>
      </c>
      <c r="J155" s="31" t="inlineStr">
        <is>
          <t>500330</t>
        </is>
      </c>
    </row>
    <row r="156">
      <c r="A156" s="31" t="inlineStr">
        <is>
          <t>SPORTKING</t>
        </is>
      </c>
      <c r="B156" s="31" t="inlineStr">
        <is>
          <t>Sportking India Ltd</t>
        </is>
      </c>
      <c r="C156" s="31" t="inlineStr">
        <is>
          <t>textiles</t>
        </is>
      </c>
      <c r="D156" s="31" t="inlineStr">
        <is>
          <t>textiles - spinning - synthetic / blended</t>
        </is>
      </c>
      <c r="E156" s="31" t="inlineStr">
        <is>
          <t>smallcap</t>
        </is>
      </c>
      <c r="F156" s="31" t="n">
        <v>2870.18</v>
      </c>
      <c r="G156" s="31" t="n">
        <v>217.36</v>
      </c>
      <c r="H156" s="31" t="n">
        <v>-3.77</v>
      </c>
      <c r="I156" s="31" t="n">
        <v>194912</v>
      </c>
      <c r="J156" s="31" t="inlineStr">
        <is>
          <t>539221</t>
        </is>
      </c>
    </row>
    <row r="157">
      <c r="A157" s="31" t="inlineStr">
        <is>
          <t>GANDHAR</t>
        </is>
      </c>
      <c r="B157" s="31" t="inlineStr">
        <is>
          <t>Gandhar Oil Refinery (India) Ltd</t>
        </is>
      </c>
      <c r="C157" s="31" t="inlineStr">
        <is>
          <t>energy</t>
        </is>
      </c>
      <c r="D157" s="31" t="inlineStr">
        <is>
          <t>refineries</t>
        </is>
      </c>
      <c r="E157" s="31" t="inlineStr">
        <is>
          <t>smallcap</t>
        </is>
      </c>
      <c r="F157" s="31" t="n">
        <v>3043.56</v>
      </c>
      <c r="G157" s="31" t="n">
        <v>299.1</v>
      </c>
      <c r="H157" s="31" t="n">
        <v>-3.81</v>
      </c>
      <c r="I157" s="31" t="n">
        <v>670954</v>
      </c>
      <c r="J157" s="31" t="inlineStr">
        <is>
          <t>544029</t>
        </is>
      </c>
    </row>
    <row r="158">
      <c r="A158" s="31" t="inlineStr">
        <is>
          <t>MAZDA</t>
        </is>
      </c>
      <c r="B158" s="31" t="inlineStr">
        <is>
          <t>Mazda Limited</t>
        </is>
      </c>
      <c r="C158" s="31" t="inlineStr">
        <is>
          <t>industrials</t>
        </is>
      </c>
      <c r="D158" s="31" t="inlineStr">
        <is>
          <t>engineering</t>
        </is>
      </c>
      <c r="E158" s="31" t="inlineStr">
        <is>
          <t>smallcap</t>
        </is>
      </c>
      <c r="F158" s="31" t="n">
        <v>641.7</v>
      </c>
      <c r="G158" s="31" t="n">
        <v>307.65</v>
      </c>
      <c r="H158" s="31" t="n">
        <v>-3.99</v>
      </c>
      <c r="I158" s="31" t="n">
        <v>83258</v>
      </c>
      <c r="J158" s="31" t="inlineStr">
        <is>
          <t>523792</t>
        </is>
      </c>
    </row>
    <row r="159">
      <c r="A159" s="31" t="inlineStr">
        <is>
          <t>GALAXYSURF</t>
        </is>
      </c>
      <c r="B159" s="31" t="inlineStr">
        <is>
          <t>Galaxy Surfactants Ltd</t>
        </is>
      </c>
      <c r="C159" s="31" t="inlineStr">
        <is>
          <t>chemicals</t>
        </is>
      </c>
      <c r="D159" s="31" t="inlineStr">
        <is>
          <t>chemicals</t>
        </is>
      </c>
      <c r="E159" s="31" t="inlineStr">
        <is>
          <t>midcap</t>
        </is>
      </c>
      <c r="F159" s="31" t="n">
        <v>9251.209999999999</v>
      </c>
      <c r="G159" s="31" t="n">
        <v>2504.8</v>
      </c>
      <c r="H159" s="31" t="n">
        <v>-4</v>
      </c>
      <c r="I159" s="31" t="n">
        <v>100850</v>
      </c>
      <c r="J159" s="31" t="inlineStr">
        <is>
          <t>540935</t>
        </is>
      </c>
    </row>
    <row r="160">
      <c r="A160" s="31" t="inlineStr">
        <is>
          <t>FAIRCHEMOR</t>
        </is>
      </c>
      <c r="B160" s="31" t="inlineStr">
        <is>
          <t>Fairchem Organics Ltd</t>
        </is>
      </c>
      <c r="C160" s="31" t="inlineStr">
        <is>
          <t>chemicals</t>
        </is>
      </c>
      <c r="D160" s="31" t="inlineStr">
        <is>
          <t>chemicals</t>
        </is>
      </c>
      <c r="E160" s="31" t="inlineStr">
        <is>
          <t>smallcap</t>
        </is>
      </c>
      <c r="F160" s="31" t="n">
        <v>998.29</v>
      </c>
      <c r="G160" s="31" t="n">
        <v>758.55</v>
      </c>
      <c r="H160" s="31" t="n">
        <v>-4.29</v>
      </c>
      <c r="I160" s="31" t="n">
        <v>22915</v>
      </c>
      <c r="J160" s="31" t="inlineStr">
        <is>
          <t>543252</t>
        </is>
      </c>
    </row>
    <row r="161">
      <c r="A161" s="31" t="inlineStr">
        <is>
          <t>RUBYMILLS</t>
        </is>
      </c>
      <c r="B161" s="31" t="inlineStr">
        <is>
          <t>The Ruby Mills Limited</t>
        </is>
      </c>
      <c r="C161" s="31" t="inlineStr">
        <is>
          <t>textiles</t>
        </is>
      </c>
      <c r="D161" s="31" t="inlineStr">
        <is>
          <t>textiles - composite</t>
        </is>
      </c>
      <c r="E161" s="31" t="inlineStr">
        <is>
          <t>smallcap</t>
        </is>
      </c>
      <c r="F161" s="31" t="n">
        <v>1809.94</v>
      </c>
      <c r="G161" s="31" t="n">
        <v>517.7</v>
      </c>
      <c r="H161" s="31" t="n">
        <v>-4.35</v>
      </c>
      <c r="I161" s="31" t="n">
        <v>211477</v>
      </c>
      <c r="J161" s="31" t="inlineStr">
        <is>
          <t>503169</t>
        </is>
      </c>
    </row>
    <row r="162">
      <c r="A162" s="31" t="inlineStr">
        <is>
          <t>LOKESHMACH</t>
        </is>
      </c>
      <c r="B162" s="31" t="inlineStr">
        <is>
          <t>Lokesh Machines Limited</t>
        </is>
      </c>
      <c r="C162" s="31" t="inlineStr">
        <is>
          <t>industrials</t>
        </is>
      </c>
      <c r="D162" s="31" t="inlineStr">
        <is>
          <t>engineering</t>
        </is>
      </c>
      <c r="E162" s="31" t="inlineStr">
        <is>
          <t>smallcap</t>
        </is>
      </c>
      <c r="F162" s="31" t="n">
        <v>971.8099999999999</v>
      </c>
      <c r="G162" s="31" t="n">
        <v>425.85</v>
      </c>
      <c r="H162" s="31" t="n">
        <v>-4.49</v>
      </c>
      <c r="I162" s="31" t="n">
        <v>112143</v>
      </c>
      <c r="J162" s="31" t="inlineStr">
        <is>
          <t>532740</t>
        </is>
      </c>
    </row>
    <row r="163">
      <c r="A163" s="31" t="inlineStr">
        <is>
          <t>JAMNAAUTO</t>
        </is>
      </c>
      <c r="B163" s="31" t="inlineStr">
        <is>
          <t>Jamna Auto Industries Limited</t>
        </is>
      </c>
      <c r="C163" s="31" t="inlineStr">
        <is>
          <t>auto</t>
        </is>
      </c>
      <c r="D163" s="31" t="inlineStr">
        <is>
          <t>auto ancillaries</t>
        </is>
      </c>
      <c r="E163" s="31" t="inlineStr">
        <is>
          <t>midcap</t>
        </is>
      </c>
      <c r="F163" s="31" t="n">
        <v>5979.61</v>
      </c>
      <c r="G163" s="31" t="n">
        <v>142.54</v>
      </c>
      <c r="H163" s="31" t="n">
        <v>-4.7</v>
      </c>
      <c r="I163" s="31" t="n">
        <v>1275633</v>
      </c>
      <c r="J163" s="31" t="inlineStr">
        <is>
          <t>520051</t>
        </is>
      </c>
    </row>
    <row r="164">
      <c r="A164" s="31" t="inlineStr">
        <is>
          <t>TIPSMUSIC</t>
        </is>
      </c>
      <c r="B164" s="31" t="inlineStr">
        <is>
          <t>Tips Music Ltd</t>
        </is>
      </c>
      <c r="C164" s="31" t="inlineStr">
        <is>
          <t>media</t>
        </is>
      </c>
      <c r="D164" s="31" t="inlineStr">
        <is>
          <t>entertainment / electronic media software</t>
        </is>
      </c>
      <c r="E164" s="31" t="inlineStr">
        <is>
          <t>midcap</t>
        </is>
      </c>
      <c r="F164" s="31" t="n">
        <v>9158.18</v>
      </c>
      <c r="G164" s="31" t="n">
        <v>684.4</v>
      </c>
      <c r="H164" s="31" t="n">
        <v>-4.71</v>
      </c>
      <c r="I164" s="31" t="n">
        <v>2027316</v>
      </c>
      <c r="J164" s="31" t="inlineStr">
        <is>
          <t>532375</t>
        </is>
      </c>
    </row>
    <row r="165">
      <c r="A165" s="31" t="inlineStr">
        <is>
          <t>IBULLSLTD</t>
        </is>
      </c>
      <c r="B165" s="31" t="inlineStr">
        <is>
          <t>Indiabulls Limited</t>
        </is>
      </c>
      <c r="C165" s="31" t="inlineStr">
        <is>
          <t>miscellaneous</t>
        </is>
      </c>
      <c r="D165" s="31" t="inlineStr">
        <is>
          <t>diversified - medium / small</t>
        </is>
      </c>
      <c r="E165" s="31" t="inlineStr">
        <is>
          <t>midcap</t>
        </is>
      </c>
      <c r="F165" s="31" t="n">
        <v>8768.4</v>
      </c>
      <c r="G165" s="31" t="n">
        <v>35.83</v>
      </c>
      <c r="H165" s="31" t="n">
        <v>-4.81</v>
      </c>
      <c r="I165" s="31" t="n">
        <v>17526341</v>
      </c>
      <c r="J165" s="31" t="inlineStr">
        <is>
          <t>533520</t>
        </is>
      </c>
    </row>
    <row r="166">
      <c r="A166" s="31" t="inlineStr">
        <is>
          <t>MAWANASUG</t>
        </is>
      </c>
      <c r="B166" s="31" t="inlineStr">
        <is>
          <t>Mawana Sugars Limited</t>
        </is>
      </c>
      <c r="C166" s="31" t="inlineStr">
        <is>
          <t>fmcg</t>
        </is>
      </c>
      <c r="D166" s="31" t="inlineStr">
        <is>
          <t>sugar</t>
        </is>
      </c>
      <c r="E166" s="31" t="inlineStr">
        <is>
          <t>smallcap</t>
        </is>
      </c>
      <c r="F166" s="31" t="n">
        <v>709.46</v>
      </c>
      <c r="G166" s="31" t="n">
        <v>172.57</v>
      </c>
      <c r="H166" s="31" t="n">
        <v>-4.85</v>
      </c>
      <c r="I166" s="31" t="n">
        <v>579074</v>
      </c>
      <c r="J166" s="31" t="inlineStr">
        <is>
          <t>523371</t>
        </is>
      </c>
    </row>
    <row r="167">
      <c r="A167" s="31" t="inlineStr">
        <is>
          <t>E2E</t>
        </is>
      </c>
      <c r="B167" s="31" t="inlineStr">
        <is>
          <t>E2E Networks Ltd</t>
        </is>
      </c>
      <c r="C167" s="31" t="inlineStr">
        <is>
          <t>i.t</t>
        </is>
      </c>
      <c r="D167" s="31" t="inlineStr">
        <is>
          <t>computers - software - medium / small</t>
        </is>
      </c>
      <c r="E167" s="31" t="inlineStr">
        <is>
          <t>midcap</t>
        </is>
      </c>
      <c r="F167" s="31" t="n">
        <v>15382.42</v>
      </c>
      <c r="G167" s="31" t="n">
        <v>710.9</v>
      </c>
      <c r="H167" s="31" t="n">
        <v>-5</v>
      </c>
      <c r="I167" s="31" t="n">
        <v>1046829</v>
      </c>
      <c r="J167" s="31" t="inlineStr">
        <is>
          <t>535080</t>
        </is>
      </c>
    </row>
    <row r="168">
      <c r="A168" s="31" t="inlineStr">
        <is>
          <t>DHAMPURSUG</t>
        </is>
      </c>
      <c r="B168" s="31" t="inlineStr">
        <is>
          <t>Dhampur Sugar Mills Limited</t>
        </is>
      </c>
      <c r="C168" s="31" t="inlineStr">
        <is>
          <t>fmcg</t>
        </is>
      </c>
      <c r="D168" s="31" t="inlineStr">
        <is>
          <t>sugar</t>
        </is>
      </c>
      <c r="E168" s="31" t="inlineStr">
        <is>
          <t>smallcap</t>
        </is>
      </c>
      <c r="F168" s="31" t="n">
        <v>1335.2</v>
      </c>
      <c r="G168" s="31" t="n">
        <v>196.99</v>
      </c>
      <c r="H168" s="31" t="n">
        <v>-5.12</v>
      </c>
      <c r="I168" s="31" t="n">
        <v>1126871</v>
      </c>
      <c r="J168" s="31" t="inlineStr">
        <is>
          <t>500119</t>
        </is>
      </c>
    </row>
    <row r="169">
      <c r="A169" s="31" t="inlineStr">
        <is>
          <t>FILATEX</t>
        </is>
      </c>
      <c r="B169" s="31" t="inlineStr">
        <is>
          <t>Filatex India Limited</t>
        </is>
      </c>
      <c r="C169" s="31" t="inlineStr">
        <is>
          <t>textiles</t>
        </is>
      </c>
      <c r="D169" s="31" t="inlineStr">
        <is>
          <t>textiles - manmade</t>
        </is>
      </c>
      <c r="E169" s="31" t="inlineStr">
        <is>
          <t>smallcap</t>
        </is>
      </c>
      <c r="F169" s="31" t="n">
        <v>4964.57</v>
      </c>
      <c r="G169" s="31" t="n">
        <v>105.98</v>
      </c>
      <c r="H169" s="31" t="n">
        <v>-5.21</v>
      </c>
      <c r="I169" s="31" t="n">
        <v>1963039</v>
      </c>
      <c r="J169" s="31" t="inlineStr">
        <is>
          <t>526227</t>
        </is>
      </c>
    </row>
    <row r="170">
      <c r="A170" s="31" t="inlineStr">
        <is>
          <t>RAIN</t>
        </is>
      </c>
      <c r="B170" s="31" t="inlineStr">
        <is>
          <t>Rain Industries Limited</t>
        </is>
      </c>
      <c r="C170" s="31" t="inlineStr">
        <is>
          <t>miscellaneous</t>
        </is>
      </c>
      <c r="D170" s="31" t="inlineStr">
        <is>
          <t>miscellaneous</t>
        </is>
      </c>
      <c r="E170" s="31" t="inlineStr">
        <is>
          <t>midcap</t>
        </is>
      </c>
      <c r="F170" s="31" t="n">
        <v>7974.08</v>
      </c>
      <c r="G170" s="31" t="n">
        <v>224.53</v>
      </c>
      <c r="H170" s="31" t="n">
        <v>-5.29</v>
      </c>
      <c r="I170" s="31" t="n">
        <v>5022592</v>
      </c>
      <c r="J170" s="31" t="inlineStr">
        <is>
          <t>500339</t>
        </is>
      </c>
    </row>
    <row r="171">
      <c r="A171" s="31" t="inlineStr">
        <is>
          <t>DYNAMATECH</t>
        </is>
      </c>
      <c r="B171" s="31" t="inlineStr">
        <is>
          <t>Dynamatic Technologies Limited</t>
        </is>
      </c>
      <c r="C171" s="31" t="inlineStr">
        <is>
          <t>aerospace &amp; defence</t>
        </is>
      </c>
      <c r="D171" s="31" t="inlineStr">
        <is>
          <t>engineering</t>
        </is>
      </c>
      <c r="E171" s="31" t="inlineStr">
        <is>
          <t>midcap</t>
        </is>
      </c>
      <c r="F171" s="31" t="n">
        <v>9795.98</v>
      </c>
      <c r="G171" s="31" t="n">
        <v>13638</v>
      </c>
      <c r="H171" s="31" t="n">
        <v>-5.45</v>
      </c>
      <c r="I171" s="31" t="n">
        <v>37655</v>
      </c>
      <c r="J171" s="31" t="inlineStr">
        <is>
          <t>505242</t>
        </is>
      </c>
    </row>
    <row r="172">
      <c r="A172" s="31" t="inlineStr">
        <is>
          <t>PASUPTAC</t>
        </is>
      </c>
      <c r="B172" s="31" t="inlineStr">
        <is>
          <t>Pasupati Acrylon Ltd</t>
        </is>
      </c>
      <c r="C172" s="31" t="inlineStr">
        <is>
          <t>textiles</t>
        </is>
      </c>
      <c r="D172" s="31" t="inlineStr">
        <is>
          <t>textiles - manmade</t>
        </is>
      </c>
      <c r="E172" s="31" t="inlineStr">
        <is>
          <t>smallcap</t>
        </is>
      </c>
      <c r="F172" s="31" t="n">
        <v>751.21</v>
      </c>
      <c r="G172" s="31" t="n">
        <v>79.55</v>
      </c>
      <c r="H172" s="31" t="n">
        <v>-5.61</v>
      </c>
      <c r="I172" s="31" t="n">
        <v>1264856</v>
      </c>
      <c r="J172" s="31" t="inlineStr">
        <is>
          <t>500456</t>
        </is>
      </c>
    </row>
    <row r="173">
      <c r="A173" s="31" t="inlineStr">
        <is>
          <t>SMCGLOBAL</t>
        </is>
      </c>
      <c r="B173" s="31" t="inlineStr">
        <is>
          <t>SMC Global Securities Ltd</t>
        </is>
      </c>
      <c r="C173" s="31" t="inlineStr">
        <is>
          <t>financials</t>
        </is>
      </c>
      <c r="D173" s="31" t="inlineStr">
        <is>
          <t>finance &amp; investments</t>
        </is>
      </c>
      <c r="E173" s="31" t="inlineStr">
        <is>
          <t>smallcap</t>
        </is>
      </c>
      <c r="F173" s="31" t="n">
        <v>2411.87</v>
      </c>
      <c r="G173" s="31" t="n">
        <v>108.43</v>
      </c>
      <c r="H173" s="31" t="n">
        <v>-5.86</v>
      </c>
      <c r="I173" s="31" t="n">
        <v>6353077</v>
      </c>
      <c r="J173" s="31" t="inlineStr">
        <is>
          <t>543263</t>
        </is>
      </c>
    </row>
    <row r="174">
      <c r="A174" s="31" t="inlineStr">
        <is>
          <t>INDIAGLYCO</t>
        </is>
      </c>
      <c r="B174" s="31" t="inlineStr">
        <is>
          <t>India Glycols Limited</t>
        </is>
      </c>
      <c r="C174" s="31" t="inlineStr">
        <is>
          <t>fmcg</t>
        </is>
      </c>
      <c r="D174" s="31" t="inlineStr">
        <is>
          <t>breweries &amp; distilleries</t>
        </is>
      </c>
      <c r="E174" s="31" t="inlineStr">
        <is>
          <t>smallcap</t>
        </is>
      </c>
      <c r="F174" s="31" t="n">
        <v>2344.93</v>
      </c>
      <c r="G174" s="31" t="n">
        <v>328.55</v>
      </c>
      <c r="H174" s="31" t="n">
        <v>-6.09</v>
      </c>
      <c r="I174" s="31" t="n">
        <v>654036</v>
      </c>
      <c r="J174" s="31" t="inlineStr">
        <is>
          <t>500201</t>
        </is>
      </c>
    </row>
    <row r="175">
      <c r="A175" s="31" t="inlineStr">
        <is>
          <t>SHRINGARMS</t>
        </is>
      </c>
      <c r="B175" s="31" t="inlineStr">
        <is>
          <t>Shringar House of Mangalsutra Ltd</t>
        </is>
      </c>
      <c r="C175" s="31" t="inlineStr">
        <is>
          <t>consumer discretionary</t>
        </is>
      </c>
      <c r="D175" s="31" t="inlineStr">
        <is>
          <t>diamond cutting / jewellery</t>
        </is>
      </c>
      <c r="E175" s="31" t="inlineStr">
        <is>
          <t>smallcap</t>
        </is>
      </c>
      <c r="F175" s="31" t="n">
        <v>3064.03</v>
      </c>
      <c r="G175" s="31" t="n">
        <v>297.42</v>
      </c>
      <c r="H175" s="31" t="n">
        <v>-6.4</v>
      </c>
      <c r="I175" s="31" t="n">
        <v>6099869</v>
      </c>
      <c r="J175" s="31" t="inlineStr">
        <is>
          <t>544512</t>
        </is>
      </c>
    </row>
    <row r="176">
      <c r="A176" s="31" t="inlineStr">
        <is>
          <t>NEOGEN</t>
        </is>
      </c>
      <c r="B176" s="31" t="inlineStr">
        <is>
          <t>Neogen Chemicals Ltd</t>
        </is>
      </c>
      <c r="C176" s="31" t="inlineStr">
        <is>
          <t>chemicals</t>
        </is>
      </c>
      <c r="D176" s="31" t="inlineStr">
        <is>
          <t>chemicals</t>
        </is>
      </c>
      <c r="E176" s="31" t="inlineStr">
        <is>
          <t>midcap</t>
        </is>
      </c>
      <c r="F176" s="31" t="n">
        <v>8075.1</v>
      </c>
      <c r="G176" s="31" t="n">
        <v>2507.6</v>
      </c>
      <c r="H176" s="31" t="n">
        <v>-6.71</v>
      </c>
      <c r="I176" s="31" t="n">
        <v>234769</v>
      </c>
      <c r="J176" s="31" t="inlineStr">
        <is>
          <t>542665</t>
        </is>
      </c>
    </row>
    <row r="177">
      <c r="A177" s="31" t="inlineStr">
        <is>
          <t>CPPLUS</t>
        </is>
      </c>
      <c r="B177" s="31" t="inlineStr">
        <is>
          <t>Aditya Infotech Ltd</t>
        </is>
      </c>
      <c r="C177" s="31" t="inlineStr">
        <is>
          <t>consumer discretionary</t>
        </is>
      </c>
      <c r="D177" s="31" t="inlineStr">
        <is>
          <t>trading</t>
        </is>
      </c>
      <c r="E177" s="31" t="inlineStr">
        <is>
          <t>largecap</t>
        </is>
      </c>
      <c r="F177" s="31" t="n">
        <v>54450.04</v>
      </c>
      <c r="G177" s="31" t="n">
        <v>4109.1</v>
      </c>
      <c r="H177" s="31" t="n">
        <v>-7.46</v>
      </c>
      <c r="I177" s="31" t="n">
        <v>630331</v>
      </c>
      <c r="J177" s="31" t="inlineStr">
        <is>
          <t>544466</t>
        </is>
      </c>
    </row>
    <row r="178">
      <c r="A178" s="31" t="inlineStr">
        <is>
          <t>WSTCSTPAPR</t>
        </is>
      </c>
      <c r="B178" s="31" t="inlineStr">
        <is>
          <t>West Coast Paper Mills Limited</t>
        </is>
      </c>
      <c r="C178" s="31" t="inlineStr">
        <is>
          <t>building materials</t>
        </is>
      </c>
      <c r="D178" s="31" t="inlineStr">
        <is>
          <t>paper</t>
        </is>
      </c>
      <c r="E178" s="31" t="inlineStr">
        <is>
          <t>midcap</t>
        </is>
      </c>
      <c r="F178" s="31" t="n">
        <v>6211.57</v>
      </c>
      <c r="G178" s="31" t="n">
        <v>822.4</v>
      </c>
      <c r="H178" s="31" t="n">
        <v>-12.55</v>
      </c>
      <c r="I178" s="31" t="n">
        <v>1374033</v>
      </c>
      <c r="J178" s="31" t="inlineStr">
        <is>
          <t>500444</t>
        </is>
      </c>
    </row>
  </sheetData>
  <autoFilter ref="A1:J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TCPLPACK</t>
        </is>
      </c>
      <c r="E2" s="31" t="inlineStr">
        <is>
          <t>TCPL Packaging Ltd</t>
        </is>
      </c>
      <c r="F2" s="31" t="inlineStr">
        <is>
          <t>Packaging FMCG and Consumers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17</v>
      </c>
      <c r="K2" s="31" t="n">
        <v>13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SHANTIGOLD</t>
        </is>
      </c>
      <c r="E3" s="31" t="inlineStr">
        <is>
          <t>Shanti Gold International Ltd</t>
        </is>
      </c>
      <c r="F3" s="31" t="inlineStr">
        <is>
          <t>Diamond Gems and Jewellery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19</v>
      </c>
      <c r="K3" s="31" t="n">
        <v>26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ADVANCE</t>
        </is>
      </c>
      <c r="E4" s="31" t="inlineStr">
        <is>
          <t>Advance Agrolife Ltd</t>
        </is>
      </c>
      <c r="F4" s="31" t="inlineStr">
        <is>
          <t>Pesticides and Agrochemicals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20</v>
      </c>
      <c r="K4" s="31" t="n">
        <v>2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KOTAKBANK</t>
        </is>
      </c>
      <c r="E5" s="31" t="inlineStr">
        <is>
          <t>Kotak Mahindra Bank Limited</t>
        </is>
      </c>
      <c r="F5" s="31" t="inlineStr">
        <is>
          <t>Private Banks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15</v>
      </c>
      <c r="K5" s="31" t="n">
        <v>20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BLUSPRING</t>
        </is>
      </c>
      <c r="E6" s="31" t="inlineStr">
        <is>
          <t>Bluspring Enterprises Ltd</t>
        </is>
      </c>
      <c r="F6" s="31" t="inlineStr">
        <is>
          <t>Diversified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17</v>
      </c>
      <c r="K6" s="31" t="n">
        <v>20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KRISHANA</t>
        </is>
      </c>
      <c r="E7" s="31" t="inlineStr">
        <is>
          <t>Krishana Phoschem Ltd</t>
        </is>
      </c>
      <c r="F7" s="31" t="inlineStr">
        <is>
          <t>Fertilisers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10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PANACHE</t>
        </is>
      </c>
      <c r="E8" s="31" t="inlineStr">
        <is>
          <t>Panache Digilife Ltd</t>
        </is>
      </c>
      <c r="F8" s="31" t="inlineStr">
        <is>
          <t>Computer Hardware</t>
        </is>
      </c>
      <c r="G8" s="31" t="n">
        <v>3</v>
      </c>
      <c r="H8" s="31" t="inlineStr">
        <is>
          <t>ATH Momentum</t>
        </is>
      </c>
      <c r="I8" s="31" t="inlineStr">
        <is>
          <t>Yes</t>
        </is>
      </c>
      <c r="J8" s="31" t="n">
        <v>17</v>
      </c>
      <c r="K8" s="31" t="n">
        <v>18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SKYGOLD</t>
        </is>
      </c>
      <c r="E9" s="31" t="inlineStr">
        <is>
          <t>Sky Gold Ltd</t>
        </is>
      </c>
      <c r="F9" s="31" t="inlineStr">
        <is>
          <t>Diamond Gems and Jewellery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33</v>
      </c>
      <c r="K9" s="31" t="n">
        <v>20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OAL</t>
        </is>
      </c>
      <c r="E10" s="31" t="inlineStr">
        <is>
          <t>Oriental Aromatics Ltd</t>
        </is>
      </c>
      <c r="F10" s="31" t="inlineStr">
        <is>
          <t>Chemicals Organic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15</v>
      </c>
      <c r="K10" s="31" t="n">
        <v>23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GCSL</t>
        </is>
      </c>
      <c r="E11" s="31" t="inlineStr">
        <is>
          <t>Gretex Corporate Services Ltd</t>
        </is>
      </c>
      <c r="F11" s="31" t="inlineStr">
        <is>
          <t>Finance and Investments Others</t>
        </is>
      </c>
      <c r="G11" s="31" t="n">
        <v>3</v>
      </c>
      <c r="H11" s="31" t="inlineStr">
        <is>
          <t>ATH Momentum</t>
        </is>
      </c>
      <c r="I11" s="31" t="inlineStr">
        <is>
          <t>Yes</t>
        </is>
      </c>
      <c r="J11" s="31" t="n">
        <v>16</v>
      </c>
      <c r="K11" s="31" t="n">
        <v>26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VHLTD</t>
        </is>
      </c>
      <c r="E12" s="31" t="inlineStr">
        <is>
          <t>Viceroy Hotels Ltd</t>
        </is>
      </c>
      <c r="F12" s="31" t="inlineStr">
        <is>
          <t>Hotels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19</v>
      </c>
      <c r="K12" s="31" t="n">
        <v>10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SBC</t>
        </is>
      </c>
      <c r="E13" s="31" t="inlineStr">
        <is>
          <t>SBC Exports Ltd</t>
        </is>
      </c>
      <c r="F13" s="31" t="inlineStr">
        <is>
          <t>Textiles Readymade Apparel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20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ORIENTELEC</t>
        </is>
      </c>
      <c r="E14" s="31" t="inlineStr">
        <is>
          <t>Orient Electric Ltd</t>
        </is>
      </c>
      <c r="F14" s="31" t="inlineStr">
        <is>
          <t>Consumer Electronics</t>
        </is>
      </c>
      <c r="G14" s="31" t="n">
        <v>3</v>
      </c>
      <c r="H14" s="31" t="inlineStr">
        <is>
          <t>EMA Crossover</t>
        </is>
      </c>
      <c r="I14" s="31" t="inlineStr">
        <is>
          <t>Yes</t>
        </is>
      </c>
      <c r="J14" s="31" t="n">
        <v>24</v>
      </c>
      <c r="K14" s="31" t="n">
        <v>1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IBULLSLTD</t>
        </is>
      </c>
      <c r="E15" s="31" t="inlineStr">
        <is>
          <t>Indiabulls Limited</t>
        </is>
      </c>
      <c r="F15" s="31" t="inlineStr">
        <is>
          <t>Diversified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21</v>
      </c>
      <c r="K15" s="31" t="n">
        <v>22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KROSS</t>
        </is>
      </c>
      <c r="E16" s="31" t="inlineStr">
        <is>
          <t>Kross Ltd</t>
        </is>
      </c>
      <c r="F16" s="31" t="inlineStr">
        <is>
          <t>Auto Transmission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18</v>
      </c>
      <c r="K16" s="31" t="n">
        <v>24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MODISONLTD</t>
        </is>
      </c>
      <c r="E17" s="31" t="inlineStr">
        <is>
          <t>Modison Ltd</t>
        </is>
      </c>
      <c r="F17" s="31" t="inlineStr">
        <is>
          <t>Capital Goods Electric General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22</v>
      </c>
      <c r="K17" s="31" t="n">
        <v>23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KARURVYSYA</t>
        </is>
      </c>
      <c r="E18" s="31" t="inlineStr">
        <is>
          <t>Karur Vysya Bank Limited</t>
        </is>
      </c>
      <c r="F18" s="31" t="inlineStr">
        <is>
          <t>Private Banks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15</v>
      </c>
      <c r="K18" s="31" t="n">
        <v>6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AVTNPL</t>
        </is>
      </c>
      <c r="E19" s="31" t="inlineStr">
        <is>
          <t>Avt Natural Products Limited</t>
        </is>
      </c>
      <c r="F19" s="31" t="inlineStr">
        <is>
          <t>Natural Extracts and Food Ingredients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19</v>
      </c>
      <c r="K19" s="31" t="n">
        <v>18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AURUM</t>
        </is>
      </c>
      <c r="E20" s="31" t="inlineStr">
        <is>
          <t>Aurum Proptech Ltd</t>
        </is>
      </c>
      <c r="F20" s="31" t="inlineStr">
        <is>
          <t>IT Enabled Services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15</v>
      </c>
      <c r="K20" s="31" t="n">
        <v>7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TBZ</t>
        </is>
      </c>
      <c r="E21" s="31" t="inlineStr">
        <is>
          <t>Tribhovandas Bhimji Zaveri Limited</t>
        </is>
      </c>
      <c r="F21" s="31" t="inlineStr">
        <is>
          <t>Diamond Gems and Jewellery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20</v>
      </c>
      <c r="K21" s="31" t="n">
        <v>29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THELEELA</t>
        </is>
      </c>
      <c r="E22" s="31" t="inlineStr">
        <is>
          <t>Leela Palaces Hotels &amp; Resorts Ltd</t>
        </is>
      </c>
      <c r="F22" s="31" t="inlineStr">
        <is>
          <t>Hotels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19</v>
      </c>
      <c r="K22" s="31" t="n">
        <v>14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DPABHUSHAN</t>
        </is>
      </c>
      <c r="E23" s="31" t="inlineStr">
        <is>
          <t>D.P. Abhushan Ltd</t>
        </is>
      </c>
      <c r="F23" s="31" t="inlineStr">
        <is>
          <t>Diamond Gems and Jewellery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25</v>
      </c>
      <c r="K23" s="31" t="n">
        <v>16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SMCGLOBAL</t>
        </is>
      </c>
      <c r="E24" s="31" t="inlineStr">
        <is>
          <t>SMC Global Securities Ltd</t>
        </is>
      </c>
      <c r="F24" s="31" t="inlineStr">
        <is>
          <t>Finance Capital Markets Brokers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16</v>
      </c>
      <c r="K24" s="31" t="n">
        <v>25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GLAND</t>
        </is>
      </c>
      <c r="E25" s="31" t="inlineStr">
        <is>
          <t>Gland Pharma Ltd</t>
        </is>
      </c>
      <c r="F25" s="31" t="inlineStr">
        <is>
          <t>Pharma Formulations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16</v>
      </c>
      <c r="K25" s="31" t="n">
        <v>20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VALIANTORG</t>
        </is>
      </c>
      <c r="E26" s="31" t="inlineStr">
        <is>
          <t>Valiant Organics Ltd</t>
        </is>
      </c>
      <c r="F26" s="31" t="inlineStr">
        <is>
          <t>Chemicals Organic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16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SWANDEF</t>
        </is>
      </c>
      <c r="E27" s="31" t="inlineStr">
        <is>
          <t>Swan Defence and Heavy Industries Ltd</t>
        </is>
      </c>
      <c r="F27" s="31" t="inlineStr">
        <is>
          <t>Shipbuilding and Repairs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25</v>
      </c>
      <c r="K27" s="31" t="n">
        <v>29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PREMIERPOL</t>
        </is>
      </c>
      <c r="E28" s="31" t="inlineStr">
        <is>
          <t>Premier Polyfilm Limited</t>
        </is>
      </c>
      <c r="F28" s="31" t="inlineStr">
        <is>
          <t>Plastics Sheets and Films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20</v>
      </c>
      <c r="K28" s="31" t="n">
        <v>19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COFORGE</t>
        </is>
      </c>
      <c r="E29" s="31" t="inlineStr">
        <is>
          <t>Coforge (Niit Tech) Ltd</t>
        </is>
      </c>
      <c r="F29" s="31" t="inlineStr">
        <is>
          <t>IT Services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17</v>
      </c>
      <c r="K29" s="31" t="n">
        <v>7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CEIGALL</t>
        </is>
      </c>
      <c r="E30" s="31" t="inlineStr">
        <is>
          <t>Ceigall India Ltd</t>
        </is>
      </c>
      <c r="F30" s="31" t="inlineStr">
        <is>
          <t>Construction Civil and Turnkey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16</v>
      </c>
      <c r="K30" s="31" t="n">
        <v>25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OCCLLTD</t>
        </is>
      </c>
      <c r="E31" s="31" t="inlineStr">
        <is>
          <t>OCCL Ltd</t>
        </is>
      </c>
      <c r="F31" s="31" t="inlineStr">
        <is>
          <t>Chemicals Organic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21</v>
      </c>
      <c r="K31" s="31" t="n">
        <v>20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SGFIN</t>
        </is>
      </c>
      <c r="E32" s="31" t="inlineStr">
        <is>
          <t>SG Finserve Ltd</t>
        </is>
      </c>
      <c r="F32" s="31" t="inlineStr">
        <is>
          <t>Finance and Investments MSME Lending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21</v>
      </c>
      <c r="K32" s="31" t="n">
        <v>8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LOTUSDEV</t>
        </is>
      </c>
      <c r="E33" s="31" t="inlineStr">
        <is>
          <t>Sri Lotus Developers &amp; Realty Ltd</t>
        </is>
      </c>
      <c r="F33" s="31" t="inlineStr">
        <is>
          <t>Construction Factories and Offices and Commercial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21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TATVA</t>
        </is>
      </c>
      <c r="E34" s="31" t="inlineStr">
        <is>
          <t>Tatva Chintan Pharma Chem Ltd</t>
        </is>
      </c>
      <c r="F34" s="31" t="inlineStr">
        <is>
          <t>Specialty Chemicals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16</v>
      </c>
      <c r="K34" s="31" t="n">
        <v>22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PCJEWELLER</t>
        </is>
      </c>
      <c r="E35" s="31" t="inlineStr">
        <is>
          <t>Pc Jeweller Limited</t>
        </is>
      </c>
      <c r="F35" s="31" t="inlineStr">
        <is>
          <t>Diamond Gems and Jewellery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15</v>
      </c>
      <c r="K35" s="31" t="n">
        <v>25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DELTACORP</t>
        </is>
      </c>
      <c r="E36" s="31" t="inlineStr">
        <is>
          <t>Delta Corp Limited</t>
        </is>
      </c>
      <c r="F36" s="31" t="inlineStr">
        <is>
          <t>Miscellaneous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16</v>
      </c>
      <c r="K36" s="31" t="n">
        <v>16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MUFIN</t>
        </is>
      </c>
      <c r="E37" s="31" t="inlineStr">
        <is>
          <t>Mufin Green Finance Ltd</t>
        </is>
      </c>
      <c r="F37" s="31" t="inlineStr">
        <is>
          <t>unknown</t>
        </is>
      </c>
      <c r="G37" s="31" t="n">
        <v>2</v>
      </c>
      <c r="H37" s="31" t="inlineStr">
        <is>
          <t>ATH Momentum</t>
        </is>
      </c>
      <c r="I37" s="31" t="inlineStr">
        <is>
          <t>Yes</t>
        </is>
      </c>
      <c r="J37" s="31" t="n">
        <v>0</v>
      </c>
      <c r="K37" s="31" t="n">
        <v>6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SOUTHBANK</t>
        </is>
      </c>
      <c r="E38" s="31" t="inlineStr">
        <is>
          <t>The South Indian Bank Limited</t>
        </is>
      </c>
      <c r="F38" s="31" t="inlineStr">
        <is>
          <t>Private Banks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20</v>
      </c>
      <c r="K38" s="31" t="n">
        <v>13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CUPID</t>
        </is>
      </c>
      <c r="E39" s="31" t="inlineStr">
        <is>
          <t>Cupid Limited</t>
        </is>
      </c>
      <c r="F39" s="31" t="inlineStr">
        <is>
          <t>Contraceptives and Protectives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20</v>
      </c>
      <c r="K39" s="31" t="n">
        <v>22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WSTCSTPAPR</t>
        </is>
      </c>
      <c r="E40" s="31" t="inlineStr">
        <is>
          <t>West Coast Paper Mills Limited</t>
        </is>
      </c>
      <c r="F40" s="31" t="inlineStr">
        <is>
          <t>Paper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16</v>
      </c>
      <c r="K40" s="31" t="n">
        <v>28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KMEW</t>
        </is>
      </c>
      <c r="E41" s="31" t="inlineStr">
        <is>
          <t>Knowledge Marine &amp; Engineering Works Ltd</t>
        </is>
      </c>
      <c r="F41" s="31" t="inlineStr">
        <is>
          <t>Shipping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18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WHEELS</t>
        </is>
      </c>
      <c r="E42" s="31" t="inlineStr">
        <is>
          <t>Wheels India Limited</t>
        </is>
      </c>
      <c r="F42" s="31" t="inlineStr">
        <is>
          <t>Auto Wheels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18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NRAIL</t>
        </is>
      </c>
      <c r="E43" s="31" t="inlineStr">
        <is>
          <t>N R Agarwal Industries Ltd</t>
        </is>
      </c>
      <c r="F43" s="31" t="inlineStr">
        <is>
          <t>Paper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18</v>
      </c>
      <c r="K43" s="31" t="n">
        <v>29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HITECHCORP</t>
        </is>
      </c>
      <c r="E44" s="31" t="inlineStr">
        <is>
          <t>Hitech Corporation</t>
        </is>
      </c>
      <c r="F44" s="31" t="inlineStr">
        <is>
          <t>unknown</t>
        </is>
      </c>
      <c r="G44" s="31" t="n">
        <v>2</v>
      </c>
      <c r="H44" s="31" t="inlineStr">
        <is>
          <t>52W Breakout</t>
        </is>
      </c>
      <c r="I44" s="31" t="inlineStr">
        <is>
          <t>Yes</t>
        </is>
      </c>
      <c r="J44" s="31" t="n">
        <v>0</v>
      </c>
      <c r="K44" s="31" t="n">
        <v>21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TFCILTD</t>
        </is>
      </c>
      <c r="E45" s="31" t="inlineStr">
        <is>
          <t>Tourism Finance Corporation Of India Limited</t>
        </is>
      </c>
      <c r="F45" s="31" t="inlineStr">
        <is>
          <t>Finance PSU Lending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18</v>
      </c>
      <c r="K45" s="31" t="n">
        <v>28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FEDFINA</t>
        </is>
      </c>
      <c r="E46" s="31" t="inlineStr">
        <is>
          <t>Fedbank Financial Services Ltd</t>
        </is>
      </c>
      <c r="F46" s="31" t="inlineStr">
        <is>
          <t>Finance and Investments Gold Loan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16</v>
      </c>
      <c r="K46" s="31" t="n">
        <v>5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MAYURUNIQ</t>
        </is>
      </c>
      <c r="E47" s="31" t="inlineStr">
        <is>
          <t>Mayur Uniquoters Ltd</t>
        </is>
      </c>
      <c r="F47" s="31" t="inlineStr">
        <is>
          <t>Plastics Plastic and Plastic Products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15</v>
      </c>
      <c r="K47" s="31" t="n">
        <v>7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GALAXYSURF</t>
        </is>
      </c>
      <c r="E48" s="31" t="inlineStr">
        <is>
          <t>Galaxy Surfactants Ltd</t>
        </is>
      </c>
      <c r="F48" s="31" t="inlineStr">
        <is>
          <t>Specialty Chemicals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16</v>
      </c>
      <c r="K48" s="31" t="n">
        <v>14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ONEPOINT</t>
        </is>
      </c>
      <c r="E49" s="31" t="inlineStr">
        <is>
          <t>One Point One Solutions Ltd</t>
        </is>
      </c>
      <c r="F49" s="31" t="inlineStr">
        <is>
          <t>IT Enabled Services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21</v>
      </c>
      <c r="K49" s="31" t="n">
        <v>25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TECHM</t>
        </is>
      </c>
      <c r="E50" s="31" t="inlineStr">
        <is>
          <t>Tech Mahindra Limited</t>
        </is>
      </c>
      <c r="F50" s="31" t="inlineStr">
        <is>
          <t>IT Services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16</v>
      </c>
      <c r="K50" s="31" t="n">
        <v>2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PTCIL</t>
        </is>
      </c>
      <c r="E51" s="31" t="inlineStr">
        <is>
          <t>PTC Industries Ltd</t>
        </is>
      </c>
      <c r="F51" s="31" t="inlineStr">
        <is>
          <t>Castings Steel and Alloy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17</v>
      </c>
      <c r="K51" s="31" t="n">
        <v>21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SPECTRUM</t>
        </is>
      </c>
      <c r="E52" s="31" t="inlineStr">
        <is>
          <t>Spectrum Electrical Industries Ltd</t>
        </is>
      </c>
      <c r="F52" s="31" t="inlineStr">
        <is>
          <t>Capital Goods Electric General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15</v>
      </c>
      <c r="K52" s="31" t="n">
        <v>30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SHREEJISPG</t>
        </is>
      </c>
      <c r="E53" s="31" t="inlineStr">
        <is>
          <t>Shreeji Shipping Global Ltd</t>
        </is>
      </c>
      <c r="F53" s="31" t="inlineStr">
        <is>
          <t>unknown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0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ABDL</t>
        </is>
      </c>
      <c r="E54" s="31" t="inlineStr">
        <is>
          <t>Allied Blenders &amp; Distillers Ltd</t>
        </is>
      </c>
      <c r="F54" s="31" t="inlineStr">
        <is>
          <t>Alcoholic Beverages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15</v>
      </c>
      <c r="K54" s="31" t="n">
        <v>25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LAURUSLABS</t>
        </is>
      </c>
      <c r="E55" s="31" t="inlineStr">
        <is>
          <t>Laurus Labs Limited</t>
        </is>
      </c>
      <c r="F55" s="31" t="inlineStr">
        <is>
          <t>Pharma API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19</v>
      </c>
      <c r="K55" s="31" t="n">
        <v>29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SHRINGARMS</t>
        </is>
      </c>
      <c r="E56" s="31" t="inlineStr">
        <is>
          <t>Shringar House of Mangalsutra Ltd</t>
        </is>
      </c>
      <c r="F56" s="31" t="inlineStr">
        <is>
          <t>Diamond Gems and Jewellery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16</v>
      </c>
      <c r="K56" s="31" t="n">
        <v>8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UTTAMSUGAR</t>
        </is>
      </c>
      <c r="E57" s="31" t="inlineStr">
        <is>
          <t>Uttam Sugar Mills Limited</t>
        </is>
      </c>
      <c r="F57" s="31" t="inlineStr">
        <is>
          <t>Sugar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15</v>
      </c>
      <c r="K57" s="31" t="n">
        <v>12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IRISDOREME</t>
        </is>
      </c>
      <c r="E58" s="31" t="inlineStr">
        <is>
          <t>Iris Clothings Ltd</t>
        </is>
      </c>
      <c r="F58" s="31" t="inlineStr">
        <is>
          <t>Textiles Readymade Apparel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16</v>
      </c>
      <c r="K58" s="31" t="n">
        <v>17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MUKANDLTD</t>
        </is>
      </c>
      <c r="E59" s="31" t="inlineStr">
        <is>
          <t>Mukand Limited</t>
        </is>
      </c>
      <c r="F59" s="31" t="inlineStr">
        <is>
          <t>Steel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16</v>
      </c>
      <c r="K59" s="31" t="n">
        <v>20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GANDHAR</t>
        </is>
      </c>
      <c r="E60" s="31" t="inlineStr">
        <is>
          <t>Gandhar Oil Refinery (India) Ltd</t>
        </is>
      </c>
      <c r="F60" s="31" t="inlineStr">
        <is>
          <t>Refineries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23</v>
      </c>
      <c r="K60" s="31" t="n">
        <v>25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SAMBHV</t>
        </is>
      </c>
      <c r="E61" s="31" t="inlineStr">
        <is>
          <t>Sambhv Steel Tubes Ltd</t>
        </is>
      </c>
      <c r="F61" s="31" t="inlineStr">
        <is>
          <t>Steel Tubes and Pipes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26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SHYAMMETL</t>
        </is>
      </c>
      <c r="E62" s="31" t="inlineStr">
        <is>
          <t>Shyam Metalics &amp; Energy Ltd</t>
        </is>
      </c>
      <c r="F62" s="31" t="inlineStr">
        <is>
          <t>unknown</t>
        </is>
      </c>
      <c r="G62" s="31" t="n">
        <v>2</v>
      </c>
      <c r="H62" s="31" t="inlineStr">
        <is>
          <t>52W Breakout</t>
        </is>
      </c>
      <c r="I62" s="31" t="inlineStr">
        <is>
          <t>Yes</t>
        </is>
      </c>
      <c r="J62" s="31" t="n">
        <v>0</v>
      </c>
      <c r="K62" s="31" t="n">
        <v>18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NAZARA</t>
        </is>
      </c>
      <c r="E63" s="31" t="inlineStr">
        <is>
          <t>Nazara Technologies Ltd</t>
        </is>
      </c>
      <c r="F63" s="31" t="inlineStr">
        <is>
          <t>unknown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0</v>
      </c>
      <c r="K63" s="31" t="n">
        <v>26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PVRINOX</t>
        </is>
      </c>
      <c r="E64" s="31" t="inlineStr">
        <is>
          <t>PVR Inox Ltd</t>
        </is>
      </c>
      <c r="F64" s="31" t="inlineStr">
        <is>
          <t>Entertainment and Media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15</v>
      </c>
      <c r="K64" s="31" t="n">
        <v>17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MBAPL</t>
        </is>
      </c>
      <c r="E65" s="31" t="inlineStr">
        <is>
          <t>Madhya Bharat Agro Products Ltd</t>
        </is>
      </c>
      <c r="F65" s="31" t="inlineStr">
        <is>
          <t>Fertilisers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15</v>
      </c>
      <c r="K65" s="31" t="n">
        <v>12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SEJALLTD</t>
        </is>
      </c>
      <c r="E66" s="31" t="inlineStr">
        <is>
          <t>Sejal Glass Ltd</t>
        </is>
      </c>
      <c r="F66" s="31" t="inlineStr">
        <is>
          <t>Glass and Glass Products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25</v>
      </c>
      <c r="K66" s="31" t="n">
        <v>2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GOODLUCK</t>
        </is>
      </c>
      <c r="E67" s="31" t="inlineStr">
        <is>
          <t>Goodluck India Limited</t>
        </is>
      </c>
      <c r="F67" s="31" t="inlineStr">
        <is>
          <t>Steel Tubes and Pipes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19</v>
      </c>
      <c r="K67" s="31" t="n">
        <v>16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ICICIBANK</t>
        </is>
      </c>
      <c r="E68" s="31" t="inlineStr">
        <is>
          <t>Icici Bank Limited</t>
        </is>
      </c>
      <c r="F68" s="31" t="inlineStr">
        <is>
          <t>unknown</t>
        </is>
      </c>
      <c r="G68" s="31" t="n">
        <v>2</v>
      </c>
      <c r="H68" s="31" t="inlineStr">
        <is>
          <t>EMA Crossover</t>
        </is>
      </c>
      <c r="I68" s="31" t="inlineStr">
        <is>
          <t>Yes</t>
        </is>
      </c>
      <c r="J68" s="31" t="n">
        <v>0</v>
      </c>
      <c r="K68" s="31" t="n">
        <v>1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TIPSMUSIC</t>
        </is>
      </c>
      <c r="E69" s="31" t="inlineStr">
        <is>
          <t>Tips Music Ltd</t>
        </is>
      </c>
      <c r="F69" s="31" t="inlineStr">
        <is>
          <t>Music Licensing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21</v>
      </c>
      <c r="K69" s="31" t="n">
        <v>6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SIMPLEXINF</t>
        </is>
      </c>
      <c r="E70" s="31" t="inlineStr">
        <is>
          <t>Simplex Infrastructures Limited</t>
        </is>
      </c>
      <c r="F70" s="31" t="inlineStr">
        <is>
          <t>Infra Construction and Contracting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15</v>
      </c>
      <c r="K70" s="31" t="n">
        <v>4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BMWVENTLTD</t>
        </is>
      </c>
      <c r="E71" s="31" t="inlineStr">
        <is>
          <t>BMW Ventures Ltd</t>
        </is>
      </c>
      <c r="F71" s="31" t="inlineStr">
        <is>
          <t>unknown</t>
        </is>
      </c>
      <c r="G71" s="31" t="n">
        <v>2</v>
      </c>
      <c r="H71" s="31" t="inlineStr">
        <is>
          <t>52W Breakout</t>
        </is>
      </c>
      <c r="I71" s="31" t="inlineStr">
        <is>
          <t>Yes</t>
        </is>
      </c>
      <c r="J71" s="31" t="n">
        <v>0</v>
      </c>
      <c r="K71" s="31" t="n">
        <v>4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UNITEDPOLY</t>
        </is>
      </c>
      <c r="E72" s="31" t="inlineStr">
        <is>
          <t>United Polyfab Gujarat Ltd</t>
        </is>
      </c>
      <c r="F72" s="31" t="inlineStr">
        <is>
          <t>Textiles Others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16</v>
      </c>
      <c r="K72" s="31" t="n">
        <v>30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GAEL</t>
        </is>
      </c>
      <c r="E73" s="31" t="inlineStr">
        <is>
          <t>Gujarat Ambuja Exports Limited</t>
        </is>
      </c>
      <c r="F73" s="31" t="inlineStr">
        <is>
          <t>Agricultural Processing Maize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15</v>
      </c>
      <c r="K73" s="31" t="n">
        <v>3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TATACOMM</t>
        </is>
      </c>
      <c r="E74" s="31" t="inlineStr">
        <is>
          <t>Tata Communications Limited</t>
        </is>
      </c>
      <c r="F74" s="31" t="inlineStr">
        <is>
          <t>unknown</t>
        </is>
      </c>
      <c r="G74" s="31" t="n">
        <v>2</v>
      </c>
      <c r="H74" s="31" t="inlineStr">
        <is>
          <t>EMA Crossover</t>
        </is>
      </c>
      <c r="I74" s="31" t="inlineStr">
        <is>
          <t>Yes</t>
        </is>
      </c>
      <c r="J74" s="31" t="n">
        <v>0</v>
      </c>
      <c r="K74" s="31" t="n">
        <v>5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SVLL</t>
        </is>
      </c>
      <c r="E75" s="31" t="inlineStr">
        <is>
          <t>Shree Vasu Logistics Ltd</t>
        </is>
      </c>
      <c r="F75" s="31" t="inlineStr">
        <is>
          <t>unknown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0</v>
      </c>
      <c r="K75" s="31" t="n">
        <v>19</v>
      </c>
    </row>
  </sheetData>
  <autoFilter ref="A1:K75"/>
  <conditionalFormatting sqref="G2:G7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7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5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IF(B2=0,"",RANK(B2,$B$2:$B$156,0))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KROSS</t>
        </is>
      </c>
      <c r="D2" s="31" t="inlineStr">
        <is>
          <t>Kross Ltd</t>
        </is>
      </c>
      <c r="E2" s="31" t="inlineStr">
        <is>
          <t>auto</t>
        </is>
      </c>
      <c r="F2" s="31" t="inlineStr">
        <is>
          <t>auto ancillaries</t>
        </is>
      </c>
      <c r="G2" s="31" t="inlineStr">
        <is>
          <t>smallcap</t>
        </is>
      </c>
      <c r="H2" s="32" t="n">
        <v>1756.27</v>
      </c>
      <c r="I2" s="32" t="n">
        <v>271</v>
      </c>
      <c r="J2" s="32" t="n">
        <v>-0.46</v>
      </c>
      <c r="K2" s="32" t="n">
        <v>1561614</v>
      </c>
      <c r="L2" s="31" t="inlineStr"/>
      <c r="M2" s="31" t="inlineStr"/>
      <c r="N2" s="32">
        <f>IF(M2="Underperforming",-5,IF(L2&gt;=95,15,IF(L2&gt;=90,10,IF(L2&gt;=80,5,0))))</f>
        <v/>
      </c>
      <c r="O2" s="32" t="n">
        <v>67.58</v>
      </c>
      <c r="P2" s="32" t="n">
        <v>40.38</v>
      </c>
      <c r="Q2" s="32" t="n">
        <v>199.45</v>
      </c>
      <c r="R2" s="31" t="inlineStr">
        <is>
          <t>Volume Spike &amp; Near 52W High Breakout</t>
        </is>
      </c>
      <c r="S2" s="31" t="inlineStr">
        <is>
          <t>Nifty Auto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IF(B3=0,"",RANK(B3,$B$2:$B$156,0))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MODISONLTD</t>
        </is>
      </c>
      <c r="D3" s="31" t="inlineStr">
        <is>
          <t>Modison Ltd</t>
        </is>
      </c>
      <c r="E3" s="31" t="inlineStr">
        <is>
          <t>industrials</t>
        </is>
      </c>
      <c r="F3" s="31" t="inlineStr">
        <is>
          <t>electric equipment</t>
        </is>
      </c>
      <c r="G3" s="31" t="inlineStr">
        <is>
          <t>smallcap</t>
        </is>
      </c>
      <c r="H3" s="32" t="n">
        <v>1769.5</v>
      </c>
      <c r="I3" s="32" t="n">
        <v>525.5</v>
      </c>
      <c r="J3" s="32" t="n">
        <v>-3.63</v>
      </c>
      <c r="K3" s="32" t="n">
        <v>110904</v>
      </c>
      <c r="L3" s="31" t="n">
        <v>96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74.19</v>
      </c>
      <c r="P3" s="32" t="n">
        <v>57.62</v>
      </c>
      <c r="Q3" s="32" t="n">
        <v>372.89</v>
      </c>
      <c r="R3" s="31" t="inlineStr">
        <is>
          <t>Near 52W High Breakout</t>
        </is>
      </c>
      <c r="S3" s="31" t="inlineStr">
        <is>
          <t>Nifty 50</t>
        </is>
      </c>
      <c r="T3" s="32" t="n">
        <v>-10.55</v>
      </c>
      <c r="U3" s="32" t="n">
        <v>246.46</v>
      </c>
      <c r="V3" s="32" t="n">
        <v>287.33</v>
      </c>
      <c r="W3" s="32" t="n">
        <v>50.88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IF(B4=0,"",RANK(B4,$B$2:$B$156,0))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IBULLSLTD</t>
        </is>
      </c>
      <c r="D4" s="31" t="inlineStr">
        <is>
          <t>Indiabulls Limited</t>
        </is>
      </c>
      <c r="E4" s="31" t="inlineStr">
        <is>
          <t>miscellaneous</t>
        </is>
      </c>
      <c r="F4" s="31" t="inlineStr">
        <is>
          <t>diversified - medium / small</t>
        </is>
      </c>
      <c r="G4" s="31" t="inlineStr">
        <is>
          <t>midcap</t>
        </is>
      </c>
      <c r="H4" s="32" t="n">
        <v>8768.4</v>
      </c>
      <c r="I4" s="32" t="n">
        <v>35.83</v>
      </c>
      <c r="J4" s="32" t="n">
        <v>-4.81</v>
      </c>
      <c r="K4" s="32" t="n">
        <v>17526341</v>
      </c>
      <c r="L4" s="31" t="n">
        <v>68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71.05</v>
      </c>
      <c r="P4" s="32" t="n">
        <v>40.06</v>
      </c>
      <c r="Q4" s="32" t="n">
        <v>25.82</v>
      </c>
      <c r="R4" s="31" t="inlineStr">
        <is>
          <t>Near 52W High Breakout</t>
        </is>
      </c>
      <c r="S4" s="31" t="inlineStr">
        <is>
          <t>Nifty 50</t>
        </is>
      </c>
      <c r="T4" s="32" t="n">
        <v>-10.55</v>
      </c>
      <c r="U4" s="32" t="n">
        <v>101.07</v>
      </c>
      <c r="V4" s="32" t="n">
        <v>124.78</v>
      </c>
      <c r="W4" s="32" t="n">
        <v>24.05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IF(B5=0,"",RANK(B5,$B$2:$B$156,0))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PASUPTAC</t>
        </is>
      </c>
      <c r="D5" s="31" t="inlineStr">
        <is>
          <t>Pasupati Acrylon Ltd</t>
        </is>
      </c>
      <c r="E5" s="31" t="inlineStr">
        <is>
          <t>textiles</t>
        </is>
      </c>
      <c r="F5" s="31" t="inlineStr">
        <is>
          <t>textiles - manmade</t>
        </is>
      </c>
      <c r="G5" s="31" t="inlineStr">
        <is>
          <t>smallcap</t>
        </is>
      </c>
      <c r="H5" s="32" t="n">
        <v>751.21</v>
      </c>
      <c r="I5" s="32" t="n">
        <v>79.55</v>
      </c>
      <c r="J5" s="32" t="n">
        <v>-5.61</v>
      </c>
      <c r="K5" s="32" t="n">
        <v>1264856</v>
      </c>
      <c r="L5" s="31" t="n">
        <v>63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67.55</v>
      </c>
      <c r="P5" s="32" t="n">
        <v>49.43</v>
      </c>
      <c r="Q5" s="32" t="n">
        <v>57.45</v>
      </c>
      <c r="R5" s="31" t="inlineStr">
        <is>
          <t>Volume Spike &amp; Near 52W High Breakout</t>
        </is>
      </c>
      <c r="S5" s="31" t="inlineStr">
        <is>
          <t>Nifty 50</t>
        </is>
      </c>
      <c r="T5" s="32" t="n">
        <v>-10.55</v>
      </c>
      <c r="U5" s="32" t="n">
        <v>84.02</v>
      </c>
      <c r="V5" s="32" t="n">
        <v>105.72</v>
      </c>
      <c r="W5" s="32" t="n">
        <v>20.9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IF(B6=0,"",RANK(B6,$B$2:$B$156,0))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AVTNPL</t>
        </is>
      </c>
      <c r="D6" s="31" t="inlineStr">
        <is>
          <t>Avt Natural Products Limited</t>
        </is>
      </c>
      <c r="E6" s="31" t="inlineStr">
        <is>
          <t>fmcg</t>
        </is>
      </c>
      <c r="F6" s="31" t="inlineStr">
        <is>
          <t>solvent extraction</t>
        </is>
      </c>
      <c r="G6" s="31" t="inlineStr">
        <is>
          <t>smallcap</t>
        </is>
      </c>
      <c r="H6" s="32" t="n">
        <v>1505.18</v>
      </c>
      <c r="I6" s="32" t="n">
        <v>99.75</v>
      </c>
      <c r="J6" s="32" t="n">
        <v>0.92</v>
      </c>
      <c r="K6" s="32" t="n">
        <v>1690824</v>
      </c>
      <c r="L6" s="31" t="inlineStr"/>
      <c r="M6" s="31" t="inlineStr"/>
      <c r="N6" s="32">
        <f>IF(M6="Underperforming",-5,IF(L6&gt;=95,15,IF(L6&gt;=90,10,IF(L6&gt;=80,5,0))))</f>
        <v/>
      </c>
      <c r="O6" s="32" t="n">
        <v>71.77</v>
      </c>
      <c r="P6" s="32" t="n">
        <v>55.42</v>
      </c>
      <c r="Q6" s="32" t="n">
        <v>75.44</v>
      </c>
      <c r="R6" s="31" t="inlineStr">
        <is>
          <t>Near 52W High Breakout</t>
        </is>
      </c>
      <c r="S6" s="31" t="inlineStr">
        <is>
          <t>Nifty FMCG</t>
        </is>
      </c>
      <c r="T6" s="32" t="inlineStr"/>
      <c r="U6" s="32" t="inlineStr"/>
      <c r="V6" s="32" t="inlineStr"/>
      <c r="W6" s="32" t="inlineStr"/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IF(B7=0,"",RANK(B7,$B$2:$B$156,0))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AURUM</t>
        </is>
      </c>
      <c r="D7" s="31" t="inlineStr">
        <is>
          <t>Aurum Proptech Ltd</t>
        </is>
      </c>
      <c r="E7" s="31" t="inlineStr">
        <is>
          <t>i.t</t>
        </is>
      </c>
      <c r="F7" s="31" t="inlineStr">
        <is>
          <t>computers - software - medium / small</t>
        </is>
      </c>
      <c r="G7" s="31" t="inlineStr">
        <is>
          <t>smallcap</t>
        </is>
      </c>
      <c r="H7" s="32" t="n">
        <v>2338.45</v>
      </c>
      <c r="I7" s="32" t="n">
        <v>239.1</v>
      </c>
      <c r="J7" s="32" t="n">
        <v>-1.27</v>
      </c>
      <c r="K7" s="32" t="n">
        <v>1914031</v>
      </c>
      <c r="L7" s="31" t="n">
        <v>26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65.39</v>
      </c>
      <c r="P7" s="32" t="n">
        <v>47.34</v>
      </c>
      <c r="Q7" s="32" t="n">
        <v>185.31</v>
      </c>
      <c r="R7" s="31" t="inlineStr">
        <is>
          <t>Volume Spike &amp; Near 52W High Breakout</t>
        </is>
      </c>
      <c r="S7" s="31" t="inlineStr">
        <is>
          <t>Nifty IT</t>
        </is>
      </c>
      <c r="T7" s="32" t="n">
        <v>-12.11</v>
      </c>
      <c r="U7" s="32" t="n">
        <v>33.23</v>
      </c>
      <c r="V7" s="32" t="n">
        <v>51.58</v>
      </c>
      <c r="W7" s="32" t="n">
        <v>6.8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IF(B8=0,"",RANK(B8,$B$2:$B$156,0))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TBZ</t>
        </is>
      </c>
      <c r="D8" s="31" t="inlineStr">
        <is>
          <t>Tribhovandas Bhimji Zaveri Limited</t>
        </is>
      </c>
      <c r="E8" s="31" t="inlineStr">
        <is>
          <t>consumer discretionary</t>
        </is>
      </c>
      <c r="F8" s="31" t="inlineStr">
        <is>
          <t>diamond cutting / jewellery</t>
        </is>
      </c>
      <c r="G8" s="31" t="inlineStr">
        <is>
          <t>smallcap</t>
        </is>
      </c>
      <c r="H8" s="32" t="n">
        <v>4595.07</v>
      </c>
      <c r="I8" s="32" t="n">
        <v>723</v>
      </c>
      <c r="J8" s="32" t="n">
        <v>5</v>
      </c>
      <c r="K8" s="32" t="n">
        <v>191145</v>
      </c>
      <c r="L8" s="31" t="n">
        <v>98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85.09</v>
      </c>
      <c r="P8" s="32" t="n">
        <v>66.08</v>
      </c>
      <c r="Q8" s="32" t="n">
        <v>540.87</v>
      </c>
      <c r="R8" s="31" t="inlineStr">
        <is>
          <t>Near 52W High Breakout</t>
        </is>
      </c>
      <c r="S8" s="31" t="inlineStr">
        <is>
          <t>Nifty 50</t>
        </is>
      </c>
      <c r="T8" s="32" t="n">
        <v>-10.55</v>
      </c>
      <c r="U8" s="32" t="n">
        <v>296.32</v>
      </c>
      <c r="V8" s="32" t="n">
        <v>343.07</v>
      </c>
      <c r="W8" s="32" t="n">
        <v>83.39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Between 0.7 to 1.2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IF(B9=0,"",RANK(B9,$B$2:$B$156,0))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THELEELA</t>
        </is>
      </c>
      <c r="D9" s="31" t="inlineStr">
        <is>
          <t>Leela Palaces Hotels &amp; Resorts Ltd</t>
        </is>
      </c>
      <c r="E9" s="31" t="inlineStr">
        <is>
          <t>services</t>
        </is>
      </c>
      <c r="F9" s="31" t="inlineStr">
        <is>
          <t>hotels</t>
        </is>
      </c>
      <c r="G9" s="31" t="inlineStr">
        <is>
          <t>midcap</t>
        </is>
      </c>
      <c r="H9" s="32" t="n">
        <v>19746.93</v>
      </c>
      <c r="I9" s="32" t="n">
        <v>596.5</v>
      </c>
      <c r="J9" s="32" t="n">
        <v>0.88</v>
      </c>
      <c r="K9" s="32" t="n">
        <v>3557411</v>
      </c>
      <c r="L9" s="31" t="n">
        <v>40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73.28</v>
      </c>
      <c r="P9" s="32" t="n">
        <v>43.42</v>
      </c>
      <c r="Q9" s="32" t="n">
        <v>477.33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-10.55</v>
      </c>
      <c r="U9" s="32" t="n">
        <v>35.06</v>
      </c>
      <c r="V9" s="32" t="n">
        <v>50.99</v>
      </c>
      <c r="W9" s="32" t="n">
        <v>11.21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Between 1.5 to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IF(B10=0,"",RANK(B10,$B$2:$B$156,0))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SHANTIGOLD</t>
        </is>
      </c>
      <c r="D10" s="31" t="inlineStr">
        <is>
          <t>Shanti Gold International Ltd</t>
        </is>
      </c>
      <c r="E10" s="31" t="inlineStr">
        <is>
          <t>consumer discretionary</t>
        </is>
      </c>
      <c r="F10" s="31" t="inlineStr">
        <is>
          <t>diamond cutting / jewellery</t>
        </is>
      </c>
      <c r="G10" s="31" t="inlineStr">
        <is>
          <t>smallcap</t>
        </is>
      </c>
      <c r="H10" s="32" t="n">
        <v>2976.72</v>
      </c>
      <c r="I10" s="32" t="n">
        <v>390.95</v>
      </c>
      <c r="J10" s="32" t="n">
        <v>0.79</v>
      </c>
      <c r="K10" s="32" t="n">
        <v>1712040</v>
      </c>
      <c r="L10" s="31" t="n">
        <v>85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76.84999999999999</v>
      </c>
      <c r="P10" s="32" t="n">
        <v>47.89</v>
      </c>
      <c r="Q10" s="32" t="n">
        <v>293.12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-10.55</v>
      </c>
      <c r="U10" s="32" t="n">
        <v>90.70999999999999</v>
      </c>
      <c r="V10" s="32" t="n">
        <v>113.2</v>
      </c>
      <c r="W10" s="32" t="n">
        <v>34.33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IF(B11=0,"",RANK(B11,$B$2:$B$156,0))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ORBTEXP</t>
        </is>
      </c>
      <c r="D11" s="31" t="inlineStr">
        <is>
          <t>Orbit Exports Limited</t>
        </is>
      </c>
      <c r="E11" s="31" t="inlineStr">
        <is>
          <t>textiles</t>
        </is>
      </c>
      <c r="F11" s="31" t="inlineStr">
        <is>
          <t>textiles - processing</t>
        </is>
      </c>
      <c r="G11" s="31" t="inlineStr">
        <is>
          <t>smallcap</t>
        </is>
      </c>
      <c r="H11" s="32" t="n">
        <v>687.7</v>
      </c>
      <c r="I11" s="32" t="n">
        <v>259.1</v>
      </c>
      <c r="J11" s="32" t="n">
        <v>-0.12</v>
      </c>
      <c r="K11" s="32" t="n">
        <v>5674</v>
      </c>
      <c r="L11" s="31" t="n">
        <v>38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65.88</v>
      </c>
      <c r="P11" s="32" t="n">
        <v>55.29</v>
      </c>
      <c r="Q11" s="32" t="n">
        <v>185.93</v>
      </c>
      <c r="R11" s="31" t="inlineStr">
        <is>
          <t>Near 52W High Breakout</t>
        </is>
      </c>
      <c r="S11" s="31" t="inlineStr">
        <is>
          <t>Nifty 50</t>
        </is>
      </c>
      <c r="T11" s="32" t="n">
        <v>-10.55</v>
      </c>
      <c r="U11" s="32" t="n">
        <v>28.18</v>
      </c>
      <c r="V11" s="32" t="n">
        <v>43.29</v>
      </c>
      <c r="W11" s="32" t="n">
        <v>9.92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IF(B12=0,"",RANK(B12,$B$2:$B$156,0))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DPABHUSHAN</t>
        </is>
      </c>
      <c r="D12" s="31" t="inlineStr">
        <is>
          <t>D.P. Abhushan Ltd</t>
        </is>
      </c>
      <c r="E12" s="31" t="inlineStr">
        <is>
          <t>consumer discretionary</t>
        </is>
      </c>
      <c r="F12" s="31" t="inlineStr">
        <is>
          <t>trading</t>
        </is>
      </c>
      <c r="G12" s="31" t="inlineStr">
        <is>
          <t>midcap</t>
        </is>
      </c>
      <c r="H12" s="32" t="n">
        <v>5564.99</v>
      </c>
      <c r="I12" s="32" t="n">
        <v>2392.5</v>
      </c>
      <c r="J12" s="32" t="n">
        <v>-1.86</v>
      </c>
      <c r="K12" s="32" t="n">
        <v>55002</v>
      </c>
      <c r="L12" s="31" t="n">
        <v>80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82.40000000000001</v>
      </c>
      <c r="P12" s="32" t="n">
        <v>43.21</v>
      </c>
      <c r="Q12" s="32" t="n">
        <v>1803.62</v>
      </c>
      <c r="R12" s="31" t="inlineStr">
        <is>
          <t>Near 52W High Breakout</t>
        </is>
      </c>
      <c r="S12" s="31" t="inlineStr">
        <is>
          <t>Nifty 50</t>
        </is>
      </c>
      <c r="T12" s="32" t="n">
        <v>-10.55</v>
      </c>
      <c r="U12" s="32" t="n">
        <v>72.12</v>
      </c>
      <c r="V12" s="32" t="n">
        <v>92.42</v>
      </c>
      <c r="W12" s="32" t="n">
        <v>31.99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IF(B13=0,"",RANK(B13,$B$2:$B$156,0))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GLAND</t>
        </is>
      </c>
      <c r="D13" s="31" t="inlineStr">
        <is>
          <t>Gland Pharma Ltd</t>
        </is>
      </c>
      <c r="E13" s="31" t="inlineStr">
        <is>
          <t>healthcare</t>
        </is>
      </c>
      <c r="F13" s="31" t="inlineStr">
        <is>
          <t>pharmaceuticals - indian - formulations</t>
        </is>
      </c>
      <c r="G13" s="31" t="inlineStr">
        <is>
          <t>largecap</t>
        </is>
      </c>
      <c r="H13" s="32" t="n">
        <v>50350.64</v>
      </c>
      <c r="I13" s="32" t="n">
        <v>3066.3</v>
      </c>
      <c r="J13" s="32" t="n">
        <v>0.46</v>
      </c>
      <c r="K13" s="32" t="n">
        <v>156231</v>
      </c>
      <c r="L13" s="31" t="n">
        <v>54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73.5</v>
      </c>
      <c r="P13" s="32" t="n">
        <v>62.67</v>
      </c>
      <c r="Q13" s="32" t="n">
        <v>2529.51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16.02</v>
      </c>
      <c r="U13" s="32" t="n">
        <v>59.43</v>
      </c>
      <c r="V13" s="32" t="n">
        <v>37.42</v>
      </c>
      <c r="W13" s="32" t="n">
        <v>16.39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IF(B14=0,"",RANK(B14,$B$2:$B$156,0))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COFORGE</t>
        </is>
      </c>
      <c r="D14" s="31" t="inlineStr">
        <is>
          <t>Coforge (Niit Tech) Ltd</t>
        </is>
      </c>
      <c r="E14" s="31" t="inlineStr">
        <is>
          <t>i.t</t>
        </is>
      </c>
      <c r="F14" s="31" t="inlineStr">
        <is>
          <t>computers - software - large</t>
        </is>
      </c>
      <c r="G14" s="31" t="inlineStr">
        <is>
          <t>largecap</t>
        </is>
      </c>
      <c r="H14" s="32" t="n">
        <v>85350.78999999999</v>
      </c>
      <c r="I14" s="32" t="n">
        <v>1934.3</v>
      </c>
      <c r="J14" s="32" t="n">
        <v>0.33</v>
      </c>
      <c r="K14" s="32" t="n">
        <v>2618693</v>
      </c>
      <c r="L14" s="31" t="n">
        <v>36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64.81</v>
      </c>
      <c r="P14" s="32" t="n">
        <v>23.53</v>
      </c>
      <c r="Q14" s="32" t="n">
        <v>1635.63</v>
      </c>
      <c r="R14" s="31" t="inlineStr">
        <is>
          <t>Near 52W High Breakout</t>
        </is>
      </c>
      <c r="S14" s="31" t="inlineStr">
        <is>
          <t>Nifty IT</t>
        </is>
      </c>
      <c r="T14" s="32" t="n">
        <v>-12.11</v>
      </c>
      <c r="U14" s="32" t="n">
        <v>12.27</v>
      </c>
      <c r="V14" s="32" t="n">
        <v>27.73</v>
      </c>
      <c r="W14" s="32" t="n">
        <v>9.58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IF(B15=0,"",RANK(B15,$B$2:$B$156,0))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KANORICHEM</t>
        </is>
      </c>
      <c r="D15" s="31" t="inlineStr">
        <is>
          <t>Kanoria Chemicals &amp; Industries Limited</t>
        </is>
      </c>
      <c r="E15" s="31" t="inlineStr">
        <is>
          <t>chemicals</t>
        </is>
      </c>
      <c r="F15" s="31" t="inlineStr">
        <is>
          <t>chemicals</t>
        </is>
      </c>
      <c r="G15" s="31" t="inlineStr">
        <is>
          <t>smallcap</t>
        </is>
      </c>
      <c r="H15" s="32" t="n">
        <v>791.77</v>
      </c>
      <c r="I15" s="32" t="n">
        <v>190.04</v>
      </c>
      <c r="J15" s="32" t="n">
        <v>4.87</v>
      </c>
      <c r="K15" s="32" t="n">
        <v>179564</v>
      </c>
      <c r="L15" s="31" t="n">
        <v>78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69.22</v>
      </c>
      <c r="P15" s="32" t="n">
        <v>69.22</v>
      </c>
      <c r="Q15" s="32" t="n">
        <v>144.06</v>
      </c>
      <c r="R15" s="31" t="inlineStr">
        <is>
          <t>Volume Spike &amp; Near 52W High Breakout</t>
        </is>
      </c>
      <c r="S15" s="31" t="inlineStr">
        <is>
          <t>Nifty 50</t>
        </is>
      </c>
      <c r="T15" s="32" t="n">
        <v>-10.55</v>
      </c>
      <c r="U15" s="32" t="n">
        <v>139.41</v>
      </c>
      <c r="V15" s="32" t="n">
        <v>167.64</v>
      </c>
      <c r="W15" s="32" t="n">
        <v>29.96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IF(B16=0,"",RANK(B16,$B$2:$B$156,0))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VALIANTORG</t>
        </is>
      </c>
      <c r="D16" s="31" t="inlineStr">
        <is>
          <t>Valiant Organics Ltd</t>
        </is>
      </c>
      <c r="E16" s="31" t="inlineStr">
        <is>
          <t>chemicals</t>
        </is>
      </c>
      <c r="F16" s="31" t="inlineStr">
        <is>
          <t>chemicals</t>
        </is>
      </c>
      <c r="G16" s="31" t="inlineStr">
        <is>
          <t>smallcap</t>
        </is>
      </c>
      <c r="H16" s="32" t="n">
        <v>1284.55</v>
      </c>
      <c r="I16" s="32" t="n">
        <v>468.3</v>
      </c>
      <c r="J16" s="32" t="n">
        <v>2.2</v>
      </c>
      <c r="K16" s="32" t="n">
        <v>167701</v>
      </c>
      <c r="L16" s="31" t="n">
        <v>74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73.08</v>
      </c>
      <c r="P16" s="32" t="n">
        <v>51.26</v>
      </c>
      <c r="Q16" s="32" t="n">
        <v>345.02</v>
      </c>
      <c r="R16" s="31" t="inlineStr">
        <is>
          <t>Near 52W High Breakout</t>
        </is>
      </c>
      <c r="S16" s="31" t="inlineStr">
        <is>
          <t>Nifty 50</t>
        </is>
      </c>
      <c r="T16" s="32" t="n">
        <v>-10.55</v>
      </c>
      <c r="U16" s="32" t="n">
        <v>60.29</v>
      </c>
      <c r="V16" s="32" t="n">
        <v>79.2</v>
      </c>
      <c r="W16" s="32" t="n">
        <v>27.93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IF(B17=0,"",RANK(B17,$B$2:$B$156,0))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NRL</t>
        </is>
      </c>
      <c r="D17" s="31" t="inlineStr">
        <is>
          <t>Nupur Recyclers Ltd</t>
        </is>
      </c>
      <c r="E17" s="31" t="inlineStr">
        <is>
          <t>services</t>
        </is>
      </c>
      <c r="F17" s="31" t="inlineStr">
        <is>
          <t>trading</t>
        </is>
      </c>
      <c r="G17" s="31" t="inlineStr">
        <is>
          <t>smallcap</t>
        </is>
      </c>
      <c r="H17" s="32" t="n">
        <v>1120.99</v>
      </c>
      <c r="I17" s="32" t="n">
        <v>165.54</v>
      </c>
      <c r="J17" s="32" t="n">
        <v>2</v>
      </c>
      <c r="K17" s="32" t="n">
        <v>22351</v>
      </c>
      <c r="L17" s="31" t="n">
        <v>88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88.06</v>
      </c>
      <c r="P17" s="32" t="n">
        <v>79.12</v>
      </c>
      <c r="Q17" s="32" t="n">
        <v>138.07</v>
      </c>
      <c r="R17" s="31" t="inlineStr">
        <is>
          <t>Near 52W High Breakout</t>
        </is>
      </c>
      <c r="S17" s="31" t="inlineStr">
        <is>
          <t>Nifty 50</t>
        </is>
      </c>
      <c r="T17" s="32" t="n">
        <v>-10.55</v>
      </c>
      <c r="U17" s="32" t="n">
        <v>147.3</v>
      </c>
      <c r="V17" s="32" t="n">
        <v>176.46</v>
      </c>
      <c r="W17" s="32" t="n">
        <v>36.92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IF(B18=0,"",RANK(B18,$B$2:$B$156,0))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ADVANCE</t>
        </is>
      </c>
      <c r="D18" s="31" t="inlineStr">
        <is>
          <t>Advance Agrolife Ltd</t>
        </is>
      </c>
      <c r="E18" s="31" t="inlineStr">
        <is>
          <t>chemicals</t>
        </is>
      </c>
      <c r="F18" s="31" t="inlineStr">
        <is>
          <t>pesticides / agrochemicals - indian</t>
        </is>
      </c>
      <c r="G18" s="31" t="inlineStr">
        <is>
          <t>smallcap</t>
        </is>
      </c>
      <c r="H18" s="32" t="n">
        <v>1000.74</v>
      </c>
      <c r="I18" s="32" t="n">
        <v>158.43</v>
      </c>
      <c r="J18" s="32" t="n">
        <v>1.77</v>
      </c>
      <c r="K18" s="32" t="n">
        <v>5969574</v>
      </c>
      <c r="L18" s="31" t="n">
        <v>56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70</v>
      </c>
      <c r="P18" s="32" t="n">
        <v>21.65</v>
      </c>
      <c r="Q18" s="32" t="n">
        <v>116.42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-10.55</v>
      </c>
      <c r="U18" s="32" t="n">
        <v>45.54</v>
      </c>
      <c r="V18" s="32" t="n">
        <v>62.7</v>
      </c>
      <c r="W18" s="32" t="n">
        <v>16.85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IF(B19=0,"",RANK(B19,$B$2:$B$156,0))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GABRIEL</t>
        </is>
      </c>
      <c r="D19" s="31" t="inlineStr">
        <is>
          <t>Gabriel India Limited</t>
        </is>
      </c>
      <c r="E19" s="31" t="inlineStr">
        <is>
          <t>auto</t>
        </is>
      </c>
      <c r="F19" s="31" t="inlineStr">
        <is>
          <t>auto ancillaries</t>
        </is>
      </c>
      <c r="G19" s="31" t="inlineStr">
        <is>
          <t>largecap</t>
        </is>
      </c>
      <c r="H19" s="32" t="n">
        <v>27217.81</v>
      </c>
      <c r="I19" s="32" t="n">
        <v>1432.3</v>
      </c>
      <c r="J19" s="32" t="n">
        <v>0.84</v>
      </c>
      <c r="K19" s="32" t="n">
        <v>157386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62.87</v>
      </c>
      <c r="P19" s="32" t="n">
        <v>44.36</v>
      </c>
      <c r="Q19" s="32" t="n">
        <v>1167.91</v>
      </c>
      <c r="R19" s="31" t="inlineStr">
        <is>
          <t>Near 52W High Breakout</t>
        </is>
      </c>
      <c r="S19" s="31" t="inlineStr">
        <is>
          <t>Nifty Auto</t>
        </is>
      </c>
      <c r="T19" s="32" t="inlineStr"/>
      <c r="U19" s="32" t="inlineStr"/>
      <c r="V19" s="32" t="inlineStr"/>
      <c r="W19" s="32" t="inlineStr"/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IF(B20=0,"",RANK(B20,$B$2:$B$156,0))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IGPL</t>
        </is>
      </c>
      <c r="D20" s="31" t="inlineStr">
        <is>
          <t>Ig Petrochemicals Limited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smallcap</t>
        </is>
      </c>
      <c r="H20" s="32" t="n">
        <v>1774.09</v>
      </c>
      <c r="I20" s="32" t="n">
        <v>578.85</v>
      </c>
      <c r="J20" s="32" t="n">
        <v>0.48</v>
      </c>
      <c r="K20" s="32" t="n">
        <v>66111</v>
      </c>
      <c r="L20" s="31" t="n">
        <v>50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66.91</v>
      </c>
      <c r="P20" s="32" t="n">
        <v>39.11</v>
      </c>
      <c r="Q20" s="32" t="n">
        <v>462.73</v>
      </c>
      <c r="R20" s="31" t="inlineStr">
        <is>
          <t>Near 52W High Breakout</t>
        </is>
      </c>
      <c r="S20" s="31" t="inlineStr">
        <is>
          <t>Nifty 50</t>
        </is>
      </c>
      <c r="T20" s="32" t="n">
        <v>-10.55</v>
      </c>
      <c r="U20" s="32" t="n">
        <v>41.24</v>
      </c>
      <c r="V20" s="32" t="n">
        <v>57.9</v>
      </c>
      <c r="W20" s="32" t="n">
        <v>15.63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IF(B21=0,"",RANK(B21,$B$2:$B$156,0))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SWANDEF</t>
        </is>
      </c>
      <c r="D21" s="31" t="inlineStr">
        <is>
          <t>Swan Defence and Heavy Industries Ltd</t>
        </is>
      </c>
      <c r="E21" s="31" t="inlineStr">
        <is>
          <t>transportation</t>
        </is>
      </c>
      <c r="F21" s="31" t="inlineStr">
        <is>
          <t>miscellaneous</t>
        </is>
      </c>
      <c r="G21" s="31" t="inlineStr">
        <is>
          <t>midcap</t>
        </is>
      </c>
      <c r="H21" s="32" t="n">
        <v>15484.34</v>
      </c>
      <c r="I21" s="32" t="n">
        <v>2944.8</v>
      </c>
      <c r="J21" s="32" t="n">
        <v>0.19</v>
      </c>
      <c r="K21" s="32" t="n">
        <v>18019</v>
      </c>
      <c r="L21" s="31" t="n">
        <v>97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71.67</v>
      </c>
      <c r="P21" s="32" t="n">
        <v>57.06</v>
      </c>
      <c r="Q21" s="32" t="n">
        <v>2278.89</v>
      </c>
      <c r="R21" s="31" t="inlineStr">
        <is>
          <t>Near 52W High Breakout</t>
        </is>
      </c>
      <c r="S21" s="31" t="inlineStr">
        <is>
          <t>Nifty 50</t>
        </is>
      </c>
      <c r="T21" s="32" t="n">
        <v>-10.55</v>
      </c>
      <c r="U21" s="32" t="n">
        <v>340.84</v>
      </c>
      <c r="V21" s="32" t="n">
        <v>392.83</v>
      </c>
      <c r="W21" s="32" t="n">
        <v>52.05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Negative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IF(B22=0,"",RANK(B22,$B$2:$B$156,0))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CEIGALL</t>
        </is>
      </c>
      <c r="D22" s="31" t="inlineStr">
        <is>
          <t>Ceigall India Ltd</t>
        </is>
      </c>
      <c r="E22" s="31" t="inlineStr">
        <is>
          <t>realty</t>
        </is>
      </c>
      <c r="F22" s="31" t="inlineStr">
        <is>
          <t>construction</t>
        </is>
      </c>
      <c r="G22" s="31" t="inlineStr">
        <is>
          <t>midcap</t>
        </is>
      </c>
      <c r="H22" s="32" t="n">
        <v>6765.25</v>
      </c>
      <c r="I22" s="32" t="n">
        <v>389</v>
      </c>
      <c r="J22" s="32" t="n">
        <v>0.17</v>
      </c>
      <c r="K22" s="32" t="n">
        <v>168890</v>
      </c>
      <c r="L22" s="31" t="inlineStr"/>
      <c r="M22" s="31" t="inlineStr"/>
      <c r="N22" s="32">
        <f>IF(M22="Underperforming",-5,IF(L22&gt;=95,15,IF(L22&gt;=90,10,IF(L22&gt;=80,5,0))))</f>
        <v/>
      </c>
      <c r="O22" s="32" t="n">
        <v>63.17</v>
      </c>
      <c r="P22" s="32" t="n">
        <v>22.03</v>
      </c>
      <c r="Q22" s="32" t="n">
        <v>308.35</v>
      </c>
      <c r="R22" s="31" t="inlineStr">
        <is>
          <t>Near 52W High Breakout</t>
        </is>
      </c>
      <c r="S22" s="31" t="inlineStr">
        <is>
          <t>Nifty Realty</t>
        </is>
      </c>
      <c r="T22" s="32" t="inlineStr"/>
      <c r="U22" s="32" t="inlineStr"/>
      <c r="V22" s="32" t="inlineStr"/>
      <c r="W22" s="32" t="inlineStr"/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IF(B23=0,"",RANK(B23,$B$2:$B$156,0))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KRONOX</t>
        </is>
      </c>
      <c r="D23" s="31" t="inlineStr">
        <is>
          <t>Kronox Lab Sciences Ltd</t>
        </is>
      </c>
      <c r="E23" s="31" t="inlineStr">
        <is>
          <t>chemicals</t>
        </is>
      </c>
      <c r="F23" s="31" t="inlineStr">
        <is>
          <t>chemicals</t>
        </is>
      </c>
      <c r="G23" s="31" t="inlineStr">
        <is>
          <t>smallcap</t>
        </is>
      </c>
      <c r="H23" s="32" t="n">
        <v>811.8</v>
      </c>
      <c r="I23" s="32" t="n">
        <v>218.18</v>
      </c>
      <c r="J23" s="32" t="n">
        <v>-0.28</v>
      </c>
      <c r="K23" s="32" t="n">
        <v>85827</v>
      </c>
      <c r="L23" s="31" t="n">
        <v>59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65.84999999999999</v>
      </c>
      <c r="P23" s="32" t="n">
        <v>53.34</v>
      </c>
      <c r="Q23" s="32" t="n">
        <v>149.41</v>
      </c>
      <c r="R23" s="31" t="inlineStr">
        <is>
          <t>Near 52W High Breakout</t>
        </is>
      </c>
      <c r="S23" s="31" t="inlineStr">
        <is>
          <t>Nifty 50</t>
        </is>
      </c>
      <c r="T23" s="32" t="n">
        <v>-10.55</v>
      </c>
      <c r="U23" s="32" t="n">
        <v>44.47</v>
      </c>
      <c r="V23" s="32" t="n">
        <v>61.51</v>
      </c>
      <c r="W23" s="32" t="n">
        <v>18.08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Between 12 to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IF(B24=0,"",RANK(B24,$B$2:$B$156,0))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STOVEKRAFT</t>
        </is>
      </c>
      <c r="D24" s="31" t="inlineStr">
        <is>
          <t>Stove Kraft Ltd</t>
        </is>
      </c>
      <c r="E24" s="31" t="inlineStr">
        <is>
          <t>consumer discretionary</t>
        </is>
      </c>
      <c r="F24" s="31" t="inlineStr">
        <is>
          <t>domestic appliances</t>
        </is>
      </c>
      <c r="G24" s="31" t="inlineStr">
        <is>
          <t>smallcap</t>
        </is>
      </c>
      <c r="H24" s="32" t="n">
        <v>2816.77</v>
      </c>
      <c r="I24" s="32" t="n">
        <v>846</v>
      </c>
      <c r="J24" s="32" t="n">
        <v>-0.5600000000000001</v>
      </c>
      <c r="K24" s="32" t="n">
        <v>105868</v>
      </c>
      <c r="L24" s="31" t="n">
        <v>30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68.73</v>
      </c>
      <c r="P24" s="32" t="n">
        <v>43.05</v>
      </c>
      <c r="Q24" s="32" t="n">
        <v>667.34</v>
      </c>
      <c r="R24" s="31" t="inlineStr">
        <is>
          <t>Near 52W High Breakout</t>
        </is>
      </c>
      <c r="S24" s="31" t="inlineStr">
        <is>
          <t>Nifty 50</t>
        </is>
      </c>
      <c r="T24" s="32" t="n">
        <v>-10.55</v>
      </c>
      <c r="U24" s="32" t="n">
        <v>23.39</v>
      </c>
      <c r="V24" s="32" t="n">
        <v>37.94</v>
      </c>
      <c r="W24" s="32" t="n">
        <v>8.27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IF(B25=0,"",RANK(B25,$B$2:$B$156,0))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SSWL</t>
        </is>
      </c>
      <c r="D25" s="31" t="inlineStr">
        <is>
          <t>Steel Strips Wheels Limited</t>
        </is>
      </c>
      <c r="E25" s="31" t="inlineStr">
        <is>
          <t>auto</t>
        </is>
      </c>
      <c r="F25" s="31" t="inlineStr">
        <is>
          <t>auto ancillaries</t>
        </is>
      </c>
      <c r="G25" s="31" t="inlineStr">
        <is>
          <t>midcap</t>
        </is>
      </c>
      <c r="H25" s="32" t="n">
        <v>6393.31</v>
      </c>
      <c r="I25" s="32" t="n">
        <v>402.8</v>
      </c>
      <c r="J25" s="32" t="n">
        <v>-0.97</v>
      </c>
      <c r="K25" s="32" t="n">
        <v>564334</v>
      </c>
      <c r="L25" s="31" t="inlineStr"/>
      <c r="M25" s="31" t="inlineStr"/>
      <c r="N25" s="32">
        <f>IF(M25="Underperforming",-5,IF(L25&gt;=95,15,IF(L25&gt;=90,10,IF(L25&gt;=80,5,0))))</f>
        <v/>
      </c>
      <c r="O25" s="32" t="n">
        <v>81.38</v>
      </c>
      <c r="P25" s="32" t="n">
        <v>51.48</v>
      </c>
      <c r="Q25" s="32" t="n">
        <v>317.64</v>
      </c>
      <c r="R25" s="31" t="inlineStr">
        <is>
          <t>Near 52W High Breakout</t>
        </is>
      </c>
      <c r="S25" s="31" t="inlineStr">
        <is>
          <t>Nifty Auto</t>
        </is>
      </c>
      <c r="T25" s="32" t="inlineStr"/>
      <c r="U25" s="32" t="inlineStr"/>
      <c r="V25" s="32" t="inlineStr"/>
      <c r="W25" s="32" t="inlineStr"/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IF(B26=0,"",RANK(B26,$B$2:$B$156,0))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OCCLLTD</t>
        </is>
      </c>
      <c r="D26" s="31" t="inlineStr">
        <is>
          <t>OCCL Ltd</t>
        </is>
      </c>
      <c r="E26" s="31" t="inlineStr">
        <is>
          <t>chemicals</t>
        </is>
      </c>
      <c r="F26" s="31" t="inlineStr">
        <is>
          <t>chemicals</t>
        </is>
      </c>
      <c r="G26" s="31" t="inlineStr">
        <is>
          <t>smallcap</t>
        </is>
      </c>
      <c r="H26" s="32" t="n">
        <v>1152.66</v>
      </c>
      <c r="I26" s="32" t="n">
        <v>226.15</v>
      </c>
      <c r="J26" s="32" t="n">
        <v>-2</v>
      </c>
      <c r="K26" s="32" t="n">
        <v>187890</v>
      </c>
      <c r="L26" s="31" t="n">
        <v>79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82.59</v>
      </c>
      <c r="P26" s="32" t="n">
        <v>52.66</v>
      </c>
      <c r="Q26" s="32" t="n">
        <v>171.56</v>
      </c>
      <c r="R26" s="31" t="inlineStr">
        <is>
          <t>Volume Spike &amp; Near 52W High Breakout</t>
        </is>
      </c>
      <c r="S26" s="31" t="inlineStr">
        <is>
          <t>Nifty 50</t>
        </is>
      </c>
      <c r="T26" s="32" t="n">
        <v>-10.55</v>
      </c>
      <c r="U26" s="32" t="n">
        <v>86.11</v>
      </c>
      <c r="V26" s="32" t="n">
        <v>108.06</v>
      </c>
      <c r="W26" s="32" t="n">
        <v>31.37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IF(B27=0,"",RANK(B27,$B$2:$B$156,0))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PREMIERPOL</t>
        </is>
      </c>
      <c r="D27" s="31" t="inlineStr">
        <is>
          <t>Premier Polyfilm Limited</t>
        </is>
      </c>
      <c r="E27" s="31" t="inlineStr">
        <is>
          <t>plastic products</t>
        </is>
      </c>
      <c r="F27" s="31" t="inlineStr">
        <is>
          <t>plastics products</t>
        </is>
      </c>
      <c r="G27" s="31" t="inlineStr">
        <is>
          <t>smallcap</t>
        </is>
      </c>
      <c r="H27" s="32" t="n">
        <v>1140.23</v>
      </c>
      <c r="I27" s="32" t="n">
        <v>106.13</v>
      </c>
      <c r="J27" s="32" t="n">
        <v>-2.51</v>
      </c>
      <c r="K27" s="32" t="n">
        <v>318480</v>
      </c>
      <c r="L27" s="31" t="n">
        <v>76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69.52</v>
      </c>
      <c r="P27" s="32" t="n">
        <v>60.72</v>
      </c>
      <c r="Q27" s="32" t="n">
        <v>71.25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-10.55</v>
      </c>
      <c r="U27" s="32" t="n">
        <v>141.42</v>
      </c>
      <c r="V27" s="32" t="n">
        <v>169.9</v>
      </c>
      <c r="W27" s="32" t="n">
        <v>29.48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IF(B28=0,"",RANK(B28,$B$2:$B$156,0))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63MOONS</t>
        </is>
      </c>
      <c r="D28" s="31" t="inlineStr">
        <is>
          <t>63 Moons Technologies Ltd</t>
        </is>
      </c>
      <c r="E28" s="31" t="inlineStr">
        <is>
          <t>i.t</t>
        </is>
      </c>
      <c r="F28" s="31" t="inlineStr">
        <is>
          <t>computers - software - medium / small</t>
        </is>
      </c>
      <c r="G28" s="31" t="inlineStr">
        <is>
          <t>smallcap</t>
        </is>
      </c>
      <c r="H28" s="32" t="n">
        <v>4208.81</v>
      </c>
      <c r="I28" s="32" t="n">
        <v>920.85</v>
      </c>
      <c r="J28" s="32" t="n">
        <v>0.82</v>
      </c>
      <c r="K28" s="32" t="n">
        <v>1013289</v>
      </c>
      <c r="L28" s="31" t="n">
        <v>34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60.63</v>
      </c>
      <c r="P28" s="32" t="n">
        <v>37.54</v>
      </c>
      <c r="Q28" s="32" t="n">
        <v>646.39</v>
      </c>
      <c r="R28" s="31" t="inlineStr">
        <is>
          <t>Volume Spike &amp; Near 52W High Breakout</t>
        </is>
      </c>
      <c r="S28" s="31" t="inlineStr">
        <is>
          <t>Nifty IT</t>
        </is>
      </c>
      <c r="T28" s="32" t="n">
        <v>-12.11</v>
      </c>
      <c r="U28" s="32" t="n">
        <v>16.48</v>
      </c>
      <c r="V28" s="32" t="n">
        <v>32.52</v>
      </c>
      <c r="W28" s="32" t="n">
        <v>9.5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IF(B29=0,"",RANK(B29,$B$2:$B$156,0))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DALMIASUG</t>
        </is>
      </c>
      <c r="D29" s="31" t="inlineStr">
        <is>
          <t>Dalmia Bharat Sugar And Industries Limited</t>
        </is>
      </c>
      <c r="E29" s="31" t="inlineStr">
        <is>
          <t>fmcg</t>
        </is>
      </c>
      <c r="F29" s="31" t="inlineStr">
        <is>
          <t>sugar</t>
        </is>
      </c>
      <c r="G29" s="31" t="inlineStr">
        <is>
          <t>smallcap</t>
        </is>
      </c>
      <c r="H29" s="32" t="n">
        <v>3918.68</v>
      </c>
      <c r="I29" s="32" t="n">
        <v>482.35</v>
      </c>
      <c r="J29" s="32" t="n">
        <v>-0.37</v>
      </c>
      <c r="K29" s="32" t="n">
        <v>344483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62.91</v>
      </c>
      <c r="P29" s="32" t="n">
        <v>41.97</v>
      </c>
      <c r="Q29" s="32" t="n">
        <v>351.88</v>
      </c>
      <c r="R29" s="31" t="inlineStr">
        <is>
          <t>Volume Spike &amp; Near 52W High Breakout</t>
        </is>
      </c>
      <c r="S29" s="31" t="inlineStr">
        <is>
          <t>Nifty FMCG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B2C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Less than 12%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IF(B30=0,"",RANK(B30,$B$2:$B$156,0))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MAWANASUG</t>
        </is>
      </c>
      <c r="D30" s="31" t="inlineStr">
        <is>
          <t>Mawana Sugars Limited</t>
        </is>
      </c>
      <c r="E30" s="31" t="inlineStr">
        <is>
          <t>fmcg</t>
        </is>
      </c>
      <c r="F30" s="31" t="inlineStr">
        <is>
          <t>sugar</t>
        </is>
      </c>
      <c r="G30" s="31" t="inlineStr">
        <is>
          <t>smallcap</t>
        </is>
      </c>
      <c r="H30" s="32" t="n">
        <v>709.46</v>
      </c>
      <c r="I30" s="32" t="n">
        <v>172.57</v>
      </c>
      <c r="J30" s="32" t="n">
        <v>-4.85</v>
      </c>
      <c r="K30" s="32" t="n">
        <v>579074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71.66</v>
      </c>
      <c r="P30" s="32" t="n">
        <v>46.26</v>
      </c>
      <c r="Q30" s="32" t="n">
        <v>121.49</v>
      </c>
      <c r="R30" s="31" t="inlineStr">
        <is>
          <t>Volume Spike &amp; Near 52W High Breakout</t>
        </is>
      </c>
      <c r="S30" s="31" t="inlineStr">
        <is>
          <t>Nifty FMCG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Between 0.7 to 1.2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IF(B31=0,"",RANK(B31,$B$2:$B$156,0))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E2E</t>
        </is>
      </c>
      <c r="D31" s="31" t="inlineStr">
        <is>
          <t>E2E Networks Ltd</t>
        </is>
      </c>
      <c r="E31" s="31" t="inlineStr">
        <is>
          <t>i.t</t>
        </is>
      </c>
      <c r="F31" s="31" t="inlineStr">
        <is>
          <t>computers - software - medium / small</t>
        </is>
      </c>
      <c r="G31" s="31" t="inlineStr">
        <is>
          <t>midcap</t>
        </is>
      </c>
      <c r="H31" s="32" t="n">
        <v>15382.42</v>
      </c>
      <c r="I31" s="32" t="n">
        <v>710.9</v>
      </c>
      <c r="J31" s="32" t="n">
        <v>-5</v>
      </c>
      <c r="K31" s="32" t="n">
        <v>1046829</v>
      </c>
      <c r="L31" s="31" t="n">
        <v>90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76.08</v>
      </c>
      <c r="P31" s="32" t="n">
        <v>57.38</v>
      </c>
      <c r="Q31" s="32" t="n">
        <v>504.32</v>
      </c>
      <c r="R31" s="31" t="inlineStr">
        <is>
          <t>Near 52W High Breakout</t>
        </is>
      </c>
      <c r="S31" s="31" t="inlineStr">
        <is>
          <t>Nifty IT</t>
        </is>
      </c>
      <c r="T31" s="32" t="n">
        <v>-12.11</v>
      </c>
      <c r="U31" s="32" t="n">
        <v>119.33</v>
      </c>
      <c r="V31" s="32" t="n">
        <v>149.53</v>
      </c>
      <c r="W31" s="32" t="n">
        <v>38.03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IF(B32=0,"",RANK(B32,$B$2:$B$156,0))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TCPLPACK</t>
        </is>
      </c>
      <c r="D32" s="31" t="inlineStr">
        <is>
          <t>TCPL Packaging Ltd</t>
        </is>
      </c>
      <c r="E32" s="31" t="inlineStr">
        <is>
          <t>industrials</t>
        </is>
      </c>
      <c r="F32" s="31" t="inlineStr">
        <is>
          <t>packaging</t>
        </is>
      </c>
      <c r="G32" s="31" t="inlineStr">
        <is>
          <t>smallcap</t>
        </is>
      </c>
      <c r="H32" s="32" t="n">
        <v>3985.8</v>
      </c>
      <c r="I32" s="32" t="n">
        <v>4485</v>
      </c>
      <c r="J32" s="32" t="n">
        <v>2.4</v>
      </c>
      <c r="K32" s="32" t="n">
        <v>22202</v>
      </c>
      <c r="L32" s="31" t="n">
        <v>49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70.42</v>
      </c>
      <c r="P32" s="32" t="n">
        <v>52.76</v>
      </c>
      <c r="Q32" s="32" t="n">
        <v>3474.29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-10.55</v>
      </c>
      <c r="U32" s="32" t="n">
        <v>27.48</v>
      </c>
      <c r="V32" s="32" t="n">
        <v>42.52</v>
      </c>
      <c r="W32" s="32" t="n">
        <v>15.2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Between 0.7 to 1.2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IF(B33=0,"",RANK(B33,$B$2:$B$156,0))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LOTUSDEV</t>
        </is>
      </c>
      <c r="D33" s="31" t="inlineStr">
        <is>
          <t>Sri Lotus Developers &amp; Realty Ltd</t>
        </is>
      </c>
      <c r="E33" s="31" t="inlineStr">
        <is>
          <t>realty</t>
        </is>
      </c>
      <c r="F33" s="31" t="inlineStr">
        <is>
          <t>construction</t>
        </is>
      </c>
      <c r="G33" s="31" t="inlineStr">
        <is>
          <t>midcap</t>
        </is>
      </c>
      <c r="H33" s="32" t="n">
        <v>11652.15</v>
      </c>
      <c r="I33" s="32" t="n">
        <v>240.14</v>
      </c>
      <c r="J33" s="32" t="n">
        <v>0.72</v>
      </c>
      <c r="K33" s="32" t="n">
        <v>649446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72.76000000000001</v>
      </c>
      <c r="P33" s="32" t="n">
        <v>36.59</v>
      </c>
      <c r="Q33" s="32" t="n">
        <v>184.86</v>
      </c>
      <c r="R33" s="31" t="inlineStr">
        <is>
          <t>Near 52W High Breakout</t>
        </is>
      </c>
      <c r="S33" s="31" t="inlineStr">
        <is>
          <t>Nifty Realty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IF(B34=0,"",RANK(B34,$B$2:$B$156,0))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TATVA</t>
        </is>
      </c>
      <c r="D34" s="31" t="inlineStr">
        <is>
          <t>Tatva Chintan Pharma Chem Ltd</t>
        </is>
      </c>
      <c r="E34" s="31" t="inlineStr">
        <is>
          <t>chemicals</t>
        </is>
      </c>
      <c r="F34" s="31" t="inlineStr">
        <is>
          <t>chemicals</t>
        </is>
      </c>
      <c r="G34" s="31" t="inlineStr">
        <is>
          <t>smallcap</t>
        </is>
      </c>
      <c r="H34" s="32" t="n">
        <v>4539.46</v>
      </c>
      <c r="I34" s="32" t="n">
        <v>1940.7</v>
      </c>
      <c r="J34" s="32" t="n">
        <v>0.01</v>
      </c>
      <c r="K34" s="32" t="n">
        <v>76534</v>
      </c>
      <c r="L34" s="31" t="n">
        <v>53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71.06</v>
      </c>
      <c r="P34" s="32" t="n">
        <v>44.12</v>
      </c>
      <c r="Q34" s="32" t="n">
        <v>1455.24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-10.55</v>
      </c>
      <c r="U34" s="32" t="n">
        <v>46.15</v>
      </c>
      <c r="V34" s="32" t="n">
        <v>63.39</v>
      </c>
      <c r="W34" s="32" t="n">
        <v>16.05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IF(B35=0,"",RANK(B35,$B$2:$B$156,0))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PCJEWELLER</t>
        </is>
      </c>
      <c r="D35" s="31" t="inlineStr">
        <is>
          <t>Pc Jeweller Limited</t>
        </is>
      </c>
      <c r="E35" s="31" t="inlineStr">
        <is>
          <t>consumer discretionary</t>
        </is>
      </c>
      <c r="F35" s="31" t="inlineStr">
        <is>
          <t>diamond cutting / jewellery</t>
        </is>
      </c>
      <c r="G35" s="31" t="inlineStr">
        <is>
          <t>midcap</t>
        </is>
      </c>
      <c r="H35" s="32" t="n">
        <v>14191.82</v>
      </c>
      <c r="I35" s="32" t="n">
        <v>14.45</v>
      </c>
      <c r="J35" s="32" t="n">
        <v>-0.14</v>
      </c>
      <c r="K35" s="32" t="n">
        <v>481661644</v>
      </c>
      <c r="L35" s="31" t="n">
        <v>50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65.39</v>
      </c>
      <c r="P35" s="32" t="n">
        <v>39.11</v>
      </c>
      <c r="Q35" s="32" t="n">
        <v>10.35</v>
      </c>
      <c r="R35" s="31" t="inlineStr">
        <is>
          <t>Near 52W High Breakout</t>
        </is>
      </c>
      <c r="S35" s="31" t="inlineStr">
        <is>
          <t>Nifty 50</t>
        </is>
      </c>
      <c r="T35" s="32" t="n">
        <v>-10.55</v>
      </c>
      <c r="U35" s="32" t="n">
        <v>19.72</v>
      </c>
      <c r="V35" s="32" t="n">
        <v>33.84</v>
      </c>
      <c r="W35" s="32" t="n">
        <v>15.51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IF(B36=0,"",RANK(B36,$B$2:$B$156,0))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MATRIMONY</t>
        </is>
      </c>
      <c r="D36" s="31" t="inlineStr">
        <is>
          <t>Matrimony.com Ltd</t>
        </is>
      </c>
      <c r="E36" s="31" t="inlineStr">
        <is>
          <t>miscellaneous</t>
        </is>
      </c>
      <c r="F36" s="31" t="inlineStr">
        <is>
          <t>miscellaneous</t>
        </is>
      </c>
      <c r="G36" s="31" t="inlineStr">
        <is>
          <t>smallcap</t>
        </is>
      </c>
      <c r="H36" s="32" t="n">
        <v>1115.85</v>
      </c>
      <c r="I36" s="32" t="n">
        <v>536.85</v>
      </c>
      <c r="J36" s="32" t="n">
        <v>-0.54</v>
      </c>
      <c r="K36" s="32" t="n">
        <v>4639</v>
      </c>
      <c r="L36" s="31" t="n">
        <v>30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60.98</v>
      </c>
      <c r="P36" s="32" t="n">
        <v>44.82</v>
      </c>
      <c r="Q36" s="32" t="n">
        <v>413.39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-10.55</v>
      </c>
      <c r="U36" s="32" t="n">
        <v>7.38</v>
      </c>
      <c r="V36" s="32" t="n">
        <v>20.05</v>
      </c>
      <c r="W36" s="32" t="n">
        <v>7.9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IF(B37=0,"",RANK(B37,$B$2:$B$156,0))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CYIENTDLM</t>
        </is>
      </c>
      <c r="D37" s="31" t="inlineStr">
        <is>
          <t>Cyient DLM Ltd</t>
        </is>
      </c>
      <c r="E37" s="31" t="inlineStr">
        <is>
          <t>aerospace &amp; defence</t>
        </is>
      </c>
      <c r="F37" s="31" t="inlineStr">
        <is>
          <t>electronics - components</t>
        </is>
      </c>
      <c r="G37" s="31" t="inlineStr">
        <is>
          <t>midcap</t>
        </is>
      </c>
      <c r="H37" s="32" t="n">
        <v>8244.360000000001</v>
      </c>
      <c r="I37" s="32" t="n">
        <v>1030.1</v>
      </c>
      <c r="J37" s="32" t="n">
        <v>-0.8100000000000001</v>
      </c>
      <c r="K37" s="32" t="n">
        <v>671244</v>
      </c>
      <c r="L37" s="31" t="n">
        <v>92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86.59</v>
      </c>
      <c r="P37" s="32" t="n">
        <v>79.45</v>
      </c>
      <c r="Q37" s="32" t="n">
        <v>794.54</v>
      </c>
      <c r="R37" s="31" t="inlineStr">
        <is>
          <t>Near 52W High Breakout</t>
        </is>
      </c>
      <c r="S37" s="31" t="inlineStr">
        <is>
          <t>Nifty 50</t>
        </is>
      </c>
      <c r="T37" s="32" t="n">
        <v>-10.55</v>
      </c>
      <c r="U37" s="32" t="n">
        <v>132.16</v>
      </c>
      <c r="V37" s="32" t="n">
        <v>159.54</v>
      </c>
      <c r="W37" s="32" t="n">
        <v>40.2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IF(B38=0,"",RANK(B38,$B$2:$B$156,0))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DELTACORP</t>
        </is>
      </c>
      <c r="D38" s="31" t="inlineStr">
        <is>
          <t>Delta Corp Limited</t>
        </is>
      </c>
      <c r="E38" s="31" t="inlineStr">
        <is>
          <t>miscellaneous</t>
        </is>
      </c>
      <c r="F38" s="31" t="inlineStr">
        <is>
          <t>recreation / amusement parks</t>
        </is>
      </c>
      <c r="G38" s="31" t="inlineStr">
        <is>
          <t>smallcap</t>
        </is>
      </c>
      <c r="H38" s="32" t="n">
        <v>2174.57</v>
      </c>
      <c r="I38" s="32" t="n">
        <v>79.72</v>
      </c>
      <c r="J38" s="32" t="n">
        <v>-1.83</v>
      </c>
      <c r="K38" s="32" t="n">
        <v>3674107</v>
      </c>
      <c r="L38" s="31" t="n">
        <v>25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63.37</v>
      </c>
      <c r="P38" s="32" t="n">
        <v>26.27</v>
      </c>
      <c r="Q38" s="32" t="n">
        <v>57.36</v>
      </c>
      <c r="R38" s="31" t="inlineStr">
        <is>
          <t>Near 52W High Breakout</t>
        </is>
      </c>
      <c r="S38" s="31" t="inlineStr">
        <is>
          <t>Nifty 50</t>
        </is>
      </c>
      <c r="T38" s="32" t="n">
        <v>-10.55</v>
      </c>
      <c r="U38" s="32" t="n">
        <v>1.52</v>
      </c>
      <c r="V38" s="32" t="n">
        <v>13.49</v>
      </c>
      <c r="W38" s="32" t="n">
        <v>6.19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IF(B39=0,"",RANK(B39,$B$2:$B$156,0))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KABRAEXTRU</t>
        </is>
      </c>
      <c r="D39" s="31" t="inlineStr">
        <is>
          <t>Kabra Extrusion Technik Limited</t>
        </is>
      </c>
      <c r="E39" s="31" t="inlineStr">
        <is>
          <t>industrials</t>
        </is>
      </c>
      <c r="F39" s="31" t="inlineStr">
        <is>
          <t>engineering</t>
        </is>
      </c>
      <c r="G39" s="31" t="inlineStr">
        <is>
          <t>smallcap</t>
        </is>
      </c>
      <c r="H39" s="32" t="n">
        <v>3248.33</v>
      </c>
      <c r="I39" s="32" t="n">
        <v>814.7</v>
      </c>
      <c r="J39" s="32" t="n">
        <v>-2.86</v>
      </c>
      <c r="K39" s="32" t="n">
        <v>99236</v>
      </c>
      <c r="L39" s="31" t="n">
        <v>98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77.3</v>
      </c>
      <c r="P39" s="32" t="n">
        <v>77.47</v>
      </c>
      <c r="Q39" s="32" t="n">
        <v>617.03</v>
      </c>
      <c r="R39" s="31" t="inlineStr">
        <is>
          <t>Near 52W High Breakout</t>
        </is>
      </c>
      <c r="S39" s="31" t="inlineStr">
        <is>
          <t>Nifty 50</t>
        </is>
      </c>
      <c r="T39" s="32" t="n">
        <v>-10.55</v>
      </c>
      <c r="U39" s="32" t="n">
        <v>232.12</v>
      </c>
      <c r="V39" s="32" t="n">
        <v>271.3</v>
      </c>
      <c r="W39" s="32" t="n">
        <v>66.42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IF(B40=0,"",RANK(B40,$B$2:$B$156,0))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SPORTKING</t>
        </is>
      </c>
      <c r="D40" s="31" t="inlineStr">
        <is>
          <t>Sportking India Ltd</t>
        </is>
      </c>
      <c r="E40" s="31" t="inlineStr">
        <is>
          <t>textiles</t>
        </is>
      </c>
      <c r="F40" s="31" t="inlineStr">
        <is>
          <t>textiles - spinning - synthetic / blended</t>
        </is>
      </c>
      <c r="G40" s="31" t="inlineStr">
        <is>
          <t>smallcap</t>
        </is>
      </c>
      <c r="H40" s="32" t="n">
        <v>2870.18</v>
      </c>
      <c r="I40" s="32" t="n">
        <v>217.36</v>
      </c>
      <c r="J40" s="32" t="n">
        <v>-3.77</v>
      </c>
      <c r="K40" s="32" t="n">
        <v>194912</v>
      </c>
      <c r="L40" s="31" t="n">
        <v>66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61.8</v>
      </c>
      <c r="P40" s="32" t="n">
        <v>63.03</v>
      </c>
      <c r="Q40" s="32" t="n">
        <v>167.1</v>
      </c>
      <c r="R40" s="31" t="inlineStr">
        <is>
          <t>Volume Spike / Accumulation</t>
        </is>
      </c>
      <c r="S40" s="31" t="inlineStr">
        <is>
          <t>Nifty 50</t>
        </is>
      </c>
      <c r="T40" s="32" t="n">
        <v>-10.55</v>
      </c>
      <c r="U40" s="32" t="n">
        <v>128.86</v>
      </c>
      <c r="V40" s="32" t="n">
        <v>155.85</v>
      </c>
      <c r="W40" s="32" t="n">
        <v>23.31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IF(B41=0,"",RANK(B41,$B$2:$B$156,0))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FILATEX</t>
        </is>
      </c>
      <c r="D41" s="31" t="inlineStr">
        <is>
          <t>Filatex India Limited</t>
        </is>
      </c>
      <c r="E41" s="31" t="inlineStr">
        <is>
          <t>textiles</t>
        </is>
      </c>
      <c r="F41" s="31" t="inlineStr">
        <is>
          <t>textiles - manmade</t>
        </is>
      </c>
      <c r="G41" s="31" t="inlineStr">
        <is>
          <t>smallcap</t>
        </is>
      </c>
      <c r="H41" s="32" t="n">
        <v>4964.57</v>
      </c>
      <c r="I41" s="32" t="n">
        <v>105.98</v>
      </c>
      <c r="J41" s="32" t="n">
        <v>-5.21</v>
      </c>
      <c r="K41" s="32" t="n">
        <v>1963039</v>
      </c>
      <c r="L41" s="31" t="n">
        <v>74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78.25</v>
      </c>
      <c r="P41" s="32" t="n">
        <v>55.98</v>
      </c>
      <c r="Q41" s="32" t="n">
        <v>81.19</v>
      </c>
      <c r="R41" s="31" t="inlineStr">
        <is>
          <t>Near 52W High Breakout</t>
        </is>
      </c>
      <c r="S41" s="31" t="inlineStr">
        <is>
          <t>Nifty 50</t>
        </is>
      </c>
      <c r="T41" s="32" t="n">
        <v>-10.55</v>
      </c>
      <c r="U41" s="32" t="n">
        <v>92.23999999999999</v>
      </c>
      <c r="V41" s="32" t="n">
        <v>114.91</v>
      </c>
      <c r="W41" s="32" t="n">
        <v>27.51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Between 12 to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IF(B42=0,"",RANK(B42,$B$2:$B$156,0))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CPPLUS</t>
        </is>
      </c>
      <c r="D42" s="31" t="inlineStr">
        <is>
          <t>Aditya Infotech Ltd</t>
        </is>
      </c>
      <c r="E42" s="31" t="inlineStr">
        <is>
          <t>consumer discretionary</t>
        </is>
      </c>
      <c r="F42" s="31" t="inlineStr">
        <is>
          <t>trading</t>
        </is>
      </c>
      <c r="G42" s="31" t="inlineStr">
        <is>
          <t>largecap</t>
        </is>
      </c>
      <c r="H42" s="32" t="n">
        <v>54450.04</v>
      </c>
      <c r="I42" s="32" t="n">
        <v>4109.1</v>
      </c>
      <c r="J42" s="32" t="n">
        <v>-7.46</v>
      </c>
      <c r="K42" s="32" t="n">
        <v>630331</v>
      </c>
      <c r="L42" s="31" t="n">
        <v>77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67.91</v>
      </c>
      <c r="P42" s="32" t="n">
        <v>41.97</v>
      </c>
      <c r="Q42" s="32" t="n">
        <v>3082.71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-10.55</v>
      </c>
      <c r="U42" s="32" t="n">
        <v>194.25</v>
      </c>
      <c r="V42" s="32" t="n">
        <v>228.96</v>
      </c>
      <c r="W42" s="32" t="n">
        <v>29.93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IF(B43=0,"",RANK(B43,$B$2:$B$156,0))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CUPID</t>
        </is>
      </c>
      <c r="D43" s="31" t="inlineStr">
        <is>
          <t>Cupid Limited</t>
        </is>
      </c>
      <c r="E43" s="31" t="inlineStr">
        <is>
          <t>fmcg</t>
        </is>
      </c>
      <c r="F43" s="31" t="inlineStr">
        <is>
          <t>personal care - indian</t>
        </is>
      </c>
      <c r="G43" s="31" t="inlineStr">
        <is>
          <t>largecap</t>
        </is>
      </c>
      <c r="H43" s="32" t="n">
        <v>47681.67</v>
      </c>
      <c r="I43" s="32" t="n">
        <v>352.5</v>
      </c>
      <c r="J43" s="32" t="n">
        <v>-0.59</v>
      </c>
      <c r="K43" s="32" t="n">
        <v>11757828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81.31999999999999</v>
      </c>
      <c r="P43" s="32" t="n">
        <v>65.09999999999999</v>
      </c>
      <c r="Q43" s="32" t="n">
        <v>281.76</v>
      </c>
      <c r="R43" s="31" t="inlineStr">
        <is>
          <t>Near 52W High Breakout</t>
        </is>
      </c>
      <c r="S43" s="31" t="inlineStr">
        <is>
          <t>Nifty FMCG</t>
        </is>
      </c>
      <c r="T43" s="32" t="inlineStr"/>
      <c r="U43" s="32" t="inlineStr"/>
      <c r="V43" s="32" t="inlineStr"/>
      <c r="W43" s="32" t="inlineStr"/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B2C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IF(B44=0,"",RANK(B44,$B$2:$B$156,0))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SUNTV</t>
        </is>
      </c>
      <c r="D44" s="31" t="inlineStr">
        <is>
          <t>Sun Tv Network Limited</t>
        </is>
      </c>
      <c r="E44" s="31" t="inlineStr">
        <is>
          <t>media</t>
        </is>
      </c>
      <c r="F44" s="31" t="inlineStr">
        <is>
          <t>entertainment / electronic media software</t>
        </is>
      </c>
      <c r="G44" s="31" t="inlineStr">
        <is>
          <t>largecap</t>
        </is>
      </c>
      <c r="H44" s="32" t="n">
        <v>25737.67</v>
      </c>
      <c r="I44" s="32" t="n">
        <v>629.15</v>
      </c>
      <c r="J44" s="32" t="n">
        <v>-3.67</v>
      </c>
      <c r="K44" s="32" t="n">
        <v>1492968</v>
      </c>
      <c r="L44" s="31" t="n">
        <v>35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66.92</v>
      </c>
      <c r="P44" s="32" t="n">
        <v>23.49</v>
      </c>
      <c r="Q44" s="32" t="n">
        <v>497.55</v>
      </c>
      <c r="R44" s="31" t="inlineStr">
        <is>
          <t>Near 52W High Breakout</t>
        </is>
      </c>
      <c r="S44" s="31" t="inlineStr">
        <is>
          <t>Nifty IT</t>
        </is>
      </c>
      <c r="T44" s="32" t="n">
        <v>-12.11</v>
      </c>
      <c r="U44" s="32" t="n">
        <v>13.42</v>
      </c>
      <c r="V44" s="32" t="n">
        <v>29.04</v>
      </c>
      <c r="W44" s="32" t="n">
        <v>9.539999999999999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Between 12 to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IF(B45=0,"",RANK(B45,$B$2:$B$156,0))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HITECHCORP</t>
        </is>
      </c>
      <c r="D45" s="31" t="inlineStr">
        <is>
          <t>Hitech Corporation</t>
        </is>
      </c>
      <c r="E45" s="31" t="inlineStr">
        <is>
          <t>industrials</t>
        </is>
      </c>
      <c r="F45" s="31" t="inlineStr">
        <is>
          <t>packaging</t>
        </is>
      </c>
      <c r="G45" s="31" t="inlineStr">
        <is>
          <t>smallcap</t>
        </is>
      </c>
      <c r="H45" s="32" t="n">
        <v>673.12</v>
      </c>
      <c r="I45" s="32" t="n">
        <v>411.45</v>
      </c>
      <c r="J45" s="32" t="n">
        <v>4.99</v>
      </c>
      <c r="K45" s="32" t="n">
        <v>12777</v>
      </c>
      <c r="L45" s="31" t="n">
        <v>78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87.72</v>
      </c>
      <c r="P45" s="32" t="n">
        <v>66.34</v>
      </c>
      <c r="Q45" s="32" t="n">
        <v>345.6</v>
      </c>
      <c r="R45" s="31" t="inlineStr">
        <is>
          <t>Near 52W High Breakout</t>
        </is>
      </c>
      <c r="S45" s="31" t="inlineStr">
        <is>
          <t>Nifty 50</t>
        </is>
      </c>
      <c r="T45" s="32" t="n">
        <v>-10.55</v>
      </c>
      <c r="U45" s="32" t="n">
        <v>118.82</v>
      </c>
      <c r="V45" s="32" t="n">
        <v>144.63</v>
      </c>
      <c r="W45" s="32" t="n">
        <v>30.88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IF(B46=0,"",RANK(B46,$B$2:$B$156,0))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BLUSPRING</t>
        </is>
      </c>
      <c r="D46" s="31" t="inlineStr">
        <is>
          <t>Bluspring Enterprises Ltd</t>
        </is>
      </c>
      <c r="E46" s="31" t="inlineStr">
        <is>
          <t>miscellaneous</t>
        </is>
      </c>
      <c r="F46" s="31" t="inlineStr">
        <is>
          <t>diversified - large</t>
        </is>
      </c>
      <c r="G46" s="31" t="inlineStr">
        <is>
          <t>smallcap</t>
        </is>
      </c>
      <c r="H46" s="32" t="n">
        <v>2484.46</v>
      </c>
      <c r="I46" s="32" t="n">
        <v>172.68</v>
      </c>
      <c r="J46" s="32" t="n">
        <v>3.87</v>
      </c>
      <c r="K46" s="32" t="n">
        <v>2958294</v>
      </c>
      <c r="L46" s="31" t="n">
        <v>81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76.64</v>
      </c>
      <c r="P46" s="32" t="n">
        <v>59</v>
      </c>
      <c r="Q46" s="32" t="n">
        <v>121.13</v>
      </c>
      <c r="R46" s="31" t="inlineStr">
        <is>
          <t>Volume Spike &amp; Near 52W High Breakout</t>
        </is>
      </c>
      <c r="S46" s="31" t="inlineStr">
        <is>
          <t>Nifty 50</t>
        </is>
      </c>
      <c r="T46" s="32" t="n">
        <v>-10.55</v>
      </c>
      <c r="U46" s="32" t="n">
        <v>116.17</v>
      </c>
      <c r="V46" s="32" t="n">
        <v>141.67</v>
      </c>
      <c r="W46" s="32" t="n">
        <v>32.21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IF(B47=0,"",RANK(B47,$B$2:$B$156,0))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WHEELS</t>
        </is>
      </c>
      <c r="D47" s="31" t="inlineStr">
        <is>
          <t>Wheels India Limited</t>
        </is>
      </c>
      <c r="E47" s="31" t="inlineStr">
        <is>
          <t>auto</t>
        </is>
      </c>
      <c r="F47" s="31" t="inlineStr">
        <is>
          <t>auto ancillaries</t>
        </is>
      </c>
      <c r="G47" s="31" t="inlineStr">
        <is>
          <t>midcap</t>
        </is>
      </c>
      <c r="H47" s="32" t="n">
        <v>6471.95</v>
      </c>
      <c r="I47" s="32" t="n">
        <v>2399.5</v>
      </c>
      <c r="J47" s="32" t="n">
        <v>-0.41</v>
      </c>
      <c r="K47" s="32" t="n">
        <v>102847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76.73999999999999</v>
      </c>
      <c r="P47" s="32" t="n">
        <v>61.89</v>
      </c>
      <c r="Q47" s="32" t="n">
        <v>1783.43</v>
      </c>
      <c r="R47" s="31" t="inlineStr">
        <is>
          <t>Near 52W High Breakout</t>
        </is>
      </c>
      <c r="S47" s="31" t="inlineStr">
        <is>
          <t>Nifty Auto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Between 0.7 to 1.2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IF(B48=0,"",RANK(B48,$B$2:$B$156,0))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EMAMIPAP</t>
        </is>
      </c>
      <c r="D48" s="31" t="inlineStr">
        <is>
          <t>Emami Paper Mills Ltd</t>
        </is>
      </c>
      <c r="E48" s="31" t="inlineStr">
        <is>
          <t>building materials</t>
        </is>
      </c>
      <c r="F48" s="31" t="inlineStr">
        <is>
          <t>paper</t>
        </is>
      </c>
      <c r="G48" s="31" t="inlineStr">
        <is>
          <t>smallcap</t>
        </is>
      </c>
      <c r="H48" s="32" t="n">
        <v>739.24</v>
      </c>
      <c r="I48" s="32" t="n">
        <v>121.6</v>
      </c>
      <c r="J48" s="32" t="n">
        <v>-0.48</v>
      </c>
      <c r="K48" s="32" t="n">
        <v>28094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70.20999999999999</v>
      </c>
      <c r="P48" s="32" t="n">
        <v>43.66</v>
      </c>
      <c r="Q48" s="32" t="n">
        <v>92.15000000000001</v>
      </c>
      <c r="R48" s="31" t="inlineStr">
        <is>
          <t>Near 52W High Breakout</t>
        </is>
      </c>
      <c r="S48" s="31" t="inlineStr">
        <is>
          <t>Nifty Infra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More than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IF(B49=0,"",RANK(B49,$B$2:$B$156,0))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BOSCH-HCIL</t>
        </is>
      </c>
      <c r="D49" s="31" t="inlineStr">
        <is>
          <t>Bosch Home Comfort India Ltd</t>
        </is>
      </c>
      <c r="E49" s="31" t="inlineStr">
        <is>
          <t>consumer discretionary</t>
        </is>
      </c>
      <c r="F49" s="31" t="inlineStr">
        <is>
          <t>air-conditioners</t>
        </is>
      </c>
      <c r="G49" s="31" t="inlineStr">
        <is>
          <t>midcap</t>
        </is>
      </c>
      <c r="H49" s="32" t="n">
        <v>5172.25</v>
      </c>
      <c r="I49" s="32" t="n">
        <v>1886.8</v>
      </c>
      <c r="J49" s="32" t="n">
        <v>-0.8100000000000001</v>
      </c>
      <c r="K49" s="32" t="n">
        <v>10204</v>
      </c>
      <c r="L49" s="31" t="n">
        <v>43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65.03</v>
      </c>
      <c r="P49" s="32" t="n">
        <v>42.4</v>
      </c>
      <c r="Q49" s="32" t="n">
        <v>1581.83</v>
      </c>
      <c r="R49" s="31" t="inlineStr">
        <is>
          <t>Near 52W High Breakout</t>
        </is>
      </c>
      <c r="S49" s="31" t="inlineStr">
        <is>
          <t>Nifty 50</t>
        </is>
      </c>
      <c r="T49" s="32" t="n">
        <v>-10.55</v>
      </c>
      <c r="U49" s="32" t="n">
        <v>9.65</v>
      </c>
      <c r="V49" s="32" t="n">
        <v>22.58</v>
      </c>
      <c r="W49" s="32" t="n">
        <v>12.19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IF(B50=0,"",RANK(B50,$B$2:$B$156,0))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DIACABS</t>
        </is>
      </c>
      <c r="D50" s="31" t="inlineStr">
        <is>
          <t>Diamond Power Infrastructure Ltd</t>
        </is>
      </c>
      <c r="E50" s="31" t="inlineStr">
        <is>
          <t>industrials</t>
        </is>
      </c>
      <c r="F50" s="31" t="inlineStr">
        <is>
          <t>cables - power</t>
        </is>
      </c>
      <c r="G50" s="31" t="inlineStr">
        <is>
          <t>largecap</t>
        </is>
      </c>
      <c r="H50" s="32" t="n">
        <v>22651.94</v>
      </c>
      <c r="I50" s="32" t="n">
        <v>373.75</v>
      </c>
      <c r="J50" s="32" t="n">
        <v>-1.32</v>
      </c>
      <c r="K50" s="32" t="n">
        <v>772248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71.61</v>
      </c>
      <c r="P50" s="32" t="n">
        <v>66.59</v>
      </c>
      <c r="Q50" s="32" t="n">
        <v>286.05</v>
      </c>
      <c r="R50" s="31" t="inlineStr">
        <is>
          <t>Near 52W High Breakout</t>
        </is>
      </c>
      <c r="S50" s="31" t="inlineStr">
        <is>
          <t>Nifty Energy</t>
        </is>
      </c>
      <c r="T50" s="32" t="inlineStr"/>
      <c r="U50" s="32" t="inlineStr"/>
      <c r="V50" s="32" t="inlineStr"/>
      <c r="W50" s="32" t="inlineStr"/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IF(B51=0,"",RANK(B51,$B$2:$B$156,0))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KMEW</t>
        </is>
      </c>
      <c r="D51" s="31" t="inlineStr">
        <is>
          <t>Knowledge Marine &amp; Engineering Works Ltd</t>
        </is>
      </c>
      <c r="E51" s="31" t="inlineStr">
        <is>
          <t>transportation</t>
        </is>
      </c>
      <c r="F51" s="31" t="inlineStr">
        <is>
          <t>miscellaneous</t>
        </is>
      </c>
      <c r="G51" s="31" t="inlineStr">
        <is>
          <t>midcap</t>
        </is>
      </c>
      <c r="H51" s="32" t="n">
        <v>8286.01</v>
      </c>
      <c r="I51" s="32" t="n">
        <v>3242.3</v>
      </c>
      <c r="J51" s="32" t="n">
        <v>-1.36</v>
      </c>
      <c r="K51" s="32" t="n">
        <v>91819</v>
      </c>
      <c r="L51" s="31" t="n">
        <v>85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78.29000000000001</v>
      </c>
      <c r="P51" s="32" t="n">
        <v>58.88</v>
      </c>
      <c r="Q51" s="32" t="n">
        <v>2386.58</v>
      </c>
      <c r="R51" s="31" t="inlineStr">
        <is>
          <t>Near 52W High Breakout</t>
        </is>
      </c>
      <c r="S51" s="31" t="inlineStr">
        <is>
          <t>Nifty 50</t>
        </is>
      </c>
      <c r="T51" s="32" t="n">
        <v>-10.55</v>
      </c>
      <c r="U51" s="32" t="n">
        <v>194.93</v>
      </c>
      <c r="V51" s="32" t="n">
        <v>229.72</v>
      </c>
      <c r="W51" s="32" t="n">
        <v>34.1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IF(B52=0,"",RANK(B52,$B$2:$B$156,0))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NRAIL</t>
        </is>
      </c>
      <c r="D52" s="31" t="inlineStr">
        <is>
          <t>N R Agarwal Industries Ltd</t>
        </is>
      </c>
      <c r="E52" s="31" t="inlineStr">
        <is>
          <t>building materials</t>
        </is>
      </c>
      <c r="F52" s="31" t="inlineStr">
        <is>
          <t>paper</t>
        </is>
      </c>
      <c r="G52" s="31" t="inlineStr">
        <is>
          <t>smallcap</t>
        </is>
      </c>
      <c r="H52" s="32" t="n">
        <v>1317.62</v>
      </c>
      <c r="I52" s="32" t="n">
        <v>761.5</v>
      </c>
      <c r="J52" s="32" t="n">
        <v>-1.64</v>
      </c>
      <c r="K52" s="32" t="n">
        <v>64910</v>
      </c>
      <c r="L52" s="31" t="inlineStr"/>
      <c r="M52" s="31" t="inlineStr"/>
      <c r="N52" s="32">
        <f>IF(M52="Underperforming",-5,IF(L52&gt;=95,15,IF(L52&gt;=90,10,IF(L52&gt;=80,5,0))))</f>
        <v/>
      </c>
      <c r="O52" s="32" t="n">
        <v>74.25</v>
      </c>
      <c r="P52" s="32" t="n">
        <v>51.3</v>
      </c>
      <c r="Q52" s="32" t="n">
        <v>551.49</v>
      </c>
      <c r="R52" s="31" t="inlineStr">
        <is>
          <t>Volume Spike &amp; Near 52W High Breakout</t>
        </is>
      </c>
      <c r="S52" s="31" t="inlineStr">
        <is>
          <t>Nifty Infra</t>
        </is>
      </c>
      <c r="T52" s="32" t="inlineStr"/>
      <c r="U52" s="32" t="inlineStr"/>
      <c r="V52" s="32" t="inlineStr"/>
      <c r="W52" s="32" t="inlineStr"/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IF(B53=0,"",RANK(B53,$B$2:$B$156,0))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MAZDA</t>
        </is>
      </c>
      <c r="D53" s="31" t="inlineStr">
        <is>
          <t>Mazda Limited</t>
        </is>
      </c>
      <c r="E53" s="31" t="inlineStr">
        <is>
          <t>industrials</t>
        </is>
      </c>
      <c r="F53" s="31" t="inlineStr">
        <is>
          <t>engineering</t>
        </is>
      </c>
      <c r="G53" s="31" t="inlineStr">
        <is>
          <t>smallcap</t>
        </is>
      </c>
      <c r="H53" s="32" t="n">
        <v>641.7</v>
      </c>
      <c r="I53" s="32" t="n">
        <v>307.65</v>
      </c>
      <c r="J53" s="32" t="n">
        <v>-3.99</v>
      </c>
      <c r="K53" s="32" t="n">
        <v>83258</v>
      </c>
      <c r="L53" s="31" t="n">
        <v>42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71.41</v>
      </c>
      <c r="P53" s="32" t="n">
        <v>37.32</v>
      </c>
      <c r="Q53" s="32" t="n">
        <v>230.27</v>
      </c>
      <c r="R53" s="31" t="inlineStr">
        <is>
          <t>Volume Spike &amp; Near 52W High Breakout</t>
        </is>
      </c>
      <c r="S53" s="31" t="inlineStr">
        <is>
          <t>Nifty 50</t>
        </is>
      </c>
      <c r="T53" s="32" t="n">
        <v>-10.55</v>
      </c>
      <c r="U53" s="32" t="n">
        <v>11.93</v>
      </c>
      <c r="V53" s="32" t="n">
        <v>25.13</v>
      </c>
      <c r="W53" s="32" t="n">
        <v>11.6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IF(B54=0,"",RANK(B54,$B$2:$B$156,0))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WSTCSTPAPR</t>
        </is>
      </c>
      <c r="D54" s="31" t="inlineStr">
        <is>
          <t>West Coast Paper Mills Limited</t>
        </is>
      </c>
      <c r="E54" s="31" t="inlineStr">
        <is>
          <t>building materials</t>
        </is>
      </c>
      <c r="F54" s="31" t="inlineStr">
        <is>
          <t>paper</t>
        </is>
      </c>
      <c r="G54" s="31" t="inlineStr">
        <is>
          <t>midcap</t>
        </is>
      </c>
      <c r="H54" s="32" t="n">
        <v>6211.57</v>
      </c>
      <c r="I54" s="32" t="n">
        <v>822.4</v>
      </c>
      <c r="J54" s="32" t="n">
        <v>-12.55</v>
      </c>
      <c r="K54" s="32" t="n">
        <v>1374033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77.84999999999999</v>
      </c>
      <c r="P54" s="32" t="n">
        <v>67.01000000000001</v>
      </c>
      <c r="Q54" s="32" t="n">
        <v>621.75</v>
      </c>
      <c r="R54" s="31" t="inlineStr">
        <is>
          <t>Volume Spike &amp; Near 52W High Breakout</t>
        </is>
      </c>
      <c r="S54" s="31" t="inlineStr">
        <is>
          <t>Nifty Infra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IF(B55=0,"",RANK(B55,$B$2:$B$156,0))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TECHM</t>
        </is>
      </c>
      <c r="D55" s="31" t="inlineStr">
        <is>
          <t>Tech Mahindra Limited</t>
        </is>
      </c>
      <c r="E55" s="31" t="inlineStr">
        <is>
          <t>i.t</t>
        </is>
      </c>
      <c r="F55" s="31" t="inlineStr">
        <is>
          <t>computers - software - large</t>
        </is>
      </c>
      <c r="G55" s="31" t="inlineStr">
        <is>
          <t>largecap</t>
        </is>
      </c>
      <c r="H55" s="32" t="n">
        <v>154378.73</v>
      </c>
      <c r="I55" s="32" t="n">
        <v>1650</v>
      </c>
      <c r="J55" s="32" t="n">
        <v>4.75</v>
      </c>
      <c r="K55" s="32" t="n">
        <v>8657928</v>
      </c>
      <c r="L55" s="31" t="n">
        <v>22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60.84</v>
      </c>
      <c r="P55" s="32" t="n">
        <v>11.76</v>
      </c>
      <c r="Q55" s="32" t="n">
        <v>1370.54</v>
      </c>
      <c r="R55" s="31" t="inlineStr">
        <is>
          <t>Volume Spike &amp; Near 52W High Breakout</t>
        </is>
      </c>
      <c r="S55" s="31" t="inlineStr">
        <is>
          <t>Nifty IT</t>
        </is>
      </c>
      <c r="T55" s="32" t="n">
        <v>-12.11</v>
      </c>
      <c r="U55" s="32" t="n">
        <v>18.17</v>
      </c>
      <c r="V55" s="32" t="n">
        <v>34.44</v>
      </c>
      <c r="W55" s="32" t="n">
        <v>4.73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IF(B56=0,"",RANK(B56,$B$2:$B$156,0))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BAFNAPH</t>
        </is>
      </c>
      <c r="D56" s="31" t="inlineStr">
        <is>
          <t>Bafna Pharmaceuticals Ltd</t>
        </is>
      </c>
      <c r="E56" s="31" t="inlineStr">
        <is>
          <t>healthcare</t>
        </is>
      </c>
      <c r="F56" s="31" t="inlineStr">
        <is>
          <t>pharmaceuticals - indian - formulations</t>
        </is>
      </c>
      <c r="G56" s="31" t="inlineStr">
        <is>
          <t>smallcap</t>
        </is>
      </c>
      <c r="H56" s="32" t="n">
        <v>1049.16</v>
      </c>
      <c r="I56" s="32" t="n">
        <v>452.35</v>
      </c>
      <c r="J56" s="32" t="n">
        <v>2</v>
      </c>
      <c r="K56" s="32" t="n">
        <v>811</v>
      </c>
      <c r="L56" s="31" t="n">
        <v>97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85.15000000000001</v>
      </c>
      <c r="P56" s="32" t="n">
        <v>64.75</v>
      </c>
      <c r="Q56" s="32" t="n">
        <v>373.64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16.02</v>
      </c>
      <c r="U56" s="32" t="n">
        <v>214.35</v>
      </c>
      <c r="V56" s="32" t="n">
        <v>170.96</v>
      </c>
      <c r="W56" s="32" t="n">
        <v>52.11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Less than 12%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IF(B57=0,"",RANK(B57,$B$2:$B$156,0))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BALRAMCHIN</t>
        </is>
      </c>
      <c r="D57" s="31" t="inlineStr">
        <is>
          <t>Balrampur Chini Mills Limited</t>
        </is>
      </c>
      <c r="E57" s="31" t="inlineStr">
        <is>
          <t>fmcg</t>
        </is>
      </c>
      <c r="F57" s="31" t="inlineStr">
        <is>
          <t>sugar</t>
        </is>
      </c>
      <c r="G57" s="31" t="inlineStr">
        <is>
          <t>midcap</t>
        </is>
      </c>
      <c r="H57" s="32" t="n">
        <v>15104.89</v>
      </c>
      <c r="I57" s="32" t="n">
        <v>726</v>
      </c>
      <c r="J57" s="32" t="n">
        <v>1.7</v>
      </c>
      <c r="K57" s="32" t="n">
        <v>1071852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66.47</v>
      </c>
      <c r="P57" s="32" t="n">
        <v>60.9</v>
      </c>
      <c r="Q57" s="32" t="n">
        <v>557.49</v>
      </c>
      <c r="R57" s="31" t="inlineStr">
        <is>
          <t>Near 52W High Breakout</t>
        </is>
      </c>
      <c r="S57" s="31" t="inlineStr">
        <is>
          <t>Nifty FMCG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B2C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Less than 12%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IF(B58=0,"",RANK(B58,$B$2:$B$156,0))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ONEPOINT</t>
        </is>
      </c>
      <c r="D58" s="31" t="inlineStr">
        <is>
          <t>One Point One Solutions Ltd</t>
        </is>
      </c>
      <c r="E58" s="31" t="inlineStr">
        <is>
          <t>i.t</t>
        </is>
      </c>
      <c r="F58" s="31" t="inlineStr">
        <is>
          <t>computers - software - medium / small</t>
        </is>
      </c>
      <c r="G58" s="31" t="inlineStr">
        <is>
          <t>smallcap</t>
        </is>
      </c>
      <c r="H58" s="32" t="n">
        <v>2238.64</v>
      </c>
      <c r="I58" s="32" t="n">
        <v>84.77</v>
      </c>
      <c r="J58" s="32" t="n">
        <v>-0.43</v>
      </c>
      <c r="K58" s="32" t="n">
        <v>3373274</v>
      </c>
      <c r="L58" s="31" t="n">
        <v>71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78.87</v>
      </c>
      <c r="P58" s="32" t="n">
        <v>23.73</v>
      </c>
      <c r="Q58" s="32" t="n">
        <v>67.56999999999999</v>
      </c>
      <c r="R58" s="31" t="inlineStr">
        <is>
          <t>Near 52W High Breakout</t>
        </is>
      </c>
      <c r="S58" s="31" t="inlineStr">
        <is>
          <t>Nifty IT</t>
        </is>
      </c>
      <c r="T58" s="32" t="n">
        <v>-12.11</v>
      </c>
      <c r="U58" s="32" t="n">
        <v>90.31999999999999</v>
      </c>
      <c r="V58" s="32" t="n">
        <v>116.54</v>
      </c>
      <c r="W58" s="32" t="n">
        <v>26.82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IF(B59=0,"",RANK(B59,$B$2:$B$156,0))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DBOL</t>
        </is>
      </c>
      <c r="D59" s="31" t="inlineStr">
        <is>
          <t>Dhampur Bio Organics Ltd</t>
        </is>
      </c>
      <c r="E59" s="31" t="inlineStr">
        <is>
          <t>fmcg</t>
        </is>
      </c>
      <c r="F59" s="31" t="inlineStr">
        <is>
          <t>sugar</t>
        </is>
      </c>
      <c r="G59" s="31" t="inlineStr">
        <is>
          <t>smallcap</t>
        </is>
      </c>
      <c r="H59" s="32" t="n">
        <v>964.21</v>
      </c>
      <c r="I59" s="32" t="n">
        <v>144.04</v>
      </c>
      <c r="J59" s="32" t="n">
        <v>-0.83</v>
      </c>
      <c r="K59" s="32" t="n">
        <v>234296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68.36</v>
      </c>
      <c r="P59" s="32" t="n">
        <v>36.6</v>
      </c>
      <c r="Q59" s="32" t="n">
        <v>106.53</v>
      </c>
      <c r="R59" s="31" t="inlineStr">
        <is>
          <t>Near 52W High Breakout</t>
        </is>
      </c>
      <c r="S59" s="31" t="inlineStr">
        <is>
          <t>Nifty FMCG</t>
        </is>
      </c>
      <c r="T59" s="32" t="inlineStr"/>
      <c r="U59" s="32" t="inlineStr"/>
      <c r="V59" s="32" t="inlineStr"/>
      <c r="W59" s="32" t="inlineStr"/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IF(B60=0,"",RANK(B60,$B$2:$B$156,0))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MGEL</t>
        </is>
      </c>
      <c r="D60" s="31" t="inlineStr">
        <is>
          <t>Mangalam Global Enterprise Ltd</t>
        </is>
      </c>
      <c r="E60" s="31" t="inlineStr">
        <is>
          <t>services</t>
        </is>
      </c>
      <c r="F60" s="31" t="inlineStr">
        <is>
          <t>trading</t>
        </is>
      </c>
      <c r="G60" s="31" t="inlineStr">
        <is>
          <t>smallcap</t>
        </is>
      </c>
      <c r="H60" s="32" t="n">
        <v>528.9400000000001</v>
      </c>
      <c r="I60" s="32" t="n">
        <v>16.87</v>
      </c>
      <c r="J60" s="32" t="n">
        <v>5.11</v>
      </c>
      <c r="K60" s="32" t="n">
        <v>904136</v>
      </c>
      <c r="L60" s="31" t="n">
        <v>18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61.66</v>
      </c>
      <c r="P60" s="32" t="n">
        <v>29.67</v>
      </c>
      <c r="Q60" s="32" t="n">
        <v>12.43</v>
      </c>
      <c r="R60" s="31" t="inlineStr">
        <is>
          <t>Near 52W High Breakout</t>
        </is>
      </c>
      <c r="S60" s="31" t="inlineStr">
        <is>
          <t>Nifty 50</t>
        </is>
      </c>
      <c r="T60" s="32" t="n">
        <v>-10.55</v>
      </c>
      <c r="U60" s="32" t="n">
        <v>11.79</v>
      </c>
      <c r="V60" s="32" t="n">
        <v>24.98</v>
      </c>
      <c r="W60" s="32" t="n">
        <v>3.82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IF(B61=0,"",RANK(B61,$B$2:$B$156,0))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SKYGOLD</t>
        </is>
      </c>
      <c r="D61" s="31" t="inlineStr">
        <is>
          <t>Sky Gold Ltd</t>
        </is>
      </c>
      <c r="E61" s="31" t="inlineStr">
        <is>
          <t>consumer discretionary</t>
        </is>
      </c>
      <c r="F61" s="31" t="inlineStr">
        <is>
          <t>diamond cutting / jewellery</t>
        </is>
      </c>
      <c r="G61" s="31" t="inlineStr">
        <is>
          <t>midcap</t>
        </is>
      </c>
      <c r="H61" s="32" t="n">
        <v>14987.15</v>
      </c>
      <c r="I61" s="32" t="n">
        <v>1001.45</v>
      </c>
      <c r="J61" s="32" t="n">
        <v>3.49</v>
      </c>
      <c r="K61" s="32" t="n">
        <v>3351689</v>
      </c>
      <c r="L61" s="31" t="n">
        <v>92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81.98</v>
      </c>
      <c r="P61" s="32" t="n">
        <v>69.43000000000001</v>
      </c>
      <c r="Q61" s="32" t="n">
        <v>781.39</v>
      </c>
      <c r="R61" s="31" t="inlineStr">
        <is>
          <t>Near 52W High Breakout</t>
        </is>
      </c>
      <c r="S61" s="31" t="inlineStr">
        <is>
          <t>Nifty 50</t>
        </is>
      </c>
      <c r="T61" s="32" t="n">
        <v>-10.55</v>
      </c>
      <c r="U61" s="32" t="n">
        <v>199.75</v>
      </c>
      <c r="V61" s="32" t="n">
        <v>235.1</v>
      </c>
      <c r="W61" s="32" t="n">
        <v>39.32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IF(B62=0,"",RANK(B62,$B$2:$B$156,0))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KRISHANA</t>
        </is>
      </c>
      <c r="D62" s="31" t="inlineStr">
        <is>
          <t>Krishana Phoschem Ltd</t>
        </is>
      </c>
      <c r="E62" s="31" t="inlineStr">
        <is>
          <t>chemicals</t>
        </is>
      </c>
      <c r="F62" s="31" t="inlineStr">
        <is>
          <t>fertilizers</t>
        </is>
      </c>
      <c r="G62" s="31" t="inlineStr">
        <is>
          <t>smallcap</t>
        </is>
      </c>
      <c r="H62" s="32" t="n">
        <v>1276.55</v>
      </c>
      <c r="I62" s="32" t="n">
        <v>211.95</v>
      </c>
      <c r="J62" s="32" t="n">
        <v>2.65</v>
      </c>
      <c r="K62" s="32" t="n">
        <v>1814905</v>
      </c>
      <c r="L62" s="31" t="n">
        <v>70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74.98</v>
      </c>
      <c r="P62" s="32" t="n">
        <v>54.34</v>
      </c>
      <c r="Q62" s="32" t="n">
        <v>165</v>
      </c>
      <c r="R62" s="31" t="inlineStr">
        <is>
          <t>Near 52W High Breakout</t>
        </is>
      </c>
      <c r="S62" s="31" t="inlineStr">
        <is>
          <t>Nifty 50</t>
        </is>
      </c>
      <c r="T62" s="32" t="n">
        <v>-10.55</v>
      </c>
      <c r="U62" s="32" t="n">
        <v>86.89</v>
      </c>
      <c r="V62" s="32" t="n">
        <v>108.94</v>
      </c>
      <c r="W62" s="32" t="n">
        <v>25.79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More than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IF(B63=0,"",RANK(B63,$B$2:$B$156,0))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PANACHE</t>
        </is>
      </c>
      <c r="D63" s="31" t="inlineStr">
        <is>
          <t>Panache Digilife Ltd</t>
        </is>
      </c>
      <c r="E63" s="31" t="inlineStr">
        <is>
          <t>i.t</t>
        </is>
      </c>
      <c r="F63" s="31" t="inlineStr">
        <is>
          <t>computers - hardware</t>
        </is>
      </c>
      <c r="G63" s="31" t="inlineStr">
        <is>
          <t>smallcap</t>
        </is>
      </c>
      <c r="H63" s="32" t="n">
        <v>1010.48</v>
      </c>
      <c r="I63" s="32" t="n">
        <v>643.6</v>
      </c>
      <c r="J63" s="32" t="n">
        <v>2</v>
      </c>
      <c r="K63" s="32" t="n">
        <v>14289</v>
      </c>
      <c r="L63" s="31" t="n">
        <v>65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79.75</v>
      </c>
      <c r="P63" s="32" t="n">
        <v>42.48</v>
      </c>
      <c r="Q63" s="32" t="n">
        <v>518.17</v>
      </c>
      <c r="R63" s="31" t="inlineStr">
        <is>
          <t>Near 52W High Breakout</t>
        </is>
      </c>
      <c r="S63" s="31" t="inlineStr">
        <is>
          <t>Nifty IT</t>
        </is>
      </c>
      <c r="T63" s="32" t="n">
        <v>-12.11</v>
      </c>
      <c r="U63" s="32" t="n">
        <v>53.38</v>
      </c>
      <c r="V63" s="32" t="n">
        <v>74.51000000000001</v>
      </c>
      <c r="W63" s="32" t="n">
        <v>22.6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IF(B64=0,"",RANK(B64,$B$2:$B$156,0))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SHREEJISPG</t>
        </is>
      </c>
      <c r="D64" s="31" t="inlineStr">
        <is>
          <t>Shreeji Shipping Global Ltd</t>
        </is>
      </c>
      <c r="E64" s="31" t="inlineStr">
        <is>
          <t>transportation</t>
        </is>
      </c>
      <c r="F64" s="31" t="inlineStr">
        <is>
          <t>shipping</t>
        </is>
      </c>
      <c r="G64" s="31" t="inlineStr">
        <is>
          <t>midcap</t>
        </is>
      </c>
      <c r="H64" s="32" t="n">
        <v>13464.38</v>
      </c>
      <c r="I64" s="32" t="n">
        <v>835.15</v>
      </c>
      <c r="J64" s="32" t="n">
        <v>1.05</v>
      </c>
      <c r="K64" s="32" t="n">
        <v>907165</v>
      </c>
      <c r="L64" s="31" t="n">
        <v>91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86.26000000000001</v>
      </c>
      <c r="P64" s="32" t="n">
        <v>56.92</v>
      </c>
      <c r="Q64" s="32" t="n">
        <v>708.96</v>
      </c>
      <c r="R64" s="31" t="inlineStr">
        <is>
          <t>Near 52W High Breakout</t>
        </is>
      </c>
      <c r="S64" s="31" t="inlineStr">
        <is>
          <t>Nifty 50</t>
        </is>
      </c>
      <c r="T64" s="32" t="n">
        <v>-10.55</v>
      </c>
      <c r="U64" s="32" t="n">
        <v>255.26</v>
      </c>
      <c r="V64" s="32" t="n">
        <v>297.16</v>
      </c>
      <c r="W64" s="32" t="n">
        <v>39.25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Less than 12%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IF(B65=0,"",RANK(B65,$B$2:$B$156,0))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PTCIL</t>
        </is>
      </c>
      <c r="D65" s="31" t="inlineStr">
        <is>
          <t>PTC Industries Ltd</t>
        </is>
      </c>
      <c r="E65" s="31" t="inlineStr">
        <is>
          <t>castings, forgings &amp; fasteners</t>
        </is>
      </c>
      <c r="F65" s="31" t="inlineStr">
        <is>
          <t>castings &amp; forgings</t>
        </is>
      </c>
      <c r="G65" s="31" t="inlineStr">
        <is>
          <t>largecap</t>
        </is>
      </c>
      <c r="H65" s="32" t="n">
        <v>37443.89</v>
      </c>
      <c r="I65" s="32" t="n">
        <v>25045</v>
      </c>
      <c r="J65" s="32" t="n">
        <v>0.28</v>
      </c>
      <c r="K65" s="32" t="n">
        <v>24203</v>
      </c>
      <c r="L65" s="31" t="n">
        <v>58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73.3</v>
      </c>
      <c r="P65" s="32" t="n">
        <v>47.19</v>
      </c>
      <c r="Q65" s="32" t="n">
        <v>20225.39</v>
      </c>
      <c r="R65" s="31" t="inlineStr">
        <is>
          <t>Near 52W High Breakout</t>
        </is>
      </c>
      <c r="S65" s="31" t="inlineStr">
        <is>
          <t>Nifty 50</t>
        </is>
      </c>
      <c r="T65" s="32" t="n">
        <v>-10.55</v>
      </c>
      <c r="U65" s="32" t="n">
        <v>49.43</v>
      </c>
      <c r="V65" s="32" t="n">
        <v>67.06</v>
      </c>
      <c r="W65" s="32" t="n">
        <v>17.61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IF(B66=0,"",RANK(B66,$B$2:$B$156,0))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HAL</t>
        </is>
      </c>
      <c r="D66" s="31" t="inlineStr">
        <is>
          <t>Hindustan Aeronautics Ltd</t>
        </is>
      </c>
      <c r="E66" s="31" t="inlineStr">
        <is>
          <t>aerospace &amp; defence</t>
        </is>
      </c>
      <c r="F66" s="31" t="inlineStr">
        <is>
          <t>engineering</t>
        </is>
      </c>
      <c r="G66" s="31" t="inlineStr">
        <is>
          <t>largecap</t>
        </is>
      </c>
      <c r="H66" s="32" t="n">
        <v>329906.71</v>
      </c>
      <c r="I66" s="32" t="n">
        <v>4910</v>
      </c>
      <c r="J66" s="32" t="n">
        <v>-0.47</v>
      </c>
      <c r="K66" s="32" t="n">
        <v>802602</v>
      </c>
      <c r="L66" s="31" t="n">
        <v>12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59.7</v>
      </c>
      <c r="P66" s="32" t="n">
        <v>24.94</v>
      </c>
      <c r="Q66" s="32" t="n">
        <v>4300.46</v>
      </c>
      <c r="R66" s="31" t="inlineStr">
        <is>
          <t>Near 52W High Breakout</t>
        </is>
      </c>
      <c r="S66" s="31" t="inlineStr">
        <is>
          <t>Nifty 50</t>
        </is>
      </c>
      <c r="T66" s="32" t="n">
        <v>-10.55</v>
      </c>
      <c r="U66" s="32" t="n">
        <v>1.69</v>
      </c>
      <c r="V66" s="32" t="n">
        <v>13.68</v>
      </c>
      <c r="W66" s="32" t="n">
        <v>2.38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Between 12 to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IF(B67=0,"",RANK(B67,$B$2:$B$156,0))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SPECTRUM</t>
        </is>
      </c>
      <c r="D67" s="31" t="inlineStr">
        <is>
          <t>Spectrum Electrical Industries Ltd</t>
        </is>
      </c>
      <c r="E67" s="31" t="inlineStr">
        <is>
          <t>industrials</t>
        </is>
      </c>
      <c r="F67" s="31" t="inlineStr">
        <is>
          <t>electric equipment</t>
        </is>
      </c>
      <c r="G67" s="31" t="inlineStr">
        <is>
          <t>midcap</t>
        </is>
      </c>
      <c r="H67" s="32" t="n">
        <v>6591.49</v>
      </c>
      <c r="I67" s="32" t="n">
        <v>3798.8</v>
      </c>
      <c r="J67" s="32" t="n">
        <v>-1.52</v>
      </c>
      <c r="K67" s="32" t="n">
        <v>3851</v>
      </c>
      <c r="L67" s="31" t="n">
        <v>95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82.33</v>
      </c>
      <c r="P67" s="32" t="n">
        <v>65.87</v>
      </c>
      <c r="Q67" s="32" t="n">
        <v>2869.53</v>
      </c>
      <c r="R67" s="31" t="inlineStr">
        <is>
          <t>Near 52W High Breakout</t>
        </is>
      </c>
      <c r="S67" s="31" t="inlineStr">
        <is>
          <t>Nifty 50</t>
        </is>
      </c>
      <c r="T67" s="32" t="n">
        <v>-10.55</v>
      </c>
      <c r="U67" s="32" t="n">
        <v>188.68</v>
      </c>
      <c r="V67" s="32" t="n">
        <v>222.73</v>
      </c>
      <c r="W67" s="32" t="n">
        <v>48.51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IF(B68=0,"",RANK(B68,$B$2:$B$156,0))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MAYURUNIQ</t>
        </is>
      </c>
      <c r="D68" s="31" t="inlineStr">
        <is>
          <t>Mayur Uniquoters Ltd</t>
        </is>
      </c>
      <c r="E68" s="31" t="inlineStr">
        <is>
          <t>consumer discretionary</t>
        </is>
      </c>
      <c r="F68" s="31" t="inlineStr">
        <is>
          <t>leather / leather products</t>
        </is>
      </c>
      <c r="G68" s="31" t="inlineStr">
        <is>
          <t>smallcap</t>
        </is>
      </c>
      <c r="H68" s="32" t="n">
        <v>3493.15</v>
      </c>
      <c r="I68" s="32" t="n">
        <v>790.65</v>
      </c>
      <c r="J68" s="32" t="n">
        <v>-1.65</v>
      </c>
      <c r="K68" s="32" t="n">
        <v>66090</v>
      </c>
      <c r="L68" s="31" t="n">
        <v>40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60.37</v>
      </c>
      <c r="P68" s="32" t="n">
        <v>36.72</v>
      </c>
      <c r="Q68" s="32" t="n">
        <v>595.64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-10.55</v>
      </c>
      <c r="U68" s="32" t="n">
        <v>58.76</v>
      </c>
      <c r="V68" s="32" t="n">
        <v>77.48</v>
      </c>
      <c r="W68" s="32" t="n">
        <v>10.87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IF(B69=0,"",RANK(B69,$B$2:$B$156,0))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INDORAMA</t>
        </is>
      </c>
      <c r="D69" s="31" t="inlineStr">
        <is>
          <t>Indo Rama Synthetics (india) Limited</t>
        </is>
      </c>
      <c r="E69" s="31" t="inlineStr">
        <is>
          <t>textiles</t>
        </is>
      </c>
      <c r="F69" s="31" t="inlineStr">
        <is>
          <t>textiles - manmade</t>
        </is>
      </c>
      <c r="G69" s="31" t="inlineStr">
        <is>
          <t>smallcap</t>
        </is>
      </c>
      <c r="H69" s="32" t="n">
        <v>2515.56</v>
      </c>
      <c r="I69" s="32" t="n">
        <v>94.56</v>
      </c>
      <c r="J69" s="32" t="n">
        <v>-1.85</v>
      </c>
      <c r="K69" s="32" t="n">
        <v>458125</v>
      </c>
      <c r="L69" s="31" t="n">
        <v>83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77.19</v>
      </c>
      <c r="P69" s="32" t="n">
        <v>68.42</v>
      </c>
      <c r="Q69" s="32" t="n">
        <v>70.53</v>
      </c>
      <c r="R69" s="31" t="inlineStr">
        <is>
          <t>Near 52W High Breakout</t>
        </is>
      </c>
      <c r="S69" s="31" t="inlineStr">
        <is>
          <t>Nifty 50</t>
        </is>
      </c>
      <c r="T69" s="32" t="n">
        <v>-10.55</v>
      </c>
      <c r="U69" s="32" t="n">
        <v>56.82</v>
      </c>
      <c r="V69" s="32" t="n">
        <v>75.31</v>
      </c>
      <c r="W69" s="32" t="n">
        <v>33.52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More than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IF(B70=0,"",RANK(B70,$B$2:$B$156,0))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MBECL</t>
        </is>
      </c>
      <c r="D70" s="31" t="inlineStr">
        <is>
          <t>Mcnally Bharat Engineering Company Limited</t>
        </is>
      </c>
      <c r="E70" s="31" t="inlineStr">
        <is>
          <t>realty</t>
        </is>
      </c>
      <c r="F70" s="31" t="inlineStr">
        <is>
          <t>engineering - turnkey services</t>
        </is>
      </c>
      <c r="G70" s="31" t="inlineStr">
        <is>
          <t>smallcap</t>
        </is>
      </c>
      <c r="H70" s="32" t="n">
        <v>1458.67</v>
      </c>
      <c r="I70" s="32" t="n">
        <v>428.85</v>
      </c>
      <c r="J70" s="32" t="n">
        <v>-2</v>
      </c>
      <c r="K70" s="32" t="n">
        <v>59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82.73</v>
      </c>
      <c r="P70" s="32" t="n">
        <v>75.75</v>
      </c>
      <c r="Q70" s="32" t="n">
        <v>411.51</v>
      </c>
      <c r="R70" s="31" t="inlineStr">
        <is>
          <t>Earnings / Momentum Support</t>
        </is>
      </c>
      <c r="S70" s="31" t="inlineStr">
        <is>
          <t>Nifty Realty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IF(B71=0,"",RANK(B71,$B$2:$B$156,0))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UNIMECH</t>
        </is>
      </c>
      <c r="D71" s="31" t="inlineStr">
        <is>
          <t>Unimech Aerospace and Manufacturing Ltd</t>
        </is>
      </c>
      <c r="E71" s="31" t="inlineStr">
        <is>
          <t>aerospace &amp; defence</t>
        </is>
      </c>
      <c r="F71" s="31" t="inlineStr">
        <is>
          <t>engineering</t>
        </is>
      </c>
      <c r="G71" s="31" t="inlineStr">
        <is>
          <t>midcap</t>
        </is>
      </c>
      <c r="H71" s="32" t="n">
        <v>9163.379999999999</v>
      </c>
      <c r="I71" s="32" t="n">
        <v>1757.8</v>
      </c>
      <c r="J71" s="32" t="n">
        <v>-2.36</v>
      </c>
      <c r="K71" s="32" t="n">
        <v>93711</v>
      </c>
      <c r="L71" s="31" t="n">
        <v>64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77.27</v>
      </c>
      <c r="P71" s="32" t="n">
        <v>52.48</v>
      </c>
      <c r="Q71" s="32" t="n">
        <v>1343.53</v>
      </c>
      <c r="R71" s="31" t="inlineStr">
        <is>
          <t>Near 52W High Breakout</t>
        </is>
      </c>
      <c r="S71" s="31" t="inlineStr">
        <is>
          <t>Nifty 50</t>
        </is>
      </c>
      <c r="T71" s="32" t="n">
        <v>-10.55</v>
      </c>
      <c r="U71" s="32" t="n">
        <v>85.23</v>
      </c>
      <c r="V71" s="32" t="n">
        <v>107.07</v>
      </c>
      <c r="W71" s="32" t="n">
        <v>21.8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IF(B72=0,"",RANK(B72,$B$2:$B$156,0))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RGL</t>
        </is>
      </c>
      <c r="D72" s="31" t="inlineStr">
        <is>
          <t>Renaissance Global Ltd</t>
        </is>
      </c>
      <c r="E72" s="31" t="inlineStr">
        <is>
          <t>consumer discretionary</t>
        </is>
      </c>
      <c r="F72" s="31" t="inlineStr">
        <is>
          <t>diamond cutting / jewellery</t>
        </is>
      </c>
      <c r="G72" s="31" t="inlineStr">
        <is>
          <t>smallcap</t>
        </is>
      </c>
      <c r="H72" s="32" t="n">
        <v>1825.69</v>
      </c>
      <c r="I72" s="32" t="n">
        <v>164.47</v>
      </c>
      <c r="J72" s="32" t="n">
        <v>-3.28</v>
      </c>
      <c r="K72" s="32" t="n">
        <v>241438</v>
      </c>
      <c r="L72" s="31" t="n">
        <v>45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72.09</v>
      </c>
      <c r="P72" s="32" t="n">
        <v>38.84</v>
      </c>
      <c r="Q72" s="32" t="n">
        <v>126.13</v>
      </c>
      <c r="R72" s="31" t="inlineStr">
        <is>
          <t>Near 52W High Breakout</t>
        </is>
      </c>
      <c r="S72" s="31" t="inlineStr">
        <is>
          <t>Nifty 50</t>
        </is>
      </c>
      <c r="T72" s="32" t="n">
        <v>-10.55</v>
      </c>
      <c r="U72" s="32" t="n">
        <v>23.38</v>
      </c>
      <c r="V72" s="32" t="n">
        <v>37.94</v>
      </c>
      <c r="W72" s="32" t="n">
        <v>12.96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IF(B73=0,"",RANK(B73,$B$2:$B$156,0))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GALAXYSURF</t>
        </is>
      </c>
      <c r="D73" s="31" t="inlineStr">
        <is>
          <t>Galaxy Surfactants Ltd</t>
        </is>
      </c>
      <c r="E73" s="31" t="inlineStr">
        <is>
          <t>chemicals</t>
        </is>
      </c>
      <c r="F73" s="31" t="inlineStr">
        <is>
          <t>chemicals</t>
        </is>
      </c>
      <c r="G73" s="31" t="inlineStr">
        <is>
          <t>midcap</t>
        </is>
      </c>
      <c r="H73" s="32" t="n">
        <v>9251.209999999999</v>
      </c>
      <c r="I73" s="32" t="n">
        <v>2504.8</v>
      </c>
      <c r="J73" s="32" t="n">
        <v>-4</v>
      </c>
      <c r="K73" s="32" t="n">
        <v>100850</v>
      </c>
      <c r="L73" s="31" t="n">
        <v>39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67.3</v>
      </c>
      <c r="P73" s="32" t="n">
        <v>34.07</v>
      </c>
      <c r="Q73" s="32" t="n">
        <v>1961.09</v>
      </c>
      <c r="R73" s="31" t="inlineStr">
        <is>
          <t>Near 52W High Breakout</t>
        </is>
      </c>
      <c r="S73" s="31" t="inlineStr">
        <is>
          <t>Nifty 50</t>
        </is>
      </c>
      <c r="T73" s="32" t="n">
        <v>-10.55</v>
      </c>
      <c r="U73" s="32" t="n">
        <v>14.12</v>
      </c>
      <c r="V73" s="32" t="n">
        <v>27.58</v>
      </c>
      <c r="W73" s="32" t="n">
        <v>10.09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IF(B74=0,"",RANK(B74,$B$2:$B$156,0))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ECLERX</t>
        </is>
      </c>
      <c r="D74" s="31" t="inlineStr">
        <is>
          <t>Eclerx Services Limited</t>
        </is>
      </c>
      <c r="E74" s="31" t="inlineStr">
        <is>
          <t>i.t</t>
        </is>
      </c>
      <c r="F74" s="31" t="inlineStr">
        <is>
          <t>computers - software - medium / small</t>
        </is>
      </c>
      <c r="G74" s="31" t="inlineStr">
        <is>
          <t>midcap</t>
        </is>
      </c>
      <c r="H74" s="32" t="n">
        <v>18505.42</v>
      </c>
      <c r="I74" s="32" t="n">
        <v>1998.2</v>
      </c>
      <c r="J74" s="32" t="n">
        <v>1.56</v>
      </c>
      <c r="K74" s="32" t="n">
        <v>228040</v>
      </c>
      <c r="L74" s="31" t="n">
        <v>10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58.83</v>
      </c>
      <c r="P74" s="32" t="n">
        <v>27.33</v>
      </c>
      <c r="Q74" s="32" t="n">
        <v>1484.04</v>
      </c>
      <c r="R74" s="31" t="inlineStr">
        <is>
          <t>Earnings / Momentum Support</t>
        </is>
      </c>
      <c r="S74" s="31" t="inlineStr">
        <is>
          <t>Nifty IT</t>
        </is>
      </c>
      <c r="T74" s="32" t="n">
        <v>-12.11</v>
      </c>
      <c r="U74" s="32" t="n">
        <v>-1.75</v>
      </c>
      <c r="V74" s="32" t="n">
        <v>11.79</v>
      </c>
      <c r="W74" s="32" t="n">
        <v>1.52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Between 12 to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IF(B75=0,"",RANK(B75,$B$2:$B$156,0))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ABDL</t>
        </is>
      </c>
      <c r="D75" s="31" t="inlineStr">
        <is>
          <t>Allied Blenders &amp; Distillers Ltd</t>
        </is>
      </c>
      <c r="E75" s="31" t="inlineStr">
        <is>
          <t>fmcg</t>
        </is>
      </c>
      <c r="F75" s="31" t="inlineStr">
        <is>
          <t>breweries &amp; distilleries</t>
        </is>
      </c>
      <c r="G75" s="31" t="inlineStr">
        <is>
          <t>largecap</t>
        </is>
      </c>
      <c r="H75" s="32" t="n">
        <v>20795.05</v>
      </c>
      <c r="I75" s="32" t="n">
        <v>739.25</v>
      </c>
      <c r="J75" s="32" t="n">
        <v>-0.5600000000000001</v>
      </c>
      <c r="K75" s="32" t="n">
        <v>1104621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68.81999999999999</v>
      </c>
      <c r="P75" s="32" t="n">
        <v>26.7</v>
      </c>
      <c r="Q75" s="32" t="n">
        <v>576.6900000000001</v>
      </c>
      <c r="R75" s="31" t="inlineStr">
        <is>
          <t>Near 52W High Breakout</t>
        </is>
      </c>
      <c r="S75" s="31" t="inlineStr">
        <is>
          <t>Nifty FMCG</t>
        </is>
      </c>
      <c r="T75" s="32" t="inlineStr"/>
      <c r="U75" s="32" t="inlineStr"/>
      <c r="V75" s="32" t="inlineStr"/>
      <c r="W75" s="32" t="inlineStr"/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B2C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IF(B76=0,"",RANK(B76,$B$2:$B$156,0))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LAURUSLABS</t>
        </is>
      </c>
      <c r="D76" s="31" t="inlineStr">
        <is>
          <t>Laurus Labs Limited</t>
        </is>
      </c>
      <c r="E76" s="31" t="inlineStr">
        <is>
          <t>healthcare</t>
        </is>
      </c>
      <c r="F76" s="31" t="inlineStr">
        <is>
          <t>pharmaceuticals - indian - bulk drugs &amp; formln</t>
        </is>
      </c>
      <c r="G76" s="31" t="inlineStr">
        <is>
          <t>largecap</t>
        </is>
      </c>
      <c r="H76" s="32" t="n">
        <v>110043.44</v>
      </c>
      <c r="I76" s="32" t="n">
        <v>2018.5</v>
      </c>
      <c r="J76" s="32" t="n">
        <v>-0.9</v>
      </c>
      <c r="K76" s="32" t="n">
        <v>858713</v>
      </c>
      <c r="L76" s="31" t="n">
        <v>69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75.09999999999999</v>
      </c>
      <c r="P76" s="32" t="n">
        <v>78.81</v>
      </c>
      <c r="Q76" s="32" t="n">
        <v>1748.77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16.02</v>
      </c>
      <c r="U76" s="32" t="n">
        <v>124.67</v>
      </c>
      <c r="V76" s="32" t="n">
        <v>93.66</v>
      </c>
      <c r="W76" s="32" t="n">
        <v>24.79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IF(B77=0,"",RANK(B77,$B$2:$B$156,0))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MAGADSUGAR</t>
        </is>
      </c>
      <c r="D77" s="31" t="inlineStr">
        <is>
          <t>Magadh Sugar &amp; Energy Ltd</t>
        </is>
      </c>
      <c r="E77" s="31" t="inlineStr">
        <is>
          <t>fmcg</t>
        </is>
      </c>
      <c r="F77" s="31" t="inlineStr">
        <is>
          <t>sugar</t>
        </is>
      </c>
      <c r="G77" s="31" t="inlineStr">
        <is>
          <t>smallcap</t>
        </is>
      </c>
      <c r="H77" s="32" t="n">
        <v>845.22</v>
      </c>
      <c r="I77" s="32" t="n">
        <v>581.15</v>
      </c>
      <c r="J77" s="32" t="n">
        <v>-3.11</v>
      </c>
      <c r="K77" s="32" t="n">
        <v>22967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60.14</v>
      </c>
      <c r="P77" s="32" t="n">
        <v>35.44</v>
      </c>
      <c r="Q77" s="32" t="n">
        <v>432.18</v>
      </c>
      <c r="R77" s="31" t="inlineStr">
        <is>
          <t>Near 52W High Breakout</t>
        </is>
      </c>
      <c r="S77" s="31" t="inlineStr">
        <is>
          <t>Nifty FMCG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IF(B78=0,"",RANK(B78,$B$2:$B$156,0))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OAL</t>
        </is>
      </c>
      <c r="D78" s="31" t="inlineStr">
        <is>
          <t>Oriental Aromatics Ltd</t>
        </is>
      </c>
      <c r="E78" s="31" t="inlineStr">
        <is>
          <t>chemicals</t>
        </is>
      </c>
      <c r="F78" s="31" t="inlineStr">
        <is>
          <t>chemicals</t>
        </is>
      </c>
      <c r="G78" s="31" t="inlineStr">
        <is>
          <t>smallcap</t>
        </is>
      </c>
      <c r="H78" s="32" t="n">
        <v>1757.89</v>
      </c>
      <c r="I78" s="32" t="n">
        <v>579.15</v>
      </c>
      <c r="J78" s="32" t="n">
        <v>10.87</v>
      </c>
      <c r="K78" s="32" t="n">
        <v>3082035</v>
      </c>
      <c r="L78" s="31" t="n">
        <v>71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76.08</v>
      </c>
      <c r="P78" s="32" t="n">
        <v>44.8</v>
      </c>
      <c r="Q78" s="32" t="n">
        <v>413.78</v>
      </c>
      <c r="R78" s="31" t="inlineStr">
        <is>
          <t>Volume Spike &amp; Near 52W High Breakout</t>
        </is>
      </c>
      <c r="S78" s="31" t="inlineStr">
        <is>
          <t>Nifty 50</t>
        </is>
      </c>
      <c r="T78" s="32" t="n">
        <v>-10.55</v>
      </c>
      <c r="U78" s="32" t="n">
        <v>71.98</v>
      </c>
      <c r="V78" s="32" t="n">
        <v>92.26000000000001</v>
      </c>
      <c r="W78" s="32" t="n">
        <v>26.74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IF(B79=0,"",RANK(B79,$B$2:$B$156,0))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TEXINFRA</t>
        </is>
      </c>
      <c r="D79" s="31" t="inlineStr">
        <is>
          <t>Texmaco Infrastructure &amp; Holdings Limited</t>
        </is>
      </c>
      <c r="E79" s="31" t="inlineStr">
        <is>
          <t>realty</t>
        </is>
      </c>
      <c r="F79" s="31" t="inlineStr">
        <is>
          <t>construction</t>
        </is>
      </c>
      <c r="G79" s="31" t="inlineStr">
        <is>
          <t>smallcap</t>
        </is>
      </c>
      <c r="H79" s="32" t="n">
        <v>1565.69</v>
      </c>
      <c r="I79" s="32" t="n">
        <v>123.98</v>
      </c>
      <c r="J79" s="32" t="n">
        <v>0.9</v>
      </c>
      <c r="K79" s="32" t="n">
        <v>545425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69.84</v>
      </c>
      <c r="P79" s="32" t="n">
        <v>40.64</v>
      </c>
      <c r="Q79" s="32" t="n">
        <v>97.81999999999999</v>
      </c>
      <c r="R79" s="31" t="inlineStr">
        <is>
          <t>Near 52W High Breakout</t>
        </is>
      </c>
      <c r="S79" s="31" t="inlineStr">
        <is>
          <t>Nifty Realty</t>
        </is>
      </c>
      <c r="T79" s="32" t="inlineStr"/>
      <c r="U79" s="32" t="inlineStr"/>
      <c r="V79" s="32" t="inlineStr"/>
      <c r="W79" s="32" t="inlineStr"/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IF(B80=0,"",RANK(B80,$B$2:$B$156,0))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JINDALSAW</t>
        </is>
      </c>
      <c r="D80" s="31" t="inlineStr">
        <is>
          <t>Jindal Saw Limited</t>
        </is>
      </c>
      <c r="E80" s="31" t="inlineStr">
        <is>
          <t>industrials</t>
        </is>
      </c>
      <c r="F80" s="31" t="inlineStr">
        <is>
          <t>steel - large</t>
        </is>
      </c>
      <c r="G80" s="31" t="inlineStr">
        <is>
          <t>midcap</t>
        </is>
      </c>
      <c r="H80" s="32" t="n">
        <v>18999.79</v>
      </c>
      <c r="I80" s="32" t="n">
        <v>299.2</v>
      </c>
      <c r="J80" s="32" t="n">
        <v>0.71</v>
      </c>
      <c r="K80" s="32" t="n">
        <v>2613658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61.6</v>
      </c>
      <c r="P80" s="32" t="n">
        <v>41.67</v>
      </c>
      <c r="Q80" s="32" t="n">
        <v>240.77</v>
      </c>
      <c r="R80" s="31" t="inlineStr">
        <is>
          <t>Near 52W High Breakout</t>
        </is>
      </c>
      <c r="S80" s="31" t="inlineStr">
        <is>
          <t>Nifty Metal</t>
        </is>
      </c>
      <c r="T80" s="32" t="inlineStr"/>
      <c r="U80" s="32" t="inlineStr"/>
      <c r="V80" s="32" t="inlineStr"/>
      <c r="W80" s="32" t="inlineStr"/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IF(B81=0,"",RANK(B81,$B$2:$B$156,0))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ALICON</t>
        </is>
      </c>
      <c r="D81" s="31" t="inlineStr">
        <is>
          <t>Alicon Castalloy Limited</t>
        </is>
      </c>
      <c r="E81" s="31" t="inlineStr">
        <is>
          <t>castings, forgings &amp; fasteners</t>
        </is>
      </c>
      <c r="F81" s="31" t="inlineStr">
        <is>
          <t>castings &amp; forgings</t>
        </is>
      </c>
      <c r="G81" s="31" t="inlineStr">
        <is>
          <t>smallcap</t>
        </is>
      </c>
      <c r="H81" s="32" t="n">
        <v>1415.19</v>
      </c>
      <c r="I81" s="32" t="n">
        <v>863.8</v>
      </c>
      <c r="J81" s="32" t="n">
        <v>0.17</v>
      </c>
      <c r="K81" s="32" t="n">
        <v>33355</v>
      </c>
      <c r="L81" s="31" t="n">
        <v>33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67.62</v>
      </c>
      <c r="P81" s="32" t="n">
        <v>25.74</v>
      </c>
      <c r="Q81" s="32" t="n">
        <v>665.48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-10.55</v>
      </c>
      <c r="U81" s="32" t="n">
        <v>2.22</v>
      </c>
      <c r="V81" s="32" t="n">
        <v>14.28</v>
      </c>
      <c r="W81" s="32" t="n">
        <v>9.23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IF(B82=0,"",RANK(B82,$B$2:$B$156,0))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RAYMOND</t>
        </is>
      </c>
      <c r="D82" s="31" t="inlineStr">
        <is>
          <t>Raymond Limited</t>
        </is>
      </c>
      <c r="E82" s="31" t="inlineStr">
        <is>
          <t>transportation</t>
        </is>
      </c>
      <c r="F82" s="31" t="inlineStr">
        <is>
          <t>transport - airlines</t>
        </is>
      </c>
      <c r="G82" s="31" t="inlineStr">
        <is>
          <t>midcap</t>
        </is>
      </c>
      <c r="H82" s="32" t="n">
        <v>7896.31</v>
      </c>
      <c r="I82" s="32" t="n">
        <v>1142.1</v>
      </c>
      <c r="J82" s="32" t="n">
        <v>-3.71</v>
      </c>
      <c r="K82" s="32" t="n">
        <v>558292</v>
      </c>
      <c r="L82" s="31" t="n">
        <v>91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78.5</v>
      </c>
      <c r="P82" s="32" t="n">
        <v>61.55</v>
      </c>
      <c r="Q82" s="32" t="n">
        <v>895.08</v>
      </c>
      <c r="R82" s="31" t="inlineStr">
        <is>
          <t>Near 52W High Breakout</t>
        </is>
      </c>
      <c r="S82" s="31" t="inlineStr">
        <is>
          <t>Nifty 50</t>
        </is>
      </c>
      <c r="T82" s="32" t="n">
        <v>-10.55</v>
      </c>
      <c r="U82" s="32" t="n">
        <v>98.13</v>
      </c>
      <c r="V82" s="32" t="n">
        <v>121.5</v>
      </c>
      <c r="W82" s="32" t="n">
        <v>39.25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IF(B83=0,"",RANK(B83,$B$2:$B$156,0))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FAIRCHEMOR</t>
        </is>
      </c>
      <c r="D83" s="31" t="inlineStr">
        <is>
          <t>Fairchem Organics Ltd</t>
        </is>
      </c>
      <c r="E83" s="31" t="inlineStr">
        <is>
          <t>chemicals</t>
        </is>
      </c>
      <c r="F83" s="31" t="inlineStr">
        <is>
          <t>chemicals</t>
        </is>
      </c>
      <c r="G83" s="31" t="inlineStr">
        <is>
          <t>smallcap</t>
        </is>
      </c>
      <c r="H83" s="32" t="n">
        <v>998.29</v>
      </c>
      <c r="I83" s="32" t="n">
        <v>758.55</v>
      </c>
      <c r="J83" s="32" t="n">
        <v>-4.29</v>
      </c>
      <c r="K83" s="32" t="n">
        <v>22915</v>
      </c>
      <c r="L83" s="31" t="n">
        <v>13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60.31</v>
      </c>
      <c r="P83" s="32" t="n">
        <v>23.95</v>
      </c>
      <c r="Q83" s="32" t="n">
        <v>602.62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-10.55</v>
      </c>
      <c r="U83" s="32" t="n">
        <v>-1.06</v>
      </c>
      <c r="V83" s="32" t="n">
        <v>10.61</v>
      </c>
      <c r="W83" s="32" t="n">
        <v>2.5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IF(B84=0,"",RANK(B84,$B$2:$B$156,0))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JAMNAAUTO</t>
        </is>
      </c>
      <c r="D84" s="31" t="inlineStr">
        <is>
          <t>Jamna Auto Industries Limited</t>
        </is>
      </c>
      <c r="E84" s="31" t="inlineStr">
        <is>
          <t>auto</t>
        </is>
      </c>
      <c r="F84" s="31" t="inlineStr">
        <is>
          <t>auto ancillaries</t>
        </is>
      </c>
      <c r="G84" s="31" t="inlineStr">
        <is>
          <t>midcap</t>
        </is>
      </c>
      <c r="H84" s="32" t="n">
        <v>5979.61</v>
      </c>
      <c r="I84" s="32" t="n">
        <v>142.54</v>
      </c>
      <c r="J84" s="32" t="n">
        <v>-4.7</v>
      </c>
      <c r="K84" s="32" t="n">
        <v>1275633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57.88</v>
      </c>
      <c r="P84" s="32" t="n">
        <v>35.33</v>
      </c>
      <c r="Q84" s="32" t="n">
        <v>105.77</v>
      </c>
      <c r="R84" s="31" t="inlineStr">
        <is>
          <t>Near 52W High Breakout</t>
        </is>
      </c>
      <c r="S84" s="31" t="inlineStr">
        <is>
          <t>Nifty Auto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Less than 12%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IF(B85=0,"",RANK(B85,$B$2:$B$156,0))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SHRINGARMS</t>
        </is>
      </c>
      <c r="D85" s="31" t="inlineStr">
        <is>
          <t>Shringar House of Mangalsutra Ltd</t>
        </is>
      </c>
      <c r="E85" s="31" t="inlineStr">
        <is>
          <t>consumer discretionary</t>
        </is>
      </c>
      <c r="F85" s="31" t="inlineStr">
        <is>
          <t>diamond cutting / jewellery</t>
        </is>
      </c>
      <c r="G85" s="31" t="inlineStr">
        <is>
          <t>smallcap</t>
        </is>
      </c>
      <c r="H85" s="32" t="n">
        <v>3064.03</v>
      </c>
      <c r="I85" s="32" t="n">
        <v>297.42</v>
      </c>
      <c r="J85" s="32" t="n">
        <v>-6.4</v>
      </c>
      <c r="K85" s="32" t="n">
        <v>6099869</v>
      </c>
      <c r="L85" s="31" t="n">
        <v>55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74.94</v>
      </c>
      <c r="P85" s="32" t="n">
        <v>21.85</v>
      </c>
      <c r="Q85" s="32" t="n">
        <v>234.58</v>
      </c>
      <c r="R85" s="31" t="inlineStr">
        <is>
          <t>Volume Spike &amp; Near 52W High Breakout</t>
        </is>
      </c>
      <c r="S85" s="31" t="inlineStr">
        <is>
          <t>Nifty 50</t>
        </is>
      </c>
      <c r="T85" s="32" t="n">
        <v>-10.55</v>
      </c>
      <c r="U85" s="32" t="n">
        <v>50.89</v>
      </c>
      <c r="V85" s="32" t="n">
        <v>68.69</v>
      </c>
      <c r="W85" s="32" t="n">
        <v>16.53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IF(B86=0,"",RANK(B86,$B$2:$B$156,0))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VALIANTLAB</t>
        </is>
      </c>
      <c r="D86" s="31" t="inlineStr">
        <is>
          <t>Valiant Laboratories Ltd</t>
        </is>
      </c>
      <c r="E86" s="31" t="inlineStr">
        <is>
          <t>healthcare</t>
        </is>
      </c>
      <c r="F86" s="31" t="inlineStr">
        <is>
          <t>pharmaceuticals - indian - bulk drugs &amp; formln</t>
        </is>
      </c>
      <c r="G86" s="31" t="inlineStr">
        <is>
          <t>smallcap</t>
        </is>
      </c>
      <c r="H86" s="32" t="n">
        <v>665</v>
      </c>
      <c r="I86" s="32" t="n">
        <v>128.24</v>
      </c>
      <c r="J86" s="32" t="n">
        <v>4.74</v>
      </c>
      <c r="K86" s="32" t="n">
        <v>108638</v>
      </c>
      <c r="L86" s="31" t="n">
        <v>87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75.33</v>
      </c>
      <c r="P86" s="32" t="n">
        <v>39.44</v>
      </c>
      <c r="Q86" s="32" t="n">
        <v>93.34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16.02</v>
      </c>
      <c r="U86" s="32" t="n">
        <v>54.99</v>
      </c>
      <c r="V86" s="32" t="n">
        <v>33.6</v>
      </c>
      <c r="W86" s="32" t="n">
        <v>36.19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IF(B87=0,"",RANK(B87,$B$2:$B$156,0))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KILITCH</t>
        </is>
      </c>
      <c r="D87" s="31" t="inlineStr">
        <is>
          <t>Kilitch Drugs (india) Limited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smallcap</t>
        </is>
      </c>
      <c r="H87" s="32" t="n">
        <v>805.41</v>
      </c>
      <c r="I87" s="32" t="n">
        <v>236.2</v>
      </c>
      <c r="J87" s="32" t="n">
        <v>2.53</v>
      </c>
      <c r="K87" s="32" t="n">
        <v>68673</v>
      </c>
      <c r="L87" s="31" t="n">
        <v>44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67.79000000000001</v>
      </c>
      <c r="P87" s="32" t="n">
        <v>30.56</v>
      </c>
      <c r="Q87" s="32" t="n">
        <v>175.87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16.02</v>
      </c>
      <c r="U87" s="32" t="n">
        <v>26.56</v>
      </c>
      <c r="V87" s="32" t="n">
        <v>9.09</v>
      </c>
      <c r="W87" s="32" t="n">
        <v>12.94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IF(B88=0,"",RANK(B88,$B$2:$B$156,0))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CYIENT</t>
        </is>
      </c>
      <c r="D88" s="31" t="inlineStr">
        <is>
          <t>Cyient Limited</t>
        </is>
      </c>
      <c r="E88" s="31" t="inlineStr">
        <is>
          <t>i.t</t>
        </is>
      </c>
      <c r="F88" s="31" t="inlineStr">
        <is>
          <t>computers - software - medium / small</t>
        </is>
      </c>
      <c r="G88" s="31" t="inlineStr">
        <is>
          <t>midcap</t>
        </is>
      </c>
      <c r="H88" s="32" t="n">
        <v>12520.84</v>
      </c>
      <c r="I88" s="32" t="n">
        <v>1189.8</v>
      </c>
      <c r="J88" s="32" t="n">
        <v>-0.47</v>
      </c>
      <c r="K88" s="32" t="n">
        <v>415484</v>
      </c>
      <c r="L88" s="31" t="n">
        <v>39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70.97</v>
      </c>
      <c r="P88" s="32" t="n">
        <v>29.74</v>
      </c>
      <c r="Q88" s="32" t="n">
        <v>948.16</v>
      </c>
      <c r="R88" s="31" t="inlineStr">
        <is>
          <t>Near 52W High Breakout</t>
        </is>
      </c>
      <c r="S88" s="31" t="inlineStr">
        <is>
          <t>Nifty IT</t>
        </is>
      </c>
      <c r="T88" s="32" t="n">
        <v>-12.11</v>
      </c>
      <c r="U88" s="32" t="n">
        <v>2.99</v>
      </c>
      <c r="V88" s="32" t="n">
        <v>17.18</v>
      </c>
      <c r="W88" s="32" t="n">
        <v>10.3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IF(B89=0,"",RANK(B89,$B$2:$B$156,0))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UTTAMSUGAR</t>
        </is>
      </c>
      <c r="D89" s="31" t="inlineStr">
        <is>
          <t>Uttam Sugar Mills Limited</t>
        </is>
      </c>
      <c r="E89" s="31" t="inlineStr">
        <is>
          <t>fmcg</t>
        </is>
      </c>
      <c r="F89" s="31" t="inlineStr">
        <is>
          <t>sugar</t>
        </is>
      </c>
      <c r="G89" s="31" t="inlineStr">
        <is>
          <t>smallcap</t>
        </is>
      </c>
      <c r="H89" s="32" t="n">
        <v>1449.44</v>
      </c>
      <c r="I89" s="32" t="n">
        <v>376.65</v>
      </c>
      <c r="J89" s="32" t="n">
        <v>-0.89</v>
      </c>
      <c r="K89" s="32" t="n">
        <v>1070912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70.58</v>
      </c>
      <c r="P89" s="32" t="n">
        <v>33.1</v>
      </c>
      <c r="Q89" s="32" t="n">
        <v>262.97</v>
      </c>
      <c r="R89" s="31" t="inlineStr">
        <is>
          <t>Volume Spike &amp; Near 52W High Breakout</t>
        </is>
      </c>
      <c r="S89" s="31" t="inlineStr">
        <is>
          <t>Nifty FMCG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Between 0.7 to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IF(B90=0,"",RANK(B90,$B$2:$B$156,0))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AVADHSUGAR</t>
        </is>
      </c>
      <c r="D90" s="31" t="inlineStr">
        <is>
          <t>Avadh Sugar &amp; Energy</t>
        </is>
      </c>
      <c r="E90" s="31" t="inlineStr">
        <is>
          <t>fmcg</t>
        </is>
      </c>
      <c r="F90" s="31" t="inlineStr">
        <is>
          <t>sugar</t>
        </is>
      </c>
      <c r="G90" s="31" t="inlineStr">
        <is>
          <t>smallcap</t>
        </is>
      </c>
      <c r="H90" s="32" t="n">
        <v>1994.13</v>
      </c>
      <c r="I90" s="32" t="n">
        <v>970.25</v>
      </c>
      <c r="J90" s="32" t="n">
        <v>-2.6</v>
      </c>
      <c r="K90" s="32" t="n">
        <v>134429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77.44</v>
      </c>
      <c r="P90" s="32" t="n">
        <v>59.75</v>
      </c>
      <c r="Q90" s="32" t="n">
        <v>731.96</v>
      </c>
      <c r="R90" s="31" t="inlineStr">
        <is>
          <t>Near 52W High Breakout</t>
        </is>
      </c>
      <c r="S90" s="31" t="inlineStr">
        <is>
          <t>Nifty FMCG</t>
        </is>
      </c>
      <c r="T90" s="32" t="inlineStr"/>
      <c r="U90" s="32" t="inlineStr"/>
      <c r="V90" s="32" t="inlineStr"/>
      <c r="W90" s="32" t="inlineStr"/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B2C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More than 1.2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IF(B91=0,"",RANK(B91,$B$2:$B$156,0))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DHAMPURSUG</t>
        </is>
      </c>
      <c r="D91" s="31" t="inlineStr">
        <is>
          <t>Dhampur Sugar Mills Limited</t>
        </is>
      </c>
      <c r="E91" s="31" t="inlineStr">
        <is>
          <t>fmcg</t>
        </is>
      </c>
      <c r="F91" s="31" t="inlineStr">
        <is>
          <t>sugar</t>
        </is>
      </c>
      <c r="G91" s="31" t="inlineStr">
        <is>
          <t>smallcap</t>
        </is>
      </c>
      <c r="H91" s="32" t="n">
        <v>1335.2</v>
      </c>
      <c r="I91" s="32" t="n">
        <v>196.99</v>
      </c>
      <c r="J91" s="32" t="n">
        <v>-5.12</v>
      </c>
      <c r="K91" s="32" t="n">
        <v>1126871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69.23999999999999</v>
      </c>
      <c r="P91" s="32" t="n">
        <v>28.35</v>
      </c>
      <c r="Q91" s="32" t="n">
        <v>144.8</v>
      </c>
      <c r="R91" s="31" t="inlineStr">
        <is>
          <t>Near 52W High Breakout</t>
        </is>
      </c>
      <c r="S91" s="31" t="inlineStr">
        <is>
          <t>Nifty FMCG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B2C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Less than 12%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Between 0.7 to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IF(B92=0,"",RANK(B92,$B$2:$B$156,0))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IRISDOREME</t>
        </is>
      </c>
      <c r="D92" s="31" t="inlineStr">
        <is>
          <t>Iris Clothings Ltd</t>
        </is>
      </c>
      <c r="E92" s="31" t="inlineStr">
        <is>
          <t>readymade garments/apparels</t>
        </is>
      </c>
      <c r="F92" s="31" t="inlineStr">
        <is>
          <t>textiles - products</t>
        </is>
      </c>
      <c r="G92" s="31" t="inlineStr">
        <is>
          <t>smallcap</t>
        </is>
      </c>
      <c r="H92" s="32" t="n">
        <v>1182.69</v>
      </c>
      <c r="I92" s="32" t="n">
        <v>63.13</v>
      </c>
      <c r="J92" s="32" t="n">
        <v>5.71</v>
      </c>
      <c r="K92" s="32" t="n">
        <v>1475203</v>
      </c>
      <c r="L92" s="31" t="n">
        <v>65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69.93000000000001</v>
      </c>
      <c r="P92" s="32" t="n">
        <v>51.3</v>
      </c>
      <c r="Q92" s="32" t="n">
        <v>50.6</v>
      </c>
      <c r="R92" s="31" t="inlineStr">
        <is>
          <t>Near 52W High Breakout</t>
        </is>
      </c>
      <c r="S92" s="31" t="inlineStr">
        <is>
          <t>Nifty 50</t>
        </is>
      </c>
      <c r="T92" s="32" t="n">
        <v>-10.55</v>
      </c>
      <c r="U92" s="32" t="n">
        <v>92.12</v>
      </c>
      <c r="V92" s="32" t="n">
        <v>114.78</v>
      </c>
      <c r="W92" s="32" t="n">
        <v>22.07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IF(B93=0,"",RANK(B93,$B$2:$B$156,0))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ORIENTHOT</t>
        </is>
      </c>
      <c r="D93" s="31" t="inlineStr">
        <is>
          <t>Oriental Hotels Limited</t>
        </is>
      </c>
      <c r="E93" s="31" t="inlineStr">
        <is>
          <t>services</t>
        </is>
      </c>
      <c r="F93" s="31" t="inlineStr">
        <is>
          <t>hotels</t>
        </is>
      </c>
      <c r="G93" s="31" t="inlineStr">
        <is>
          <t>smallcap</t>
        </is>
      </c>
      <c r="H93" s="32" t="n">
        <v>2526.29</v>
      </c>
      <c r="I93" s="32" t="n">
        <v>145.58</v>
      </c>
      <c r="J93" s="32" t="n">
        <v>2.92</v>
      </c>
      <c r="K93" s="32" t="n">
        <v>2188070</v>
      </c>
      <c r="L93" s="31" t="n">
        <v>28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64.90000000000001</v>
      </c>
      <c r="P93" s="32" t="n">
        <v>39.39</v>
      </c>
      <c r="Q93" s="32" t="n">
        <v>113.57</v>
      </c>
      <c r="R93" s="31" t="inlineStr">
        <is>
          <t>Near 52W High Breakout</t>
        </is>
      </c>
      <c r="S93" s="31" t="inlineStr">
        <is>
          <t>Nifty 50</t>
        </is>
      </c>
      <c r="T93" s="32" t="n">
        <v>-10.55</v>
      </c>
      <c r="U93" s="32" t="n">
        <v>15.05</v>
      </c>
      <c r="V93" s="32" t="n">
        <v>28.62</v>
      </c>
      <c r="W93" s="32" t="n">
        <v>7.12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IF(B94=0,"",RANK(B94,$B$2:$B$156,0))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SHYAMMETL</t>
        </is>
      </c>
      <c r="D94" s="31" t="inlineStr">
        <is>
          <t>Shyam Metalics &amp; Energy Ltd</t>
        </is>
      </c>
      <c r="E94" s="31" t="inlineStr">
        <is>
          <t>metals &amp; mining</t>
        </is>
      </c>
      <c r="F94" s="31" t="inlineStr">
        <is>
          <t>steel - large</t>
        </is>
      </c>
      <c r="G94" s="31" t="inlineStr">
        <is>
          <t>largecap</t>
        </is>
      </c>
      <c r="H94" s="32" t="n">
        <v>31865.69</v>
      </c>
      <c r="I94" s="32" t="n">
        <v>1157</v>
      </c>
      <c r="J94" s="32" t="n">
        <v>1.35</v>
      </c>
      <c r="K94" s="32" t="n">
        <v>545252</v>
      </c>
      <c r="L94" s="31" t="inlineStr"/>
      <c r="M94" s="31" t="inlineStr"/>
      <c r="N94" s="32">
        <f>IF(M94="Underperforming",-5,IF(L94&gt;=95,15,IF(L94&gt;=90,10,IF(L94&gt;=80,5,0))))</f>
        <v/>
      </c>
      <c r="O94" s="32" t="n">
        <v>68.29000000000001</v>
      </c>
      <c r="P94" s="32" t="n">
        <v>29.11</v>
      </c>
      <c r="Q94" s="32" t="n">
        <v>957.24</v>
      </c>
      <c r="R94" s="31" t="inlineStr">
        <is>
          <t>Near 52W High Breakout</t>
        </is>
      </c>
      <c r="S94" s="31" t="inlineStr">
        <is>
          <t>Nifty Metal</t>
        </is>
      </c>
      <c r="T94" s="32" t="inlineStr"/>
      <c r="U94" s="32" t="inlineStr"/>
      <c r="V94" s="32" t="inlineStr"/>
      <c r="W94" s="32" t="inlineStr"/>
      <c r="X94" s="31" t="inlineStr">
        <is>
          <t>Cyclical in an Upturn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Cyclical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IF(B95=0,"",RANK(B95,$B$2:$B$156,0))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NAZARA</t>
        </is>
      </c>
      <c r="D95" s="31" t="inlineStr">
        <is>
          <t>Nazara Technologies Ltd</t>
        </is>
      </c>
      <c r="E95" s="31" t="inlineStr">
        <is>
          <t>i.t</t>
        </is>
      </c>
      <c r="F95" s="31" t="inlineStr">
        <is>
          <t>telecommunications - service provider</t>
        </is>
      </c>
      <c r="G95" s="31" t="inlineStr">
        <is>
          <t>midcap</t>
        </is>
      </c>
      <c r="H95" s="32" t="n">
        <v>15587.88</v>
      </c>
      <c r="I95" s="32" t="n">
        <v>406.7</v>
      </c>
      <c r="J95" s="32" t="n">
        <v>0.37</v>
      </c>
      <c r="K95" s="32" t="n">
        <v>1224190</v>
      </c>
      <c r="L95" s="31" t="n">
        <v>54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77.17</v>
      </c>
      <c r="P95" s="32" t="n">
        <v>36.98</v>
      </c>
      <c r="Q95" s="32" t="n">
        <v>334.61</v>
      </c>
      <c r="R95" s="31" t="inlineStr">
        <is>
          <t>Near 52W High Breakout</t>
        </is>
      </c>
      <c r="S95" s="31" t="inlineStr">
        <is>
          <t>Nifty IT</t>
        </is>
      </c>
      <c r="T95" s="32" t="n">
        <v>-12.11</v>
      </c>
      <c r="U95" s="32" t="n">
        <v>53.62</v>
      </c>
      <c r="V95" s="32" t="n">
        <v>74.77</v>
      </c>
      <c r="W95" s="32" t="n">
        <v>16.33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Oligopoly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IF(B96=0,"",RANK(B96,$B$2:$B$156,0))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SAMBHV</t>
        </is>
      </c>
      <c r="D96" s="31" t="inlineStr">
        <is>
          <t>Sambhv Steel Tubes Ltd</t>
        </is>
      </c>
      <c r="E96" s="31" t="inlineStr">
        <is>
          <t>metals &amp; mining</t>
        </is>
      </c>
      <c r="F96" s="31" t="inlineStr">
        <is>
          <t>steel - medium / small</t>
        </is>
      </c>
      <c r="G96" s="31" t="inlineStr">
        <is>
          <t>smallcap</t>
        </is>
      </c>
      <c r="H96" s="32" t="n">
        <v>4828.19</v>
      </c>
      <c r="I96" s="32" t="n">
        <v>163.15</v>
      </c>
      <c r="J96" s="32" t="n">
        <v>-0.43</v>
      </c>
      <c r="K96" s="32" t="n">
        <v>1757240</v>
      </c>
      <c r="L96" s="31" t="inlineStr"/>
      <c r="M96" s="31" t="inlineStr"/>
      <c r="N96" s="32">
        <f>IF(M96="Underperforming",-5,IF(L96&gt;=95,15,IF(L96&gt;=90,10,IF(L96&gt;=80,5,0))))</f>
        <v/>
      </c>
      <c r="O96" s="32" t="n">
        <v>78.7</v>
      </c>
      <c r="P96" s="32" t="n">
        <v>52.43</v>
      </c>
      <c r="Q96" s="32" t="n">
        <v>126.6</v>
      </c>
      <c r="R96" s="31" t="inlineStr">
        <is>
          <t>Near 52W High Breakout</t>
        </is>
      </c>
      <c r="S96" s="31" t="inlineStr">
        <is>
          <t>Nifty Metal</t>
        </is>
      </c>
      <c r="T96" s="32" t="inlineStr"/>
      <c r="U96" s="32" t="inlineStr"/>
      <c r="V96" s="32" t="inlineStr"/>
      <c r="W96" s="32" t="inlineStr"/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Cyclical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Volatile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IF(B97=0,"",RANK(B97,$B$2:$B$156,0))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PRIMO</t>
        </is>
      </c>
      <c r="D97" s="31" t="inlineStr">
        <is>
          <t>Primo Chemicals Ltd</t>
        </is>
      </c>
      <c r="E97" s="31" t="inlineStr">
        <is>
          <t>chemicals</t>
        </is>
      </c>
      <c r="F97" s="31" t="inlineStr">
        <is>
          <t>chlor alkali / soda ash</t>
        </is>
      </c>
      <c r="G97" s="31" t="inlineStr">
        <is>
          <t>smallcap</t>
        </is>
      </c>
      <c r="H97" s="32" t="n">
        <v>633.97</v>
      </c>
      <c r="I97" s="32" t="n">
        <v>25.97</v>
      </c>
      <c r="J97" s="32" t="n">
        <v>-0.73</v>
      </c>
      <c r="K97" s="32" t="n">
        <v>145997</v>
      </c>
      <c r="L97" s="31" t="n">
        <v>21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55.99</v>
      </c>
      <c r="P97" s="32" t="n">
        <v>21.8</v>
      </c>
      <c r="Q97" s="32" t="n">
        <v>16.94</v>
      </c>
      <c r="R97" s="31" t="inlineStr">
        <is>
          <t>Near 52W High Breakout</t>
        </is>
      </c>
      <c r="S97" s="31" t="inlineStr">
        <is>
          <t>Nifty 50</t>
        </is>
      </c>
      <c r="T97" s="32" t="n">
        <v>-10.55</v>
      </c>
      <c r="U97" s="32" t="n">
        <v>10.14</v>
      </c>
      <c r="V97" s="32" t="n">
        <v>23.13</v>
      </c>
      <c r="W97" s="32" t="n">
        <v>4.45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IF(B98=0,"",RANK(B98,$B$2:$B$156,0))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BIL</t>
        </is>
      </c>
      <c r="D98" s="31" t="inlineStr">
        <is>
          <t>Bhartiya International Limited</t>
        </is>
      </c>
      <c r="E98" s="31" t="inlineStr">
        <is>
          <t>consumer discretionary</t>
        </is>
      </c>
      <c r="F98" s="31" t="inlineStr">
        <is>
          <t>leather / leather products</t>
        </is>
      </c>
      <c r="G98" s="31" t="inlineStr">
        <is>
          <t>smallcap</t>
        </is>
      </c>
      <c r="H98" s="32" t="n">
        <v>1418.89</v>
      </c>
      <c r="I98" s="32" t="n">
        <v>1048.65</v>
      </c>
      <c r="J98" s="32" t="n">
        <v>-0.89</v>
      </c>
      <c r="K98" s="32" t="n">
        <v>3622</v>
      </c>
      <c r="L98" s="31" t="n">
        <v>57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67.98999999999999</v>
      </c>
      <c r="P98" s="32" t="n">
        <v>34.14</v>
      </c>
      <c r="Q98" s="32" t="n">
        <v>800.0700000000001</v>
      </c>
      <c r="R98" s="31" t="inlineStr">
        <is>
          <t>Near 52W High Breakout</t>
        </is>
      </c>
      <c r="S98" s="31" t="inlineStr">
        <is>
          <t>Nifty 50</t>
        </is>
      </c>
      <c r="T98" s="32" t="n">
        <v>-10.55</v>
      </c>
      <c r="U98" s="32" t="n">
        <v>38.79</v>
      </c>
      <c r="V98" s="32" t="n">
        <v>55.16</v>
      </c>
      <c r="W98" s="32" t="n">
        <v>17.46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IF(B99=0,"",RANK(B99,$B$2:$B$156,0))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MUKANDLTD</t>
        </is>
      </c>
      <c r="D99" s="31" t="inlineStr">
        <is>
          <t>Mukand Limited</t>
        </is>
      </c>
      <c r="E99" s="31" t="inlineStr">
        <is>
          <t>metals &amp; mining</t>
        </is>
      </c>
      <c r="F99" s="31" t="inlineStr">
        <is>
          <t>steel - medium / small</t>
        </is>
      </c>
      <c r="G99" s="31" t="inlineStr">
        <is>
          <t>smallcap</t>
        </is>
      </c>
      <c r="H99" s="32" t="n">
        <v>2528.96</v>
      </c>
      <c r="I99" s="32" t="n">
        <v>170.35</v>
      </c>
      <c r="J99" s="32" t="n">
        <v>-2.67</v>
      </c>
      <c r="K99" s="32" t="n">
        <v>213334</v>
      </c>
      <c r="L99" s="31" t="inlineStr"/>
      <c r="M99" s="31" t="inlineStr"/>
      <c r="N99" s="32">
        <f>IF(M99="Underperforming",-5,IF(L99&gt;=95,15,IF(L99&gt;=90,10,IF(L99&gt;=80,5,0))))</f>
        <v/>
      </c>
      <c r="O99" s="32" t="n">
        <v>67.56999999999999</v>
      </c>
      <c r="P99" s="32" t="n">
        <v>45.79</v>
      </c>
      <c r="Q99" s="32" t="n">
        <v>137.98</v>
      </c>
      <c r="R99" s="31" t="inlineStr">
        <is>
          <t>Near 52W High Breakout</t>
        </is>
      </c>
      <c r="S99" s="31" t="inlineStr">
        <is>
          <t>Nifty Metal</t>
        </is>
      </c>
      <c r="T99" s="32" t="inlineStr"/>
      <c r="U99" s="32" t="inlineStr"/>
      <c r="V99" s="32" t="inlineStr"/>
      <c r="W99" s="32" t="inlineStr"/>
      <c r="X99" s="31" t="inlineStr">
        <is>
          <t>Cyclical in an Upturn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Cyclical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Volatile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Between 0.7 to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IF(B100=0,"",RANK(B100,$B$2:$B$156,0))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MMP</t>
        </is>
      </c>
      <c r="D100" s="31" t="inlineStr">
        <is>
          <t>MMP Industries Ltd</t>
        </is>
      </c>
      <c r="E100" s="31" t="inlineStr">
        <is>
          <t>metals &amp; mining</t>
        </is>
      </c>
      <c r="F100" s="31" t="inlineStr">
        <is>
          <t>aluminium and aluminium products</t>
        </is>
      </c>
      <c r="G100" s="31" t="inlineStr">
        <is>
          <t>smallcap</t>
        </is>
      </c>
      <c r="H100" s="32" t="n">
        <v>1292.1</v>
      </c>
      <c r="I100" s="32" t="n">
        <v>494.8</v>
      </c>
      <c r="J100" s="32" t="n">
        <v>-2.72</v>
      </c>
      <c r="K100" s="32" t="n">
        <v>104467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79.64</v>
      </c>
      <c r="P100" s="32" t="n">
        <v>64.52</v>
      </c>
      <c r="Q100" s="32" t="n">
        <v>374.28</v>
      </c>
      <c r="R100" s="31" t="inlineStr">
        <is>
          <t>Near 52W High Breakout</t>
        </is>
      </c>
      <c r="S100" s="31" t="inlineStr">
        <is>
          <t>Nifty Metal</t>
        </is>
      </c>
      <c r="T100" s="32" t="inlineStr"/>
      <c r="U100" s="32" t="inlineStr"/>
      <c r="V100" s="32" t="inlineStr"/>
      <c r="W100" s="32" t="inlineStr"/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Cyclical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Volatile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IF(B101=0,"",RANK(B101,$B$2:$B$156,0))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GANDHAR</t>
        </is>
      </c>
      <c r="D101" s="31" t="inlineStr">
        <is>
          <t>Gandhar Oil Refinery (India) Ltd</t>
        </is>
      </c>
      <c r="E101" s="31" t="inlineStr">
        <is>
          <t>energy</t>
        </is>
      </c>
      <c r="F101" s="31" t="inlineStr">
        <is>
          <t>refineries</t>
        </is>
      </c>
      <c r="G101" s="31" t="inlineStr">
        <is>
          <t>smallcap</t>
        </is>
      </c>
      <c r="H101" s="32" t="n">
        <v>3043.56</v>
      </c>
      <c r="I101" s="32" t="n">
        <v>299.1</v>
      </c>
      <c r="J101" s="32" t="n">
        <v>-3.81</v>
      </c>
      <c r="K101" s="32" t="n">
        <v>670954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72.09</v>
      </c>
      <c r="P101" s="32" t="n">
        <v>78.89</v>
      </c>
      <c r="Q101" s="32" t="n">
        <v>229.44</v>
      </c>
      <c r="R101" s="31" t="inlineStr">
        <is>
          <t>Near 52W High Breakout</t>
        </is>
      </c>
      <c r="S101" s="31" t="inlineStr">
        <is>
          <t>Nifty Energy</t>
        </is>
      </c>
      <c r="T101" s="32" t="inlineStr"/>
      <c r="U101" s="32" t="inlineStr"/>
      <c r="V101" s="32" t="inlineStr"/>
      <c r="W101" s="32" t="inlineStr"/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Oligopoly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Cyclical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Volatile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Between 1.5 to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IF(B102=0,"",RANK(B102,$B$2:$B$156,0))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RUBYMILLS</t>
        </is>
      </c>
      <c r="D102" s="31" t="inlineStr">
        <is>
          <t>The Ruby Mills Limited</t>
        </is>
      </c>
      <c r="E102" s="31" t="inlineStr">
        <is>
          <t>textiles</t>
        </is>
      </c>
      <c r="F102" s="31" t="inlineStr">
        <is>
          <t>textiles - composite</t>
        </is>
      </c>
      <c r="G102" s="31" t="inlineStr">
        <is>
          <t>smallcap</t>
        </is>
      </c>
      <c r="H102" s="32" t="n">
        <v>1809.94</v>
      </c>
      <c r="I102" s="32" t="n">
        <v>517.7</v>
      </c>
      <c r="J102" s="32" t="n">
        <v>-4.35</v>
      </c>
      <c r="K102" s="32" t="n">
        <v>211477</v>
      </c>
      <c r="L102" s="31" t="n">
        <v>72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76.06</v>
      </c>
      <c r="P102" s="32" t="n">
        <v>53.09</v>
      </c>
      <c r="Q102" s="32" t="n">
        <v>361.54</v>
      </c>
      <c r="R102" s="31" t="inlineStr">
        <is>
          <t>Volume Spike &amp; Near 52W High Breakout</t>
        </is>
      </c>
      <c r="S102" s="31" t="inlineStr">
        <is>
          <t>Nifty 50</t>
        </is>
      </c>
      <c r="T102" s="32" t="n">
        <v>-10.55</v>
      </c>
      <c r="U102" s="32" t="n">
        <v>136.36</v>
      </c>
      <c r="V102" s="32" t="n">
        <v>164.24</v>
      </c>
      <c r="W102" s="32" t="n">
        <v>26.89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IF(B103=0,"",RANK(B103,$B$2:$B$156,0))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RAIN</t>
        </is>
      </c>
      <c r="D103" s="31" t="inlineStr">
        <is>
          <t>Rain Industries Limited</t>
        </is>
      </c>
      <c r="E103" s="31" t="inlineStr">
        <is>
          <t>miscellaneous</t>
        </is>
      </c>
      <c r="F103" s="31" t="inlineStr">
        <is>
          <t>miscellaneous</t>
        </is>
      </c>
      <c r="G103" s="31" t="inlineStr">
        <is>
          <t>midcap</t>
        </is>
      </c>
      <c r="H103" s="32" t="n">
        <v>7974.08</v>
      </c>
      <c r="I103" s="32" t="n">
        <v>224.53</v>
      </c>
      <c r="J103" s="32" t="n">
        <v>-5.29</v>
      </c>
      <c r="K103" s="32" t="n">
        <v>5022592</v>
      </c>
      <c r="L103" s="31" t="n">
        <v>52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63.98</v>
      </c>
      <c r="P103" s="32" t="n">
        <v>41.16</v>
      </c>
      <c r="Q103" s="32" t="n">
        <v>166.71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-10.55</v>
      </c>
      <c r="U103" s="32" t="n">
        <v>78.77</v>
      </c>
      <c r="V103" s="32" t="n">
        <v>99.84999999999999</v>
      </c>
      <c r="W103" s="32" t="n">
        <v>15.99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Between 50% to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More than 1.2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IF(B104=0,"",RANK(B104,$B$2:$B$156,0))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DYNAMATECH</t>
        </is>
      </c>
      <c r="D104" s="31" t="inlineStr">
        <is>
          <t>Dynamatic Technologies Limited</t>
        </is>
      </c>
      <c r="E104" s="31" t="inlineStr">
        <is>
          <t>aerospace &amp; defence</t>
        </is>
      </c>
      <c r="F104" s="31" t="inlineStr">
        <is>
          <t>engineering</t>
        </is>
      </c>
      <c r="G104" s="31" t="inlineStr">
        <is>
          <t>midcap</t>
        </is>
      </c>
      <c r="H104" s="32" t="n">
        <v>9795.98</v>
      </c>
      <c r="I104" s="32" t="n">
        <v>13638</v>
      </c>
      <c r="J104" s="32" t="n">
        <v>-5.45</v>
      </c>
      <c r="K104" s="32" t="n">
        <v>37655</v>
      </c>
      <c r="L104" s="31" t="n">
        <v>60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67.83</v>
      </c>
      <c r="P104" s="32" t="n">
        <v>35.55</v>
      </c>
      <c r="Q104" s="32" t="n">
        <v>10487.9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-10.55</v>
      </c>
      <c r="U104" s="32" t="n">
        <v>72.98</v>
      </c>
      <c r="V104" s="32" t="n">
        <v>93.38</v>
      </c>
      <c r="W104" s="32" t="n">
        <v>18.68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Between 0.7 to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IF(B105=0,"",RANK(B105,$B$2:$B$156,0))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NEOGEN</t>
        </is>
      </c>
      <c r="D105" s="31" t="inlineStr">
        <is>
          <t>Neogen Chemicals Ltd</t>
        </is>
      </c>
      <c r="E105" s="31" t="inlineStr">
        <is>
          <t>chemicals</t>
        </is>
      </c>
      <c r="F105" s="31" t="inlineStr">
        <is>
          <t>chemicals</t>
        </is>
      </c>
      <c r="G105" s="31" t="inlineStr">
        <is>
          <t>midcap</t>
        </is>
      </c>
      <c r="H105" s="32" t="n">
        <v>8075.1</v>
      </c>
      <c r="I105" s="32" t="n">
        <v>2507.6</v>
      </c>
      <c r="J105" s="32" t="n">
        <v>-6.71</v>
      </c>
      <c r="K105" s="32" t="n">
        <v>234769</v>
      </c>
      <c r="L105" s="31" t="n">
        <v>51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69.41</v>
      </c>
      <c r="P105" s="32" t="n">
        <v>60.27</v>
      </c>
      <c r="Q105" s="32" t="n">
        <v>1870.27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-10.55</v>
      </c>
      <c r="U105" s="32" t="n">
        <v>71.86</v>
      </c>
      <c r="V105" s="32" t="n">
        <v>92.13</v>
      </c>
      <c r="W105" s="32" t="n">
        <v>15.9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More than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IF(B106=0,"",RANK(B106,$B$2:$B$156,0))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NINSYS</t>
        </is>
      </c>
      <c r="D106" s="31" t="inlineStr">
        <is>
          <t>NINtec Systems Ltd</t>
        </is>
      </c>
      <c r="E106" s="31" t="inlineStr">
        <is>
          <t>i.t</t>
        </is>
      </c>
      <c r="F106" s="31" t="inlineStr">
        <is>
          <t>computers - software - medium / small</t>
        </is>
      </c>
      <c r="G106" s="31" t="inlineStr">
        <is>
          <t>smallcap</t>
        </is>
      </c>
      <c r="H106" s="32" t="n">
        <v>1523.88</v>
      </c>
      <c r="I106" s="32" t="n">
        <v>826.3</v>
      </c>
      <c r="J106" s="32" t="n">
        <v>0.73</v>
      </c>
      <c r="K106" s="32" t="n">
        <v>5867</v>
      </c>
      <c r="L106" s="31" t="n">
        <v>57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68.70999999999999</v>
      </c>
      <c r="P106" s="32" t="n">
        <v>36.24</v>
      </c>
      <c r="Q106" s="32" t="n">
        <v>693.75</v>
      </c>
      <c r="R106" s="31" t="inlineStr">
        <is>
          <t>Earnings / Momentum Support</t>
        </is>
      </c>
      <c r="S106" s="31" t="inlineStr">
        <is>
          <t>Nifty IT</t>
        </is>
      </c>
      <c r="T106" s="32" t="n">
        <v>-12.11</v>
      </c>
      <c r="U106" s="32" t="n">
        <v>87.75</v>
      </c>
      <c r="V106" s="32" t="n">
        <v>113.61</v>
      </c>
      <c r="W106" s="32" t="n">
        <v>17.58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IF(B107=0,"",RANK(B107,$B$2:$B$156,0))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MUKKA</t>
        </is>
      </c>
      <c r="D107" s="31" t="inlineStr">
        <is>
          <t>Mukka Proteins Ltd</t>
        </is>
      </c>
      <c r="E107" s="31" t="inlineStr">
        <is>
          <t>fmcg</t>
        </is>
      </c>
      <c r="F107" s="31" t="inlineStr">
        <is>
          <t>food - processing - indian</t>
        </is>
      </c>
      <c r="G107" s="31" t="inlineStr">
        <is>
          <t>smallcap</t>
        </is>
      </c>
      <c r="H107" s="32" t="n">
        <v>864.3</v>
      </c>
      <c r="I107" s="32" t="n">
        <v>28.86</v>
      </c>
      <c r="J107" s="32" t="n">
        <v>0.17</v>
      </c>
      <c r="K107" s="32" t="n">
        <v>652123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58.44</v>
      </c>
      <c r="P107" s="32" t="n">
        <v>21.3</v>
      </c>
      <c r="Q107" s="32" t="n">
        <v>23.33</v>
      </c>
      <c r="R107" s="31" t="inlineStr">
        <is>
          <t>Earnings / Momentum Support</t>
        </is>
      </c>
      <c r="S107" s="31" t="inlineStr">
        <is>
          <t>Nifty FMCG</t>
        </is>
      </c>
      <c r="T107" s="32" t="inlineStr"/>
      <c r="U107" s="32" t="inlineStr"/>
      <c r="V107" s="32" t="inlineStr"/>
      <c r="W107" s="32" t="inlineStr"/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B2C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More than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IF(B108=0,"",RANK(B108,$B$2:$B$156,0))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PVRINOX</t>
        </is>
      </c>
      <c r="D108" s="31" t="inlineStr">
        <is>
          <t>PVR Inox Ltd</t>
        </is>
      </c>
      <c r="E108" s="31" t="inlineStr">
        <is>
          <t>media</t>
        </is>
      </c>
      <c r="F108" s="31" t="inlineStr">
        <is>
          <t>entertainment / electronic media software</t>
        </is>
      </c>
      <c r="G108" s="31" t="inlineStr">
        <is>
          <t>midcap</t>
        </is>
      </c>
      <c r="H108" s="32" t="n">
        <v>13275.69</v>
      </c>
      <c r="I108" s="32" t="n">
        <v>1381.9</v>
      </c>
      <c r="J108" s="32" t="n">
        <v>0.07000000000000001</v>
      </c>
      <c r="K108" s="32" t="n">
        <v>264329</v>
      </c>
      <c r="L108" s="31" t="n">
        <v>46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72.05</v>
      </c>
      <c r="P108" s="32" t="n">
        <v>37.1</v>
      </c>
      <c r="Q108" s="32" t="n">
        <v>1126.9</v>
      </c>
      <c r="R108" s="31" t="inlineStr">
        <is>
          <t>Near 52W High Breakout</t>
        </is>
      </c>
      <c r="S108" s="31" t="inlineStr">
        <is>
          <t>Nifty IT</t>
        </is>
      </c>
      <c r="T108" s="32" t="n">
        <v>-12.11</v>
      </c>
      <c r="U108" s="32" t="n">
        <v>26.48</v>
      </c>
      <c r="V108" s="32" t="n">
        <v>43.9</v>
      </c>
      <c r="W108" s="32" t="n">
        <v>13.69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IF(B109=0,"",RANK(B109,$B$2:$B$156,0))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BAJAJHIND</t>
        </is>
      </c>
      <c r="D109" s="31" t="inlineStr">
        <is>
          <t>Bajaj Hindusthan Sugar Limited</t>
        </is>
      </c>
      <c r="E109" s="31" t="inlineStr">
        <is>
          <t>fmcg</t>
        </is>
      </c>
      <c r="F109" s="31" t="inlineStr">
        <is>
          <t>sugar</t>
        </is>
      </c>
      <c r="G109" s="31" t="inlineStr">
        <is>
          <t>midcap</t>
        </is>
      </c>
      <c r="H109" s="32" t="n">
        <v>5273.81</v>
      </c>
      <c r="I109" s="32" t="n">
        <v>21.45</v>
      </c>
      <c r="J109" s="32" t="n">
        <v>-2.77</v>
      </c>
      <c r="K109" s="32" t="n">
        <v>13767923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57.25</v>
      </c>
      <c r="P109" s="32" t="n">
        <v>27.42</v>
      </c>
      <c r="Q109" s="32" t="n">
        <v>16.76</v>
      </c>
      <c r="R109" s="31" t="inlineStr">
        <is>
          <t>Earnings / Momentum Support</t>
        </is>
      </c>
      <c r="S109" s="31" t="inlineStr">
        <is>
          <t>Nifty FMCG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B2C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IF(B110=0,"",RANK(B110,$B$2:$B$156,0))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VHLTD</t>
        </is>
      </c>
      <c r="D110" s="31" t="inlineStr">
        <is>
          <t>Viceroy Hotels Ltd</t>
        </is>
      </c>
      <c r="E110" s="31" t="inlineStr">
        <is>
          <t>services</t>
        </is>
      </c>
      <c r="F110" s="31" t="inlineStr">
        <is>
          <t>hotels</t>
        </is>
      </c>
      <c r="G110" s="31" t="inlineStr">
        <is>
          <t>smallcap</t>
        </is>
      </c>
      <c r="H110" s="32" t="n">
        <v>1168.7</v>
      </c>
      <c r="I110" s="32" t="n">
        <v>155.93</v>
      </c>
      <c r="J110" s="32" t="n">
        <v>2.44</v>
      </c>
      <c r="K110" s="32" t="n">
        <v>35311</v>
      </c>
      <c r="L110" s="31" t="n">
        <v>31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68.84999999999999</v>
      </c>
      <c r="P110" s="32" t="n">
        <v>19.64</v>
      </c>
      <c r="Q110" s="32" t="n">
        <v>122.16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-10.55</v>
      </c>
      <c r="U110" s="32" t="n">
        <v>22.58</v>
      </c>
      <c r="V110" s="32" t="n">
        <v>37.03</v>
      </c>
      <c r="W110" s="32" t="n">
        <v>8.42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0 to 20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Between 0.7 to 1.2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IF(B111=0,"",RANK(B111,$B$2:$B$156,0))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MBAPL</t>
        </is>
      </c>
      <c r="D111" s="31" t="inlineStr">
        <is>
          <t>Madhya Bharat Agro Products Ltd</t>
        </is>
      </c>
      <c r="E111" s="31" t="inlineStr">
        <is>
          <t>chemicals</t>
        </is>
      </c>
      <c r="F111" s="31" t="inlineStr">
        <is>
          <t>fertilizers</t>
        </is>
      </c>
      <c r="G111" s="31" t="inlineStr">
        <is>
          <t>midcap</t>
        </is>
      </c>
      <c r="H111" s="32" t="n">
        <v>7746.89</v>
      </c>
      <c r="I111" s="32" t="n">
        <v>170.78</v>
      </c>
      <c r="J111" s="32" t="n">
        <v>1.16</v>
      </c>
      <c r="K111" s="32" t="n">
        <v>1135388</v>
      </c>
      <c r="L111" s="31" t="n">
        <v>63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74.48999999999999</v>
      </c>
      <c r="P111" s="32" t="n">
        <v>70.14</v>
      </c>
      <c r="Q111" s="32" t="n">
        <v>135.79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-10.55</v>
      </c>
      <c r="U111" s="32" t="n">
        <v>90.88</v>
      </c>
      <c r="V111" s="32" t="n">
        <v>113.39</v>
      </c>
      <c r="W111" s="32" t="n">
        <v>20.36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Between 12 to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More than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IF(B112=0,"",RANK(B112,$B$2:$B$156,0))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FINEORG</t>
        </is>
      </c>
      <c r="D112" s="31" t="inlineStr">
        <is>
          <t>Fine Organic Industries Ltd</t>
        </is>
      </c>
      <c r="E112" s="31" t="inlineStr">
        <is>
          <t>chemicals</t>
        </is>
      </c>
      <c r="F112" s="31" t="inlineStr">
        <is>
          <t>chemicals</t>
        </is>
      </c>
      <c r="G112" s="31" t="inlineStr">
        <is>
          <t>midcap</t>
        </is>
      </c>
      <c r="H112" s="32" t="n">
        <v>16908.98</v>
      </c>
      <c r="I112" s="32" t="n">
        <v>5402.5</v>
      </c>
      <c r="J112" s="32" t="n">
        <v>-2.04</v>
      </c>
      <c r="K112" s="32" t="n">
        <v>19733</v>
      </c>
      <c r="L112" s="31" t="n">
        <v>24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63.27</v>
      </c>
      <c r="P112" s="32" t="n">
        <v>17.05</v>
      </c>
      <c r="Q112" s="32" t="n">
        <v>4470.27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-10.55</v>
      </c>
      <c r="U112" s="32" t="n">
        <v>19.78</v>
      </c>
      <c r="V112" s="32" t="n">
        <v>33.9</v>
      </c>
      <c r="W112" s="32" t="n">
        <v>5.49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0 to 20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Between 12 to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IF(B113=0,"",RANK(B113,$B$2:$B$156,0))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ONWARDTEC</t>
        </is>
      </c>
      <c r="D113" s="31" t="inlineStr">
        <is>
          <t>Onward Technologies Limited</t>
        </is>
      </c>
      <c r="E113" s="31" t="inlineStr">
        <is>
          <t>i.t</t>
        </is>
      </c>
      <c r="F113" s="31" t="inlineStr">
        <is>
          <t>computers - software - medium / small</t>
        </is>
      </c>
      <c r="G113" s="31" t="inlineStr">
        <is>
          <t>smallcap</t>
        </is>
      </c>
      <c r="H113" s="32" t="n">
        <v>799.75</v>
      </c>
      <c r="I113" s="32" t="n">
        <v>356.2</v>
      </c>
      <c r="J113" s="32" t="n">
        <v>-0.9</v>
      </c>
      <c r="K113" s="32" t="n">
        <v>163298</v>
      </c>
      <c r="L113" s="31" t="n">
        <v>37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77.12</v>
      </c>
      <c r="P113" s="32" t="n">
        <v>22.05</v>
      </c>
      <c r="Q113" s="32" t="n">
        <v>280.7</v>
      </c>
      <c r="R113" s="31" t="inlineStr">
        <is>
          <t>Volume Spike &amp; Near 52W High Breakout</t>
        </is>
      </c>
      <c r="S113" s="31" t="inlineStr">
        <is>
          <t>Nifty IT</t>
        </is>
      </c>
      <c r="T113" s="32" t="n">
        <v>-12.11</v>
      </c>
      <c r="U113" s="32" t="n">
        <v>19.51</v>
      </c>
      <c r="V113" s="32" t="n">
        <v>35.97</v>
      </c>
      <c r="W113" s="32" t="n">
        <v>9.77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Above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Less than 12%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IF(B114=0,"",RANK(B114,$B$2:$B$156,0))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SEJALLTD</t>
        </is>
      </c>
      <c r="D114" s="31" t="inlineStr">
        <is>
          <t>Sejal Glass Ltd</t>
        </is>
      </c>
      <c r="E114" s="31" t="inlineStr">
        <is>
          <t>building materials</t>
        </is>
      </c>
      <c r="F114" s="31" t="inlineStr">
        <is>
          <t>glass &amp; glass products</t>
        </is>
      </c>
      <c r="G114" s="31" t="inlineStr">
        <is>
          <t>smallcap</t>
        </is>
      </c>
      <c r="H114" s="32" t="n">
        <v>998.64</v>
      </c>
      <c r="I114" s="32" t="n">
        <v>966.15</v>
      </c>
      <c r="J114" s="32" t="n">
        <v>10.29</v>
      </c>
      <c r="K114" s="32" t="n">
        <v>951136</v>
      </c>
      <c r="L114" s="31" t="inlineStr"/>
      <c r="M114" s="31" t="inlineStr"/>
      <c r="N114" s="32">
        <f>IF(M114="Underperforming",-5,IF(L114&gt;=95,15,IF(L114&gt;=90,10,IF(L114&gt;=80,5,0))))</f>
        <v/>
      </c>
      <c r="O114" s="32" t="n">
        <v>67.54000000000001</v>
      </c>
      <c r="P114" s="32" t="n">
        <v>9.98</v>
      </c>
      <c r="Q114" s="32" t="n">
        <v>662.92</v>
      </c>
      <c r="R114" s="31" t="inlineStr">
        <is>
          <t>Volume Spike &amp; Near 52W High Breakout</t>
        </is>
      </c>
      <c r="S114" s="31" t="inlineStr">
        <is>
          <t>Nifty Infra</t>
        </is>
      </c>
      <c r="T114" s="32" t="inlineStr"/>
      <c r="U114" s="32" t="inlineStr"/>
      <c r="V114" s="32" t="inlineStr"/>
      <c r="W114" s="32" t="inlineStr"/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0 to 20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More than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IF(B115=0,"",RANK(B115,$B$2:$B$156,0))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INDHOTEL</t>
        </is>
      </c>
      <c r="D115" s="31" t="inlineStr">
        <is>
          <t>The Indian Hotels Company Limited</t>
        </is>
      </c>
      <c r="E115" s="31" t="inlineStr">
        <is>
          <t>services</t>
        </is>
      </c>
      <c r="F115" s="31" t="inlineStr">
        <is>
          <t>hotels</t>
        </is>
      </c>
      <c r="G115" s="31" t="inlineStr">
        <is>
          <t>largecap</t>
        </is>
      </c>
      <c r="H115" s="32" t="n">
        <v>103255.77</v>
      </c>
      <c r="I115" s="32" t="n">
        <v>741.45</v>
      </c>
      <c r="J115" s="32" t="n">
        <v>2.21</v>
      </c>
      <c r="K115" s="32" t="n">
        <v>5011978</v>
      </c>
      <c r="L115" s="31" t="n">
        <v>8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58.85</v>
      </c>
      <c r="P115" s="32" t="n">
        <v>11.45</v>
      </c>
      <c r="Q115" s="32" t="n">
        <v>640.85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-10.55</v>
      </c>
      <c r="U115" s="32" t="n">
        <v>1.27</v>
      </c>
      <c r="V115" s="32" t="n">
        <v>13.22</v>
      </c>
      <c r="W115" s="32" t="n">
        <v>0.8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0 to 20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IF(B116=0,"",RANK(B116,$B$2:$B$156,0))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UDS</t>
        </is>
      </c>
      <c r="D116" s="31" t="inlineStr">
        <is>
          <t>Updater Services Ltd</t>
        </is>
      </c>
      <c r="E116" s="31" t="inlineStr">
        <is>
          <t>miscellaneous</t>
        </is>
      </c>
      <c r="F116" s="31" t="inlineStr">
        <is>
          <t>miscellaneous</t>
        </is>
      </c>
      <c r="G116" s="31" t="inlineStr">
        <is>
          <t>smallcap</t>
        </is>
      </c>
      <c r="H116" s="32" t="n">
        <v>1442.11</v>
      </c>
      <c r="I116" s="32" t="n">
        <v>219.42</v>
      </c>
      <c r="J116" s="32" t="n">
        <v>1.87</v>
      </c>
      <c r="K116" s="32" t="n">
        <v>464479</v>
      </c>
      <c r="L116" s="31" t="n">
        <v>18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57.85</v>
      </c>
      <c r="P116" s="32" t="n">
        <v>36.8</v>
      </c>
      <c r="Q116" s="32" t="n">
        <v>182.34</v>
      </c>
      <c r="R116" s="31" t="inlineStr">
        <is>
          <t>Earnings / Momentum Support</t>
        </is>
      </c>
      <c r="S116" s="31" t="inlineStr">
        <is>
          <t>Nifty 50</t>
        </is>
      </c>
      <c r="T116" s="32" t="n">
        <v>-10.55</v>
      </c>
      <c r="U116" s="32" t="n">
        <v>-0.49</v>
      </c>
      <c r="V116" s="32" t="n">
        <v>11.25</v>
      </c>
      <c r="W116" s="32" t="n">
        <v>3.85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IF(B117=0,"",RANK(B117,$B$2:$B$156,0))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SANATHAN</t>
        </is>
      </c>
      <c r="D117" s="31" t="inlineStr">
        <is>
          <t>Sanathan Textiles Ltd</t>
        </is>
      </c>
      <c r="E117" s="31" t="inlineStr">
        <is>
          <t>textiles</t>
        </is>
      </c>
      <c r="F117" s="31" t="inlineStr">
        <is>
          <t>textiles - cotton/blended</t>
        </is>
      </c>
      <c r="G117" s="31" t="inlineStr">
        <is>
          <t>smallcap</t>
        </is>
      </c>
      <c r="H117" s="32" t="n">
        <v>4626.61</v>
      </c>
      <c r="I117" s="32" t="n">
        <v>546.7</v>
      </c>
      <c r="J117" s="32" t="n">
        <v>-0.26</v>
      </c>
      <c r="K117" s="32" t="n">
        <v>231626</v>
      </c>
      <c r="L117" s="31" t="n">
        <v>29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70.11</v>
      </c>
      <c r="P117" s="32" t="n">
        <v>25.83</v>
      </c>
      <c r="Q117" s="32" t="n">
        <v>421.69</v>
      </c>
      <c r="R117" s="31" t="inlineStr">
        <is>
          <t>Volume Spike &amp; Near 52W High Breakout</t>
        </is>
      </c>
      <c r="S117" s="31" t="inlineStr">
        <is>
          <t>Nifty 50</t>
        </is>
      </c>
      <c r="T117" s="32" t="n">
        <v>-10.55</v>
      </c>
      <c r="U117" s="32" t="n">
        <v>10.66</v>
      </c>
      <c r="V117" s="32" t="n">
        <v>23.71</v>
      </c>
      <c r="W117" s="32" t="n">
        <v>7.53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Less than 12%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Between 0.7 to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IF(B118=0,"",RANK(B118,$B$2:$B$156,0))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GOODLUCK</t>
        </is>
      </c>
      <c r="D118" s="31" t="inlineStr">
        <is>
          <t>Goodluck India Limited</t>
        </is>
      </c>
      <c r="E118" s="31" t="inlineStr">
        <is>
          <t>metals &amp; mining</t>
        </is>
      </c>
      <c r="F118" s="31" t="inlineStr">
        <is>
          <t>steel - medium / small</t>
        </is>
      </c>
      <c r="G118" s="31" t="inlineStr">
        <is>
          <t>midcap</t>
        </is>
      </c>
      <c r="H118" s="32" t="n">
        <v>5947.03</v>
      </c>
      <c r="I118" s="32" t="n">
        <v>577.2</v>
      </c>
      <c r="J118" s="32" t="n">
        <v>-3.22</v>
      </c>
      <c r="K118" s="32" t="n">
        <v>2045591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65.05</v>
      </c>
      <c r="P118" s="32" t="n">
        <v>30.54</v>
      </c>
      <c r="Q118" s="32" t="n">
        <v>420.24</v>
      </c>
      <c r="R118" s="31" t="inlineStr">
        <is>
          <t>Volume Spike &amp; Near 52W High Breakout</t>
        </is>
      </c>
      <c r="S118" s="31" t="inlineStr">
        <is>
          <t>Nifty Metal</t>
        </is>
      </c>
      <c r="T118" s="32" t="inlineStr"/>
      <c r="U118" s="32" t="inlineStr"/>
      <c r="V118" s="32" t="inlineStr"/>
      <c r="W118" s="32" t="inlineStr"/>
      <c r="X118" s="31" t="inlineStr">
        <is>
          <t>Cyclical in an Upturn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Cyclical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Volatile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IF(B119=0,"",RANK(B119,$B$2:$B$156,0))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LOKESHMACH</t>
        </is>
      </c>
      <c r="D119" s="31" t="inlineStr">
        <is>
          <t>Lokesh Machines Limited</t>
        </is>
      </c>
      <c r="E119" s="31" t="inlineStr">
        <is>
          <t>industrials</t>
        </is>
      </c>
      <c r="F119" s="31" t="inlineStr">
        <is>
          <t>engineering</t>
        </is>
      </c>
      <c r="G119" s="31" t="inlineStr">
        <is>
          <t>smallcap</t>
        </is>
      </c>
      <c r="H119" s="32" t="n">
        <v>971.8099999999999</v>
      </c>
      <c r="I119" s="32" t="n">
        <v>425.85</v>
      </c>
      <c r="J119" s="32" t="n">
        <v>-4.49</v>
      </c>
      <c r="K119" s="32" t="n">
        <v>112143</v>
      </c>
      <c r="L119" s="31" t="n">
        <v>69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70.42</v>
      </c>
      <c r="P119" s="32" t="n">
        <v>40.01</v>
      </c>
      <c r="Q119" s="32" t="n">
        <v>330.88</v>
      </c>
      <c r="R119" s="31" t="inlineStr">
        <is>
          <t>Earnings / Momentum Support</t>
        </is>
      </c>
      <c r="S119" s="31" t="inlineStr">
        <is>
          <t>Nifty 50</t>
        </is>
      </c>
      <c r="T119" s="32" t="n">
        <v>-10.55</v>
      </c>
      <c r="U119" s="32" t="n">
        <v>131.38</v>
      </c>
      <c r="V119" s="32" t="n">
        <v>158.67</v>
      </c>
      <c r="W119" s="32" t="n">
        <v>25.2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Between 0.7 to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IF(B120=0,"",RANK(B120,$B$2:$B$156,0))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APOLLO</t>
        </is>
      </c>
      <c r="D120" s="31" t="inlineStr">
        <is>
          <t>Apollo Micro Systems Ltd</t>
        </is>
      </c>
      <c r="E120" s="31" t="inlineStr">
        <is>
          <t>aerospace &amp; defence</t>
        </is>
      </c>
      <c r="F120" s="31" t="inlineStr">
        <is>
          <t>electronics - components</t>
        </is>
      </c>
      <c r="G120" s="31" t="inlineStr">
        <is>
          <t>midcap</t>
        </is>
      </c>
      <c r="H120" s="32" t="n">
        <v>15670.35</v>
      </c>
      <c r="I120" s="32" t="n">
        <v>417.1</v>
      </c>
      <c r="J120" s="32" t="n">
        <v>-1.09</v>
      </c>
      <c r="K120" s="32" t="n">
        <v>8069949</v>
      </c>
      <c r="L120" s="31" t="n">
        <v>37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59.15</v>
      </c>
      <c r="P120" s="32" t="n">
        <v>28.64</v>
      </c>
      <c r="Q120" s="32" t="n">
        <v>310.05</v>
      </c>
      <c r="R120" s="31" t="inlineStr">
        <is>
          <t>Earnings / Momentum Support</t>
        </is>
      </c>
      <c r="S120" s="31" t="inlineStr">
        <is>
          <t>Nifty 50</t>
        </is>
      </c>
      <c r="T120" s="32" t="n">
        <v>-10.55</v>
      </c>
      <c r="U120" s="32" t="n">
        <v>42.13</v>
      </c>
      <c r="V120" s="32" t="n">
        <v>58.89</v>
      </c>
      <c r="W120" s="32" t="n">
        <v>9.85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Oligopoly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Cyclical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B2C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Fully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Yes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Between 1.5 to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IF(B121=0,"",RANK(B121,$B$2:$B$156,0))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CCL</t>
        </is>
      </c>
      <c r="D121" s="31" t="inlineStr">
        <is>
          <t>Ccl Products (india) Limited</t>
        </is>
      </c>
      <c r="E121" s="31" t="inlineStr">
        <is>
          <t>fmcg</t>
        </is>
      </c>
      <c r="F121" s="31" t="inlineStr">
        <is>
          <t>tea</t>
        </is>
      </c>
      <c r="G121" s="31" t="inlineStr">
        <is>
          <t>midcap</t>
        </is>
      </c>
      <c r="H121" s="32" t="n">
        <v>14696.08</v>
      </c>
      <c r="I121" s="32" t="n">
        <v>1085.4</v>
      </c>
      <c r="J121" s="32" t="n">
        <v>-1.38</v>
      </c>
      <c r="K121" s="32" t="n">
        <v>137667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50.04</v>
      </c>
      <c r="P121" s="32" t="n">
        <v>23.6</v>
      </c>
      <c r="Q121" s="32" t="n">
        <v>989.87</v>
      </c>
      <c r="R121" s="31" t="inlineStr">
        <is>
          <t>Earnings / Momentum Support</t>
        </is>
      </c>
      <c r="S121" s="31" t="inlineStr">
        <is>
          <t>Nifty FMCG</t>
        </is>
      </c>
      <c r="T121" s="32" t="inlineStr"/>
      <c r="U121" s="32" t="inlineStr"/>
      <c r="V121" s="32" t="inlineStr"/>
      <c r="W121" s="32" t="inlineStr"/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B2C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1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IF(B122=0,"",RANK(B122,$B$2:$B$156,0))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ORIENTELEC</t>
        </is>
      </c>
      <c r="D122" s="31" t="inlineStr">
        <is>
          <t>Orient Electric Ltd</t>
        </is>
      </c>
      <c r="E122" s="31" t="inlineStr">
        <is>
          <t>consumer discretionary</t>
        </is>
      </c>
      <c r="F122" s="31" t="inlineStr">
        <is>
          <t>domestic appliances</t>
        </is>
      </c>
      <c r="G122" s="31" t="inlineStr">
        <is>
          <t>smallcap</t>
        </is>
      </c>
      <c r="H122" s="32" t="n">
        <v>3709.58</v>
      </c>
      <c r="I122" s="32" t="n">
        <v>197.14</v>
      </c>
      <c r="J122" s="32" t="n">
        <v>13.39</v>
      </c>
      <c r="K122" s="32" t="n">
        <v>10829446</v>
      </c>
      <c r="L122" s="31" t="n">
        <v>14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60.52</v>
      </c>
      <c r="P122" s="32" t="n">
        <v>15.93</v>
      </c>
      <c r="Q122" s="32" t="n">
        <v>153.81</v>
      </c>
      <c r="R122" s="31" t="inlineStr">
        <is>
          <t>Volume Spike / Accumulation</t>
        </is>
      </c>
      <c r="S122" s="31" t="inlineStr">
        <is>
          <t>Nifty 50</t>
        </is>
      </c>
      <c r="T122" s="32" t="n">
        <v>-10.55</v>
      </c>
      <c r="U122" s="32" t="n">
        <v>-3.48</v>
      </c>
      <c r="V122" s="32" t="n">
        <v>7.9</v>
      </c>
      <c r="W122" s="32" t="n">
        <v>2.63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0 to 20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1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IF(B123=0,"",RANK(B123,$B$2:$B$156,0))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GLOBAL</t>
        </is>
      </c>
      <c r="D123" s="31" t="inlineStr">
        <is>
          <t>Global Education Ltd</t>
        </is>
      </c>
      <c r="E123" s="31" t="inlineStr">
        <is>
          <t>services</t>
        </is>
      </c>
      <c r="F123" s="31" t="inlineStr">
        <is>
          <t>miscellaneous</t>
        </is>
      </c>
      <c r="G123" s="31" t="inlineStr">
        <is>
          <t>smallcap</t>
        </is>
      </c>
      <c r="H123" s="32" t="n">
        <v>733.95</v>
      </c>
      <c r="I123" s="32" t="n">
        <v>144.5</v>
      </c>
      <c r="J123" s="32" t="n">
        <v>0.22</v>
      </c>
      <c r="K123" s="32" t="n">
        <v>130023</v>
      </c>
      <c r="L123" s="31" t="n">
        <v>77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79.03</v>
      </c>
      <c r="P123" s="32" t="n">
        <v>33.82</v>
      </c>
      <c r="Q123" s="32" t="n">
        <v>113.47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-10.55</v>
      </c>
      <c r="U123" s="32" t="n">
        <v>139.38</v>
      </c>
      <c r="V123" s="32" t="n">
        <v>167.61</v>
      </c>
      <c r="W123" s="32" t="n">
        <v>29.68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IF(B124=0,"",RANK(B124,$B$2:$B$156,0))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SBC</t>
        </is>
      </c>
      <c r="D124" s="31" t="inlineStr">
        <is>
          <t>SBC Exports Ltd</t>
        </is>
      </c>
      <c r="E124" s="31" t="inlineStr">
        <is>
          <t>textiles</t>
        </is>
      </c>
      <c r="F124" s="31" t="inlineStr">
        <is>
          <t>textiles - products</t>
        </is>
      </c>
      <c r="G124" s="31" t="inlineStr">
        <is>
          <t>smallcap</t>
        </is>
      </c>
      <c r="H124" s="32" t="n">
        <v>3052.85</v>
      </c>
      <c r="I124" s="32" t="n">
        <v>64.20999999999999</v>
      </c>
      <c r="J124" s="32" t="n">
        <v>0.16</v>
      </c>
      <c r="K124" s="32" t="n">
        <v>19922396</v>
      </c>
      <c r="L124" s="31" t="n">
        <v>84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87.48999999999999</v>
      </c>
      <c r="P124" s="32" t="n">
        <v>32.85</v>
      </c>
      <c r="Q124" s="32" t="n">
        <v>53.03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-10.55</v>
      </c>
      <c r="U124" s="32" t="n">
        <v>175.93</v>
      </c>
      <c r="V124" s="32" t="n">
        <v>208.48</v>
      </c>
      <c r="W124" s="32" t="n">
        <v>34.05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More than 1.2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IF(B125=0,"",RANK(B125,$B$2:$B$156,0))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PREMEXPLN</t>
        </is>
      </c>
      <c r="D125" s="31" t="inlineStr">
        <is>
          <t>Premier Explosives Limited</t>
        </is>
      </c>
      <c r="E125" s="31" t="inlineStr">
        <is>
          <t>aerospace &amp; defence</t>
        </is>
      </c>
      <c r="F125" s="31" t="inlineStr">
        <is>
          <t>chemicals</t>
        </is>
      </c>
      <c r="G125" s="31" t="inlineStr">
        <is>
          <t>smallcap</t>
        </is>
      </c>
      <c r="H125" s="32" t="n">
        <v>3710.33</v>
      </c>
      <c r="I125" s="32" t="n">
        <v>690.6</v>
      </c>
      <c r="J125" s="32" t="n">
        <v>0.07000000000000001</v>
      </c>
      <c r="K125" s="32" t="n">
        <v>388785</v>
      </c>
      <c r="L125" s="31" t="n">
        <v>20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59.56</v>
      </c>
      <c r="P125" s="32" t="n">
        <v>30.82</v>
      </c>
      <c r="Q125" s="32" t="n">
        <v>570.46</v>
      </c>
      <c r="R125" s="31" t="inlineStr">
        <is>
          <t>Earnings / Momentum Support</t>
        </is>
      </c>
      <c r="S125" s="31" t="inlineStr">
        <is>
          <t>Nifty 50</t>
        </is>
      </c>
      <c r="T125" s="32" t="n">
        <v>-10.55</v>
      </c>
      <c r="U125" s="32" t="n">
        <v>11.94</v>
      </c>
      <c r="V125" s="32" t="n">
        <v>25.14</v>
      </c>
      <c r="W125" s="32" t="n">
        <v>4.34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IF(B126=0,"",RANK(B126,$B$2:$B$156,0))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MANAKSTEEL</t>
        </is>
      </c>
      <c r="D126" s="31" t="inlineStr">
        <is>
          <t>Manaksia Steels Limited</t>
        </is>
      </c>
      <c r="E126" s="31" t="inlineStr">
        <is>
          <t>metals &amp; mining</t>
        </is>
      </c>
      <c r="F126" s="31" t="inlineStr">
        <is>
          <t>steel - medium / small</t>
        </is>
      </c>
      <c r="G126" s="31" t="inlineStr">
        <is>
          <t>smallcap</t>
        </is>
      </c>
      <c r="H126" s="32" t="n">
        <v>722.3200000000001</v>
      </c>
      <c r="I126" s="32" t="n">
        <v>110.28</v>
      </c>
      <c r="J126" s="32" t="n">
        <v>0.05</v>
      </c>
      <c r="K126" s="32" t="n">
        <v>23973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68.73</v>
      </c>
      <c r="P126" s="32" t="n">
        <v>49.22</v>
      </c>
      <c r="Q126" s="32" t="n">
        <v>87</v>
      </c>
      <c r="R126" s="31" t="inlineStr">
        <is>
          <t>Earnings / Momentum Support</t>
        </is>
      </c>
      <c r="S126" s="31" t="inlineStr">
        <is>
          <t>Nifty Metal</t>
        </is>
      </c>
      <c r="T126" s="32" t="inlineStr"/>
      <c r="U126" s="32" t="inlineStr"/>
      <c r="V126" s="32" t="inlineStr"/>
      <c r="W126" s="32" t="inlineStr"/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Cyclical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Volatile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IF(B127=0,"",RANK(B127,$B$2:$B$156,0))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ROSSTECH</t>
        </is>
      </c>
      <c r="D127" s="31" t="inlineStr">
        <is>
          <t>Rossell Techsys Ltd</t>
        </is>
      </c>
      <c r="E127" s="31" t="inlineStr">
        <is>
          <t>aerospace &amp; defence</t>
        </is>
      </c>
      <c r="F127" s="31" t="inlineStr">
        <is>
          <t>engineering</t>
        </is>
      </c>
      <c r="G127" s="31" t="inlineStr">
        <is>
          <t>midcap</t>
        </is>
      </c>
      <c r="H127" s="32" t="n">
        <v>5904.4</v>
      </c>
      <c r="I127" s="32" t="n">
        <v>1564.3</v>
      </c>
      <c r="J127" s="32" t="n">
        <v>-0.13</v>
      </c>
      <c r="K127" s="32" t="n">
        <v>110634</v>
      </c>
      <c r="L127" s="31" t="n">
        <v>83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80.83</v>
      </c>
      <c r="P127" s="32" t="n">
        <v>37.97</v>
      </c>
      <c r="Q127" s="32" t="n">
        <v>1175.23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-10.55</v>
      </c>
      <c r="U127" s="32" t="n">
        <v>137.81</v>
      </c>
      <c r="V127" s="32" t="n">
        <v>165.86</v>
      </c>
      <c r="W127" s="32" t="n">
        <v>33.69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More than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IF(B128=0,"",RANK(B128,$B$2:$B$156,0))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NPST</t>
        </is>
      </c>
      <c r="D128" s="31" t="inlineStr">
        <is>
          <t>Network People Services Technologies Ltd</t>
        </is>
      </c>
      <c r="E128" s="31" t="inlineStr">
        <is>
          <t>i.t</t>
        </is>
      </c>
      <c r="F128" s="31" t="inlineStr">
        <is>
          <t>computers - software - medium / small</t>
        </is>
      </c>
      <c r="G128" s="31" t="inlineStr">
        <is>
          <t>smallcap</t>
        </is>
      </c>
      <c r="H128" s="32" t="n">
        <v>3820.11</v>
      </c>
      <c r="I128" s="32" t="n">
        <v>1823.9</v>
      </c>
      <c r="J128" s="32" t="n">
        <v>-0.39</v>
      </c>
      <c r="K128" s="32" t="n">
        <v>20600</v>
      </c>
      <c r="L128" s="31" t="n">
        <v>19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62.9</v>
      </c>
      <c r="P128" s="32" t="n">
        <v>32.8</v>
      </c>
      <c r="Q128" s="32" t="n">
        <v>1274.22</v>
      </c>
      <c r="R128" s="31" t="inlineStr">
        <is>
          <t>Near 52W High Breakout</t>
        </is>
      </c>
      <c r="S128" s="31" t="inlineStr">
        <is>
          <t>Nifty IT</t>
        </is>
      </c>
      <c r="T128" s="32" t="n">
        <v>-12.11</v>
      </c>
      <c r="U128" s="32" t="n">
        <v>-3.44</v>
      </c>
      <c r="V128" s="32" t="n">
        <v>9.85</v>
      </c>
      <c r="W128" s="32" t="n">
        <v>4.04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Between 1.5 to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IF(B129=0,"",RANK(B129,$B$2:$B$156,0))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TIPSMUSIC</t>
        </is>
      </c>
      <c r="D129" s="31" t="inlineStr">
        <is>
          <t>Tips Music Ltd</t>
        </is>
      </c>
      <c r="E129" s="31" t="inlineStr">
        <is>
          <t>media</t>
        </is>
      </c>
      <c r="F129" s="31" t="inlineStr">
        <is>
          <t>entertainment / electronic media software</t>
        </is>
      </c>
      <c r="G129" s="31" t="inlineStr">
        <is>
          <t>midcap</t>
        </is>
      </c>
      <c r="H129" s="32" t="n">
        <v>9158.18</v>
      </c>
      <c r="I129" s="32" t="n">
        <v>684.4</v>
      </c>
      <c r="J129" s="32" t="n">
        <v>-4.71</v>
      </c>
      <c r="K129" s="32" t="n">
        <v>2027316</v>
      </c>
      <c r="L129" s="31" t="n">
        <v>27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57.29</v>
      </c>
      <c r="P129" s="32" t="n">
        <v>16.64</v>
      </c>
      <c r="Q129" s="32" t="n">
        <v>549.3</v>
      </c>
      <c r="R129" s="31" t="inlineStr">
        <is>
          <t>Volume Spike &amp; Near 52W High Breakout</t>
        </is>
      </c>
      <c r="S129" s="31" t="inlineStr">
        <is>
          <t>Nifty IT</t>
        </is>
      </c>
      <c r="T129" s="32" t="n">
        <v>-12.11</v>
      </c>
      <c r="U129" s="32" t="n">
        <v>35.88</v>
      </c>
      <c r="V129" s="32" t="n">
        <v>54.59</v>
      </c>
      <c r="W129" s="32" t="n">
        <v>6.93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IF(B130=0,"",RANK(B130,$B$2:$B$156,0))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INDIAGLYCO</t>
        </is>
      </c>
      <c r="D130" s="31" t="inlineStr">
        <is>
          <t>India Glycols Limited</t>
        </is>
      </c>
      <c r="E130" s="31" t="inlineStr">
        <is>
          <t>fmcg</t>
        </is>
      </c>
      <c r="F130" s="31" t="inlineStr">
        <is>
          <t>breweries &amp; distilleries</t>
        </is>
      </c>
      <c r="G130" s="31" t="inlineStr">
        <is>
          <t>smallcap</t>
        </is>
      </c>
      <c r="H130" s="32" t="n">
        <v>2344.93</v>
      </c>
      <c r="I130" s="32" t="n">
        <v>328.55</v>
      </c>
      <c r="J130" s="32" t="n">
        <v>-6.09</v>
      </c>
      <c r="K130" s="32" t="n">
        <v>654036</v>
      </c>
      <c r="L130" s="31" t="inlineStr"/>
      <c r="M130" s="31" t="inlineStr"/>
      <c r="N130" s="32">
        <f>IF(M130="Underperforming",-5,IF(L130&gt;=95,15,IF(L130&gt;=90,10,IF(L130&gt;=80,5,0))))</f>
        <v/>
      </c>
      <c r="O130" s="32" t="n">
        <v>28.96</v>
      </c>
      <c r="P130" s="32" t="n">
        <v>41.71</v>
      </c>
      <c r="Q130" s="32" t="n">
        <v>827.0599999999999</v>
      </c>
      <c r="R130" s="31" t="inlineStr">
        <is>
          <t>Volume Spike / Accumulation</t>
        </is>
      </c>
      <c r="S130" s="31" t="inlineStr">
        <is>
          <t>Nifty FMCG</t>
        </is>
      </c>
      <c r="T130" s="32" t="inlineStr"/>
      <c r="U130" s="32" t="inlineStr"/>
      <c r="V130" s="32" t="inlineStr"/>
      <c r="W130" s="32" t="inlineStr"/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B2C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Below 45</t>
        </is>
      </c>
      <c r="BA130" s="31">
        <f>IF(AZ130="Between 50 to 75",10,IF(AZ130="Above 75",0,0))</f>
        <v/>
      </c>
      <c r="BB130" s="31" t="inlineStr">
        <is>
          <t>Stage 4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No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Less than 1.5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IF(B131=0,"",RANK(B131,$B$2:$B$156,0))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HINDCOMPOS</t>
        </is>
      </c>
      <c r="D131" s="31" t="inlineStr">
        <is>
          <t>Hindustan Composites Limited</t>
        </is>
      </c>
      <c r="E131" s="31" t="inlineStr">
        <is>
          <t>miscellaneous</t>
        </is>
      </c>
      <c r="F131" s="31" t="inlineStr">
        <is>
          <t>diversified - medium / small</t>
        </is>
      </c>
      <c r="G131" s="31" t="inlineStr">
        <is>
          <t>smallcap</t>
        </is>
      </c>
      <c r="H131" s="32" t="n">
        <v>687.9400000000001</v>
      </c>
      <c r="I131" s="32" t="n">
        <v>478.2</v>
      </c>
      <c r="J131" s="32" t="n">
        <v>2.66</v>
      </c>
      <c r="K131" s="32" t="n">
        <v>147660</v>
      </c>
      <c r="L131" s="31" t="n">
        <v>14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64.20999999999999</v>
      </c>
      <c r="P131" s="32" t="n">
        <v>22.8</v>
      </c>
      <c r="Q131" s="32" t="n">
        <v>369.66</v>
      </c>
      <c r="R131" s="31" t="inlineStr">
        <is>
          <t>Volume Spike &amp; Near 52W High Breakout</t>
        </is>
      </c>
      <c r="S131" s="31" t="inlineStr">
        <is>
          <t>Nifty 50</t>
        </is>
      </c>
      <c r="T131" s="32" t="n">
        <v>-10.55</v>
      </c>
      <c r="U131" s="32" t="n">
        <v>0.98</v>
      </c>
      <c r="V131" s="32" t="n">
        <v>12.9</v>
      </c>
      <c r="W131" s="32" t="n">
        <v>2.71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1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Between 12 to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Between 1.5 to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IF(B132=0,"",RANK(B132,$B$2:$B$156,0))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YUKEN</t>
        </is>
      </c>
      <c r="D132" s="31" t="inlineStr">
        <is>
          <t>Yuken India Ltd</t>
        </is>
      </c>
      <c r="E132" s="31" t="inlineStr">
        <is>
          <t>industrials</t>
        </is>
      </c>
      <c r="F132" s="31" t="inlineStr">
        <is>
          <t>engineering</t>
        </is>
      </c>
      <c r="G132" s="31" t="inlineStr">
        <is>
          <t>smallcap</t>
        </is>
      </c>
      <c r="H132" s="32" t="n">
        <v>1539.61</v>
      </c>
      <c r="I132" s="32" t="n">
        <v>1138.5</v>
      </c>
      <c r="J132" s="32" t="n">
        <v>0.45</v>
      </c>
      <c r="K132" s="32" t="n">
        <v>10934</v>
      </c>
      <c r="L132" s="31" t="n">
        <v>56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71.91</v>
      </c>
      <c r="P132" s="32" t="n">
        <v>44.45</v>
      </c>
      <c r="Q132" s="32" t="n">
        <v>854.99</v>
      </c>
      <c r="R132" s="31" t="inlineStr">
        <is>
          <t>Near 52W High Breakout</t>
        </is>
      </c>
      <c r="S132" s="31" t="inlineStr">
        <is>
          <t>Nifty 50</t>
        </is>
      </c>
      <c r="T132" s="32" t="n">
        <v>-10.55</v>
      </c>
      <c r="U132" s="32" t="n">
        <v>22.76</v>
      </c>
      <c r="V132" s="32" t="n">
        <v>37.24</v>
      </c>
      <c r="W132" s="32" t="n">
        <v>17.38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IF(B133=0,"",RANK(B133,$B$2:$B$156,0))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SIMPLEXINF</t>
        </is>
      </c>
      <c r="D133" s="31" t="inlineStr">
        <is>
          <t>Simplex Infrastructures Limited</t>
        </is>
      </c>
      <c r="E133" s="31" t="inlineStr">
        <is>
          <t>realty</t>
        </is>
      </c>
      <c r="F133" s="31" t="inlineStr">
        <is>
          <t>construction</t>
        </is>
      </c>
      <c r="G133" s="31" t="inlineStr">
        <is>
          <t>smallcap</t>
        </is>
      </c>
      <c r="H133" s="32" t="n">
        <v>2108.76</v>
      </c>
      <c r="I133" s="32" t="n">
        <v>262.5</v>
      </c>
      <c r="J133" s="32" t="n">
        <v>-1.54</v>
      </c>
      <c r="K133" s="32" t="n">
        <v>85702</v>
      </c>
      <c r="L133" s="31" t="inlineStr"/>
      <c r="M133" s="31" t="inlineStr"/>
      <c r="N133" s="32">
        <f>IF(M133="Underperforming",-5,IF(L133&gt;=95,15,IF(L133&gt;=90,10,IF(L133&gt;=80,5,0))))</f>
        <v/>
      </c>
      <c r="O133" s="32" t="n">
        <v>55.13</v>
      </c>
      <c r="P133" s="32" t="n">
        <v>14.81</v>
      </c>
      <c r="Q133" s="32" t="n">
        <v>197.42</v>
      </c>
      <c r="R133" s="31" t="inlineStr">
        <is>
          <t>Volume Spike / Accumulation</t>
        </is>
      </c>
      <c r="S133" s="31" t="inlineStr">
        <is>
          <t>Nifty Realty</t>
        </is>
      </c>
      <c r="T133" s="32" t="inlineStr"/>
      <c r="U133" s="32" t="inlineStr"/>
      <c r="V133" s="32" t="inlineStr"/>
      <c r="W133" s="32" t="inlineStr"/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0 to 20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More than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IF(B134=0,"",RANK(B134,$B$2:$B$156,0))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GPTINFRA</t>
        </is>
      </c>
      <c r="D134" s="31" t="inlineStr">
        <is>
          <t>Gpt Infraprojects Limited</t>
        </is>
      </c>
      <c r="E134" s="31" t="inlineStr">
        <is>
          <t>realty</t>
        </is>
      </c>
      <c r="F134" s="31" t="inlineStr">
        <is>
          <t>construction</t>
        </is>
      </c>
      <c r="G134" s="31" t="inlineStr">
        <is>
          <t>smallcap</t>
        </is>
      </c>
      <c r="H134" s="32" t="n">
        <v>1581.2</v>
      </c>
      <c r="I134" s="32" t="n">
        <v>124.76</v>
      </c>
      <c r="J134" s="32" t="n">
        <v>-0.3</v>
      </c>
      <c r="K134" s="32" t="n">
        <v>225906</v>
      </c>
      <c r="L134" s="31" t="inlineStr"/>
      <c r="M134" s="31" t="inlineStr"/>
      <c r="N134" s="32">
        <f>IF(M134="Underperforming",-5,IF(L134&gt;=95,15,IF(L134&gt;=90,10,IF(L134&gt;=80,5,0))))</f>
        <v/>
      </c>
      <c r="O134" s="32" t="n">
        <v>59.72</v>
      </c>
      <c r="P134" s="32" t="n">
        <v>16.26</v>
      </c>
      <c r="Q134" s="32" t="n">
        <v>95.3</v>
      </c>
      <c r="R134" s="31" t="inlineStr">
        <is>
          <t>Earnings / Momentum Support</t>
        </is>
      </c>
      <c r="S134" s="31" t="inlineStr">
        <is>
          <t>Nifty Realty</t>
        </is>
      </c>
      <c r="T134" s="32" t="inlineStr"/>
      <c r="U134" s="32" t="inlineStr"/>
      <c r="V134" s="32" t="inlineStr"/>
      <c r="W134" s="32" t="inlineStr"/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Less than 12%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IF(B135=0,"",RANK(B135,$B$2:$B$156,0))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ARFIN</t>
        </is>
      </c>
      <c r="D135" s="31" t="inlineStr">
        <is>
          <t>Arfin India Ltd</t>
        </is>
      </c>
      <c r="E135" s="31" t="inlineStr">
        <is>
          <t>metals &amp; mining</t>
        </is>
      </c>
      <c r="F135" s="31" t="inlineStr">
        <is>
          <t>aluminium and aluminium products</t>
        </is>
      </c>
      <c r="G135" s="31" t="inlineStr">
        <is>
          <t>smallcap</t>
        </is>
      </c>
      <c r="H135" s="32" t="n">
        <v>1783.4</v>
      </c>
      <c r="I135" s="32" t="n">
        <v>104.11</v>
      </c>
      <c r="J135" s="32" t="n">
        <v>-1.5</v>
      </c>
      <c r="K135" s="32" t="n">
        <v>4397879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66.22</v>
      </c>
      <c r="P135" s="32" t="n">
        <v>26.21</v>
      </c>
      <c r="Q135" s="32" t="n">
        <v>76.98999999999999</v>
      </c>
      <c r="R135" s="31" t="inlineStr">
        <is>
          <t>Volume Spike &amp; Near 52W High Breakout</t>
        </is>
      </c>
      <c r="S135" s="31" t="inlineStr">
        <is>
          <t>Nifty Metal</t>
        </is>
      </c>
      <c r="T135" s="32" t="inlineStr"/>
      <c r="U135" s="32" t="inlineStr"/>
      <c r="V135" s="32" t="inlineStr"/>
      <c r="W135" s="32" t="inlineStr"/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Cyclical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Volatile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Between 0.7 to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IF(B136=0,"",RANK(B136,$B$2:$B$156,0))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PATELRMART</t>
        </is>
      </c>
      <c r="D136" s="31" t="inlineStr">
        <is>
          <t>Patel Retail Ltd</t>
        </is>
      </c>
      <c r="E136" s="31" t="inlineStr">
        <is>
          <t>consumer discretionary</t>
        </is>
      </c>
      <c r="F136" s="31" t="inlineStr">
        <is>
          <t>trading</t>
        </is>
      </c>
      <c r="G136" s="31" t="inlineStr">
        <is>
          <t>smallcap</t>
        </is>
      </c>
      <c r="H136" s="32" t="n">
        <v>806.99</v>
      </c>
      <c r="I136" s="32" t="n">
        <v>236.58</v>
      </c>
      <c r="J136" s="32" t="n">
        <v>-2.08</v>
      </c>
      <c r="K136" s="32" t="n">
        <v>100288</v>
      </c>
      <c r="L136" s="31" t="n">
        <v>16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59.01</v>
      </c>
      <c r="P136" s="32" t="n">
        <v>16.01</v>
      </c>
      <c r="Q136" s="32" t="n">
        <v>181.35</v>
      </c>
      <c r="R136" s="31" t="inlineStr">
        <is>
          <t>Earnings / Momentum Support</t>
        </is>
      </c>
      <c r="S136" s="31" t="inlineStr">
        <is>
          <t>Nifty 50</t>
        </is>
      </c>
      <c r="T136" s="32" t="n">
        <v>-10.55</v>
      </c>
      <c r="U136" s="32" t="n">
        <v>2.16</v>
      </c>
      <c r="V136" s="32" t="n">
        <v>14.21</v>
      </c>
      <c r="W136" s="32" t="n">
        <v>2.94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0 to 20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IF(B137=0,"",RANK(B137,$B$2:$B$156,0))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PERSISTENT</t>
        </is>
      </c>
      <c r="D137" s="31" t="inlineStr">
        <is>
          <t>Persistent Systems Limited</t>
        </is>
      </c>
      <c r="E137" s="31" t="inlineStr">
        <is>
          <t>i.t</t>
        </is>
      </c>
      <c r="F137" s="31" t="inlineStr">
        <is>
          <t>computers - software - large</t>
        </is>
      </c>
      <c r="G137" s="31" t="inlineStr">
        <is>
          <t>largecap</t>
        </is>
      </c>
      <c r="H137" s="32" t="n">
        <v>93040.95</v>
      </c>
      <c r="I137" s="32" t="n">
        <v>5840</v>
      </c>
      <c r="J137" s="32" t="n">
        <v>-0.98</v>
      </c>
      <c r="K137" s="32" t="n">
        <v>1334838</v>
      </c>
      <c r="L137" s="31" t="n">
        <v>16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60.34</v>
      </c>
      <c r="P137" s="32" t="n">
        <v>13.98</v>
      </c>
      <c r="Q137" s="32" t="n">
        <v>4788.43</v>
      </c>
      <c r="R137" s="31" t="inlineStr">
        <is>
          <t>Earnings / Momentum Support</t>
        </is>
      </c>
      <c r="S137" s="31" t="inlineStr">
        <is>
          <t>Nifty IT</t>
        </is>
      </c>
      <c r="T137" s="32" t="n">
        <v>-12.11</v>
      </c>
      <c r="U137" s="32" t="n">
        <v>2.18</v>
      </c>
      <c r="V137" s="32" t="n">
        <v>16.26</v>
      </c>
      <c r="W137" s="32" t="n">
        <v>3.58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Between 12 to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Between 50% to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IF(B138=0,"",RANK(B138,$B$2:$B$156,0))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KOPRAN</t>
        </is>
      </c>
      <c r="D138" s="31" t="inlineStr">
        <is>
          <t>Kopran Limited</t>
        </is>
      </c>
      <c r="E138" s="31" t="inlineStr">
        <is>
          <t>healthcare</t>
        </is>
      </c>
      <c r="F138" s="31" t="inlineStr">
        <is>
          <t>pharmaceuticals - indian - bulk drugs &amp; formln</t>
        </is>
      </c>
      <c r="G138" s="31" t="inlineStr">
        <is>
          <t>smallcap</t>
        </is>
      </c>
      <c r="H138" s="32" t="n">
        <v>1372.22</v>
      </c>
      <c r="I138" s="32" t="n">
        <v>273.9</v>
      </c>
      <c r="J138" s="32" t="n">
        <v>-3.54</v>
      </c>
      <c r="K138" s="32" t="n">
        <v>304250</v>
      </c>
      <c r="L138" s="31" t="n">
        <v>62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68.5</v>
      </c>
      <c r="P138" s="32" t="n">
        <v>44.75</v>
      </c>
      <c r="Q138" s="32" t="n">
        <v>207.06</v>
      </c>
      <c r="R138" s="31" t="inlineStr">
        <is>
          <t>Near 52W High Breakout</t>
        </is>
      </c>
      <c r="S138" s="31" t="inlineStr">
        <is>
          <t>Nifty Pharma</t>
        </is>
      </c>
      <c r="T138" s="32" t="n">
        <v>16.02</v>
      </c>
      <c r="U138" s="32" t="n">
        <v>67.73999999999999</v>
      </c>
      <c r="V138" s="32" t="n">
        <v>44.59</v>
      </c>
      <c r="W138" s="32" t="n">
        <v>19.72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IF(B139=0,"",RANK(B139,$B$2:$B$156,0))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BMWVENTLTD</t>
        </is>
      </c>
      <c r="D139" s="31" t="inlineStr">
        <is>
          <t>BMW Ventures Ltd</t>
        </is>
      </c>
      <c r="E139" s="31" t="inlineStr">
        <is>
          <t>services</t>
        </is>
      </c>
      <c r="F139" s="31" t="inlineStr">
        <is>
          <t>trading</t>
        </is>
      </c>
      <c r="G139" s="31" t="inlineStr">
        <is>
          <t>smallcap</t>
        </is>
      </c>
      <c r="H139" s="32" t="n">
        <v>567.8099999999999</v>
      </c>
      <c r="I139" s="32" t="n">
        <v>71.27</v>
      </c>
      <c r="J139" s="32" t="n">
        <v>8.84</v>
      </c>
      <c r="K139" s="32" t="n">
        <v>1720880</v>
      </c>
      <c r="L139" s="31" t="n">
        <v>36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64.2</v>
      </c>
      <c r="P139" s="32" t="n">
        <v>14.29</v>
      </c>
      <c r="Q139" s="32" t="n">
        <v>54.38</v>
      </c>
      <c r="R139" s="31" t="inlineStr">
        <is>
          <t>Volume Spike &amp; Near 52W High Breakout</t>
        </is>
      </c>
      <c r="S139" s="31" t="inlineStr">
        <is>
          <t>Nifty 50</t>
        </is>
      </c>
      <c r="T139" s="32" t="n">
        <v>-10.55</v>
      </c>
      <c r="U139" s="32" t="n">
        <v>21.64</v>
      </c>
      <c r="V139" s="32" t="n">
        <v>35.99</v>
      </c>
      <c r="W139" s="32" t="n">
        <v>9.76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0 to 20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1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IF(B140=0,"",RANK(B140,$B$2:$B$156,0))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3" t="inlineStr">
        <is>
          <t>PRINCEPIPE</t>
        </is>
      </c>
      <c r="D140" s="33" t="inlineStr">
        <is>
          <t>Prince Pipes &amp; Fittings Ltd</t>
        </is>
      </c>
      <c r="E140" s="31" t="inlineStr">
        <is>
          <t>plastic products</t>
        </is>
      </c>
      <c r="F140" s="31" t="inlineStr">
        <is>
          <t>plastics products</t>
        </is>
      </c>
      <c r="G140" s="31" t="inlineStr">
        <is>
          <t>smallcap</t>
        </is>
      </c>
      <c r="H140" s="32" t="n">
        <v>2980.73</v>
      </c>
      <c r="I140" s="32" t="n">
        <v>276.55</v>
      </c>
      <c r="J140" s="32" t="n">
        <v>2.58</v>
      </c>
      <c r="K140" s="32" t="n">
        <v>321831</v>
      </c>
      <c r="L140" s="31" t="n">
        <v>2</v>
      </c>
      <c r="M140" s="31" t="inlineStr">
        <is>
          <t>Underperforming</t>
        </is>
      </c>
      <c r="N140" s="32">
        <f>IF(M140="Underperforming",-5,IF(L140&gt;=95,15,IF(L140&gt;=90,10,IF(L140&gt;=80,5,0))))</f>
        <v/>
      </c>
      <c r="O140" s="32" t="n">
        <v>53.59</v>
      </c>
      <c r="P140" s="32" t="n">
        <v>12.12</v>
      </c>
      <c r="Q140" s="32" t="n">
        <v>229.78</v>
      </c>
      <c r="R140" s="31" t="inlineStr">
        <is>
          <t>Volume Spike / Accumulation</t>
        </is>
      </c>
      <c r="S140" s="31" t="inlineStr">
        <is>
          <t>Nifty 50</t>
        </is>
      </c>
      <c r="T140" s="32" t="n">
        <v>-10.55</v>
      </c>
      <c r="U140" s="32" t="n">
        <v>-14.38</v>
      </c>
      <c r="V140" s="32" t="n">
        <v>-4.29</v>
      </c>
      <c r="W140" s="32" t="n">
        <v>-1.66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1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IF(B141=0,"",RANK(B141,$B$2:$B$156,0))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PETRONET</t>
        </is>
      </c>
      <c r="D141" s="31" t="inlineStr">
        <is>
          <t>Petronet Lng Limited</t>
        </is>
      </c>
      <c r="E141" s="31" t="inlineStr">
        <is>
          <t>energy</t>
        </is>
      </c>
      <c r="F141" s="31" t="inlineStr">
        <is>
          <t>miscellaneous</t>
        </is>
      </c>
      <c r="G141" s="31" t="inlineStr">
        <is>
          <t>largecap</t>
        </is>
      </c>
      <c r="H141" s="32" t="n">
        <v>43942.5</v>
      </c>
      <c r="I141" s="32" t="n">
        <v>295.2</v>
      </c>
      <c r="J141" s="32" t="n">
        <v>0.77</v>
      </c>
      <c r="K141" s="32" t="n">
        <v>1839630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58.76</v>
      </c>
      <c r="P141" s="32" t="n">
        <v>9.390000000000001</v>
      </c>
      <c r="Q141" s="32" t="n">
        <v>255.65</v>
      </c>
      <c r="R141" s="31" t="inlineStr">
        <is>
          <t>Earnings / Momentum Support</t>
        </is>
      </c>
      <c r="S141" s="31" t="inlineStr">
        <is>
          <t>Nifty Energy</t>
        </is>
      </c>
      <c r="T141" s="32" t="inlineStr"/>
      <c r="U141" s="32" t="inlineStr"/>
      <c r="V141" s="32" t="inlineStr"/>
      <c r="W141" s="32" t="inlineStr"/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Oligopoly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Cyclical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Volatile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IF(B142=0,"",RANK(B142,$B$2:$B$156,0))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CRAFTSMAN</t>
        </is>
      </c>
      <c r="D142" s="31" t="inlineStr">
        <is>
          <t>Craftsman Automation Ltd</t>
        </is>
      </c>
      <c r="E142" s="31" t="inlineStr">
        <is>
          <t>auto</t>
        </is>
      </c>
      <c r="F142" s="31" t="inlineStr">
        <is>
          <t>auto ancillaries</t>
        </is>
      </c>
      <c r="G142" s="31" t="inlineStr">
        <is>
          <t>largecap</t>
        </is>
      </c>
      <c r="H142" s="32" t="n">
        <v>28762.03</v>
      </c>
      <c r="I142" s="32" t="n">
        <v>10941</v>
      </c>
      <c r="J142" s="32" t="n">
        <v>-0.51</v>
      </c>
      <c r="K142" s="32" t="n">
        <v>64306</v>
      </c>
      <c r="L142" s="31" t="inlineStr"/>
      <c r="M142" s="31" t="inlineStr"/>
      <c r="N142" s="32">
        <f>IF(M142="Underperforming",-5,IF(L142&gt;=95,15,IF(L142&gt;=90,10,IF(L142&gt;=80,5,0))))</f>
        <v/>
      </c>
      <c r="O142" s="32" t="n">
        <v>62.06</v>
      </c>
      <c r="P142" s="32" t="n">
        <v>60.59</v>
      </c>
      <c r="Q142" s="32" t="n">
        <v>9449.780000000001</v>
      </c>
      <c r="R142" s="31" t="inlineStr">
        <is>
          <t>Earnings / Momentum Support</t>
        </is>
      </c>
      <c r="S142" s="31" t="inlineStr">
        <is>
          <t>Nifty Auto</t>
        </is>
      </c>
      <c r="T142" s="32" t="inlineStr"/>
      <c r="U142" s="32" t="inlineStr"/>
      <c r="V142" s="32" t="inlineStr"/>
      <c r="W142" s="32" t="inlineStr"/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Above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IF(B143=0,"",RANK(B143,$B$2:$B$156,0))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ISGEC</t>
        </is>
      </c>
      <c r="D143" s="31" t="inlineStr">
        <is>
          <t>ISGEC Heavy Engineering  Ltd</t>
        </is>
      </c>
      <c r="E143" s="31" t="inlineStr">
        <is>
          <t>realty</t>
        </is>
      </c>
      <c r="F143" s="31" t="inlineStr">
        <is>
          <t>engineering - turnkey services</t>
        </is>
      </c>
      <c r="G143" s="31" t="inlineStr">
        <is>
          <t>midcap</t>
        </is>
      </c>
      <c r="H143" s="32" t="n">
        <v>6818.76</v>
      </c>
      <c r="I143" s="32" t="n">
        <v>918.05</v>
      </c>
      <c r="J143" s="32" t="n">
        <v>-1</v>
      </c>
      <c r="K143" s="32" t="n">
        <v>42359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55.98</v>
      </c>
      <c r="P143" s="32" t="n">
        <v>19.71</v>
      </c>
      <c r="Q143" s="32" t="n">
        <v>727</v>
      </c>
      <c r="R143" s="31" t="inlineStr">
        <is>
          <t>Earnings / Momentum Support</t>
        </is>
      </c>
      <c r="S143" s="31" t="inlineStr">
        <is>
          <t>Nifty Realty</t>
        </is>
      </c>
      <c r="T143" s="32" t="inlineStr"/>
      <c r="U143" s="32" t="inlineStr"/>
      <c r="V143" s="32" t="inlineStr"/>
      <c r="W143" s="32" t="inlineStr"/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0 to 20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IF(B144=0,"",RANK(B144,$B$2:$B$156,0))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BLKASHYAP</t>
        </is>
      </c>
      <c r="D144" s="31" t="inlineStr">
        <is>
          <t>B. L. Kashyap And Sons Limited</t>
        </is>
      </c>
      <c r="E144" s="31" t="inlineStr">
        <is>
          <t>realty</t>
        </is>
      </c>
      <c r="F144" s="31" t="inlineStr">
        <is>
          <t>construction</t>
        </is>
      </c>
      <c r="G144" s="31" t="inlineStr">
        <is>
          <t>smallcap</t>
        </is>
      </c>
      <c r="H144" s="32" t="n">
        <v>1352.19</v>
      </c>
      <c r="I144" s="32" t="n">
        <v>58.78</v>
      </c>
      <c r="J144" s="32" t="n">
        <v>-2</v>
      </c>
      <c r="K144" s="32" t="n">
        <v>1179804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55.76</v>
      </c>
      <c r="P144" s="32" t="n">
        <v>19.58</v>
      </c>
      <c r="Q144" s="32" t="n">
        <v>41.68</v>
      </c>
      <c r="R144" s="31" t="inlineStr">
        <is>
          <t>Volume Spike &amp; Near 52W High Breakout</t>
        </is>
      </c>
      <c r="S144" s="31" t="inlineStr">
        <is>
          <t>Nifty Realty</t>
        </is>
      </c>
      <c r="T144" s="32" t="inlineStr"/>
      <c r="U144" s="32" t="inlineStr"/>
      <c r="V144" s="32" t="inlineStr"/>
      <c r="W144" s="32" t="inlineStr"/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1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IF(B145=0,"",RANK(B145,$B$2:$B$156,0))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AARTIIND</t>
        </is>
      </c>
      <c r="D145" s="31" t="inlineStr">
        <is>
          <t>Aarti Industries Limited</t>
        </is>
      </c>
      <c r="E145" s="31" t="inlineStr">
        <is>
          <t>chemicals</t>
        </is>
      </c>
      <c r="F145" s="31" t="inlineStr">
        <is>
          <t>chemicals</t>
        </is>
      </c>
      <c r="G145" s="31" t="inlineStr">
        <is>
          <t>midcap</t>
        </is>
      </c>
      <c r="H145" s="32" t="n">
        <v>18060.16</v>
      </c>
      <c r="I145" s="32" t="n">
        <v>505.05</v>
      </c>
      <c r="J145" s="32" t="n">
        <v>1.44</v>
      </c>
      <c r="K145" s="32" t="n">
        <v>823566</v>
      </c>
      <c r="L145" s="31" t="n">
        <v>28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56.23</v>
      </c>
      <c r="P145" s="32" t="n">
        <v>18.91</v>
      </c>
      <c r="Q145" s="32" t="n">
        <v>432.71</v>
      </c>
      <c r="R145" s="31" t="inlineStr">
        <is>
          <t>Earnings / Momentum Support</t>
        </is>
      </c>
      <c r="S145" s="31" t="inlineStr">
        <is>
          <t>Nifty 50</t>
        </is>
      </c>
      <c r="T145" s="32" t="n">
        <v>-10.55</v>
      </c>
      <c r="U145" s="32" t="n">
        <v>35.02</v>
      </c>
      <c r="V145" s="32" t="n">
        <v>50.95</v>
      </c>
      <c r="W145" s="32" t="n">
        <v>7.18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0 to 20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1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IF(B146=0,"",RANK(B146,$B$2:$B$156,0))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3" t="inlineStr">
        <is>
          <t>SUPREMEIND</t>
        </is>
      </c>
      <c r="D146" s="33" t="inlineStr">
        <is>
          <t>Supreme Industries Limited</t>
        </is>
      </c>
      <c r="E146" s="31" t="inlineStr">
        <is>
          <t>plastic products</t>
        </is>
      </c>
      <c r="F146" s="31" t="inlineStr">
        <is>
          <t>plastics products</t>
        </is>
      </c>
      <c r="G146" s="31" t="inlineStr">
        <is>
          <t>largecap</t>
        </is>
      </c>
      <c r="H146" s="32" t="n">
        <v>45818.59</v>
      </c>
      <c r="I146" s="32" t="n">
        <v>3616</v>
      </c>
      <c r="J146" s="32" t="n">
        <v>0.25</v>
      </c>
      <c r="K146" s="32" t="n">
        <v>206957</v>
      </c>
      <c r="L146" s="31" t="n">
        <v>3</v>
      </c>
      <c r="M146" s="31" t="inlineStr">
        <is>
          <t>Underperforming</t>
        </is>
      </c>
      <c r="N146" s="32">
        <f>IF(M146="Underperforming",-5,IF(L146&gt;=95,15,IF(L146&gt;=90,10,IF(L146&gt;=80,5,0))))</f>
        <v/>
      </c>
      <c r="O146" s="32" t="n">
        <v>53.07</v>
      </c>
      <c r="P146" s="32" t="n">
        <v>19.56</v>
      </c>
      <c r="Q146" s="32" t="n">
        <v>2993.85</v>
      </c>
      <c r="R146" s="31" t="inlineStr">
        <is>
          <t>Earnings / Momentum Support</t>
        </is>
      </c>
      <c r="S146" s="31" t="inlineStr">
        <is>
          <t>Nifty 50</t>
        </is>
      </c>
      <c r="T146" s="32" t="n">
        <v>-10.55</v>
      </c>
      <c r="U146" s="32" t="n">
        <v>-13.23</v>
      </c>
      <c r="V146" s="32" t="n">
        <v>-3</v>
      </c>
      <c r="W146" s="32" t="n">
        <v>-1.34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0 to 20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1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IF(B147=0,"",RANK(B147,$B$2:$B$156,0))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MPHASIS</t>
        </is>
      </c>
      <c r="D147" s="31" t="inlineStr">
        <is>
          <t>Mphasis Limited</t>
        </is>
      </c>
      <c r="E147" s="31" t="inlineStr">
        <is>
          <t>i.t</t>
        </is>
      </c>
      <c r="F147" s="31" t="inlineStr">
        <is>
          <t>computers - software - large</t>
        </is>
      </c>
      <c r="G147" s="31" t="inlineStr">
        <is>
          <t>largecap</t>
        </is>
      </c>
      <c r="H147" s="32" t="n">
        <v>46502.06</v>
      </c>
      <c r="I147" s="32" t="n">
        <v>2453.2</v>
      </c>
      <c r="J147" s="32" t="n">
        <v>0.74</v>
      </c>
      <c r="K147" s="32" t="n">
        <v>683418</v>
      </c>
      <c r="L147" s="31" t="n">
        <v>5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55.68</v>
      </c>
      <c r="P147" s="32" t="n">
        <v>9.73</v>
      </c>
      <c r="Q147" s="32" t="n">
        <v>2064.03</v>
      </c>
      <c r="R147" s="31" t="inlineStr">
        <is>
          <t>Earnings / Momentum Support</t>
        </is>
      </c>
      <c r="S147" s="31" t="inlineStr">
        <is>
          <t>Nifty IT</t>
        </is>
      </c>
      <c r="T147" s="32" t="n">
        <v>-12.11</v>
      </c>
      <c r="U147" s="32" t="n">
        <v>-6.49</v>
      </c>
      <c r="V147" s="32" t="n">
        <v>6.39</v>
      </c>
      <c r="W147" s="32" t="n">
        <v>-0.55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1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Between 50% to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IF(B148=0,"",RANK(B148,$B$2:$B$156,0))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BHARTIHEXA</t>
        </is>
      </c>
      <c r="D148" s="31" t="inlineStr">
        <is>
          <t>Bharti Hexacom Ltd</t>
        </is>
      </c>
      <c r="E148" s="31" t="inlineStr">
        <is>
          <t>telecom-service</t>
        </is>
      </c>
      <c r="F148" s="31" t="inlineStr">
        <is>
          <t>telecommunications - service provider</t>
        </is>
      </c>
      <c r="G148" s="31" t="inlineStr">
        <is>
          <t>largecap</t>
        </is>
      </c>
      <c r="H148" s="32" t="n">
        <v>78515</v>
      </c>
      <c r="I148" s="32" t="n">
        <v>1650.5</v>
      </c>
      <c r="J148" s="32" t="n">
        <v>5.11</v>
      </c>
      <c r="K148" s="32" t="n">
        <v>479856</v>
      </c>
      <c r="L148" s="31" t="n">
        <v>5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57.07</v>
      </c>
      <c r="P148" s="32" t="n">
        <v>15.13</v>
      </c>
      <c r="Q148" s="32" t="n">
        <v>1335.23</v>
      </c>
      <c r="R148" s="31" t="inlineStr">
        <is>
          <t>Earnings / Momentum Support</t>
        </is>
      </c>
      <c r="S148" s="31" t="inlineStr">
        <is>
          <t>Nifty 50</t>
        </is>
      </c>
      <c r="T148" s="32" t="n">
        <v>-10.55</v>
      </c>
      <c r="U148" s="32" t="n">
        <v>-8.119999999999999</v>
      </c>
      <c r="V148" s="32" t="n">
        <v>2.71</v>
      </c>
      <c r="W148" s="32" t="n">
        <v>-0.72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Oligopoly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1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Between 1.5 to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Between 0.7 to 1.2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IF(B149=0,"",RANK(B149,$B$2:$B$156,0))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3" t="inlineStr">
        <is>
          <t>TRENT</t>
        </is>
      </c>
      <c r="D149" s="33" t="inlineStr">
        <is>
          <t>Trent Limited</t>
        </is>
      </c>
      <c r="E149" s="31" t="inlineStr">
        <is>
          <t>consumer discretionary</t>
        </is>
      </c>
      <c r="F149" s="31" t="inlineStr">
        <is>
          <t>trading</t>
        </is>
      </c>
      <c r="G149" s="31" t="inlineStr">
        <is>
          <t>largecap</t>
        </is>
      </c>
      <c r="H149" s="32" t="n">
        <v>158423.32</v>
      </c>
      <c r="I149" s="32" t="n">
        <v>2949.7</v>
      </c>
      <c r="J149" s="32" t="n">
        <v>-0.72</v>
      </c>
      <c r="K149" s="32" t="n">
        <v>830106</v>
      </c>
      <c r="L149" s="31" t="n">
        <v>1</v>
      </c>
      <c r="M149" s="31" t="inlineStr">
        <is>
          <t>Underperforming</t>
        </is>
      </c>
      <c r="N149" s="32">
        <f>IF(M149="Underperforming",-5,IF(L149&gt;=95,15,IF(L149&gt;=90,10,IF(L149&gt;=80,5,0))))</f>
        <v/>
      </c>
      <c r="O149" s="32" t="n">
        <v>50.64</v>
      </c>
      <c r="P149" s="32" t="n">
        <v>6.95</v>
      </c>
      <c r="Q149" s="32" t="n">
        <v>2463.5</v>
      </c>
      <c r="R149" s="31" t="inlineStr">
        <is>
          <t>Earnings / Momentum Support</t>
        </is>
      </c>
      <c r="S149" s="31" t="inlineStr">
        <is>
          <t>Nifty 50</t>
        </is>
      </c>
      <c r="T149" s="32" t="n">
        <v>-10.55</v>
      </c>
      <c r="U149" s="32" t="n">
        <v>-38.64</v>
      </c>
      <c r="V149" s="32" t="n">
        <v>-31.4</v>
      </c>
      <c r="W149" s="32" t="n">
        <v>-5.83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4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IF(B150=0,"",RANK(B150,$B$2:$B$156,0))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JAYNECOIND</t>
        </is>
      </c>
      <c r="D150" s="31" t="inlineStr">
        <is>
          <t>Jayaswal Neco Industries Limited</t>
        </is>
      </c>
      <c r="E150" s="31" t="inlineStr">
        <is>
          <t>metals &amp; mining</t>
        </is>
      </c>
      <c r="F150" s="31" t="inlineStr">
        <is>
          <t>steel - large</t>
        </is>
      </c>
      <c r="G150" s="31" t="inlineStr">
        <is>
          <t>midcap</t>
        </is>
      </c>
      <c r="H150" s="32" t="n">
        <v>9609.969999999999</v>
      </c>
      <c r="I150" s="32" t="n">
        <v>96.34999999999999</v>
      </c>
      <c r="J150" s="32" t="n">
        <v>-2.65</v>
      </c>
      <c r="K150" s="32" t="n">
        <v>3007344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56.59</v>
      </c>
      <c r="P150" s="32" t="n">
        <v>6.9</v>
      </c>
      <c r="Q150" s="32" t="n">
        <v>75.05</v>
      </c>
      <c r="R150" s="31" t="inlineStr">
        <is>
          <t>Earnings / Momentum Support</t>
        </is>
      </c>
      <c r="S150" s="31" t="inlineStr">
        <is>
          <t>Nifty Metal</t>
        </is>
      </c>
      <c r="T150" s="32" t="inlineStr"/>
      <c r="U150" s="32" t="inlineStr"/>
      <c r="V150" s="32" t="inlineStr"/>
      <c r="W150" s="32" t="inlineStr"/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Cyclical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Volatile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0 to 20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Between 0.7 to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IF(B151=0,"",RANK(B151,$B$2:$B$156,0))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ELECON</t>
        </is>
      </c>
      <c r="D151" s="31" t="inlineStr">
        <is>
          <t>Elecon Engineering Company Limited</t>
        </is>
      </c>
      <c r="E151" s="31" t="inlineStr">
        <is>
          <t>industrials</t>
        </is>
      </c>
      <c r="F151" s="31" t="inlineStr">
        <is>
          <t>engineering</t>
        </is>
      </c>
      <c r="G151" s="31" t="inlineStr">
        <is>
          <t>midcap</t>
        </is>
      </c>
      <c r="H151" s="32" t="n">
        <v>10926.03</v>
      </c>
      <c r="I151" s="32" t="n">
        <v>493.05</v>
      </c>
      <c r="J151" s="32" t="n">
        <v>1.26</v>
      </c>
      <c r="K151" s="32" t="n">
        <v>5565939</v>
      </c>
      <c r="L151" s="31" t="n">
        <v>8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55.32</v>
      </c>
      <c r="P151" s="32" t="n">
        <v>8.279999999999999</v>
      </c>
      <c r="Q151" s="32" t="n">
        <v>349.52</v>
      </c>
      <c r="R151" s="31" t="inlineStr">
        <is>
          <t>Volume Spike / Accumulation</t>
        </is>
      </c>
      <c r="S151" s="31" t="inlineStr">
        <is>
          <t>Nifty 50</t>
        </is>
      </c>
      <c r="T151" s="32" t="n">
        <v>-10.55</v>
      </c>
      <c r="U151" s="32" t="n">
        <v>-8.67</v>
      </c>
      <c r="V151" s="32" t="n">
        <v>2.1</v>
      </c>
      <c r="W151" s="32" t="n">
        <v>0.58</v>
      </c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1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IF(B152=0,"",RANK(B152,$B$2:$B$156,0))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RAJRILTD</t>
        </is>
      </c>
      <c r="D152" s="31" t="inlineStr">
        <is>
          <t>Raj Rayon Industries Ltd</t>
        </is>
      </c>
      <c r="E152" s="31" t="inlineStr">
        <is>
          <t>textiles</t>
        </is>
      </c>
      <c r="F152" s="31" t="inlineStr">
        <is>
          <t>textiles - manmade</t>
        </is>
      </c>
      <c r="G152" s="31" t="inlineStr">
        <is>
          <t>smallcap</t>
        </is>
      </c>
      <c r="H152" s="32" t="n">
        <v>1251.74</v>
      </c>
      <c r="I152" s="32" t="n">
        <v>22.96</v>
      </c>
      <c r="J152" s="32" t="n">
        <v>2</v>
      </c>
      <c r="K152" s="32" t="n">
        <v>9593</v>
      </c>
      <c r="L152" s="31" t="n">
        <v>7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56.49</v>
      </c>
      <c r="P152" s="32" t="n">
        <v>7.9</v>
      </c>
      <c r="Q152" s="32" t="n">
        <v>18.64</v>
      </c>
      <c r="R152" s="31" t="inlineStr">
        <is>
          <t>Earnings / Momentum Support</t>
        </is>
      </c>
      <c r="S152" s="31" t="inlineStr">
        <is>
          <t>Nifty 50</t>
        </is>
      </c>
      <c r="T152" s="32" t="n">
        <v>-10.55</v>
      </c>
      <c r="U152" s="32" t="n">
        <v>-7.08</v>
      </c>
      <c r="V152" s="32" t="n">
        <v>3.88</v>
      </c>
      <c r="W152" s="32" t="n">
        <v>0.13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1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Between 12 to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More than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IF(B153=0,"",RANK(B153,$B$2:$B$156,0))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UNITEDPOLY</t>
        </is>
      </c>
      <c r="D153" s="31" t="inlineStr">
        <is>
          <t>United Polyfab Gujarat Ltd</t>
        </is>
      </c>
      <c r="E153" s="31" t="inlineStr">
        <is>
          <t>textiles</t>
        </is>
      </c>
      <c r="F153" s="31" t="inlineStr">
        <is>
          <t>textiles - products</t>
        </is>
      </c>
      <c r="G153" s="31" t="inlineStr">
        <is>
          <t>smallcap</t>
        </is>
      </c>
      <c r="H153" s="32" t="n">
        <v>1186.14</v>
      </c>
      <c r="I153" s="32" t="n">
        <v>51.53</v>
      </c>
      <c r="J153" s="32" t="n">
        <v>-0.29</v>
      </c>
      <c r="K153" s="32" t="n">
        <v>222503</v>
      </c>
      <c r="L153" s="31" t="n">
        <v>66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79.48999999999999</v>
      </c>
      <c r="P153" s="32" t="n">
        <v>32.81</v>
      </c>
      <c r="Q153" s="32" t="n">
        <v>38.28</v>
      </c>
      <c r="R153" s="31" t="inlineStr">
        <is>
          <t>Volume Spike &amp; Near 52W High Breakout</t>
        </is>
      </c>
      <c r="S153" s="31" t="inlineStr">
        <is>
          <t>Nifty 50</t>
        </is>
      </c>
      <c r="T153" s="32" t="n">
        <v>-10.55</v>
      </c>
      <c r="U153" s="32" t="n">
        <v>20.76</v>
      </c>
      <c r="V153" s="32" t="n">
        <v>35.01</v>
      </c>
      <c r="W153" s="32" t="n">
        <v>23.7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Oligopoly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Shallow Cyclical (2 to 3 Years Growth)</t>
        </is>
      </c>
      <c r="AG153" s="31">
        <f>IF(AF153="Structural (10 Years Consistency)",10,IF(AF153="Shallow Cyclical (2 to 3 years growth)",5,0))</f>
        <v/>
      </c>
      <c r="AH153" s="31" t="inlineStr">
        <is>
          <t>Yes due to Product Mix change or Operating Leverage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Volatile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Allocated capital in Non-core Areas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Sideways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Overhead supply in last 2 years in last 2 years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More than 15%</t>
        </is>
      </c>
      <c r="CC153" s="31">
        <f>IF(CB153="More than 15%",-10,IF(CB153="Less than 15%",10,0))</f>
        <v/>
      </c>
      <c r="CD153" s="31" t="inlineStr">
        <is>
          <t>Yes Upto 10%</t>
        </is>
      </c>
      <c r="CE153" s="31">
        <f>IF(CD153="Yes, more than 10%",-10,IF(CD153="No",10,0))</f>
        <v/>
      </c>
    </row>
    <row r="154">
      <c r="A154" s="31">
        <f>IF(B154=0,"",RANK(B154,$B$2:$B$156,0))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GAEL</t>
        </is>
      </c>
      <c r="D154" s="31" t="inlineStr">
        <is>
          <t>Gujarat Ambuja Exports Limited</t>
        </is>
      </c>
      <c r="E154" s="31" t="inlineStr">
        <is>
          <t>fmcg</t>
        </is>
      </c>
      <c r="F154" s="31" t="inlineStr">
        <is>
          <t>miscellaneous</t>
        </is>
      </c>
      <c r="G154" s="31" t="inlineStr">
        <is>
          <t>midcap</t>
        </is>
      </c>
      <c r="H154" s="32" t="n">
        <v>8209.290000000001</v>
      </c>
      <c r="I154" s="32" t="n">
        <v>173.7</v>
      </c>
      <c r="J154" s="32" t="n">
        <v>-2.95</v>
      </c>
      <c r="K154" s="32" t="n">
        <v>841803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59.46</v>
      </c>
      <c r="P154" s="32" t="n">
        <v>23.15</v>
      </c>
      <c r="Q154" s="32" t="n">
        <v>139.39</v>
      </c>
      <c r="R154" s="31" t="inlineStr">
        <is>
          <t>Near 52W High Breakout</t>
        </is>
      </c>
      <c r="S154" s="31" t="inlineStr">
        <is>
          <t>Nifty FMCG</t>
        </is>
      </c>
      <c r="T154" s="32" t="inlineStr"/>
      <c r="U154" s="32" t="inlineStr"/>
      <c r="V154" s="32" t="inlineStr"/>
      <c r="W154" s="32" t="inlineStr"/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Oligopoly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Shallow Cyclical (2 to 3 Years Growth)</t>
        </is>
      </c>
      <c r="AG154" s="31">
        <f>IF(AF154="Structural (10 Years Consistency)",10,IF(AF154="Shallow Cyclical (2 to 3 years growth)",5,0))</f>
        <v/>
      </c>
      <c r="AH154" s="31" t="inlineStr">
        <is>
          <t>Yes due to Product Mix change or Operating Leverage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Volatile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Allocated capital in Non-core Areas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Sideways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Overhead supply in last 2 years in last 2 years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More than 15%</t>
        </is>
      </c>
      <c r="CC154" s="31">
        <f>IF(CB154="More than 15%",-10,IF(CB154="Less than 15%",10,0))</f>
        <v/>
      </c>
      <c r="CD154" s="31" t="inlineStr">
        <is>
          <t>Yes Upto 10%</t>
        </is>
      </c>
      <c r="CE154" s="31">
        <f>IF(CD154="Yes, more than 10%",-10,IF(CD154="No",10,0))</f>
        <v/>
      </c>
    </row>
    <row r="155">
      <c r="A155" s="31">
        <f>IF(B155=0,"",RANK(B155,$B$2:$B$156,0))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TATACOMM</t>
        </is>
      </c>
      <c r="D155" s="31" t="inlineStr">
        <is>
          <t>Tata Communications Limited</t>
        </is>
      </c>
      <c r="E155" s="31" t="inlineStr">
        <is>
          <t>telecom-service</t>
        </is>
      </c>
      <c r="F155" s="31" t="inlineStr">
        <is>
          <t>telecommunications - service provider</t>
        </is>
      </c>
      <c r="G155" s="31" t="inlineStr">
        <is>
          <t>largecap</t>
        </is>
      </c>
      <c r="H155" s="32" t="n">
        <v>47281.43</v>
      </c>
      <c r="I155" s="32" t="n">
        <v>1763.7</v>
      </c>
      <c r="J155" s="32" t="n">
        <v>6.32</v>
      </c>
      <c r="K155" s="32" t="n">
        <v>5090596</v>
      </c>
      <c r="L155" s="31" t="n">
        <v>2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52.49</v>
      </c>
      <c r="P155" s="32" t="n">
        <v>6.68</v>
      </c>
      <c r="Q155" s="32" t="n">
        <v>1470.47</v>
      </c>
      <c r="R155" s="31" t="inlineStr">
        <is>
          <t>Volume Spike / Accumulation</t>
        </is>
      </c>
      <c r="S155" s="31" t="inlineStr">
        <is>
          <t>Nifty 50</t>
        </is>
      </c>
      <c r="T155" s="32" t="n">
        <v>-10.55</v>
      </c>
      <c r="U155" s="32" t="n">
        <v>-7.64</v>
      </c>
      <c r="V155" s="32" t="n">
        <v>3.26</v>
      </c>
      <c r="W155" s="32" t="n">
        <v>-1.52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Oligopoly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1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More than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IF(B156=0,"",RANK(B156,$B$2:$B$156,0))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SVLL</t>
        </is>
      </c>
      <c r="D156" s="31" t="inlineStr">
        <is>
          <t>Shree Vasu Logistics Ltd</t>
        </is>
      </c>
      <c r="E156" s="31" t="inlineStr">
        <is>
          <t>transportation</t>
        </is>
      </c>
      <c r="F156" s="31" t="inlineStr">
        <is>
          <t>miscellaneous</t>
        </is>
      </c>
      <c r="G156" s="31" t="inlineStr">
        <is>
          <t>smallcap</t>
        </is>
      </c>
      <c r="H156" s="32" t="n">
        <v>982.37</v>
      </c>
      <c r="I156" s="32" t="n">
        <v>867.95</v>
      </c>
      <c r="J156" s="32" t="n">
        <v>1.55</v>
      </c>
      <c r="K156" s="32" t="n">
        <v>8193</v>
      </c>
      <c r="L156" s="31" t="inlineStr"/>
      <c r="M156" s="31" t="inlineStr"/>
      <c r="N156" s="32">
        <f>IF(M156="Underperforming",-5,IF(L156&gt;=95,15,IF(L156&gt;=90,10,IF(L156&gt;=80,5,0))))</f>
        <v/>
      </c>
      <c r="O156" s="32" t="inlineStr"/>
      <c r="P156" s="32" t="inlineStr"/>
      <c r="Q156" s="32" t="inlineStr"/>
      <c r="R156" s="31" t="inlineStr"/>
      <c r="S156" s="31" t="inlineStr"/>
      <c r="T156" s="32" t="inlineStr"/>
      <c r="U156" s="32" t="inlineStr"/>
      <c r="V156" s="32" t="inlineStr"/>
      <c r="W156" s="32" t="inlineStr"/>
      <c r="X156" s="31" t="n"/>
      <c r="Y156" s="31">
        <f>IF(X156="Growing Industry",10,IF(X156="Cyclical in an Upturn",5,0))</f>
        <v/>
      </c>
      <c r="Z156" s="31" t="n"/>
      <c r="AA156" s="31">
        <f>IF(Z156="Monopoly",10,IF(Z156="Oligopoly",5,IF(Z156="Duopoly that cooperate",10,IF(Z156="Duopoly that compete",5,IF(Z156="Too many players with High ROCE",5,0)))))</f>
        <v/>
      </c>
      <c r="AB156" s="31" t="n"/>
      <c r="AC156" s="31">
        <f>IF(AB156="No",5,0)</f>
        <v/>
      </c>
      <c r="AD156" s="31" t="n"/>
      <c r="AE156" s="31">
        <f>IF(AD156="Tailwind",10,0)</f>
        <v/>
      </c>
      <c r="AF156" s="31" t="n"/>
      <c r="AG156" s="31">
        <f>IF(AF156="Structural (10 Years Consistency)",10,IF(AF156="Shallow Cyclical (2 to 3 years growth)",5,0))</f>
        <v/>
      </c>
      <c r="AH156" s="31" t="n"/>
      <c r="AI156" s="31">
        <f>IF(AH156="Yes due to Product Mix change or Operating Leverage",10,IF(AH156="Yes, these are peak margins",-5,IF(AH156="No",5,0)))</f>
        <v/>
      </c>
      <c r="AJ156" s="31" t="n"/>
      <c r="AK156" s="31">
        <f>IF(AJ156="Stable",10,0)</f>
        <v/>
      </c>
      <c r="AL156" s="31" t="n"/>
      <c r="AM156" s="31">
        <f>IF(AL156="Yes",10,0)</f>
        <v/>
      </c>
      <c r="AN156" s="31" t="n"/>
      <c r="AO156" s="31">
        <f>IF(AN156="B2C",10,IF(AN156="B2B",5,0))</f>
        <v/>
      </c>
      <c r="AP156" s="31" t="n"/>
      <c r="AQ156" s="31">
        <f>IF(AP156="Yes",10,0)</f>
        <v/>
      </c>
      <c r="AR156" s="31" t="n"/>
      <c r="AS156" s="31">
        <f>IF(AR156="Fully Annuity",10,IF(AR156="Higher Annuity, Lower One Time",5,IF(AR156="Higher One Time, Lower Annuity",3,0)))</f>
        <v/>
      </c>
      <c r="AT156" s="31" t="n"/>
      <c r="AU156" s="31">
        <f>IF(AT156="Good",10,0)</f>
        <v/>
      </c>
      <c r="AV156" s="31" t="n"/>
      <c r="AW156" s="31">
        <f>IF(AV156="Yes for more than 2 years",10,IF(AV156="Yes only for next 1 to 2 years",5,0))</f>
        <v/>
      </c>
      <c r="AX156" s="31" t="n"/>
      <c r="AY156" s="31">
        <f>IF(AX156="Above 40",20,IF(AX156="20 to 40",10,IF(AX156="0 to 20",-5,0)))</f>
        <v/>
      </c>
      <c r="AZ156" s="31" t="n"/>
      <c r="BA156" s="31">
        <f>IF(AZ156="Between 50 to 75",10,IF(AZ156="Above 75",0,0))</f>
        <v/>
      </c>
      <c r="BB156" s="31" t="n"/>
      <c r="BC156" s="31">
        <f>IF(BB156="Stage 2",20,IF(BB156="Stage 1",0,IF(BB156="Stage 3",5,IF(BB156="Stage 4",-5,0))))</f>
        <v/>
      </c>
      <c r="BD156" s="31" t="n"/>
      <c r="BE156" s="31">
        <f>IF(BD156="Positive Trend",20,IF(BD156="Negative Trend",-10,0))</f>
        <v/>
      </c>
      <c r="BF156" s="31" t="n"/>
      <c r="BG156" s="31">
        <f>IF(BF156="Uptrend",10,IF(BF156="Sideways",5,0))</f>
        <v/>
      </c>
      <c r="BH156" s="31" t="n"/>
      <c r="BI156" s="31">
        <f>IF(BH156="Uptrend",10,IF(BH156="Sideways",5,0))</f>
        <v/>
      </c>
      <c r="BJ156" s="31" t="n"/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n"/>
      <c r="BM156" s="31">
        <f>IF(BL156="Yes",10,0)</f>
        <v/>
      </c>
      <c r="BN156" s="31" t="n"/>
      <c r="BO156" s="31">
        <f>IF(BN156="More than 20%",10,IF(BN156="Between 12 to 20%",5,IF(BN156="Less than 12%",0,0)))</f>
        <v/>
      </c>
      <c r="BP156" s="31" t="n"/>
      <c r="BQ156" s="31">
        <f>IF(BP156="No",10,0)</f>
        <v/>
      </c>
      <c r="BR156" s="31" t="n"/>
      <c r="BS156" s="31">
        <f>IF(BR156="NO",5,0)</f>
        <v/>
      </c>
      <c r="BT156" s="31" t="n"/>
      <c r="BU156" s="31">
        <f>IF(BT156="Above 2",0,IF(BT156="Between 1.5 to 2",5,IF(BT156="Less than 1.5",10,0)))</f>
        <v/>
      </c>
      <c r="BV156" s="31" t="n"/>
      <c r="BW156" s="31">
        <f>IF(BV156="Above 70%",10,IF(BV156="Between 50% to 70%",5,IF(BV156="Less than 50%",0,IF(BV156="Negative",-10,IF(BV156="Less than 50% and Borrowings are increasing",-5,0)))))</f>
        <v/>
      </c>
      <c r="BX156" s="31" t="n"/>
      <c r="BY156" s="31">
        <f>IF(BX156="More than 1.2",-10,IF(BX156="Between 0.7 to 1.2",0,IF(BX156="Less than 0.7",10,0)))</f>
        <v/>
      </c>
      <c r="BZ156" s="31" t="n"/>
      <c r="CA156" s="31">
        <f>IF(BZ156="Yes",-10,0)</f>
        <v/>
      </c>
      <c r="CB156" s="31" t="n"/>
      <c r="CC156" s="31">
        <f>IF(CB156="More than 15%",-10,IF(CB156="Less than 15%",10,0))</f>
        <v/>
      </c>
      <c r="CD156" s="31" t="n"/>
      <c r="CE156" s="31">
        <f>IF(CD156="Yes, more than 10%",-10,IF(CD156="No",10,0))</f>
        <v/>
      </c>
    </row>
  </sheetData>
  <autoFilter ref="A1:CE156"/>
  <conditionalFormatting sqref="B2:B15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5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5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5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5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5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5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5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5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5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5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5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5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5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5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5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5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5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5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5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5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5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5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5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5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5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5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5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56">
    <cfRule type="cellIs" priority="36" operator="equal" dxfId="3" stopIfTrue="1">
      <formula>"Underperforming"</formula>
    </cfRule>
  </conditionalFormatting>
  <conditionalFormatting sqref="N2:N156">
    <cfRule type="cellIs" priority="37" operator="equal" dxfId="3" stopIfTrue="1">
      <formula>-5</formula>
    </cfRule>
  </conditionalFormatting>
  <conditionalFormatting sqref="Q2:Q156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56" showDropDown="0" showInputMessage="0" showErrorMessage="0" allowBlank="1" type="list">
      <formula1>"Growing Industry,Stagnant Industry,Cyclical in an Upturn"</formula1>
    </dataValidation>
    <dataValidation sqref="Z2:Z15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56" showDropDown="0" showInputMessage="0" showErrorMessage="0" allowBlank="1" type="list">
      <formula1>"Yes,No"</formula1>
    </dataValidation>
    <dataValidation sqref="AD2:AD156" showDropDown="0" showInputMessage="0" showErrorMessage="0" allowBlank="1" type="list">
      <formula1>"Tailwind,Headwind"</formula1>
    </dataValidation>
    <dataValidation sqref="AF2:AF156" showDropDown="0" showInputMessage="0" showErrorMessage="0" allowBlank="1" type="list">
      <formula1>"Structural (10 Years Consistency),Shallow Cyclical (2 to 3 Years Growth),Cyclical"</formula1>
    </dataValidation>
    <dataValidation sqref="AH2:AH156" showDropDown="0" showInputMessage="0" showErrorMessage="0" allowBlank="1" type="list">
      <formula1>"Yes due to Product Mix change or Operating Leverage,Yes, these are peak margins,No"</formula1>
    </dataValidation>
    <dataValidation sqref="AJ2:AJ156" showDropDown="0" showInputMessage="0" showErrorMessage="0" allowBlank="1" type="list">
      <formula1>"Stable,Volatile"</formula1>
    </dataValidation>
    <dataValidation sqref="AL2:AL156" showDropDown="0" showInputMessage="0" showErrorMessage="0" allowBlank="1" type="list">
      <formula1>"Yes,No"</formula1>
    </dataValidation>
    <dataValidation sqref="AN2:AN156" showDropDown="0" showInputMessage="0" showErrorMessage="0" allowBlank="1" type="list">
      <formula1>"B2C,B2B,B2G"</formula1>
    </dataValidation>
    <dataValidation sqref="AP2:AP156" showDropDown="0" showInputMessage="0" showErrorMessage="0" allowBlank="1" type="list">
      <formula1>"Yes,No"</formula1>
    </dataValidation>
    <dataValidation sqref="AR2:AR156" showDropDown="0" showInputMessage="0" showErrorMessage="0" allowBlank="1" type="list">
      <formula1>"Fully Annuity,Higher Annuity, Lower One time,Higher One Time, Lower Annuity,Fully One Time"</formula1>
    </dataValidation>
    <dataValidation sqref="AT2:AT156" showDropDown="0" showInputMessage="0" showErrorMessage="0" allowBlank="1" type="list">
      <formula1>"Good,Allocated capital in Non-core Areas"</formula1>
    </dataValidation>
    <dataValidation sqref="AV2:AV156" showDropDown="0" showInputMessage="0" showErrorMessage="0" allowBlank="1" type="list">
      <formula1>"Yes for more than 2 years,Yes only for next 1 to 2 years,No"</formula1>
    </dataValidation>
    <dataValidation sqref="AX2:AX156" showDropDown="0" showInputMessage="0" showErrorMessage="0" allowBlank="1" type="list">
      <formula1>"Above 40,20 to 40,0 to 20"</formula1>
    </dataValidation>
    <dataValidation sqref="AZ2:AZ156" showDropDown="0" showInputMessage="0" showErrorMessage="0" allowBlank="1" type="list">
      <formula1>"Between 50 to 75,Above 75,Below 45"</formula1>
    </dataValidation>
    <dataValidation sqref="BB2:BB156" showDropDown="0" showInputMessage="0" showErrorMessage="0" allowBlank="1" type="list">
      <formula1>"Stage 1,Stage 2,Stage 3,Stage 4"</formula1>
    </dataValidation>
    <dataValidation sqref="BD2:BD156" showDropDown="0" showInputMessage="0" showErrorMessage="0" allowBlank="1" type="list">
      <formula1>"Positive Trend,Negative Trend"</formula1>
    </dataValidation>
    <dataValidation sqref="BF2:BF156" showDropDown="0" showInputMessage="0" showErrorMessage="0" allowBlank="1" type="list">
      <formula1>"Uptrend,Sideways,Downtrend"</formula1>
    </dataValidation>
    <dataValidation sqref="BH2:BH156" showDropDown="0" showInputMessage="0" showErrorMessage="0" allowBlank="1" type="list">
      <formula1>"Uptrend,Sideways,Downtrend"</formula1>
    </dataValidation>
    <dataValidation sqref="BJ2:BJ15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56" showDropDown="0" showInputMessage="0" showErrorMessage="0" allowBlank="1" type="list">
      <formula1>"Yes,No"</formula1>
    </dataValidation>
    <dataValidation sqref="BN2:BN156" showDropDown="0" showInputMessage="0" showErrorMessage="0" allowBlank="1" type="list">
      <formula1>"More than 20%,Between 12 to 20%,Less than 12%"</formula1>
    </dataValidation>
    <dataValidation sqref="BP2:BP156" showDropDown="0" showInputMessage="0" showErrorMessage="0" allowBlank="1" type="list">
      <formula1>"Yes,No"</formula1>
    </dataValidation>
    <dataValidation sqref="BR2:BR156" showDropDown="0" showInputMessage="0" showErrorMessage="0" allowBlank="1" type="list">
      <formula1>"Yes,No"</formula1>
    </dataValidation>
    <dataValidation sqref="BT2:BT156" showDropDown="0" showInputMessage="0" showErrorMessage="0" allowBlank="1" type="list">
      <formula1>"Above 2,Between 1.5 to 2,Less than 1.5"</formula1>
    </dataValidation>
    <dataValidation sqref="BV2:BV156" showDropDown="0" showInputMessage="0" showErrorMessage="0" allowBlank="1" type="list">
      <formula1>"Above 70%,Between 50% to 70%,Less than 50%,Less than 50% and Borrowings are increasing,Negative"</formula1>
    </dataValidation>
    <dataValidation sqref="BX2:BX156" showDropDown="0" showInputMessage="0" showErrorMessage="0" allowBlank="1" type="list">
      <formula1>"More than 1.2,Between 0.7 to 1.2,Less than 0.7"</formula1>
    </dataValidation>
    <dataValidation sqref="BZ2:BZ156" showDropDown="0" showInputMessage="0" showErrorMessage="0" allowBlank="1" type="list">
      <formula1>"Yes,No"</formula1>
    </dataValidation>
    <dataValidation sqref="CB2:CB156" showDropDown="0" showInputMessage="0" showErrorMessage="0" allowBlank="1" type="list">
      <formula1>"More than 15%,Less than 15%"</formula1>
    </dataValidation>
    <dataValidation sqref="CD2:CD15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2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IF(B2=0,"",RANK(B2,$B$2:$B$23,0))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12828.66</v>
      </c>
      <c r="I2" s="32" t="n">
        <v>335.95</v>
      </c>
      <c r="J2" s="32" t="n">
        <v>-0.96</v>
      </c>
      <c r="K2" s="32" t="n">
        <v>1441044</v>
      </c>
      <c r="L2" s="31" t="n">
        <v>62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68.70999999999999</v>
      </c>
      <c r="P2" s="32" t="n">
        <v>58.64</v>
      </c>
      <c r="Q2" s="32" t="n">
        <v>277.3</v>
      </c>
      <c r="R2" s="31" t="inlineStr">
        <is>
          <t>Near 52W High Breakout</t>
        </is>
      </c>
      <c r="S2" s="31" t="inlineStr">
        <is>
          <t>Nifty Bank</t>
        </is>
      </c>
      <c r="T2" s="32" t="n">
        <v>-3.3</v>
      </c>
      <c r="U2" s="32" t="n">
        <v>98.45</v>
      </c>
      <c r="V2" s="32" t="n">
        <v>105.22</v>
      </c>
      <c r="W2" s="32" t="n">
        <v>20.15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IF(B3=0,"",RANK(B3,$B$2:$B$23,0))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MANBA</t>
        </is>
      </c>
      <c r="D3" s="31" t="inlineStr">
        <is>
          <t>Manba Finance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703.65</v>
      </c>
      <c r="I3" s="32" t="n">
        <v>140.64</v>
      </c>
      <c r="J3" s="32" t="n">
        <v>0.41</v>
      </c>
      <c r="K3" s="32" t="n">
        <v>79613</v>
      </c>
      <c r="L3" s="31" t="n">
        <v>15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62.87</v>
      </c>
      <c r="P3" s="32" t="n">
        <v>40.66</v>
      </c>
      <c r="Q3" s="32" t="n">
        <v>112.71</v>
      </c>
      <c r="R3" s="31" t="inlineStr">
        <is>
          <t>Near 52W High Breakout</t>
        </is>
      </c>
      <c r="S3" s="31" t="inlineStr">
        <is>
          <t>Nifty Bank</t>
        </is>
      </c>
      <c r="T3" s="32" t="n">
        <v>-3.3</v>
      </c>
      <c r="U3" s="32" t="n">
        <v>6.43</v>
      </c>
      <c r="V3" s="32" t="n">
        <v>10.06</v>
      </c>
      <c r="W3" s="32" t="n">
        <v>2.75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IF(B4=0,"",RANK(B4,$B$2:$B$23,0))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KARURVYSYA</t>
        </is>
      </c>
      <c r="D4" s="31" t="inlineStr">
        <is>
          <t>Karur Vysya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32987.57</v>
      </c>
      <c r="I4" s="32" t="n">
        <v>345.65</v>
      </c>
      <c r="J4" s="32" t="n">
        <v>1.29</v>
      </c>
      <c r="K4" s="32" t="n">
        <v>5606933</v>
      </c>
      <c r="L4" s="31" t="n">
        <v>41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63.98</v>
      </c>
      <c r="P4" s="32" t="n">
        <v>31.61</v>
      </c>
      <c r="Q4" s="32" t="n">
        <v>291.1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-3.3</v>
      </c>
      <c r="U4" s="32" t="n">
        <v>53.19</v>
      </c>
      <c r="V4" s="32" t="n">
        <v>58.41</v>
      </c>
      <c r="W4" s="32" t="n">
        <v>11.58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IF(B5=0,"",RANK(B5,$B$2:$B$23,0))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ARIHANTCAP</t>
        </is>
      </c>
      <c r="D5" s="31" t="inlineStr">
        <is>
          <t>Arihant Capital Markets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1080.89</v>
      </c>
      <c r="I5" s="32" t="n">
        <v>99.31</v>
      </c>
      <c r="J5" s="32" t="n">
        <v>0.71</v>
      </c>
      <c r="K5" s="32" t="n">
        <v>1008102</v>
      </c>
      <c r="L5" s="31" t="n">
        <v>32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69.48999999999999</v>
      </c>
      <c r="P5" s="32" t="n">
        <v>24.51</v>
      </c>
      <c r="Q5" s="32" t="n">
        <v>77.06</v>
      </c>
      <c r="R5" s="31" t="inlineStr">
        <is>
          <t>Near 52W High Breakout</t>
        </is>
      </c>
      <c r="S5" s="31" t="inlineStr">
        <is>
          <t>Nifty Bank</t>
        </is>
      </c>
      <c r="T5" s="32" t="n">
        <v>-3.3</v>
      </c>
      <c r="U5" s="32" t="n">
        <v>0.2</v>
      </c>
      <c r="V5" s="32" t="n">
        <v>3.61</v>
      </c>
      <c r="W5" s="32" t="n">
        <v>9.199999999999999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IF(B6=0,"",RANK(B6,$B$2:$B$23,0))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ESAFSFB</t>
        </is>
      </c>
      <c r="D6" s="31" t="inlineStr">
        <is>
          <t>ESAF Small Finance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smallcap</t>
        </is>
      </c>
      <c r="H6" s="32" t="n">
        <v>2290.31</v>
      </c>
      <c r="I6" s="32" t="n">
        <v>43.68</v>
      </c>
      <c r="J6" s="32" t="n">
        <v>-1.6</v>
      </c>
      <c r="K6" s="32" t="n">
        <v>308276</v>
      </c>
      <c r="L6" s="31" t="n">
        <v>53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62.83</v>
      </c>
      <c r="P6" s="32" t="n">
        <v>38.46</v>
      </c>
      <c r="Q6" s="32" t="n">
        <v>33.22</v>
      </c>
      <c r="R6" s="31" t="inlineStr">
        <is>
          <t>Near 52W High Breakout</t>
        </is>
      </c>
      <c r="S6" s="31" t="inlineStr">
        <is>
          <t>Nifty Bank</t>
        </is>
      </c>
      <c r="T6" s="32" t="n">
        <v>-3.3</v>
      </c>
      <c r="U6" s="32" t="n">
        <v>55.33</v>
      </c>
      <c r="V6" s="32" t="n">
        <v>60.63</v>
      </c>
      <c r="W6" s="32" t="n">
        <v>16.12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IF(B7=0,"",RANK(B7,$B$2:$B$23,0))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SMCGLOBAL</t>
        </is>
      </c>
      <c r="D7" s="31" t="inlineStr">
        <is>
          <t>SMC Global Securities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2411.87</v>
      </c>
      <c r="I7" s="32" t="n">
        <v>108.43</v>
      </c>
      <c r="J7" s="32" t="n">
        <v>-5.86</v>
      </c>
      <c r="K7" s="32" t="n">
        <v>6353077</v>
      </c>
      <c r="L7" s="31" t="n">
        <v>60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69.15000000000001</v>
      </c>
      <c r="P7" s="32" t="n">
        <v>43.19</v>
      </c>
      <c r="Q7" s="32" t="n">
        <v>86.27</v>
      </c>
      <c r="R7" s="31" t="inlineStr">
        <is>
          <t>Earnings / Momentum Support</t>
        </is>
      </c>
      <c r="S7" s="31" t="inlineStr">
        <is>
          <t>Nifty Bank</t>
        </is>
      </c>
      <c r="T7" s="32" t="n">
        <v>-3.3</v>
      </c>
      <c r="U7" s="32" t="n">
        <v>62.41</v>
      </c>
      <c r="V7" s="32" t="n">
        <v>67.95</v>
      </c>
      <c r="W7" s="32" t="n">
        <v>18.57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IF(B8=0,"",RANK(B8,$B$2:$B$23,0))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SGFIN</t>
        </is>
      </c>
      <c r="D8" s="31" t="inlineStr">
        <is>
          <t>SG Finserve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4543.13</v>
      </c>
      <c r="I8" s="32" t="n">
        <v>694.25</v>
      </c>
      <c r="J8" s="32" t="n">
        <v>0.7</v>
      </c>
      <c r="K8" s="32" t="n">
        <v>322382</v>
      </c>
      <c r="L8" s="31" t="n">
        <v>51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63.18</v>
      </c>
      <c r="P8" s="32" t="n">
        <v>27.65</v>
      </c>
      <c r="Q8" s="32" t="n">
        <v>530.86</v>
      </c>
      <c r="R8" s="31" t="inlineStr">
        <is>
          <t>Near 52W High Breakout</t>
        </is>
      </c>
      <c r="S8" s="31" t="inlineStr">
        <is>
          <t>Nifty Bank</t>
        </is>
      </c>
      <c r="T8" s="32" t="n">
        <v>-3.3</v>
      </c>
      <c r="U8" s="32" t="n">
        <v>87.48</v>
      </c>
      <c r="V8" s="32" t="n">
        <v>93.88</v>
      </c>
      <c r="W8" s="32" t="n">
        <v>15.91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IF(B9=0,"",RANK(B9,$B$2:$B$23,0))</f>
        <v/>
      </c>
      <c r="B9" s="32">
        <f>SUM(N9,Y9,AA9,AC9,AE9,AG9,AI9,AK9,AM9,AO9,AQ9,AS9,AU9,AW9,AY9,BA9,BC9,BE9,BG9,BI9,BK9,BM9,BO9,BQ9,BS9,BU9,BW9,BY9,CA9)</f>
        <v/>
      </c>
      <c r="C9" s="31" t="inlineStr">
        <is>
          <t>MUFIN</t>
        </is>
      </c>
      <c r="D9" s="31" t="inlineStr">
        <is>
          <t>Mufin Green Finance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2778.23</v>
      </c>
      <c r="I9" s="32" t="n">
        <v>139.54</v>
      </c>
      <c r="J9" s="32" t="n">
        <v>-0.47</v>
      </c>
      <c r="K9" s="32" t="n">
        <v>1378806</v>
      </c>
      <c r="L9" s="31" t="n">
        <v>34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63.02</v>
      </c>
      <c r="P9" s="32" t="n">
        <v>29.58</v>
      </c>
      <c r="Q9" s="32" t="n">
        <v>115.34</v>
      </c>
      <c r="R9" s="31" t="inlineStr">
        <is>
          <t>Near 52W High Breakout</t>
        </is>
      </c>
      <c r="S9" s="31" t="inlineStr">
        <is>
          <t>Nifty Bank</t>
        </is>
      </c>
      <c r="T9" s="32" t="n">
        <v>-3.3</v>
      </c>
      <c r="U9" s="32" t="n">
        <v>43.86</v>
      </c>
      <c r="V9" s="32" t="n">
        <v>48.76</v>
      </c>
      <c r="W9" s="32" t="n">
        <v>9.52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IF(B10=0,"",RANK(B10,$B$2:$B$23,0))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SOUTHBANK</t>
        </is>
      </c>
      <c r="D10" s="31" t="inlineStr">
        <is>
          <t>The South Indian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13003.22</v>
      </c>
      <c r="I10" s="32" t="n">
        <v>51.48</v>
      </c>
      <c r="J10" s="32" t="n">
        <v>3.71</v>
      </c>
      <c r="K10" s="32" t="n">
        <v>76826122</v>
      </c>
      <c r="L10" s="31" t="n">
        <v>47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66.25</v>
      </c>
      <c r="P10" s="32" t="n">
        <v>39.78</v>
      </c>
      <c r="Q10" s="32" t="n">
        <v>41.69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-3.3</v>
      </c>
      <c r="U10" s="32" t="n">
        <v>59.22</v>
      </c>
      <c r="V10" s="32" t="n">
        <v>64.65000000000001</v>
      </c>
      <c r="W10" s="32" t="n">
        <v>14.18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IF(B11=0,"",RANK(B11,$B$2:$B$23,0))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KOTAKBANK</t>
        </is>
      </c>
      <c r="D11" s="31" t="inlineStr">
        <is>
          <t>Kotak Mahindra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435715.59</v>
      </c>
      <c r="I11" s="32" t="n">
        <v>447.95</v>
      </c>
      <c r="J11" s="32" t="n">
        <v>2.26</v>
      </c>
      <c r="K11" s="32" t="n">
        <v>32710771</v>
      </c>
      <c r="L11" s="31" t="n">
        <v>17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66.38</v>
      </c>
      <c r="P11" s="32" t="n">
        <v>14.92</v>
      </c>
      <c r="Q11" s="32" t="n">
        <v>390.66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-3.3</v>
      </c>
      <c r="U11" s="32" t="n">
        <v>1.71</v>
      </c>
      <c r="V11" s="32" t="n">
        <v>5.18</v>
      </c>
      <c r="W11" s="32" t="n">
        <v>3.62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IF(B12=0,"",RANK(B12,$B$2:$B$23,0))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PNBHOUSING</t>
        </is>
      </c>
      <c r="D12" s="31" t="inlineStr">
        <is>
          <t>Pnb Housing Finance Limited</t>
        </is>
      </c>
      <c r="E12" s="31" t="inlineStr">
        <is>
          <t>financials</t>
        </is>
      </c>
      <c r="F12" s="31" t="inlineStr">
        <is>
          <t>finance - housing</t>
        </is>
      </c>
      <c r="G12" s="31" t="inlineStr">
        <is>
          <t>largecap</t>
        </is>
      </c>
      <c r="H12" s="32" t="n">
        <v>31270.79</v>
      </c>
      <c r="I12" s="32" t="n">
        <v>1183.9</v>
      </c>
      <c r="J12" s="32" t="n">
        <v>-1.34</v>
      </c>
      <c r="K12" s="32" t="n">
        <v>462065</v>
      </c>
      <c r="L12" s="31" t="n">
        <v>33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64.55</v>
      </c>
      <c r="P12" s="32" t="n">
        <v>32.25</v>
      </c>
      <c r="Q12" s="32" t="n">
        <v>976.01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-3.3</v>
      </c>
      <c r="U12" s="32" t="n">
        <v>42.24</v>
      </c>
      <c r="V12" s="32" t="n">
        <v>47.08</v>
      </c>
      <c r="W12" s="32" t="n">
        <v>9.35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less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IF(B13=0,"",RANK(B13,$B$2:$B$23,0))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FEDFINA</t>
        </is>
      </c>
      <c r="D13" s="31" t="inlineStr">
        <is>
          <t>Fedbank Financial Services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midcap</t>
        </is>
      </c>
      <c r="H13" s="32" t="n">
        <v>5996.25</v>
      </c>
      <c r="I13" s="32" t="n">
        <v>157.58</v>
      </c>
      <c r="J13" s="32" t="n">
        <v>-1.48</v>
      </c>
      <c r="K13" s="32" t="n">
        <v>5760348</v>
      </c>
      <c r="L13" s="31" t="n">
        <v>10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55.17</v>
      </c>
      <c r="P13" s="32" t="n">
        <v>23.85</v>
      </c>
      <c r="Q13" s="32" t="n">
        <v>127.43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-3.3</v>
      </c>
      <c r="U13" s="32" t="n">
        <v>5.1</v>
      </c>
      <c r="V13" s="32" t="n">
        <v>8.68</v>
      </c>
      <c r="W13" s="32" t="n">
        <v>1.03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1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IF(B14=0,"",RANK(B14,$B$2:$B$23,0))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TFCILTD</t>
        </is>
      </c>
      <c r="D14" s="31" t="inlineStr">
        <is>
          <t>Tourism Finance Corporation Of India Limited</t>
        </is>
      </c>
      <c r="E14" s="31" t="inlineStr">
        <is>
          <t>financials</t>
        </is>
      </c>
      <c r="F14" s="31" t="inlineStr">
        <is>
          <t>finance - term-lending institutions</t>
        </is>
      </c>
      <c r="G14" s="31" t="inlineStr">
        <is>
          <t>midcap</t>
        </is>
      </c>
      <c r="H14" s="32" t="n">
        <v>7444.67</v>
      </c>
      <c r="I14" s="32" t="n">
        <v>157.82</v>
      </c>
      <c r="J14" s="32" t="n">
        <v>-1.85</v>
      </c>
      <c r="K14" s="32" t="n">
        <v>17645856</v>
      </c>
      <c r="L14" s="31" t="n">
        <v>89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85.3</v>
      </c>
      <c r="P14" s="32" t="n">
        <v>76.20999999999999</v>
      </c>
      <c r="Q14" s="32" t="n">
        <v>126.5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-3.3</v>
      </c>
      <c r="U14" s="32" t="n">
        <v>115.87</v>
      </c>
      <c r="V14" s="32" t="n">
        <v>123.23</v>
      </c>
      <c r="W14" s="32" t="n">
        <v>37.87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above 5x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Above 40</t>
        </is>
      </c>
      <c r="BM14" s="31">
        <f>IF(BL14="Above 40",20,IF(BL14="20 to 40",10,IF(BL14="0 to 20",-5,0)))</f>
        <v/>
      </c>
      <c r="BN14" s="31" t="inlineStr">
        <is>
          <t>Above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IF(B15=0,"",RANK(B15,$B$2:$B$23,0))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DHANBANK</t>
        </is>
      </c>
      <c r="D15" s="31" t="inlineStr">
        <is>
          <t>Dhanlaxmi Bank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smallcap</t>
        </is>
      </c>
      <c r="H15" s="32" t="n">
        <v>1358.16</v>
      </c>
      <c r="I15" s="32" t="n">
        <v>33.42</v>
      </c>
      <c r="J15" s="32" t="n">
        <v>-2.88</v>
      </c>
      <c r="K15" s="32" t="n">
        <v>2380082</v>
      </c>
      <c r="L15" s="31" t="n">
        <v>25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56.39</v>
      </c>
      <c r="P15" s="32" t="n">
        <v>22.94</v>
      </c>
      <c r="Q15" s="32" t="n">
        <v>25.17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-3.3</v>
      </c>
      <c r="U15" s="32" t="n">
        <v>34.06</v>
      </c>
      <c r="V15" s="32" t="n">
        <v>38.63</v>
      </c>
      <c r="W15" s="32" t="n">
        <v>6.21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1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IF(B16=0,"",RANK(B16,$B$2:$B$23,0))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GCSL</t>
        </is>
      </c>
      <c r="D16" s="31" t="inlineStr">
        <is>
          <t>Gretex Corporate Services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1847.9</v>
      </c>
      <c r="I16" s="32" t="n">
        <v>735.3</v>
      </c>
      <c r="J16" s="32" t="n">
        <v>-0.5</v>
      </c>
      <c r="K16" s="32" t="n">
        <v>279530</v>
      </c>
      <c r="L16" s="31" t="n">
        <v>89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83.76000000000001</v>
      </c>
      <c r="P16" s="32" t="n">
        <v>35.36</v>
      </c>
      <c r="Q16" s="32" t="n">
        <v>605.72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-3.3</v>
      </c>
      <c r="U16" s="32" t="n">
        <v>233.92</v>
      </c>
      <c r="V16" s="32" t="n">
        <v>245.31</v>
      </c>
      <c r="W16" s="32" t="n">
        <v>37.68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Above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IF(B17=0,"",RANK(B17,$B$2:$B$23,0))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MOTILALOFS</t>
        </is>
      </c>
      <c r="D17" s="31" t="inlineStr">
        <is>
          <t>Motilal Oswal Financial Services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62593.15</v>
      </c>
      <c r="I17" s="32" t="n">
        <v>1062.95</v>
      </c>
      <c r="J17" s="32" t="n">
        <v>2.26</v>
      </c>
      <c r="K17" s="32" t="n">
        <v>855706</v>
      </c>
      <c r="L17" s="31" t="n">
        <v>19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64.23999999999999</v>
      </c>
      <c r="P17" s="32" t="n">
        <v>19.16</v>
      </c>
      <c r="Q17" s="32" t="n">
        <v>864.02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-3.3</v>
      </c>
      <c r="U17" s="32" t="n">
        <v>6.66</v>
      </c>
      <c r="V17" s="32" t="n">
        <v>10.29</v>
      </c>
      <c r="W17" s="32" t="n">
        <v>3.94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IF(B18=0,"",RANK(B18,$B$2:$B$23,0))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IIFLCAPS</t>
        </is>
      </c>
      <c r="D18" s="31" t="inlineStr">
        <is>
          <t>IIFL Capital Services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midcap</t>
        </is>
      </c>
      <c r="H18" s="32" t="n">
        <v>10854.79</v>
      </c>
      <c r="I18" s="32" t="n">
        <v>347.1</v>
      </c>
      <c r="J18" s="32" t="n">
        <v>0.23</v>
      </c>
      <c r="K18" s="32" t="n">
        <v>318198</v>
      </c>
      <c r="L18" s="31" t="n">
        <v>11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57.7</v>
      </c>
      <c r="P18" s="32" t="n">
        <v>21.64</v>
      </c>
      <c r="Q18" s="32" t="n">
        <v>307.43</v>
      </c>
      <c r="R18" s="31" t="inlineStr">
        <is>
          <t>Earnings / Momentum Support</t>
        </is>
      </c>
      <c r="S18" s="31" t="inlineStr">
        <is>
          <t>Nifty Bank</t>
        </is>
      </c>
      <c r="T18" s="32" t="n">
        <v>-3.3</v>
      </c>
      <c r="U18" s="32" t="n">
        <v>2.77</v>
      </c>
      <c r="V18" s="32" t="n">
        <v>6.27</v>
      </c>
      <c r="W18" s="32" t="n">
        <v>1.61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less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IF(B19=0,"",RANK(B19,$B$2:$B$23,0))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ICICIBANK</t>
        </is>
      </c>
      <c r="D19" s="31" t="inlineStr">
        <is>
          <t>Icici Bank Limited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largecap</t>
        </is>
      </c>
      <c r="H19" s="32" t="n">
        <v>960260.2</v>
      </c>
      <c r="I19" s="32" t="n">
        <v>1389.4</v>
      </c>
      <c r="J19" s="32" t="n">
        <v>3.8</v>
      </c>
      <c r="K19" s="32" t="n">
        <v>17551899</v>
      </c>
      <c r="L19" s="31" t="n">
        <v>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54.8</v>
      </c>
      <c r="P19" s="32" t="n">
        <v>20.36</v>
      </c>
      <c r="Q19" s="32" t="n">
        <v>1275.45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-3.3</v>
      </c>
      <c r="U19" s="32" t="n">
        <v>-2.47</v>
      </c>
      <c r="V19" s="32" t="n">
        <v>0.86</v>
      </c>
      <c r="W19" s="32" t="n">
        <v>-1.01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1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IF(B20=0,"",RANK(B20,$B$2:$B$23,0))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VHL</t>
        </is>
      </c>
      <c r="D20" s="33" t="inlineStr">
        <is>
          <t>Vardhman Holdings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1184.38</v>
      </c>
      <c r="I20" s="32" t="n">
        <v>3694.4</v>
      </c>
      <c r="J20" s="32" t="n">
        <v>-0.45</v>
      </c>
      <c r="K20" s="32" t="n">
        <v>631</v>
      </c>
      <c r="L20" s="31" t="n">
        <v>7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58.61</v>
      </c>
      <c r="P20" s="32" t="n">
        <v>8</v>
      </c>
      <c r="Q20" s="32" t="n">
        <v>3060.87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-3.3</v>
      </c>
      <c r="U20" s="32" t="n">
        <v>-5.74</v>
      </c>
      <c r="V20" s="32" t="n">
        <v>-2.52</v>
      </c>
      <c r="W20" s="32" t="n">
        <v>0.15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1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IF(B21=0,"",RANK(B21,$B$2:$B$23,0))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AXISBANK</t>
        </is>
      </c>
      <c r="D21" s="31" t="inlineStr">
        <is>
          <t>Axis Bank Limited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largecap</t>
        </is>
      </c>
      <c r="H21" s="32" t="n">
        <v>393757.2</v>
      </c>
      <c r="I21" s="32" t="n">
        <v>1288</v>
      </c>
      <c r="J21" s="32" t="n">
        <v>1.85</v>
      </c>
      <c r="K21" s="32" t="n">
        <v>8794655</v>
      </c>
      <c r="L21" s="31" t="n">
        <v>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53.18</v>
      </c>
      <c r="P21" s="32" t="n">
        <v>11.1</v>
      </c>
      <c r="Q21" s="32" t="n">
        <v>1160.47</v>
      </c>
      <c r="R21" s="31" t="inlineStr">
        <is>
          <t>Earnings / Momentum Support</t>
        </is>
      </c>
      <c r="S21" s="31" t="inlineStr">
        <is>
          <t>Nifty Bank</t>
        </is>
      </c>
      <c r="T21" s="32" t="n">
        <v>-3.3</v>
      </c>
      <c r="U21" s="32" t="n">
        <v>7.4</v>
      </c>
      <c r="V21" s="32" t="n">
        <v>11.06</v>
      </c>
      <c r="W21" s="32" t="n">
        <v>0.91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0 to 20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1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IF(B22=0,"",RANK(B22,$B$2:$B$23,0))</f>
        <v/>
      </c>
      <c r="B22" s="32">
        <f>SUM(N22,Y22,AA22,AC22,AE22,AG22,AI22,AK22,AM22,AO22,AQ22,AS22,AU22,AW22,AY22,BA22,BC22,BE22,BG22,BI22,BK22,BM22,BO22,BQ22,BS22,BU22,BW22,BY22,CA22)</f>
        <v/>
      </c>
      <c r="C22" s="33" t="inlineStr">
        <is>
          <t>BAJAJHLDNG</t>
        </is>
      </c>
      <c r="D22" s="33" t="inlineStr">
        <is>
          <t>Bajaj Holdings &amp; Investment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119907.63</v>
      </c>
      <c r="I22" s="32" t="n">
        <v>11225</v>
      </c>
      <c r="J22" s="32" t="n">
        <v>4.19</v>
      </c>
      <c r="K22" s="32" t="n">
        <v>80420</v>
      </c>
      <c r="L22" s="31" t="n">
        <v>6</v>
      </c>
      <c r="M22" s="31" t="inlineStr">
        <is>
          <t>Underperforming</t>
        </is>
      </c>
      <c r="N22" s="32">
        <f>IF(M22="Underperforming",-5,IF(L22&gt;=95,15,IF(L22&gt;=90,10,IF(L22&gt;=80,5,0))))</f>
        <v/>
      </c>
      <c r="O22" s="32" t="n">
        <v>56.02</v>
      </c>
      <c r="P22" s="32" t="n">
        <v>17.74</v>
      </c>
      <c r="Q22" s="32" t="n">
        <v>9686.52</v>
      </c>
      <c r="R22" s="31" t="inlineStr">
        <is>
          <t>Earnings / Momentum Support</t>
        </is>
      </c>
      <c r="S22" s="31" t="inlineStr">
        <is>
          <t>Nifty Bank</t>
        </is>
      </c>
      <c r="T22" s="32" t="n">
        <v>-3.3</v>
      </c>
      <c r="U22" s="32" t="n">
        <v>-9.68</v>
      </c>
      <c r="V22" s="32" t="n">
        <v>-6.6</v>
      </c>
      <c r="W22" s="32" t="n">
        <v>0.03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1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IF(B23=0,"",RANK(B23,$B$2:$B$23,0))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ANGELONE</t>
        </is>
      </c>
      <c r="D23" s="31" t="inlineStr">
        <is>
          <t>Angel One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27958.25</v>
      </c>
      <c r="I23" s="32" t="n">
        <v>313</v>
      </c>
      <c r="J23" s="32" t="n">
        <v>2.27</v>
      </c>
      <c r="K23" s="32" t="n">
        <v>11641856</v>
      </c>
      <c r="L23" s="31" t="n">
        <v>21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54.92</v>
      </c>
      <c r="P23" s="32" t="n">
        <v>9.66</v>
      </c>
      <c r="Q23" s="32" t="n">
        <v>257.52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-3.3</v>
      </c>
      <c r="U23" s="32" t="n">
        <v>27.8</v>
      </c>
      <c r="V23" s="32" t="n">
        <v>32.15</v>
      </c>
      <c r="W23" s="32" t="n">
        <v>4.44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1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</sheetData>
  <autoFilter ref="A1:CA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23">
    <cfRule type="cellIs" priority="34" operator="equal" dxfId="3" stopIfTrue="1">
      <formula>"Underperforming"</formula>
    </cfRule>
  </conditionalFormatting>
  <conditionalFormatting sqref="N2:N23">
    <cfRule type="cellIs" priority="35" operator="equal" dxfId="3" stopIfTrue="1">
      <formula>-5</formula>
    </cfRule>
  </conditionalFormatting>
  <conditionalFormatting sqref="Q2:Q2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23" showDropDown="0" showInputMessage="0" showErrorMessage="0" allowBlank="1" type="list">
      <formula1>"Growing Industry,Stagnant Industry,Cyclical in an Upturn"</formula1>
    </dataValidation>
    <dataValidation sqref="Z2:Z23" showDropDown="0" showInputMessage="0" showErrorMessage="0" allowBlank="1" type="list">
      <formula1>"Fragmented with Low ROE,Fragmented with High ROE,Highly Cyclical"</formula1>
    </dataValidation>
    <dataValidation sqref="AB2:AB23" showDropDown="0" showInputMessage="0" showErrorMessage="0" allowBlank="1" type="list">
      <formula1>"Yes,No"</formula1>
    </dataValidation>
    <dataValidation sqref="AD2:AD23" showDropDown="0" showInputMessage="0" showErrorMessage="0" allowBlank="1" type="list">
      <formula1>"Tailwind,Headwind"</formula1>
    </dataValidation>
    <dataValidation sqref="AF2:AF2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23" showDropDown="0" showInputMessage="0" showErrorMessage="0" allowBlank="1" type="list">
      <formula1>"Yes,No"</formula1>
    </dataValidation>
    <dataValidation sqref="AJ2:AJ23" showDropDown="0" showInputMessage="0" showErrorMessage="0" allowBlank="1" type="list">
      <formula1>"Yes,No,Not Applicable"</formula1>
    </dataValidation>
    <dataValidation sqref="AL2:AL23" showDropDown="0" showInputMessage="0" showErrorMessage="0" allowBlank="1" type="list">
      <formula1>"Yes,No"</formula1>
    </dataValidation>
    <dataValidation sqref="AN2:AN23" showDropDown="0" showInputMessage="0" showErrorMessage="0" allowBlank="1" type="list">
      <formula1>"Yes,No"</formula1>
    </dataValidation>
    <dataValidation sqref="AP2:AP23" showDropDown="0" showInputMessage="0" showErrorMessage="0" allowBlank="1" type="list">
      <formula1>"Yes,No"</formula1>
    </dataValidation>
    <dataValidation sqref="AR2:AR23" showDropDown="0" showInputMessage="0" showErrorMessage="0" allowBlank="1" type="list">
      <formula1>"Yes,No"</formula1>
    </dataValidation>
    <dataValidation sqref="AT2:AT23" showDropDown="0" showInputMessage="0" showErrorMessage="0" allowBlank="1" type="list">
      <formula1>"No,Yes"</formula1>
    </dataValidation>
    <dataValidation sqref="AV2:AV23" showDropDown="0" showInputMessage="0" showErrorMessage="0" allowBlank="1" type="list">
      <formula1>"No,Yes"</formula1>
    </dataValidation>
    <dataValidation sqref="AX2:AX23" showDropDown="0" showInputMessage="0" showErrorMessage="0" allowBlank="1" type="list">
      <formula1>"No,Yes CEO Resignation,Yes CEO Retirement"</formula1>
    </dataValidation>
    <dataValidation sqref="AZ2:AZ23" showDropDown="0" showInputMessage="0" showErrorMessage="0" allowBlank="1" type="list">
      <formula1>"No,Yes"</formula1>
    </dataValidation>
    <dataValidation sqref="BB2:BB23" showDropDown="0" showInputMessage="0" showErrorMessage="0" allowBlank="1" type="list">
      <formula1>"No,Yes"</formula1>
    </dataValidation>
    <dataValidation sqref="BD2:BD23" showDropDown="0" showInputMessage="0" showErrorMessage="0" allowBlank="1" type="list">
      <formula1>"Yes,No"</formula1>
    </dataValidation>
    <dataValidation sqref="BF2:BF23" showDropDown="0" showInputMessage="0" showErrorMessage="0" allowBlank="1" type="list">
      <formula1>"Yes,No"</formula1>
    </dataValidation>
    <dataValidation sqref="BH2:BH23" showDropDown="0" showInputMessage="0" showErrorMessage="0" allowBlank="1" type="list">
      <formula1>"Yes,No"</formula1>
    </dataValidation>
    <dataValidation sqref="BJ2:BJ2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23" showDropDown="0" showInputMessage="0" showErrorMessage="0" allowBlank="1" type="list">
      <formula1>"Above 40,20 to 40,0 to 20"</formula1>
    </dataValidation>
    <dataValidation sqref="BN2:BN23" showDropDown="0" showInputMessage="0" showErrorMessage="0" allowBlank="1" type="list">
      <formula1>"Between 50 to 75,Above 75,Below 45"</formula1>
    </dataValidation>
    <dataValidation sqref="BP2:BP23" showDropDown="0" showInputMessage="0" showErrorMessage="0" allowBlank="1" type="list">
      <formula1>"Stage 1,Stage 2,Stage 3,Stage 4"</formula1>
    </dataValidation>
    <dataValidation sqref="BR2:BR23" showDropDown="0" showInputMessage="0" showErrorMessage="0" allowBlank="1" type="list">
      <formula1>"Positive Trend,Negative Trend"</formula1>
    </dataValidation>
    <dataValidation sqref="BT2:BT23" showDropDown="0" showInputMessage="0" showErrorMessage="0" allowBlank="1" type="list">
      <formula1>"Uptrend,Sideways,Downtrend"</formula1>
    </dataValidation>
    <dataValidation sqref="BV2:BV23" showDropDown="0" showInputMessage="0" showErrorMessage="0" allowBlank="1" type="list">
      <formula1>"Uptrend,Sideways,Downtrend"</formula1>
    </dataValidation>
    <dataValidation sqref="BX2:BX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2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IF(B2=0,"",RANK(B2,$B$2:$B$19,0))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136.6</v>
      </c>
      <c r="E2" s="32" t="inlineStr">
        <is>
          <t>5%</t>
        </is>
      </c>
      <c r="F2" s="32" t="n">
        <v>50000</v>
      </c>
      <c r="G2" s="32" t="n">
        <v>127</v>
      </c>
      <c r="H2" s="31" t="inlineStr">
        <is>
          <t>SHANTIGOLD</t>
        </is>
      </c>
      <c r="I2" s="31" t="inlineStr">
        <is>
          <t>Shanti Gold International Ltd</t>
        </is>
      </c>
      <c r="J2" s="31" t="inlineStr">
        <is>
          <t>consumer discretionary</t>
        </is>
      </c>
      <c r="K2" s="31" t="inlineStr">
        <is>
          <t>diamond cutting / jewellery</t>
        </is>
      </c>
      <c r="L2" s="31" t="inlineStr">
        <is>
          <t>smallcap</t>
        </is>
      </c>
      <c r="M2" s="32" t="n">
        <v>2976.72</v>
      </c>
      <c r="N2" s="32" t="n">
        <v>390.95</v>
      </c>
      <c r="O2" s="32" t="n">
        <v>0.79</v>
      </c>
      <c r="P2" s="32" t="n">
        <v>1712040</v>
      </c>
      <c r="Q2" s="31" t="n">
        <v>85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76.84999999999999</v>
      </c>
      <c r="U2" s="32" t="n">
        <v>47.89</v>
      </c>
      <c r="V2" s="32" t="n">
        <v>293.12</v>
      </c>
      <c r="W2" s="31" t="inlineStr">
        <is>
          <t>Near 52W High Breakout</t>
        </is>
      </c>
      <c r="X2" s="31" t="inlineStr">
        <is>
          <t>Nifty 50</t>
        </is>
      </c>
      <c r="Y2" s="32" t="n">
        <v>-10.55</v>
      </c>
      <c r="Z2" s="32" t="n">
        <v>90.70999999999999</v>
      </c>
      <c r="AA2" s="32" t="n">
        <v>113.2</v>
      </c>
      <c r="AB2" s="32" t="n">
        <v>34.33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IF(B3=0,"",RANK(B3,$B$2:$B$19,0))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136.7</v>
      </c>
      <c r="E3" s="32" t="inlineStr">
        <is>
          <t>5%</t>
        </is>
      </c>
      <c r="F3" s="32" t="n">
        <v>50000</v>
      </c>
      <c r="G3" s="32" t="n">
        <v>315</v>
      </c>
      <c r="H3" s="31" t="inlineStr">
        <is>
          <t>ADVANCE</t>
        </is>
      </c>
      <c r="I3" s="31" t="inlineStr">
        <is>
          <t>Advance Agrolife Ltd</t>
        </is>
      </c>
      <c r="J3" s="31" t="inlineStr">
        <is>
          <t>chemicals</t>
        </is>
      </c>
      <c r="K3" s="31" t="inlineStr">
        <is>
          <t>pesticides / agrochemicals - indian</t>
        </is>
      </c>
      <c r="L3" s="31" t="inlineStr">
        <is>
          <t>smallcap</t>
        </is>
      </c>
      <c r="M3" s="32" t="n">
        <v>1000.74</v>
      </c>
      <c r="N3" s="32" t="n">
        <v>158.43</v>
      </c>
      <c r="O3" s="32" t="n">
        <v>1.77</v>
      </c>
      <c r="P3" s="32" t="n">
        <v>5969574</v>
      </c>
      <c r="Q3" s="31" t="n">
        <v>56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70</v>
      </c>
      <c r="U3" s="32" t="n">
        <v>21.65</v>
      </c>
      <c r="V3" s="32" t="n">
        <v>116.42</v>
      </c>
      <c r="W3" s="31" t="inlineStr">
        <is>
          <t>Volume Spike &amp; Near 52W High Breakout</t>
        </is>
      </c>
      <c r="X3" s="31" t="inlineStr">
        <is>
          <t>Nifty 50</t>
        </is>
      </c>
      <c r="Y3" s="32" t="n">
        <v>-10.55</v>
      </c>
      <c r="Z3" s="32" t="n">
        <v>45.54</v>
      </c>
      <c r="AA3" s="32" t="n">
        <v>62.7</v>
      </c>
      <c r="AB3" s="32" t="n">
        <v>16.85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20 to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IF(B4=0,"",RANK(B4,$B$2:$B$19,0))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133</v>
      </c>
      <c r="E4" s="32" t="inlineStr">
        <is>
          <t>5%</t>
        </is>
      </c>
      <c r="F4" s="32" t="n">
        <v>50000</v>
      </c>
      <c r="G4" s="32" t="n">
        <v>11</v>
      </c>
      <c r="H4" s="31" t="inlineStr">
        <is>
          <t>TCPLPACK</t>
        </is>
      </c>
      <c r="I4" s="31" t="inlineStr">
        <is>
          <t>TCPL Packaging Ltd</t>
        </is>
      </c>
      <c r="J4" s="31" t="inlineStr">
        <is>
          <t>industrials</t>
        </is>
      </c>
      <c r="K4" s="31" t="inlineStr">
        <is>
          <t>packaging</t>
        </is>
      </c>
      <c r="L4" s="31" t="inlineStr">
        <is>
          <t>smallcap</t>
        </is>
      </c>
      <c r="M4" s="32" t="n">
        <v>3985.8</v>
      </c>
      <c r="N4" s="32" t="n">
        <v>4485</v>
      </c>
      <c r="O4" s="32" t="n">
        <v>2.4</v>
      </c>
      <c r="P4" s="32" t="n">
        <v>22202</v>
      </c>
      <c r="Q4" s="31" t="n">
        <v>49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70.42</v>
      </c>
      <c r="U4" s="32" t="n">
        <v>52.76</v>
      </c>
      <c r="V4" s="32" t="n">
        <v>3474.29</v>
      </c>
      <c r="W4" s="31" t="inlineStr">
        <is>
          <t>Near 52W High Breakout</t>
        </is>
      </c>
      <c r="X4" s="31" t="inlineStr">
        <is>
          <t>Nifty 50</t>
        </is>
      </c>
      <c r="Y4" s="32" t="n">
        <v>-10.55</v>
      </c>
      <c r="Z4" s="32" t="n">
        <v>27.48</v>
      </c>
      <c r="AA4" s="32" t="n">
        <v>42.52</v>
      </c>
      <c r="AB4" s="32" t="n">
        <v>15.2</v>
      </c>
      <c r="AC4" s="31" t="inlineStr">
        <is>
          <t>Cyclical in an Upturn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Between 0.7 to 1.2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IF(B5=0,"",RANK(B5,$B$2:$B$19,0))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140</v>
      </c>
      <c r="E5" s="32" t="inlineStr">
        <is>
          <t>5%</t>
        </is>
      </c>
      <c r="F5" s="32" t="n">
        <v>50000</v>
      </c>
      <c r="G5" s="32" t="n">
        <v>121</v>
      </c>
      <c r="H5" s="31" t="inlineStr">
        <is>
          <t>HITECHCORP</t>
        </is>
      </c>
      <c r="I5" s="31" t="inlineStr">
        <is>
          <t>Hitech Corporation</t>
        </is>
      </c>
      <c r="J5" s="31" t="inlineStr">
        <is>
          <t>industrials</t>
        </is>
      </c>
      <c r="K5" s="31" t="inlineStr">
        <is>
          <t>packaging</t>
        </is>
      </c>
      <c r="L5" s="31" t="inlineStr">
        <is>
          <t>smallcap</t>
        </is>
      </c>
      <c r="M5" s="32" t="n">
        <v>673.12</v>
      </c>
      <c r="N5" s="32" t="n">
        <v>411.45</v>
      </c>
      <c r="O5" s="32" t="n">
        <v>4.99</v>
      </c>
      <c r="P5" s="32" t="n">
        <v>12777</v>
      </c>
      <c r="Q5" s="31" t="n">
        <v>78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87.72</v>
      </c>
      <c r="U5" s="32" t="n">
        <v>66.34</v>
      </c>
      <c r="V5" s="32" t="n">
        <v>345.6</v>
      </c>
      <c r="W5" s="31" t="inlineStr">
        <is>
          <t>Near 52W High Breakout</t>
        </is>
      </c>
      <c r="X5" s="31" t="inlineStr">
        <is>
          <t>Nifty 50</t>
        </is>
      </c>
      <c r="Y5" s="32" t="n">
        <v>-10.55</v>
      </c>
      <c r="Z5" s="32" t="n">
        <v>118.82</v>
      </c>
      <c r="AA5" s="32" t="n">
        <v>144.63</v>
      </c>
      <c r="AB5" s="32" t="n">
        <v>30.88</v>
      </c>
      <c r="AC5" s="31" t="inlineStr">
        <is>
          <t>Cyclical in an Upturn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IF(B6=0,"",RANK(B6,$B$2:$B$19,0))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134.9</v>
      </c>
      <c r="E6" s="32" t="inlineStr">
        <is>
          <t>5%</t>
        </is>
      </c>
      <c r="F6" s="32" t="n">
        <v>50000</v>
      </c>
      <c r="G6" s="32" t="n">
        <v>289</v>
      </c>
      <c r="H6" s="31" t="inlineStr">
        <is>
          <t>BLUSPRING</t>
        </is>
      </c>
      <c r="I6" s="31" t="inlineStr">
        <is>
          <t>Bluspring Enterprises Ltd</t>
        </is>
      </c>
      <c r="J6" s="31" t="inlineStr">
        <is>
          <t>miscellaneous</t>
        </is>
      </c>
      <c r="K6" s="31" t="inlineStr">
        <is>
          <t>diversified - large</t>
        </is>
      </c>
      <c r="L6" s="31" t="inlineStr">
        <is>
          <t>smallcap</t>
        </is>
      </c>
      <c r="M6" s="32" t="n">
        <v>2484.46</v>
      </c>
      <c r="N6" s="32" t="n">
        <v>172.68</v>
      </c>
      <c r="O6" s="32" t="n">
        <v>3.87</v>
      </c>
      <c r="P6" s="32" t="n">
        <v>2958294</v>
      </c>
      <c r="Q6" s="31" t="n">
        <v>81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76.64</v>
      </c>
      <c r="U6" s="32" t="n">
        <v>59</v>
      </c>
      <c r="V6" s="32" t="n">
        <v>121.13</v>
      </c>
      <c r="W6" s="31" t="inlineStr">
        <is>
          <t>Volume Spike &amp; Near 52W High Breakout</t>
        </is>
      </c>
      <c r="X6" s="31" t="inlineStr">
        <is>
          <t>Nifty 50</t>
        </is>
      </c>
      <c r="Y6" s="32" t="n">
        <v>-10.55</v>
      </c>
      <c r="Z6" s="32" t="n">
        <v>116.17</v>
      </c>
      <c r="AA6" s="32" t="n">
        <v>141.67</v>
      </c>
      <c r="AB6" s="32" t="n">
        <v>32.21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IF(B7=0,"",RANK(B7,$B$2:$B$19,0))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139.8</v>
      </c>
      <c r="E7" s="32" t="inlineStr">
        <is>
          <t>5%</t>
        </is>
      </c>
      <c r="F7" s="32" t="n">
        <v>50000</v>
      </c>
      <c r="G7" s="32" t="n">
        <v>59</v>
      </c>
      <c r="H7" s="31" t="inlineStr">
        <is>
          <t>SHREEJISPG</t>
        </is>
      </c>
      <c r="I7" s="31" t="inlineStr">
        <is>
          <t>Shreeji Shipping Global Ltd</t>
        </is>
      </c>
      <c r="J7" s="31" t="inlineStr">
        <is>
          <t>transportation</t>
        </is>
      </c>
      <c r="K7" s="31" t="inlineStr">
        <is>
          <t>shipping</t>
        </is>
      </c>
      <c r="L7" s="31" t="inlineStr">
        <is>
          <t>midcap</t>
        </is>
      </c>
      <c r="M7" s="32" t="n">
        <v>13464.38</v>
      </c>
      <c r="N7" s="32" t="n">
        <v>835.15</v>
      </c>
      <c r="O7" s="32" t="n">
        <v>1.05</v>
      </c>
      <c r="P7" s="32" t="n">
        <v>907165</v>
      </c>
      <c r="Q7" s="31" t="n">
        <v>91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86.26000000000001</v>
      </c>
      <c r="U7" s="32" t="n">
        <v>56.92</v>
      </c>
      <c r="V7" s="32" t="n">
        <v>708.96</v>
      </c>
      <c r="W7" s="31" t="inlineStr">
        <is>
          <t>Near 52W High Breakout</t>
        </is>
      </c>
      <c r="X7" s="31" t="inlineStr">
        <is>
          <t>Nifty 50</t>
        </is>
      </c>
      <c r="Y7" s="32" t="n">
        <v>-10.55</v>
      </c>
      <c r="Z7" s="32" t="n">
        <v>255.26</v>
      </c>
      <c r="AA7" s="32" t="n">
        <v>297.16</v>
      </c>
      <c r="AB7" s="32" t="n">
        <v>39.25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Less than 12%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IF(B8=0,"",RANK(B8,$B$2:$B$19,0))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</v>
      </c>
      <c r="E8" s="32" t="inlineStr">
        <is>
          <t>5%</t>
        </is>
      </c>
      <c r="F8" s="32" t="n">
        <v>50000</v>
      </c>
      <c r="G8" s="32" t="n">
        <v>235</v>
      </c>
      <c r="H8" s="31" t="inlineStr">
        <is>
          <t>KRISHANA</t>
        </is>
      </c>
      <c r="I8" s="31" t="inlineStr">
        <is>
          <t>Krishana Phoschem Ltd</t>
        </is>
      </c>
      <c r="J8" s="31" t="inlineStr">
        <is>
          <t>chemicals</t>
        </is>
      </c>
      <c r="K8" s="31" t="inlineStr">
        <is>
          <t>fertilizers</t>
        </is>
      </c>
      <c r="L8" s="31" t="inlineStr">
        <is>
          <t>smallcap</t>
        </is>
      </c>
      <c r="M8" s="32" t="n">
        <v>1276.55</v>
      </c>
      <c r="N8" s="32" t="n">
        <v>211.95</v>
      </c>
      <c r="O8" s="32" t="n">
        <v>2.65</v>
      </c>
      <c r="P8" s="32" t="n">
        <v>1814905</v>
      </c>
      <c r="Q8" s="31" t="n">
        <v>70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74.98</v>
      </c>
      <c r="U8" s="32" t="n">
        <v>54.34</v>
      </c>
      <c r="V8" s="32" t="n">
        <v>165</v>
      </c>
      <c r="W8" s="31" t="inlineStr">
        <is>
          <t>Near 52W High Breakout</t>
        </is>
      </c>
      <c r="X8" s="31" t="inlineStr">
        <is>
          <t>Nifty 50</t>
        </is>
      </c>
      <c r="Y8" s="32" t="n">
        <v>-10.55</v>
      </c>
      <c r="Z8" s="32" t="n">
        <v>86.89</v>
      </c>
      <c r="AA8" s="32" t="n">
        <v>108.94</v>
      </c>
      <c r="AB8" s="32" t="n">
        <v>25.79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More than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IF(B9=0,"",RANK(B9,$B$2:$B$19,0))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</v>
      </c>
      <c r="E9" s="32" t="inlineStr">
        <is>
          <t>5%</t>
        </is>
      </c>
      <c r="F9" s="32" t="n">
        <v>50000</v>
      </c>
      <c r="G9" s="32" t="n">
        <v>49</v>
      </c>
      <c r="H9" s="31" t="inlineStr">
        <is>
          <t>SKYGOLD</t>
        </is>
      </c>
      <c r="I9" s="31" t="inlineStr">
        <is>
          <t>Sky Gold Ltd</t>
        </is>
      </c>
      <c r="J9" s="31" t="inlineStr">
        <is>
          <t>consumer discretionary</t>
        </is>
      </c>
      <c r="K9" s="31" t="inlineStr">
        <is>
          <t>diamond cutting / jewellery</t>
        </is>
      </c>
      <c r="L9" s="31" t="inlineStr">
        <is>
          <t>midcap</t>
        </is>
      </c>
      <c r="M9" s="32" t="n">
        <v>14987.15</v>
      </c>
      <c r="N9" s="32" t="n">
        <v>1001.45</v>
      </c>
      <c r="O9" s="32" t="n">
        <v>3.49</v>
      </c>
      <c r="P9" s="32" t="n">
        <v>3351689</v>
      </c>
      <c r="Q9" s="31" t="n">
        <v>92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81.98</v>
      </c>
      <c r="U9" s="32" t="n">
        <v>69.43000000000001</v>
      </c>
      <c r="V9" s="32" t="n">
        <v>781.39</v>
      </c>
      <c r="W9" s="31" t="inlineStr">
        <is>
          <t>Near 52W High Breakout</t>
        </is>
      </c>
      <c r="X9" s="31" t="inlineStr">
        <is>
          <t>Nifty 50</t>
        </is>
      </c>
      <c r="Y9" s="32" t="n">
        <v>-10.55</v>
      </c>
      <c r="Z9" s="32" t="n">
        <v>199.75</v>
      </c>
      <c r="AA9" s="32" t="n">
        <v>235.1</v>
      </c>
      <c r="AB9" s="32" t="n">
        <v>39.32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Between 0.7 to 1.2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IF(B10=0,"",RANK(B10,$B$2:$B$19,0))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ATH Momentum</t>
        </is>
      </c>
      <c r="D10" s="32" t="n">
        <v>73.2</v>
      </c>
      <c r="E10" s="32" t="inlineStr">
        <is>
          <t>4%</t>
        </is>
      </c>
      <c r="F10" s="32" t="n">
        <v>40000</v>
      </c>
      <c r="G10" s="32" t="n">
        <v>62</v>
      </c>
      <c r="H10" s="31" t="inlineStr">
        <is>
          <t>PANACHE</t>
        </is>
      </c>
      <c r="I10" s="31" t="inlineStr">
        <is>
          <t>Panache Digilife Ltd</t>
        </is>
      </c>
      <c r="J10" s="31" t="inlineStr">
        <is>
          <t>i.t</t>
        </is>
      </c>
      <c r="K10" s="31" t="inlineStr">
        <is>
          <t>computers - hardware</t>
        </is>
      </c>
      <c r="L10" s="31" t="inlineStr">
        <is>
          <t>smallcap</t>
        </is>
      </c>
      <c r="M10" s="32" t="n">
        <v>1010.48</v>
      </c>
      <c r="N10" s="32" t="n">
        <v>643.6</v>
      </c>
      <c r="O10" s="32" t="n">
        <v>2</v>
      </c>
      <c r="P10" s="32" t="n">
        <v>14289</v>
      </c>
      <c r="Q10" s="31" t="n">
        <v>65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79.75</v>
      </c>
      <c r="U10" s="32" t="n">
        <v>42.48</v>
      </c>
      <c r="V10" s="32" t="n">
        <v>518.17</v>
      </c>
      <c r="W10" s="31" t="inlineStr">
        <is>
          <t>Near 52W High Breakout</t>
        </is>
      </c>
      <c r="X10" s="31" t="inlineStr">
        <is>
          <t>Nifty IT</t>
        </is>
      </c>
      <c r="Y10" s="32" t="n">
        <v>-12.11</v>
      </c>
      <c r="Z10" s="32" t="n">
        <v>53.38</v>
      </c>
      <c r="AA10" s="32" t="n">
        <v>74.51000000000001</v>
      </c>
      <c r="AB10" s="32" t="n">
        <v>22.6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IF(B11=0,"",RANK(B11,$B$2:$B$19,0))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128.4</v>
      </c>
      <c r="E11" s="32" t="inlineStr">
        <is>
          <t>5%</t>
        </is>
      </c>
      <c r="F11" s="32" t="n">
        <v>50000</v>
      </c>
      <c r="G11" s="32" t="n">
        <v>86</v>
      </c>
      <c r="H11" s="31" t="inlineStr">
        <is>
          <t>OAL</t>
        </is>
      </c>
      <c r="I11" s="31" t="inlineStr">
        <is>
          <t>Oriental Aromatics Ltd</t>
        </is>
      </c>
      <c r="J11" s="31" t="inlineStr">
        <is>
          <t>chemicals</t>
        </is>
      </c>
      <c r="K11" s="31" t="inlineStr">
        <is>
          <t>chemicals</t>
        </is>
      </c>
      <c r="L11" s="31" t="inlineStr">
        <is>
          <t>smallcap</t>
        </is>
      </c>
      <c r="M11" s="32" t="n">
        <v>1757.89</v>
      </c>
      <c r="N11" s="32" t="n">
        <v>579.15</v>
      </c>
      <c r="O11" s="32" t="n">
        <v>10.87</v>
      </c>
      <c r="P11" s="32" t="n">
        <v>3082035</v>
      </c>
      <c r="Q11" s="31" t="n">
        <v>71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76.08</v>
      </c>
      <c r="U11" s="32" t="n">
        <v>44.8</v>
      </c>
      <c r="V11" s="32" t="n">
        <v>413.78</v>
      </c>
      <c r="W11" s="31" t="inlineStr">
        <is>
          <t>Volume Spike &amp; Near 52W High Breakout</t>
        </is>
      </c>
      <c r="X11" s="31" t="inlineStr">
        <is>
          <t>Nifty 50</t>
        </is>
      </c>
      <c r="Y11" s="32" t="n">
        <v>-10.55</v>
      </c>
      <c r="Z11" s="32" t="n">
        <v>71.98</v>
      </c>
      <c r="AA11" s="32" t="n">
        <v>92.26000000000001</v>
      </c>
      <c r="AB11" s="32" t="n">
        <v>26.74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IF(B12=0,"",RANK(B12,$B$2:$B$19,0))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139.2</v>
      </c>
      <c r="E12" s="32" t="inlineStr">
        <is>
          <t>5%</t>
        </is>
      </c>
      <c r="F12" s="32" t="n">
        <v>50000</v>
      </c>
      <c r="G12" s="32" t="n">
        <v>43</v>
      </c>
      <c r="H12" s="31" t="inlineStr">
        <is>
          <t>SHYAMMETL</t>
        </is>
      </c>
      <c r="I12" s="31" t="inlineStr">
        <is>
          <t>Shyam Metalics &amp; Energy Ltd</t>
        </is>
      </c>
      <c r="J12" s="31" t="inlineStr">
        <is>
          <t>metals &amp; mining</t>
        </is>
      </c>
      <c r="K12" s="31" t="inlineStr">
        <is>
          <t>steel - large</t>
        </is>
      </c>
      <c r="L12" s="31" t="inlineStr">
        <is>
          <t>largecap</t>
        </is>
      </c>
      <c r="M12" s="32" t="n">
        <v>31865.69</v>
      </c>
      <c r="N12" s="32" t="n">
        <v>1157</v>
      </c>
      <c r="O12" s="32" t="n">
        <v>1.35</v>
      </c>
      <c r="P12" s="32" t="n">
        <v>545252</v>
      </c>
      <c r="Q12" s="31" t="inlineStr"/>
      <c r="R12" s="31" t="inlineStr"/>
      <c r="S12" s="32">
        <f>IF(R12="Underperforming",-5,IF(Q12&gt;=95,15,IF(Q12&gt;=90,10,IF(Q12&gt;=80,5,0))))</f>
        <v/>
      </c>
      <c r="T12" s="32" t="n">
        <v>68.29000000000001</v>
      </c>
      <c r="U12" s="32" t="n">
        <v>29.11</v>
      </c>
      <c r="V12" s="32" t="n">
        <v>957.24</v>
      </c>
      <c r="W12" s="31" t="inlineStr">
        <is>
          <t>Near 52W High Breakout</t>
        </is>
      </c>
      <c r="X12" s="31" t="inlineStr">
        <is>
          <t>Nifty Metal</t>
        </is>
      </c>
      <c r="Y12" s="32" t="inlineStr"/>
      <c r="Z12" s="32" t="inlineStr"/>
      <c r="AA12" s="32" t="inlineStr"/>
      <c r="AB12" s="32" t="inlineStr"/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Cyclical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Volatile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IF(B13=0,"",RANK(B13,$B$2:$B$19,0))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139.1</v>
      </c>
      <c r="E13" s="32" t="inlineStr">
        <is>
          <t>5%</t>
        </is>
      </c>
      <c r="F13" s="32" t="n">
        <v>50000</v>
      </c>
      <c r="G13" s="32" t="n">
        <v>122</v>
      </c>
      <c r="H13" s="31" t="inlineStr">
        <is>
          <t>NAZARA</t>
        </is>
      </c>
      <c r="I13" s="31" t="inlineStr">
        <is>
          <t>Nazara Technologies Ltd</t>
        </is>
      </c>
      <c r="J13" s="31" t="inlineStr">
        <is>
          <t>i.t</t>
        </is>
      </c>
      <c r="K13" s="31" t="inlineStr">
        <is>
          <t>telecommunications - service provider</t>
        </is>
      </c>
      <c r="L13" s="31" t="inlineStr">
        <is>
          <t>midcap</t>
        </is>
      </c>
      <c r="M13" s="32" t="n">
        <v>15587.88</v>
      </c>
      <c r="N13" s="32" t="n">
        <v>406.7</v>
      </c>
      <c r="O13" s="32" t="n">
        <v>0.37</v>
      </c>
      <c r="P13" s="32" t="n">
        <v>1224190</v>
      </c>
      <c r="Q13" s="31" t="n">
        <v>54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77.17</v>
      </c>
      <c r="U13" s="32" t="n">
        <v>36.98</v>
      </c>
      <c r="V13" s="32" t="n">
        <v>334.61</v>
      </c>
      <c r="W13" s="31" t="inlineStr">
        <is>
          <t>Near 52W High Breakout</t>
        </is>
      </c>
      <c r="X13" s="31" t="inlineStr">
        <is>
          <t>Nifty IT</t>
        </is>
      </c>
      <c r="Y13" s="32" t="n">
        <v>-12.11</v>
      </c>
      <c r="Z13" s="32" t="n">
        <v>53.62</v>
      </c>
      <c r="AA13" s="32" t="n">
        <v>74.77</v>
      </c>
      <c r="AB13" s="32" t="n">
        <v>16.33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Oligopoly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IF(B14=0,"",RANK(B14,$B$2:$B$19,0))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138.8</v>
      </c>
      <c r="E14" s="32" t="inlineStr">
        <is>
          <t>5%</t>
        </is>
      </c>
      <c r="F14" s="32" t="n">
        <v>50000</v>
      </c>
      <c r="G14" s="32" t="n">
        <v>320</v>
      </c>
      <c r="H14" s="31" t="inlineStr">
        <is>
          <t>VHLTD</t>
        </is>
      </c>
      <c r="I14" s="31" t="inlineStr">
        <is>
          <t>Viceroy Hotels Ltd</t>
        </is>
      </c>
      <c r="J14" s="31" t="inlineStr">
        <is>
          <t>services</t>
        </is>
      </c>
      <c r="K14" s="31" t="inlineStr">
        <is>
          <t>hotels</t>
        </is>
      </c>
      <c r="L14" s="31" t="inlineStr">
        <is>
          <t>smallcap</t>
        </is>
      </c>
      <c r="M14" s="32" t="n">
        <v>1168.7</v>
      </c>
      <c r="N14" s="32" t="n">
        <v>155.93</v>
      </c>
      <c r="O14" s="32" t="n">
        <v>2.44</v>
      </c>
      <c r="P14" s="32" t="n">
        <v>35311</v>
      </c>
      <c r="Q14" s="31" t="n">
        <v>31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68.84999999999999</v>
      </c>
      <c r="U14" s="32" t="n">
        <v>19.64</v>
      </c>
      <c r="V14" s="32" t="n">
        <v>122.16</v>
      </c>
      <c r="W14" s="31" t="inlineStr">
        <is>
          <t>Near 52W High Breakout</t>
        </is>
      </c>
      <c r="X14" s="31" t="inlineStr">
        <is>
          <t>Nifty 50</t>
        </is>
      </c>
      <c r="Y14" s="32" t="n">
        <v>-10.55</v>
      </c>
      <c r="Z14" s="32" t="n">
        <v>22.58</v>
      </c>
      <c r="AA14" s="32" t="n">
        <v>37.03</v>
      </c>
      <c r="AB14" s="32" t="n">
        <v>8.42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0 to 20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IF(B15=0,"",RANK(B15,$B$2:$B$19,0))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136.8</v>
      </c>
      <c r="E15" s="32" t="inlineStr">
        <is>
          <t>5%</t>
        </is>
      </c>
      <c r="F15" s="32" t="n">
        <v>50000</v>
      </c>
      <c r="G15" s="32" t="n">
        <v>778</v>
      </c>
      <c r="H15" s="31" t="inlineStr">
        <is>
          <t>SBC</t>
        </is>
      </c>
      <c r="I15" s="31" t="inlineStr">
        <is>
          <t>SBC Exports Ltd</t>
        </is>
      </c>
      <c r="J15" s="31" t="inlineStr">
        <is>
          <t>textiles</t>
        </is>
      </c>
      <c r="K15" s="31" t="inlineStr">
        <is>
          <t>textiles - products</t>
        </is>
      </c>
      <c r="L15" s="31" t="inlineStr">
        <is>
          <t>smallcap</t>
        </is>
      </c>
      <c r="M15" s="32" t="n">
        <v>3052.85</v>
      </c>
      <c r="N15" s="32" t="n">
        <v>64.20999999999999</v>
      </c>
      <c r="O15" s="32" t="n">
        <v>0.16</v>
      </c>
      <c r="P15" s="32" t="n">
        <v>19922396</v>
      </c>
      <c r="Q15" s="31" t="n">
        <v>84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87.48999999999999</v>
      </c>
      <c r="U15" s="32" t="n">
        <v>32.85</v>
      </c>
      <c r="V15" s="32" t="n">
        <v>53.03</v>
      </c>
      <c r="W15" s="31" t="inlineStr">
        <is>
          <t>Near 52W High Breakout</t>
        </is>
      </c>
      <c r="X15" s="31" t="inlineStr">
        <is>
          <t>Nifty 50</t>
        </is>
      </c>
      <c r="Y15" s="32" t="n">
        <v>-10.55</v>
      </c>
      <c r="Z15" s="32" t="n">
        <v>175.93</v>
      </c>
      <c r="AA15" s="32" t="n">
        <v>208.48</v>
      </c>
      <c r="AB15" s="32" t="n">
        <v>34.05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IF(B16=0,"",RANK(B16,$B$2:$B$19,0))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EMA Crossover</t>
        </is>
      </c>
      <c r="D16" s="32" t="n">
        <v>135.5</v>
      </c>
      <c r="E16" s="32" t="inlineStr">
        <is>
          <t>7%</t>
        </is>
      </c>
      <c r="F16" s="32" t="n">
        <v>70000</v>
      </c>
      <c r="G16" s="32" t="n">
        <v>355</v>
      </c>
      <c r="H16" s="31" t="inlineStr">
        <is>
          <t>ORIENTELEC</t>
        </is>
      </c>
      <c r="I16" s="31" t="inlineStr">
        <is>
          <t>Orient Electric Ltd</t>
        </is>
      </c>
      <c r="J16" s="31" t="inlineStr">
        <is>
          <t>consumer discretionary</t>
        </is>
      </c>
      <c r="K16" s="31" t="inlineStr">
        <is>
          <t>domestic appliances</t>
        </is>
      </c>
      <c r="L16" s="31" t="inlineStr">
        <is>
          <t>smallcap</t>
        </is>
      </c>
      <c r="M16" s="32" t="n">
        <v>3709.58</v>
      </c>
      <c r="N16" s="32" t="n">
        <v>197.14</v>
      </c>
      <c r="O16" s="32" t="n">
        <v>13.39</v>
      </c>
      <c r="P16" s="32" t="n">
        <v>10829446</v>
      </c>
      <c r="Q16" s="31" t="n">
        <v>14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60.52</v>
      </c>
      <c r="U16" s="32" t="n">
        <v>15.93</v>
      </c>
      <c r="V16" s="32" t="n">
        <v>153.81</v>
      </c>
      <c r="W16" s="31" t="inlineStr">
        <is>
          <t>Volume Spike / Accumulation</t>
        </is>
      </c>
      <c r="X16" s="31" t="inlineStr">
        <is>
          <t>Nifty 50</t>
        </is>
      </c>
      <c r="Y16" s="32" t="n">
        <v>-10.55</v>
      </c>
      <c r="Z16" s="32" t="n">
        <v>-3.48</v>
      </c>
      <c r="AA16" s="32" t="n">
        <v>7.9</v>
      </c>
      <c r="AB16" s="32" t="n">
        <v>2.63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0 to 20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1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Less than 1.5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IF(B17=0,"",RANK(B17,$B$2:$B$19,0))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133.6</v>
      </c>
      <c r="E17" s="32" t="inlineStr">
        <is>
          <t>5%</t>
        </is>
      </c>
      <c r="F17" s="32" t="n">
        <v>50000</v>
      </c>
      <c r="G17" s="32" t="n">
        <v>701</v>
      </c>
      <c r="H17" s="31" t="inlineStr">
        <is>
          <t>BMWVENTLTD</t>
        </is>
      </c>
      <c r="I17" s="31" t="inlineStr">
        <is>
          <t>BMW Ventures Ltd</t>
        </is>
      </c>
      <c r="J17" s="31" t="inlineStr">
        <is>
          <t>services</t>
        </is>
      </c>
      <c r="K17" s="31" t="inlineStr">
        <is>
          <t>trading</t>
        </is>
      </c>
      <c r="L17" s="31" t="inlineStr">
        <is>
          <t>smallcap</t>
        </is>
      </c>
      <c r="M17" s="32" t="n">
        <v>567.8099999999999</v>
      </c>
      <c r="N17" s="32" t="n">
        <v>71.27</v>
      </c>
      <c r="O17" s="32" t="n">
        <v>8.84</v>
      </c>
      <c r="P17" s="32" t="n">
        <v>1720880</v>
      </c>
      <c r="Q17" s="31" t="n">
        <v>36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64.2</v>
      </c>
      <c r="U17" s="32" t="n">
        <v>14.29</v>
      </c>
      <c r="V17" s="32" t="n">
        <v>54.38</v>
      </c>
      <c r="W17" s="31" t="inlineStr">
        <is>
          <t>Volume Spike &amp; Near 52W High Breakout</t>
        </is>
      </c>
      <c r="X17" s="31" t="inlineStr">
        <is>
          <t>Nifty 50</t>
        </is>
      </c>
      <c r="Y17" s="32" t="n">
        <v>-10.55</v>
      </c>
      <c r="Z17" s="32" t="n">
        <v>21.64</v>
      </c>
      <c r="AA17" s="32" t="n">
        <v>35.99</v>
      </c>
      <c r="AB17" s="32" t="n">
        <v>9.76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1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IF(B18=0,"",RANK(B18,$B$2:$B$19,0))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EMA Crossover</t>
        </is>
      </c>
      <c r="D18" s="32" t="n">
        <v>143.6</v>
      </c>
      <c r="E18" s="32" t="inlineStr">
        <is>
          <t>7%</t>
        </is>
      </c>
      <c r="F18" s="32" t="n">
        <v>70000</v>
      </c>
      <c r="G18" s="32" t="n">
        <v>39</v>
      </c>
      <c r="H18" s="31" t="inlineStr">
        <is>
          <t>TATACOMM</t>
        </is>
      </c>
      <c r="I18" s="31" t="inlineStr">
        <is>
          <t>Tata Communications Limited</t>
        </is>
      </c>
      <c r="J18" s="31" t="inlineStr">
        <is>
          <t>telecom-service</t>
        </is>
      </c>
      <c r="K18" s="31" t="inlineStr">
        <is>
          <t>telecommunications - service provider</t>
        </is>
      </c>
      <c r="L18" s="31" t="inlineStr">
        <is>
          <t>largecap</t>
        </is>
      </c>
      <c r="M18" s="32" t="n">
        <v>47281.43</v>
      </c>
      <c r="N18" s="32" t="n">
        <v>1763.7</v>
      </c>
      <c r="O18" s="32" t="n">
        <v>6.32</v>
      </c>
      <c r="P18" s="32" t="n">
        <v>5090596</v>
      </c>
      <c r="Q18" s="31" t="n">
        <v>2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52.49</v>
      </c>
      <c r="U18" s="32" t="n">
        <v>6.68</v>
      </c>
      <c r="V18" s="32" t="n">
        <v>1470.47</v>
      </c>
      <c r="W18" s="31" t="inlineStr">
        <is>
          <t>Volume Spike / Accumulation</t>
        </is>
      </c>
      <c r="X18" s="31" t="inlineStr">
        <is>
          <t>Nifty 50</t>
        </is>
      </c>
      <c r="Y18" s="32" t="n">
        <v>-10.55</v>
      </c>
      <c r="Z18" s="32" t="n">
        <v>-7.64</v>
      </c>
      <c r="AA18" s="32" t="n">
        <v>3.26</v>
      </c>
      <c r="AB18" s="32" t="n">
        <v>-1.52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Oligopoly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Yes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1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IF(B19=0,"",RANK(B19,$B$2:$B$19,0))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136.7</v>
      </c>
      <c r="E19" s="32" t="inlineStr">
        <is>
          <t>5%</t>
        </is>
      </c>
      <c r="F19" s="32" t="n">
        <v>50000</v>
      </c>
      <c r="G19" s="32" t="n">
        <v>57</v>
      </c>
      <c r="H19" s="31" t="inlineStr">
        <is>
          <t>SVLL</t>
        </is>
      </c>
      <c r="I19" s="31" t="inlineStr">
        <is>
          <t>Shree Vasu Logistics Ltd</t>
        </is>
      </c>
      <c r="J19" s="31" t="inlineStr">
        <is>
          <t>transportation</t>
        </is>
      </c>
      <c r="K19" s="31" t="inlineStr">
        <is>
          <t>miscellaneous</t>
        </is>
      </c>
      <c r="L19" s="31" t="inlineStr">
        <is>
          <t>smallcap</t>
        </is>
      </c>
      <c r="M19" s="32" t="n">
        <v>982.37</v>
      </c>
      <c r="N19" s="32" t="n">
        <v>867.95</v>
      </c>
      <c r="O19" s="32" t="n">
        <v>1.55</v>
      </c>
      <c r="P19" s="32" t="n">
        <v>8193</v>
      </c>
      <c r="Q19" s="31" t="inlineStr"/>
      <c r="R19" s="31" t="inlineStr"/>
      <c r="S19" s="32">
        <f>IF(R19="Underperforming",-5,IF(Q19&gt;=95,15,IF(Q19&gt;=90,10,IF(Q19&gt;=80,5,0))))</f>
        <v/>
      </c>
      <c r="T19" s="32" t="inlineStr"/>
      <c r="U19" s="32" t="inlineStr"/>
      <c r="V19" s="32" t="inlineStr"/>
      <c r="W19" s="31" t="inlineStr"/>
      <c r="X19" s="31" t="inlineStr"/>
      <c r="Y19" s="32" t="inlineStr"/>
      <c r="Z19" s="32" t="inlineStr"/>
      <c r="AA19" s="32" t="inlineStr"/>
      <c r="AB19" s="32" t="inlineStr"/>
      <c r="AC19" s="31" t="n"/>
      <c r="AD19" s="31">
        <f>IF(AC19="Growing Industry",10,IF(AC19="Cyclical in an Upturn",5,0))</f>
        <v/>
      </c>
      <c r="AE19" s="31" t="n"/>
      <c r="AF19" s="31">
        <f>IF(AE19="Monopoly",10,IF(AE19="Oligopoly",5,IF(AE19="Duopoly that cooperate",10,IF(AE19="Duopoly that compete",5,IF(AE19="Too many players with High ROCE",5,0)))))</f>
        <v/>
      </c>
      <c r="AG19" s="31" t="n"/>
      <c r="AH19" s="31">
        <f>IF(AG19="No",5,0)</f>
        <v/>
      </c>
      <c r="AI19" s="31" t="n"/>
      <c r="AJ19" s="31">
        <f>IF(AI19="Tailwind",10,0)</f>
        <v/>
      </c>
      <c r="AK19" s="31" t="n"/>
      <c r="AL19" s="31">
        <f>IF(AK19="Structural (10 Years Consistency)",10,IF(AK19="Shallow Cyclical (2 to 3 years growth)",5,0))</f>
        <v/>
      </c>
      <c r="AM19" s="31" t="n"/>
      <c r="AN19" s="31">
        <f>IF(AM19="Yes due to Product Mix change or Operating Leverage",10,IF(AM19="Yes, these are peak margins",-5,IF(AM19="No",5,0)))</f>
        <v/>
      </c>
      <c r="AO19" s="31" t="n"/>
      <c r="AP19" s="31">
        <f>IF(AO19="Stable",10,0)</f>
        <v/>
      </c>
      <c r="AQ19" s="31" t="n"/>
      <c r="AR19" s="31">
        <f>IF(AQ19="Yes",10,0)</f>
        <v/>
      </c>
      <c r="AS19" s="31" t="n"/>
      <c r="AT19" s="31">
        <f>IF(AS19="B2C",10,IF(AS19="B2B",5,0))</f>
        <v/>
      </c>
      <c r="AU19" s="31" t="n"/>
      <c r="AV19" s="31">
        <f>IF(AU19="Yes",10,0)</f>
        <v/>
      </c>
      <c r="AW19" s="31" t="n"/>
      <c r="AX19" s="31">
        <f>IF(AW19="Fully Annuity",10,IF(AW19="Higher Annuity, Lower One Time",5,IF(AW19="Higher One Time, Lower Annuity",3,0)))</f>
        <v/>
      </c>
      <c r="AY19" s="31" t="n"/>
      <c r="AZ19" s="31">
        <f>IF(AY19="Good",10,0)</f>
        <v/>
      </c>
      <c r="BA19" s="31" t="n"/>
      <c r="BB19" s="31">
        <f>IF(BA19="Yes for more than 2 years",10,IF(BA19="Yes only for next 1 to 2 years",5,0))</f>
        <v/>
      </c>
      <c r="BC19" s="31" t="n"/>
      <c r="BD19" s="31">
        <f>IF(BC19="Above 40",20,IF(BC19="20 to 40",10,IF(BC19="0 to 20",-5,0)))</f>
        <v/>
      </c>
      <c r="BE19" s="31" t="n"/>
      <c r="BF19" s="31">
        <f>IF(BE19="Between 50 to 75",10,IF(BE19="Above 75",0,0))</f>
        <v/>
      </c>
      <c r="BG19" s="31" t="n"/>
      <c r="BH19" s="31">
        <f>IF(BG19="Stage 2",20,IF(BG19="Stage 1",0,IF(BG19="Stage 3",5,IF(BG19="Stage 4",-5,0))))</f>
        <v/>
      </c>
      <c r="BI19" s="31" t="n"/>
      <c r="BJ19" s="31">
        <f>IF(BI19="Positive Trend",20,IF(BI19="Negative Trend",-10,0))</f>
        <v/>
      </c>
      <c r="BK19" s="31" t="n"/>
      <c r="BL19" s="31">
        <f>IF(BK19="Uptrend",10,IF(BK19="Sideways",5,0))</f>
        <v/>
      </c>
      <c r="BM19" s="31" t="n"/>
      <c r="BN19" s="31">
        <f>IF(BM19="Uptrend",10,IF(BM19="Sideways",5,0))</f>
        <v/>
      </c>
      <c r="BO19" s="31" t="n"/>
      <c r="BP19" s="31">
        <f>IF(BO19="Overhead supply in last 2 years in last 2 years",-5,IF(BO19="Close to 52 week high or retracement",5,IF(BO19="Blue sky scenario",10,IF(BO19="Long term Downtrend",-10,0))))</f>
        <v/>
      </c>
      <c r="BQ19" s="31" t="n"/>
      <c r="BR19" s="31">
        <f>IF(BQ19="Yes",10,0)</f>
        <v/>
      </c>
      <c r="BS19" s="31" t="n"/>
      <c r="BT19" s="31">
        <f>IF(BS19="More than 20%",10,IF(BS19="Between 12 to 20%",5,IF(BS19="Less than 12%",0,0)))</f>
        <v/>
      </c>
      <c r="BU19" s="31" t="n"/>
      <c r="BV19" s="31">
        <f>IF(BU19="No",10,0)</f>
        <v/>
      </c>
      <c r="BW19" s="31" t="n"/>
      <c r="BX19" s="31">
        <f>IF(BW19="NO",5,0)</f>
        <v/>
      </c>
      <c r="BY19" s="31" t="n"/>
      <c r="BZ19" s="31">
        <f>IF(BY19="Above 2",0,IF(BY19="Between 1.5 to 2",5,IF(BY19="Less than 1.5",10,0)))</f>
        <v/>
      </c>
      <c r="CA19" s="31" t="n"/>
      <c r="CB19" s="31">
        <f>IF(CA19="Above 70%",10,IF(CA19="Between 50% to 70%",5,IF(CA19="Less than 50%",0,IF(CA19="Negative",-10,IF(CA19="Less than 50% and Borrowings are increasing",-5,0)))))</f>
        <v/>
      </c>
      <c r="CC19" s="31" t="n"/>
      <c r="CD19" s="31">
        <f>IF(CC19="More than 1.2",-10,IF(CC19="Between 0.7 to 1.2",0,IF(CC19="Less than 0.7",10,0)))</f>
        <v/>
      </c>
      <c r="CE19" s="31" t="n"/>
      <c r="CF19" s="31">
        <f>IF(CE19="Yes",-10,0)</f>
        <v/>
      </c>
      <c r="CG19" s="31" t="n"/>
      <c r="CH19" s="31">
        <f>IF(CG19="More than 15%",-10,IF(CG19="Less than 15%",10,0))</f>
        <v/>
      </c>
      <c r="CI19" s="31" t="n"/>
      <c r="CJ19" s="31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IF(B2=0,"",RANK(B2,$B$2:$B$5,0))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ATH Momentum</t>
        </is>
      </c>
      <c r="D2" s="32" t="n">
        <v>72.90000000000001</v>
      </c>
      <c r="E2" s="32" t="inlineStr">
        <is>
          <t>4%</t>
        </is>
      </c>
      <c r="F2" s="32" t="n">
        <v>40000</v>
      </c>
      <c r="G2" s="32" t="n">
        <v>286</v>
      </c>
      <c r="H2" s="31" t="inlineStr">
        <is>
          <t>MUFIN</t>
        </is>
      </c>
      <c r="I2" s="31" t="inlineStr">
        <is>
          <t>Mufin Green Finance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2778.23</v>
      </c>
      <c r="N2" s="32" t="n">
        <v>139.54</v>
      </c>
      <c r="O2" s="32" t="n">
        <v>-0.47</v>
      </c>
      <c r="P2" s="32" t="n">
        <v>1378806</v>
      </c>
      <c r="Q2" s="31" t="n">
        <v>34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63.02</v>
      </c>
      <c r="U2" s="32" t="n">
        <v>29.58</v>
      </c>
      <c r="V2" s="32" t="n">
        <v>115.34</v>
      </c>
      <c r="W2" s="31" t="inlineStr">
        <is>
          <t>Near 52W High Breakout</t>
        </is>
      </c>
      <c r="X2" s="31" t="inlineStr">
        <is>
          <t>Nifty Bank</t>
        </is>
      </c>
      <c r="Y2" s="32" t="n">
        <v>-3.3</v>
      </c>
      <c r="Z2" s="32" t="n">
        <v>43.86</v>
      </c>
      <c r="AA2" s="32" t="n">
        <v>48.76</v>
      </c>
      <c r="AB2" s="32" t="n">
        <v>9.52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IF(B3=0,"",RANK(B3,$B$2:$B$5,0))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137.6</v>
      </c>
      <c r="E3" s="32" t="inlineStr">
        <is>
          <t>5%</t>
        </is>
      </c>
      <c r="F3" s="32" t="n">
        <v>50000</v>
      </c>
      <c r="G3" s="32" t="n">
        <v>111</v>
      </c>
      <c r="H3" s="31" t="inlineStr">
        <is>
          <t>KOTAKBANK</t>
        </is>
      </c>
      <c r="I3" s="31" t="inlineStr">
        <is>
          <t>Kotak Mahindra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435715.59</v>
      </c>
      <c r="N3" s="32" t="n">
        <v>447.95</v>
      </c>
      <c r="O3" s="32" t="n">
        <v>2.26</v>
      </c>
      <c r="P3" s="32" t="n">
        <v>32710771</v>
      </c>
      <c r="Q3" s="31" t="n">
        <v>17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66.38</v>
      </c>
      <c r="U3" s="32" t="n">
        <v>14.92</v>
      </c>
      <c r="V3" s="32" t="n">
        <v>390.66</v>
      </c>
      <c r="W3" s="31" t="inlineStr">
        <is>
          <t>Near 52W High Breakout</t>
        </is>
      </c>
      <c r="X3" s="31" t="inlineStr">
        <is>
          <t>Nifty Bank</t>
        </is>
      </c>
      <c r="Y3" s="32" t="n">
        <v>-3.3</v>
      </c>
      <c r="Z3" s="32" t="n">
        <v>1.71</v>
      </c>
      <c r="AA3" s="32" t="n">
        <v>5.18</v>
      </c>
      <c r="AB3" s="32" t="n">
        <v>3.62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0 to 20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IF(B4=0,"",RANK(B4,$B$2:$B$5,0))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ATH Momentum</t>
        </is>
      </c>
      <c r="D4" s="32" t="n">
        <v>74.09999999999999</v>
      </c>
      <c r="E4" s="32" t="inlineStr">
        <is>
          <t>4%</t>
        </is>
      </c>
      <c r="F4" s="32" t="n">
        <v>40000</v>
      </c>
      <c r="G4" s="32" t="n">
        <v>54</v>
      </c>
      <c r="H4" s="31" t="inlineStr">
        <is>
          <t>GCSL</t>
        </is>
      </c>
      <c r="I4" s="31" t="inlineStr">
        <is>
          <t>Gretex Corporate Services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smallcap</t>
        </is>
      </c>
      <c r="M4" s="32" t="n">
        <v>1847.9</v>
      </c>
      <c r="N4" s="32" t="n">
        <v>735.3</v>
      </c>
      <c r="O4" s="32" t="n">
        <v>-0.5</v>
      </c>
      <c r="P4" s="32" t="n">
        <v>279530</v>
      </c>
      <c r="Q4" s="31" t="n">
        <v>89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83.76000000000001</v>
      </c>
      <c r="U4" s="32" t="n">
        <v>35.36</v>
      </c>
      <c r="V4" s="32" t="n">
        <v>605.72</v>
      </c>
      <c r="W4" s="31" t="inlineStr">
        <is>
          <t>Near 52W High Breakout</t>
        </is>
      </c>
      <c r="X4" s="31" t="inlineStr">
        <is>
          <t>Nifty Bank</t>
        </is>
      </c>
      <c r="Y4" s="32" t="n">
        <v>-3.3</v>
      </c>
      <c r="Z4" s="32" t="n">
        <v>233.92</v>
      </c>
      <c r="AA4" s="32" t="n">
        <v>245.31</v>
      </c>
      <c r="AB4" s="32" t="n">
        <v>37.68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above 5x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Above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IF(B5=0,"",RANK(B5,$B$2:$B$5,0))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EMA Crossover</t>
        </is>
      </c>
      <c r="D5" s="32" t="n">
        <v>154.1</v>
      </c>
      <c r="E5" s="32" t="inlineStr">
        <is>
          <t>7%</t>
        </is>
      </c>
      <c r="F5" s="32" t="n">
        <v>70000</v>
      </c>
      <c r="G5" s="32" t="n">
        <v>50</v>
      </c>
      <c r="H5" s="31" t="inlineStr">
        <is>
          <t>ICICIBANK</t>
        </is>
      </c>
      <c r="I5" s="31" t="inlineStr">
        <is>
          <t>Icici Bank Limited</t>
        </is>
      </c>
      <c r="J5" s="31" t="inlineStr">
        <is>
          <t>bank</t>
        </is>
      </c>
      <c r="K5" s="31" t="inlineStr">
        <is>
          <t>banks - private sector</t>
        </is>
      </c>
      <c r="L5" s="31" t="inlineStr">
        <is>
          <t>largecap</t>
        </is>
      </c>
      <c r="M5" s="32" t="n">
        <v>960260.2</v>
      </c>
      <c r="N5" s="32" t="n">
        <v>1389.4</v>
      </c>
      <c r="O5" s="32" t="n">
        <v>3.8</v>
      </c>
      <c r="P5" s="32" t="n">
        <v>17551899</v>
      </c>
      <c r="Q5" s="31" t="n">
        <v>4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54.8</v>
      </c>
      <c r="U5" s="32" t="n">
        <v>20.36</v>
      </c>
      <c r="V5" s="32" t="n">
        <v>1275.45</v>
      </c>
      <c r="W5" s="31" t="inlineStr">
        <is>
          <t>Near 52W High Breakout</t>
        </is>
      </c>
      <c r="X5" s="31" t="inlineStr">
        <is>
          <t>Nifty Bank</t>
        </is>
      </c>
      <c r="Y5" s="32" t="n">
        <v>-3.3</v>
      </c>
      <c r="Z5" s="32" t="n">
        <v>-2.47</v>
      </c>
      <c r="AA5" s="32" t="n">
        <v>0.86</v>
      </c>
      <c r="AB5" s="32" t="n">
        <v>-1.01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between 2.5x to 5x and Growth less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20 to 40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1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IF(B2=0,"",RANK(B2,$B$2:$B$92,0))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PGIL</t>
        </is>
      </c>
      <c r="D2" s="31" t="inlineStr">
        <is>
          <t>Pearl Global Industries Ltd</t>
        </is>
      </c>
      <c r="E2" s="31" t="inlineStr">
        <is>
          <t>Consumer Cyclical</t>
        </is>
      </c>
      <c r="F2" s="31" t="inlineStr">
        <is>
          <t>Textiles Readymade Apparel</t>
        </is>
      </c>
      <c r="G2" s="31" t="inlineStr">
        <is>
          <t>midcap</t>
        </is>
      </c>
      <c r="H2" s="32" t="n">
        <v>11771.2</v>
      </c>
      <c r="I2" s="32" t="n">
        <v>1274.2</v>
      </c>
      <c r="J2" s="32" t="n">
        <v>-2.18</v>
      </c>
      <c r="K2" s="32" t="n">
        <v>0</v>
      </c>
      <c r="L2" s="31" t="n">
        <v>61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64.98999999999999</v>
      </c>
      <c r="P2" s="32" t="n">
        <v>59.84</v>
      </c>
      <c r="Q2" s="32" t="n">
        <v>1012.22</v>
      </c>
      <c r="R2" s="31" t="inlineStr">
        <is>
          <t>Near 52W High Breakout</t>
        </is>
      </c>
      <c r="S2" s="31" t="inlineStr">
        <is>
          <t>Nifty 50</t>
        </is>
      </c>
      <c r="T2" s="32" t="n">
        <v>-10.55</v>
      </c>
      <c r="U2" s="32" t="n">
        <v>89.06999999999999</v>
      </c>
      <c r="V2" s="32" t="n">
        <v>111.37</v>
      </c>
      <c r="W2" s="32" t="n">
        <v>18.73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18</t>
        </is>
      </c>
      <c r="CG2" s="31">
        <f>IF(CF2&gt;20,10,IF(CF2&gt;=10,5,2))</f>
        <v/>
      </c>
    </row>
    <row r="3">
      <c r="A3" s="31">
        <f>IF(B3=0,"",RANK(B3,$B$2:$B$92,0))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AXISOL</t>
        </is>
      </c>
      <c r="D3" s="31" t="inlineStr">
        <is>
          <t>Axis Solutions Ltd</t>
        </is>
      </c>
      <c r="E3" s="31" t="inlineStr">
        <is>
          <t>Industrials</t>
        </is>
      </c>
      <c r="F3" s="31" t="inlineStr">
        <is>
          <t>Engineering Light General</t>
        </is>
      </c>
      <c r="G3" s="31" t="inlineStr">
        <is>
          <t>smallcap</t>
        </is>
      </c>
      <c r="H3" s="32" t="n">
        <v>2945.26</v>
      </c>
      <c r="I3" s="32" t="n">
        <v>623.2</v>
      </c>
      <c r="J3" s="32" t="n">
        <v>1.48</v>
      </c>
      <c r="K3" s="32" t="n">
        <v>0</v>
      </c>
      <c r="L3" s="31" t="n">
        <v>99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73.86</v>
      </c>
      <c r="P3" s="32" t="n">
        <v>64.02</v>
      </c>
      <c r="Q3" s="32" t="n">
        <v>511.84</v>
      </c>
      <c r="R3" s="31" t="inlineStr">
        <is>
          <t>Near 52W High Breakout</t>
        </is>
      </c>
      <c r="S3" s="31" t="inlineStr">
        <is>
          <t>Nifty 50</t>
        </is>
      </c>
      <c r="T3" s="32" t="n">
        <v>-10.55</v>
      </c>
      <c r="U3" s="32" t="n">
        <v>1327.07</v>
      </c>
      <c r="V3" s="32" t="n">
        <v>1495.39</v>
      </c>
      <c r="W3" s="32" t="n">
        <v>102.28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18</t>
        </is>
      </c>
      <c r="CG3" s="31">
        <f>IF(CF3&gt;20,10,IF(CF3&gt;=10,5,2))</f>
        <v/>
      </c>
    </row>
    <row r="4">
      <c r="A4" s="31">
        <f>IF(B4=0,"",RANK(B4,$B$2:$B$92,0))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MODISONLTD</t>
        </is>
      </c>
      <c r="D4" s="31" t="inlineStr">
        <is>
          <t>Modison Ltd</t>
        </is>
      </c>
      <c r="E4" s="31" t="inlineStr">
        <is>
          <t>industrials</t>
        </is>
      </c>
      <c r="F4" s="31" t="inlineStr">
        <is>
          <t>Capital Goods Electric General</t>
        </is>
      </c>
      <c r="G4" s="31" t="inlineStr">
        <is>
          <t>smallcap</t>
        </is>
      </c>
      <c r="H4" s="32" t="n">
        <v>1703.63</v>
      </c>
      <c r="I4" s="32" t="n">
        <v>525</v>
      </c>
      <c r="J4" s="32" t="n">
        <v>-3.72</v>
      </c>
      <c r="K4" s="32" t="n">
        <v>0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74.19</v>
      </c>
      <c r="P4" s="32" t="n">
        <v>57.62</v>
      </c>
      <c r="Q4" s="32" t="n">
        <v>372.89</v>
      </c>
      <c r="R4" s="31" t="inlineStr">
        <is>
          <t>Near 52W High Breakout</t>
        </is>
      </c>
      <c r="S4" s="31" t="inlineStr">
        <is>
          <t>Nifty 50</t>
        </is>
      </c>
      <c r="T4" s="32" t="n">
        <v>-10.55</v>
      </c>
      <c r="U4" s="32" t="n">
        <v>246.46</v>
      </c>
      <c r="V4" s="32" t="n">
        <v>287.33</v>
      </c>
      <c r="W4" s="32" t="n">
        <v>50.88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22</t>
        </is>
      </c>
      <c r="CG4" s="31">
        <f>IF(CF4&gt;20,10,IF(CF4&gt;=10,5,2))</f>
        <v/>
      </c>
    </row>
    <row r="5">
      <c r="A5" s="31">
        <f>IF(B5=0,"",RANK(B5,$B$2:$B$92,0))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IBULLSLTD</t>
        </is>
      </c>
      <c r="D5" s="31" t="inlineStr">
        <is>
          <t>Indiabulls Limited</t>
        </is>
      </c>
      <c r="E5" s="31" t="inlineStr">
        <is>
          <t>miscellaneous</t>
        </is>
      </c>
      <c r="F5" s="31" t="inlineStr">
        <is>
          <t>Diversified</t>
        </is>
      </c>
      <c r="G5" s="31" t="inlineStr">
        <is>
          <t>midcap</t>
        </is>
      </c>
      <c r="H5" s="32" t="n">
        <v>8309.639999999999</v>
      </c>
      <c r="I5" s="32" t="n">
        <v>35.63</v>
      </c>
      <c r="J5" s="32" t="n">
        <v>-5.34</v>
      </c>
      <c r="K5" s="32" t="n">
        <v>0</v>
      </c>
      <c r="L5" s="31" t="n">
        <v>68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71.05</v>
      </c>
      <c r="P5" s="32" t="n">
        <v>40.06</v>
      </c>
      <c r="Q5" s="32" t="n">
        <v>25.82</v>
      </c>
      <c r="R5" s="31" t="inlineStr">
        <is>
          <t>Near 52W High Breakout</t>
        </is>
      </c>
      <c r="S5" s="31" t="inlineStr">
        <is>
          <t>Nifty 50</t>
        </is>
      </c>
      <c r="T5" s="32" t="n">
        <v>-10.55</v>
      </c>
      <c r="U5" s="32" t="n">
        <v>101.07</v>
      </c>
      <c r="V5" s="32" t="n">
        <v>124.78</v>
      </c>
      <c r="W5" s="32" t="n">
        <v>24.05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21</t>
        </is>
      </c>
      <c r="CG5" s="31">
        <f>IF(CF5&gt;20,10,IF(CF5&gt;=10,5,2))</f>
        <v/>
      </c>
    </row>
    <row r="6">
      <c r="A6" s="31">
        <f>IF(B6=0,"",RANK(B6,$B$2:$B$92,0))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KROSS</t>
        </is>
      </c>
      <c r="D6" s="34" t="inlineStr">
        <is>
          <t>Kross Ltd</t>
        </is>
      </c>
      <c r="E6" s="31" t="inlineStr">
        <is>
          <t>auto</t>
        </is>
      </c>
      <c r="F6" s="31" t="inlineStr">
        <is>
          <t>Auto Transmission</t>
        </is>
      </c>
      <c r="G6" s="31" t="inlineStr">
        <is>
          <t>smallcap</t>
        </is>
      </c>
      <c r="H6" s="32" t="n">
        <v>1741.75</v>
      </c>
      <c r="I6" s="32" t="n">
        <v>270</v>
      </c>
      <c r="J6" s="32" t="n">
        <v>-0.83</v>
      </c>
      <c r="K6" s="32" t="n">
        <v>0</v>
      </c>
      <c r="L6" s="31" t="inlineStr"/>
      <c r="M6" s="31" t="inlineStr"/>
      <c r="N6" s="32">
        <f>IF(M6="Underperforming",-5,IF(L6&gt;=95,15,IF(L6&gt;=90,10,IF(L6&gt;=80,5,0))))</f>
        <v/>
      </c>
      <c r="O6" s="32" t="n">
        <v>67.58</v>
      </c>
      <c r="P6" s="32" t="n">
        <v>40.38</v>
      </c>
      <c r="Q6" s="32" t="n">
        <v>199.45</v>
      </c>
      <c r="R6" s="31" t="inlineStr">
        <is>
          <t>Volume Spike &amp; Near 52W High Breakout</t>
        </is>
      </c>
      <c r="S6" s="31" t="inlineStr">
        <is>
          <t>Nifty Auto</t>
        </is>
      </c>
      <c r="T6" s="32" t="inlineStr"/>
      <c r="U6" s="32" t="inlineStr"/>
      <c r="V6" s="32" t="inlineStr"/>
      <c r="W6" s="32" t="inlineStr"/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18</t>
        </is>
      </c>
      <c r="CG6" s="31">
        <f>IF(CF6&gt;20,10,IF(CF6&gt;=10,5,2))</f>
        <v/>
      </c>
    </row>
    <row r="7">
      <c r="A7" s="31">
        <f>IF(B7=0,"",RANK(B7,$B$2:$B$92,0))</f>
        <v/>
      </c>
      <c r="B7" s="32">
        <f>SUM(N7,Y7,AA7,AC7,AE7,AG7,AI7,AK7,AM7,AO7,AQ7,AS7,AU7,AW7,AY7,BA7,BC7,BE7,BG7,BI7,BK7,BM7,BO7,BQ7,BS7,BU7,BW7,BY7,CA7,CC7,CE7,CG7)</f>
        <v/>
      </c>
      <c r="C7" s="34" t="inlineStr">
        <is>
          <t>AIMTRON</t>
        </is>
      </c>
      <c r="D7" s="34" t="inlineStr">
        <is>
          <t>Aimtron Electronics Ltd</t>
        </is>
      </c>
      <c r="E7" s="31" t="inlineStr">
        <is>
          <t>unknown</t>
        </is>
      </c>
      <c r="F7" s="31" t="inlineStr">
        <is>
          <t>EMS</t>
        </is>
      </c>
      <c r="G7" s="31" t="inlineStr">
        <is>
          <t>smallcap</t>
        </is>
      </c>
      <c r="H7" s="32" t="n">
        <v>3776.22</v>
      </c>
      <c r="I7" s="32" t="n">
        <v>1775</v>
      </c>
      <c r="J7" s="32" t="n">
        <v>-3.8</v>
      </c>
      <c r="K7" s="32" t="n">
        <v>0</v>
      </c>
      <c r="L7" s="31" t="n">
        <v>75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66.73</v>
      </c>
      <c r="P7" s="32" t="n">
        <v>63.56</v>
      </c>
      <c r="Q7" s="32" t="n">
        <v>1400.54</v>
      </c>
      <c r="R7" s="31" t="inlineStr">
        <is>
          <t>Near 52W High Breakout</t>
        </is>
      </c>
      <c r="S7" s="31" t="inlineStr">
        <is>
          <t>Nifty 50</t>
        </is>
      </c>
      <c r="T7" s="32" t="n">
        <v>-10.55</v>
      </c>
      <c r="U7" s="32" t="n">
        <v>152.72</v>
      </c>
      <c r="V7" s="32" t="n">
        <v>182.53</v>
      </c>
      <c r="W7" s="32" t="n">
        <v>28.65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15</t>
        </is>
      </c>
      <c r="CG7" s="31">
        <f>IF(CF7&gt;20,10,IF(CF7&gt;=10,5,2))</f>
        <v/>
      </c>
    </row>
    <row r="8">
      <c r="A8" s="31">
        <f>IF(B8=0,"",RANK(B8,$B$2:$B$92,0))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AVTNPL</t>
        </is>
      </c>
      <c r="D8" s="31" t="inlineStr">
        <is>
          <t>AVT Natural Products Ltd</t>
        </is>
      </c>
      <c r="E8" s="31" t="inlineStr">
        <is>
          <t>fmcg</t>
        </is>
      </c>
      <c r="F8" s="31" t="inlineStr">
        <is>
          <t>Natural Extracts and Food Ingredients</t>
        </is>
      </c>
      <c r="G8" s="31" t="inlineStr">
        <is>
          <t>smallcap</t>
        </is>
      </c>
      <c r="H8" s="32" t="n">
        <v>1531.22</v>
      </c>
      <c r="I8" s="32" t="n">
        <v>100.55</v>
      </c>
      <c r="J8" s="32" t="n">
        <v>1.73</v>
      </c>
      <c r="K8" s="32" t="n">
        <v>0</v>
      </c>
      <c r="L8" s="31" t="inlineStr"/>
      <c r="M8" s="31" t="inlineStr"/>
      <c r="N8" s="32">
        <f>IF(M8="Underperforming",-5,IF(L8&gt;=95,15,IF(L8&gt;=90,10,IF(L8&gt;=80,5,0))))</f>
        <v/>
      </c>
      <c r="O8" s="32" t="n">
        <v>71.77</v>
      </c>
      <c r="P8" s="32" t="n">
        <v>55.42</v>
      </c>
      <c r="Q8" s="32" t="n">
        <v>75.44</v>
      </c>
      <c r="R8" s="31" t="inlineStr">
        <is>
          <t>Near 52W High Breakout</t>
        </is>
      </c>
      <c r="S8" s="31" t="inlineStr">
        <is>
          <t>Nifty FMCG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19</t>
        </is>
      </c>
      <c r="CG8" s="31">
        <f>IF(CF8&gt;20,10,IF(CF8&gt;=10,5,2))</f>
        <v/>
      </c>
    </row>
    <row r="9">
      <c r="A9" s="31">
        <f>IF(B9=0,"",RANK(B9,$B$2:$B$92,0))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TCPLPACK</t>
        </is>
      </c>
      <c r="D9" s="31" t="inlineStr">
        <is>
          <t>TCPL Packaging Ltd</t>
        </is>
      </c>
      <c r="E9" s="31" t="inlineStr">
        <is>
          <t>industrials</t>
        </is>
      </c>
      <c r="F9" s="31" t="inlineStr">
        <is>
          <t>Packaging FMCG and Consumers</t>
        </is>
      </c>
      <c r="G9" s="31" t="inlineStr">
        <is>
          <t>smallcap</t>
        </is>
      </c>
      <c r="H9" s="32" t="n">
        <v>4074.07</v>
      </c>
      <c r="I9" s="32" t="n">
        <v>4477</v>
      </c>
      <c r="J9" s="32" t="n">
        <v>2.21</v>
      </c>
      <c r="K9" s="32" t="n">
        <v>0</v>
      </c>
      <c r="L9" s="31" t="n">
        <v>49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70.42</v>
      </c>
      <c r="P9" s="32" t="n">
        <v>52.76</v>
      </c>
      <c r="Q9" s="32" t="n">
        <v>3474.29</v>
      </c>
      <c r="R9" s="31" t="inlineStr">
        <is>
          <t>Near 52W High Breakout</t>
        </is>
      </c>
      <c r="S9" s="31" t="inlineStr">
        <is>
          <t>Nifty 50</t>
        </is>
      </c>
      <c r="T9" s="32" t="n">
        <v>-10.55</v>
      </c>
      <c r="U9" s="32" t="n">
        <v>27.48</v>
      </c>
      <c r="V9" s="32" t="n">
        <v>42.52</v>
      </c>
      <c r="W9" s="32" t="n">
        <v>15.2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Between 0.7 to 1.2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17</t>
        </is>
      </c>
      <c r="CG9" s="31">
        <f>IF(CF9&gt;20,10,IF(CF9&gt;=10,5,2))</f>
        <v/>
      </c>
    </row>
    <row r="10">
      <c r="A10" s="31">
        <f>IF(B10=0,"",RANK(B10,$B$2:$B$92,0))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VINCOFE</t>
        </is>
      </c>
      <c r="D10" s="31" t="inlineStr">
        <is>
          <t>Vintage Coffee &amp; Beverages Ltd</t>
        </is>
      </c>
      <c r="E10" s="31" t="inlineStr">
        <is>
          <t>Consumer Defensive</t>
        </is>
      </c>
      <c r="F10" s="31" t="inlineStr">
        <is>
          <t>FMCG Coffee</t>
        </is>
      </c>
      <c r="G10" s="31" t="inlineStr">
        <is>
          <t>smallcap</t>
        </is>
      </c>
      <c r="H10" s="32" t="n">
        <v>2619.21</v>
      </c>
      <c r="I10" s="32" t="n">
        <v>178.8</v>
      </c>
      <c r="J10" s="32" t="n">
        <v>0.25</v>
      </c>
      <c r="K10" s="32" t="n">
        <v>0</v>
      </c>
      <c r="L10" s="31" t="n">
        <v>27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61.41</v>
      </c>
      <c r="P10" s="32" t="n">
        <v>30.29</v>
      </c>
      <c r="Q10" s="32" t="n">
        <v>138.78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-10.55</v>
      </c>
      <c r="U10" s="32" t="n">
        <v>23.62</v>
      </c>
      <c r="V10" s="32" t="n">
        <v>38.2</v>
      </c>
      <c r="W10" s="32" t="n">
        <v>7.08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16</t>
        </is>
      </c>
      <c r="CG10" s="31">
        <f>IF(CF10&gt;20,10,IF(CF10&gt;=10,5,2))</f>
        <v/>
      </c>
    </row>
    <row r="11">
      <c r="A11" s="31">
        <f>IF(B11=0,"",RANK(B11,$B$2:$B$92,0))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DPABHUSHAN</t>
        </is>
      </c>
      <c r="D11" s="31" t="inlineStr">
        <is>
          <t>DP Abhushan Ltd</t>
        </is>
      </c>
      <c r="E11" s="31" t="inlineStr">
        <is>
          <t>consumer discretionary</t>
        </is>
      </c>
      <c r="F11" s="31" t="inlineStr">
        <is>
          <t>Diamond Gems and Jewellery</t>
        </is>
      </c>
      <c r="G11" s="31" t="inlineStr">
        <is>
          <t>midcap</t>
        </is>
      </c>
      <c r="H11" s="32" t="n">
        <v>5428.25</v>
      </c>
      <c r="I11" s="32" t="n">
        <v>2377.9</v>
      </c>
      <c r="J11" s="32" t="n">
        <v>-2.46</v>
      </c>
      <c r="K11" s="32" t="n">
        <v>0</v>
      </c>
      <c r="L11" s="31" t="n">
        <v>80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82.40000000000001</v>
      </c>
      <c r="P11" s="32" t="n">
        <v>43.21</v>
      </c>
      <c r="Q11" s="32" t="n">
        <v>1803.62</v>
      </c>
      <c r="R11" s="31" t="inlineStr">
        <is>
          <t>Near 52W High Breakout</t>
        </is>
      </c>
      <c r="S11" s="31" t="inlineStr">
        <is>
          <t>Nifty 50</t>
        </is>
      </c>
      <c r="T11" s="32" t="n">
        <v>-10.55</v>
      </c>
      <c r="U11" s="32" t="n">
        <v>72.12</v>
      </c>
      <c r="V11" s="32" t="n">
        <v>92.42</v>
      </c>
      <c r="W11" s="32" t="n">
        <v>31.99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25</t>
        </is>
      </c>
      <c r="CG11" s="31">
        <f>IF(CF11&gt;20,10,IF(CF11&gt;=10,5,2))</f>
        <v/>
      </c>
    </row>
    <row r="12">
      <c r="A12" s="31">
        <f>IF(B12=0,"",RANK(B12,$B$2:$B$92,0))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ACCENTMIC</t>
        </is>
      </c>
      <c r="D12" s="31" t="inlineStr">
        <is>
          <t>Accent Microcell Ltd</t>
        </is>
      </c>
      <c r="E12" s="31" t="inlineStr">
        <is>
          <t>unknown</t>
        </is>
      </c>
      <c r="F12" s="31" t="inlineStr">
        <is>
          <t>Pharma Formulations</t>
        </is>
      </c>
      <c r="G12" s="31" t="inlineStr">
        <is>
          <t>smallcap</t>
        </is>
      </c>
      <c r="H12" s="32" t="n">
        <v>1645.77</v>
      </c>
      <c r="I12" s="32" t="n">
        <v>686.05</v>
      </c>
      <c r="J12" s="32" t="n">
        <v>-1.41</v>
      </c>
      <c r="K12" s="32" t="n">
        <v>0</v>
      </c>
      <c r="L12" s="31" t="n">
        <v>72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72.98</v>
      </c>
      <c r="P12" s="32" t="n">
        <v>68.04000000000001</v>
      </c>
      <c r="Q12" s="32" t="n">
        <v>586.24</v>
      </c>
      <c r="R12" s="31" t="inlineStr">
        <is>
          <t>Near 52W High Breakout</t>
        </is>
      </c>
      <c r="S12" s="31" t="inlineStr">
        <is>
          <t>Nifty 50</t>
        </is>
      </c>
      <c r="T12" s="32" t="n">
        <v>-10.55</v>
      </c>
      <c r="U12" s="32" t="n">
        <v>145.89</v>
      </c>
      <c r="V12" s="32" t="n">
        <v>174.89</v>
      </c>
      <c r="W12" s="32" t="n">
        <v>27.41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25</t>
        </is>
      </c>
      <c r="CG12" s="31">
        <f>IF(CF12&gt;20,10,IF(CF12&gt;=10,5,2))</f>
        <v/>
      </c>
    </row>
    <row r="13">
      <c r="A13" s="31">
        <f>IF(B13=0,"",RANK(B13,$B$2:$B$92,0))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TBZ</t>
        </is>
      </c>
      <c r="D13" s="31" t="inlineStr">
        <is>
          <t>Tribhovandas Bhimji Zaveri Ltd</t>
        </is>
      </c>
      <c r="E13" s="31" t="inlineStr">
        <is>
          <t>consumer discretionary</t>
        </is>
      </c>
      <c r="F13" s="31" t="inlineStr">
        <is>
          <t>Diamond Gems and Jewellery</t>
        </is>
      </c>
      <c r="G13" s="31" t="inlineStr">
        <is>
          <t>smallcap</t>
        </is>
      </c>
      <c r="H13" s="32" t="n">
        <v>4824.62</v>
      </c>
      <c r="I13" s="32" t="n">
        <v>723</v>
      </c>
      <c r="J13" s="32" t="n">
        <v>5</v>
      </c>
      <c r="K13" s="32" t="n">
        <v>0</v>
      </c>
      <c r="L13" s="31" t="n">
        <v>98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85.09</v>
      </c>
      <c r="P13" s="32" t="n">
        <v>66.08</v>
      </c>
      <c r="Q13" s="32" t="n">
        <v>540.87</v>
      </c>
      <c r="R13" s="31" t="inlineStr">
        <is>
          <t>Near 52W High Breakout</t>
        </is>
      </c>
      <c r="S13" s="31" t="inlineStr">
        <is>
          <t>Nifty 50</t>
        </is>
      </c>
      <c r="T13" s="32" t="n">
        <v>-10.55</v>
      </c>
      <c r="U13" s="32" t="n">
        <v>296.32</v>
      </c>
      <c r="V13" s="32" t="n">
        <v>343.07</v>
      </c>
      <c r="W13" s="32" t="n">
        <v>83.39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Between 0.7 to 1.2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IF(B14=0,"",RANK(B14,$B$2:$B$92,0))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THELEELA</t>
        </is>
      </c>
      <c r="D14" s="31" t="inlineStr">
        <is>
          <t>Leela Palaces Hotels &amp; Resorts Ltd</t>
        </is>
      </c>
      <c r="E14" s="31" t="inlineStr">
        <is>
          <t>services</t>
        </is>
      </c>
      <c r="F14" s="31" t="inlineStr">
        <is>
          <t>Hotels</t>
        </is>
      </c>
      <c r="G14" s="31" t="inlineStr">
        <is>
          <t>midcap</t>
        </is>
      </c>
      <c r="H14" s="32" t="n">
        <v>19666.78</v>
      </c>
      <c r="I14" s="32" t="n">
        <v>588.9</v>
      </c>
      <c r="J14" s="32" t="n">
        <v>-0.41</v>
      </c>
      <c r="K14" s="32" t="n">
        <v>0</v>
      </c>
      <c r="L14" s="31" t="n">
        <v>40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73.28</v>
      </c>
      <c r="P14" s="32" t="n">
        <v>43.42</v>
      </c>
      <c r="Q14" s="32" t="n">
        <v>477.33</v>
      </c>
      <c r="R14" s="31" t="inlineStr">
        <is>
          <t>Volume Spike &amp; Near 52W High Breakout</t>
        </is>
      </c>
      <c r="S14" s="31" t="inlineStr">
        <is>
          <t>Nifty 50</t>
        </is>
      </c>
      <c r="T14" s="32" t="n">
        <v>-10.55</v>
      </c>
      <c r="U14" s="32" t="n">
        <v>35.06</v>
      </c>
      <c r="V14" s="32" t="n">
        <v>50.99</v>
      </c>
      <c r="W14" s="32" t="n">
        <v>11.21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Between 1.5 to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19</t>
        </is>
      </c>
      <c r="CG14" s="31">
        <f>IF(CF14&gt;20,10,IF(CF14&gt;=10,5,2))</f>
        <v/>
      </c>
    </row>
    <row r="15">
      <c r="A15" s="31">
        <f>IF(B15=0,"",RANK(B15,$B$2:$B$92,0))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SHANTIGOLD</t>
        </is>
      </c>
      <c r="D15" s="31" t="inlineStr">
        <is>
          <t>Shanti Gold International Ltd</t>
        </is>
      </c>
      <c r="E15" s="31" t="inlineStr">
        <is>
          <t>consumer discretionary</t>
        </is>
      </c>
      <c r="F15" s="31" t="inlineStr">
        <is>
          <t>Diamond Gems and Jewellery</t>
        </is>
      </c>
      <c r="G15" s="31" t="inlineStr">
        <is>
          <t>smallcap</t>
        </is>
      </c>
      <c r="H15" s="32" t="n">
        <v>2969.82</v>
      </c>
      <c r="I15" s="32" t="n">
        <v>387</v>
      </c>
      <c r="J15" s="32" t="n">
        <v>-0.23</v>
      </c>
      <c r="K15" s="32" t="n">
        <v>0</v>
      </c>
      <c r="L15" s="31" t="n">
        <v>85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76.84999999999999</v>
      </c>
      <c r="P15" s="32" t="n">
        <v>47.89</v>
      </c>
      <c r="Q15" s="32" t="n">
        <v>293.12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-10.55</v>
      </c>
      <c r="U15" s="32" t="n">
        <v>90.70999999999999</v>
      </c>
      <c r="V15" s="32" t="n">
        <v>113.2</v>
      </c>
      <c r="W15" s="32" t="n">
        <v>34.33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19</t>
        </is>
      </c>
      <c r="CG15" s="31">
        <f>IF(CF15&gt;20,10,IF(CF15&gt;=10,5,2))</f>
        <v/>
      </c>
    </row>
    <row r="16">
      <c r="A16" s="31">
        <f>IF(B16=0,"",RANK(B16,$B$2:$B$92,0))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4" t="inlineStr">
        <is>
          <t>AURUM</t>
        </is>
      </c>
      <c r="D16" s="34" t="inlineStr">
        <is>
          <t>Aurum Proptech Ltd</t>
        </is>
      </c>
      <c r="E16" s="31" t="inlineStr">
        <is>
          <t>i.t</t>
        </is>
      </c>
      <c r="F16" s="31" t="inlineStr">
        <is>
          <t>IT Enabled Services</t>
        </is>
      </c>
      <c r="G16" s="31" t="inlineStr">
        <is>
          <t>smallcap</t>
        </is>
      </c>
      <c r="H16" s="32" t="n">
        <v>1716.31</v>
      </c>
      <c r="I16" s="32" t="n">
        <v>238</v>
      </c>
      <c r="J16" s="32" t="n">
        <v>-1.73</v>
      </c>
      <c r="K16" s="32" t="n">
        <v>0</v>
      </c>
      <c r="L16" s="31" t="n">
        <v>26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65.39</v>
      </c>
      <c r="P16" s="32" t="n">
        <v>47.34</v>
      </c>
      <c r="Q16" s="32" t="n">
        <v>185.31</v>
      </c>
      <c r="R16" s="31" t="inlineStr">
        <is>
          <t>Volume Spike &amp; Near 52W High Breakout</t>
        </is>
      </c>
      <c r="S16" s="31" t="inlineStr">
        <is>
          <t>Nifty IT</t>
        </is>
      </c>
      <c r="T16" s="32" t="n">
        <v>-12.11</v>
      </c>
      <c r="U16" s="32" t="n">
        <v>33.23</v>
      </c>
      <c r="V16" s="32" t="n">
        <v>51.58</v>
      </c>
      <c r="W16" s="32" t="n">
        <v>6.8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15</t>
        </is>
      </c>
      <c r="CG16" s="31">
        <f>IF(CF16&gt;20,10,IF(CF16&gt;=10,5,2))</f>
        <v/>
      </c>
    </row>
    <row r="17">
      <c r="A17" s="31">
        <f>IF(B17=0,"",RANK(B17,$B$2:$B$92,0))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PRADPME</t>
        </is>
      </c>
      <c r="D17" s="34" t="inlineStr">
        <is>
          <t>Pradeep Metals Ltd</t>
        </is>
      </c>
      <c r="E17" s="31" t="inlineStr">
        <is>
          <t>Industrials</t>
        </is>
      </c>
      <c r="F17" s="31" t="inlineStr">
        <is>
          <t>Forgings</t>
        </is>
      </c>
      <c r="G17" s="31" t="inlineStr">
        <is>
          <t>smallcap</t>
        </is>
      </c>
      <c r="H17" s="32" t="n">
        <v>1188.18</v>
      </c>
      <c r="I17" s="32" t="n">
        <v>688</v>
      </c>
      <c r="J17" s="32" t="n">
        <v>-1.76</v>
      </c>
      <c r="K17" s="32" t="n">
        <v>0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70.94</v>
      </c>
      <c r="P17" s="32" t="n">
        <v>42.5</v>
      </c>
      <c r="Q17" s="32" t="n">
        <v>496.9</v>
      </c>
      <c r="R17" s="31" t="inlineStr">
        <is>
          <t>Volume Spike &amp; Near 52W High Breakout</t>
        </is>
      </c>
      <c r="S17" s="31" t="inlineStr">
        <is>
          <t>Nifty Metal</t>
        </is>
      </c>
      <c r="T17" s="32" t="inlineStr"/>
      <c r="U17" s="32" t="inlineStr"/>
      <c r="V17" s="32" t="inlineStr"/>
      <c r="W17" s="32" t="inlineStr"/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15</t>
        </is>
      </c>
      <c r="CG17" s="31">
        <f>IF(CF17&gt;20,10,IF(CF17&gt;=10,5,2))</f>
        <v/>
      </c>
    </row>
    <row r="18">
      <c r="A18" s="31">
        <f>IF(B18=0,"",RANK(B18,$B$2:$B$92,0))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GLAND</t>
        </is>
      </c>
      <c r="D18" s="31" t="inlineStr">
        <is>
          <t>Gland Pharma Ltd</t>
        </is>
      </c>
      <c r="E18" s="31" t="inlineStr">
        <is>
          <t>healthcare</t>
        </is>
      </c>
      <c r="F18" s="31" t="inlineStr">
        <is>
          <t>Pharma Formulations</t>
        </is>
      </c>
      <c r="G18" s="31" t="inlineStr">
        <is>
          <t>largecap</t>
        </is>
      </c>
      <c r="H18" s="32" t="n">
        <v>50691.33</v>
      </c>
      <c r="I18" s="32" t="n">
        <v>3072</v>
      </c>
      <c r="J18" s="32" t="n">
        <v>0.65</v>
      </c>
      <c r="K18" s="32" t="n">
        <v>0</v>
      </c>
      <c r="L18" s="31" t="n">
        <v>54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73.5</v>
      </c>
      <c r="P18" s="32" t="n">
        <v>62.67</v>
      </c>
      <c r="Q18" s="32" t="n">
        <v>2529.51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16.02</v>
      </c>
      <c r="U18" s="32" t="n">
        <v>59.43</v>
      </c>
      <c r="V18" s="32" t="n">
        <v>37.42</v>
      </c>
      <c r="W18" s="32" t="n">
        <v>16.39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16</t>
        </is>
      </c>
      <c r="CG18" s="31">
        <f>IF(CF18&gt;20,10,IF(CF18&gt;=10,5,2))</f>
        <v/>
      </c>
    </row>
    <row r="19">
      <c r="A19" s="31">
        <f>IF(B19=0,"",RANK(B19,$B$2:$B$92,0))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HIIL</t>
        </is>
      </c>
      <c r="D19" s="31" t="inlineStr">
        <is>
          <t>Hindusthan Insulators &amp; Industries Ltd</t>
        </is>
      </c>
      <c r="E19" s="31" t="inlineStr">
        <is>
          <t>Industrials</t>
        </is>
      </c>
      <c r="F19" s="31" t="inlineStr">
        <is>
          <t>Electric Equipment General</t>
        </is>
      </c>
      <c r="G19" s="31" t="inlineStr">
        <is>
          <t>smallcap</t>
        </is>
      </c>
      <c r="H19" s="32" t="n">
        <v>1334.74</v>
      </c>
      <c r="I19" s="32" t="n">
        <v>616.7</v>
      </c>
      <c r="J19" s="32" t="n">
        <v>1.99</v>
      </c>
      <c r="K19" s="32" t="n">
        <v>0</v>
      </c>
      <c r="L19" s="31" t="n">
        <v>95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97.2</v>
      </c>
      <c r="P19" s="32" t="n">
        <v>85.81</v>
      </c>
      <c r="Q19" s="32" t="n">
        <v>564.23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-10.55</v>
      </c>
      <c r="U19" s="32" t="n">
        <v>340.68</v>
      </c>
      <c r="V19" s="32" t="n">
        <v>392.65</v>
      </c>
      <c r="W19" s="32" t="n">
        <v>46.36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28</t>
        </is>
      </c>
      <c r="CG19" s="31">
        <f>IF(CF19&gt;20,10,IF(CF19&gt;=10,5,2))</f>
        <v/>
      </c>
    </row>
    <row r="20">
      <c r="A20" s="31">
        <f>IF(B20=0,"",RANK(B20,$B$2:$B$92,0))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SWANDEF</t>
        </is>
      </c>
      <c r="D20" s="31" t="inlineStr">
        <is>
          <t>Swan Defence and Heavy Industries Ltd</t>
        </is>
      </c>
      <c r="E20" s="31" t="inlineStr">
        <is>
          <t>transportation</t>
        </is>
      </c>
      <c r="F20" s="31" t="inlineStr">
        <is>
          <t>Shipbuilding and Repairs</t>
        </is>
      </c>
      <c r="G20" s="31" t="inlineStr">
        <is>
          <t>midcap</t>
        </is>
      </c>
      <c r="H20" s="32" t="n">
        <v>15483.28</v>
      </c>
      <c r="I20" s="32" t="n">
        <v>2939</v>
      </c>
      <c r="J20" s="32" t="n">
        <v>-0.01</v>
      </c>
      <c r="K20" s="32" t="n">
        <v>0</v>
      </c>
      <c r="L20" s="31" t="n">
        <v>97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71.67</v>
      </c>
      <c r="P20" s="32" t="n">
        <v>57.06</v>
      </c>
      <c r="Q20" s="32" t="n">
        <v>2278.89</v>
      </c>
      <c r="R20" s="31" t="inlineStr">
        <is>
          <t>Near 52W High Breakout</t>
        </is>
      </c>
      <c r="S20" s="31" t="inlineStr">
        <is>
          <t>Nifty 50</t>
        </is>
      </c>
      <c r="T20" s="32" t="n">
        <v>-10.55</v>
      </c>
      <c r="U20" s="32" t="n">
        <v>340.84</v>
      </c>
      <c r="V20" s="32" t="n">
        <v>392.83</v>
      </c>
      <c r="W20" s="32" t="n">
        <v>52.05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Negative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25</t>
        </is>
      </c>
      <c r="CG20" s="31">
        <f>IF(CF20&gt;20,10,IF(CF20&gt;=10,5,2))</f>
        <v/>
      </c>
    </row>
    <row r="21">
      <c r="A21" s="31">
        <f>IF(B21=0,"",RANK(B21,$B$2:$B$92,0))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OCCLLTD</t>
        </is>
      </c>
      <c r="D21" s="31" t="inlineStr">
        <is>
          <t>OCCL Ltd</t>
        </is>
      </c>
      <c r="E21" s="31" t="inlineStr">
        <is>
          <t>chemicals</t>
        </is>
      </c>
      <c r="F21" s="31" t="inlineStr">
        <is>
          <t>Chemicals Organic</t>
        </is>
      </c>
      <c r="G21" s="31" t="inlineStr">
        <is>
          <t>smallcap</t>
        </is>
      </c>
      <c r="H21" s="32" t="n">
        <v>1138.87</v>
      </c>
      <c r="I21" s="32" t="n">
        <v>228</v>
      </c>
      <c r="J21" s="32" t="n">
        <v>-1.2</v>
      </c>
      <c r="K21" s="32" t="n">
        <v>0</v>
      </c>
      <c r="L21" s="31" t="n">
        <v>79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82.59</v>
      </c>
      <c r="P21" s="32" t="n">
        <v>52.66</v>
      </c>
      <c r="Q21" s="32" t="n">
        <v>171.56</v>
      </c>
      <c r="R21" s="31" t="inlineStr">
        <is>
          <t>Volume Spike &amp; Near 52W High Breakout</t>
        </is>
      </c>
      <c r="S21" s="31" t="inlineStr">
        <is>
          <t>Nifty 50</t>
        </is>
      </c>
      <c r="T21" s="32" t="n">
        <v>-10.55</v>
      </c>
      <c r="U21" s="32" t="n">
        <v>86.11</v>
      </c>
      <c r="V21" s="32" t="n">
        <v>108.06</v>
      </c>
      <c r="W21" s="32" t="n">
        <v>31.37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IF(B22=0,"",RANK(B22,$B$2:$B$92,0))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ADVANCE</t>
        </is>
      </c>
      <c r="D22" s="34" t="inlineStr">
        <is>
          <t>Advance Agrolife Ltd</t>
        </is>
      </c>
      <c r="E22" s="31" t="inlineStr">
        <is>
          <t>chemicals</t>
        </is>
      </c>
      <c r="F22" s="31" t="inlineStr">
        <is>
          <t>Pesticides and Agrochemicals</t>
        </is>
      </c>
      <c r="G22" s="31" t="inlineStr">
        <is>
          <t>smallcap</t>
        </is>
      </c>
      <c r="H22" s="32" t="n">
        <v>1018.93</v>
      </c>
      <c r="I22" s="32" t="n">
        <v>158.5</v>
      </c>
      <c r="J22" s="32" t="n">
        <v>1.82</v>
      </c>
      <c r="K22" s="32" t="n">
        <v>0</v>
      </c>
      <c r="L22" s="31" t="n">
        <v>56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70</v>
      </c>
      <c r="P22" s="32" t="n">
        <v>21.65</v>
      </c>
      <c r="Q22" s="32" t="n">
        <v>116.42</v>
      </c>
      <c r="R22" s="31" t="inlineStr">
        <is>
          <t>Volume Spike &amp; Near 52W High Breakout</t>
        </is>
      </c>
      <c r="S22" s="31" t="inlineStr">
        <is>
          <t>Nifty 50</t>
        </is>
      </c>
      <c r="T22" s="32" t="n">
        <v>-10.55</v>
      </c>
      <c r="U22" s="32" t="n">
        <v>45.54</v>
      </c>
      <c r="V22" s="32" t="n">
        <v>62.7</v>
      </c>
      <c r="W22" s="32" t="n">
        <v>16.85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IF(B23=0,"",RANK(B23,$B$2:$B$92,0))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PREMIERPOL</t>
        </is>
      </c>
      <c r="D23" s="31" t="inlineStr">
        <is>
          <t>Premier Polyfilm Ltd</t>
        </is>
      </c>
      <c r="E23" s="31" t="inlineStr">
        <is>
          <t>plastic products</t>
        </is>
      </c>
      <c r="F23" s="31" t="inlineStr">
        <is>
          <t>Plastics Sheets and Films</t>
        </is>
      </c>
      <c r="G23" s="31" t="inlineStr">
        <is>
          <t>smallcap</t>
        </is>
      </c>
      <c r="H23" s="32" t="n">
        <v>1122</v>
      </c>
      <c r="I23" s="32" t="n">
        <v>107.12</v>
      </c>
      <c r="J23" s="32" t="n">
        <v>-1.6</v>
      </c>
      <c r="K23" s="32" t="n">
        <v>0</v>
      </c>
      <c r="L23" s="31" t="n">
        <v>76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69.52</v>
      </c>
      <c r="P23" s="32" t="n">
        <v>60.72</v>
      </c>
      <c r="Q23" s="32" t="n">
        <v>71.25</v>
      </c>
      <c r="R23" s="31" t="inlineStr">
        <is>
          <t>Volume Spike &amp; Near 52W High Breakout</t>
        </is>
      </c>
      <c r="S23" s="31" t="inlineStr">
        <is>
          <t>Nifty 50</t>
        </is>
      </c>
      <c r="T23" s="32" t="n">
        <v>-10.55</v>
      </c>
      <c r="U23" s="32" t="n">
        <v>141.42</v>
      </c>
      <c r="V23" s="32" t="n">
        <v>169.9</v>
      </c>
      <c r="W23" s="32" t="n">
        <v>29.48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20</t>
        </is>
      </c>
      <c r="CG23" s="31">
        <f>IF(CF23&gt;20,10,IF(CF23&gt;=10,5,2))</f>
        <v/>
      </c>
    </row>
    <row r="24">
      <c r="A24" s="31">
        <f>IF(B24=0,"",RANK(B24,$B$2:$B$92,0))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COFORGE</t>
        </is>
      </c>
      <c r="D24" s="34" t="inlineStr">
        <is>
          <t>Coforge Ltd</t>
        </is>
      </c>
      <c r="E24" s="31" t="inlineStr">
        <is>
          <t>i.t</t>
        </is>
      </c>
      <c r="F24" s="31" t="inlineStr">
        <is>
          <t>IT Services</t>
        </is>
      </c>
      <c r="G24" s="31" t="inlineStr">
        <is>
          <t>largecap</t>
        </is>
      </c>
      <c r="H24" s="32" t="n">
        <v>85696.96000000001</v>
      </c>
      <c r="I24" s="32" t="n">
        <v>1934.3</v>
      </c>
      <c r="J24" s="32" t="n">
        <v>0.33</v>
      </c>
      <c r="K24" s="32" t="n">
        <v>0</v>
      </c>
      <c r="L24" s="31" t="n">
        <v>36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64.81</v>
      </c>
      <c r="P24" s="32" t="n">
        <v>23.53</v>
      </c>
      <c r="Q24" s="32" t="n">
        <v>1635.63</v>
      </c>
      <c r="R24" s="31" t="inlineStr">
        <is>
          <t>Near 52W High Breakout</t>
        </is>
      </c>
      <c r="S24" s="31" t="inlineStr">
        <is>
          <t>Nifty IT</t>
        </is>
      </c>
      <c r="T24" s="32" t="n">
        <v>-12.11</v>
      </c>
      <c r="U24" s="32" t="n">
        <v>12.27</v>
      </c>
      <c r="V24" s="32" t="n">
        <v>27.73</v>
      </c>
      <c r="W24" s="32" t="n">
        <v>9.58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17</t>
        </is>
      </c>
      <c r="CG24" s="31">
        <f>IF(CF24&gt;20,10,IF(CF24&gt;=10,5,2))</f>
        <v/>
      </c>
    </row>
    <row r="25">
      <c r="A25" s="31">
        <f>IF(B25=0,"",RANK(B25,$B$2:$B$92,0))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VALIANTORG</t>
        </is>
      </c>
      <c r="D25" s="34" t="inlineStr">
        <is>
          <t>Valiant Organics Ltd</t>
        </is>
      </c>
      <c r="E25" s="31" t="inlineStr">
        <is>
          <t>chemicals</t>
        </is>
      </c>
      <c r="F25" s="31" t="inlineStr">
        <is>
          <t>Chemicals Organic</t>
        </is>
      </c>
      <c r="G25" s="31" t="inlineStr">
        <is>
          <t>smallcap</t>
        </is>
      </c>
      <c r="H25" s="32" t="n">
        <v>1290.99</v>
      </c>
      <c r="I25" s="32" t="n">
        <v>460.5</v>
      </c>
      <c r="J25" s="32" t="n">
        <v>0.5</v>
      </c>
      <c r="K25" s="32" t="n">
        <v>0</v>
      </c>
      <c r="L25" s="31" t="n">
        <v>74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73.08</v>
      </c>
      <c r="P25" s="32" t="n">
        <v>51.26</v>
      </c>
      <c r="Q25" s="32" t="n">
        <v>345.02</v>
      </c>
      <c r="R25" s="31" t="inlineStr">
        <is>
          <t>Near 52W High Breakout</t>
        </is>
      </c>
      <c r="S25" s="31" t="inlineStr">
        <is>
          <t>Nifty 50</t>
        </is>
      </c>
      <c r="T25" s="32" t="n">
        <v>-10.55</v>
      </c>
      <c r="U25" s="32" t="n">
        <v>60.29</v>
      </c>
      <c r="V25" s="32" t="n">
        <v>79.2</v>
      </c>
      <c r="W25" s="32" t="n">
        <v>27.93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16</t>
        </is>
      </c>
      <c r="CG25" s="31">
        <f>IF(CF25&gt;20,10,IF(CF25&gt;=10,5,2))</f>
        <v/>
      </c>
    </row>
    <row r="26">
      <c r="A26" s="31">
        <f>IF(B26=0,"",RANK(B26,$B$2:$B$92,0))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CEIGALL</t>
        </is>
      </c>
      <c r="D26" s="34" t="inlineStr">
        <is>
          <t>Ceigall India Ltd</t>
        </is>
      </c>
      <c r="E26" s="31" t="inlineStr">
        <is>
          <t>realty</t>
        </is>
      </c>
      <c r="F26" s="31" t="inlineStr">
        <is>
          <t>Construction Civil and Turnkey</t>
        </is>
      </c>
      <c r="G26" s="31" t="inlineStr">
        <is>
          <t>midcap</t>
        </is>
      </c>
      <c r="H26" s="32" t="n">
        <v>6759.15</v>
      </c>
      <c r="I26" s="32" t="n">
        <v>388</v>
      </c>
      <c r="J26" s="32" t="n">
        <v>-0.09</v>
      </c>
      <c r="K26" s="32" t="n">
        <v>0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63.17</v>
      </c>
      <c r="P26" s="32" t="n">
        <v>22.03</v>
      </c>
      <c r="Q26" s="32" t="n">
        <v>308.35</v>
      </c>
      <c r="R26" s="31" t="inlineStr">
        <is>
          <t>Near 52W High Breakout</t>
        </is>
      </c>
      <c r="S26" s="31" t="inlineStr">
        <is>
          <t>Nifty Realty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16</t>
        </is>
      </c>
      <c r="CG26" s="31">
        <f>IF(CF26&gt;20,10,IF(CF26&gt;=10,5,2))</f>
        <v/>
      </c>
    </row>
    <row r="27">
      <c r="A27" s="31">
        <f>IF(B27=0,"",RANK(B27,$B$2:$B$92,0))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MARINE</t>
        </is>
      </c>
      <c r="D27" s="31" t="inlineStr">
        <is>
          <t>Marine Electricals (India) Ltd</t>
        </is>
      </c>
      <c r="E27" s="31" t="inlineStr">
        <is>
          <t>Industrials</t>
        </is>
      </c>
      <c r="F27" s="31" t="inlineStr">
        <is>
          <t>Shipping Proxy</t>
        </is>
      </c>
      <c r="G27" s="31" t="inlineStr">
        <is>
          <t>midcap</t>
        </is>
      </c>
      <c r="H27" s="32" t="n">
        <v>6197.44</v>
      </c>
      <c r="I27" s="32" t="n">
        <v>442.85</v>
      </c>
      <c r="J27" s="32" t="n">
        <v>-5.82</v>
      </c>
      <c r="K27" s="32" t="n">
        <v>0</v>
      </c>
      <c r="L27" s="31" t="n">
        <v>82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70.12</v>
      </c>
      <c r="P27" s="32" t="n">
        <v>51.69</v>
      </c>
      <c r="Q27" s="32" t="n">
        <v>328.98</v>
      </c>
      <c r="R27" s="31" t="inlineStr">
        <is>
          <t>Near 52W High Breakout</t>
        </is>
      </c>
      <c r="S27" s="31" t="inlineStr">
        <is>
          <t>Nifty 50</t>
        </is>
      </c>
      <c r="T27" s="32" t="n">
        <v>-10.55</v>
      </c>
      <c r="U27" s="32" t="n">
        <v>92.78</v>
      </c>
      <c r="V27" s="32" t="n">
        <v>115.51</v>
      </c>
      <c r="W27" s="32" t="n">
        <v>33.1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16</t>
        </is>
      </c>
      <c r="CG27" s="31">
        <f>IF(CF27&gt;20,10,IF(CF27&gt;=10,5,2))</f>
        <v/>
      </c>
    </row>
    <row r="28">
      <c r="A28" s="31">
        <f>IF(B28=0,"",RANK(B28,$B$2:$B$92,0))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VIKRAMTH</t>
        </is>
      </c>
      <c r="D28" s="31" t="inlineStr">
        <is>
          <t>Vikram Thermo (India) Ltd</t>
        </is>
      </c>
      <c r="E28" s="31" t="inlineStr">
        <is>
          <t>Healthcare</t>
        </is>
      </c>
      <c r="F28" s="31" t="inlineStr">
        <is>
          <t>Specialty Chemicals</t>
        </is>
      </c>
      <c r="G28" s="31" t="inlineStr">
        <is>
          <t>smallcap</t>
        </is>
      </c>
      <c r="H28" s="32" t="n">
        <v>1244.91</v>
      </c>
      <c r="I28" s="32" t="n">
        <v>397</v>
      </c>
      <c r="J28" s="32" t="n">
        <v>-0.91</v>
      </c>
      <c r="K28" s="32" t="n">
        <v>0</v>
      </c>
      <c r="L28" s="31" t="n">
        <v>86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77.52</v>
      </c>
      <c r="P28" s="32" t="n">
        <v>71.09</v>
      </c>
      <c r="Q28" s="32" t="n">
        <v>309.71</v>
      </c>
      <c r="R28" s="31" t="inlineStr">
        <is>
          <t>Volume Spike / Accumulation</t>
        </is>
      </c>
      <c r="S28" s="31" t="inlineStr">
        <is>
          <t>Nifty Pharma</t>
        </is>
      </c>
      <c r="T28" s="32" t="n">
        <v>16.02</v>
      </c>
      <c r="U28" s="32" t="n">
        <v>139.6</v>
      </c>
      <c r="V28" s="32" t="n">
        <v>106.52</v>
      </c>
      <c r="W28" s="32" t="n">
        <v>34.81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17</t>
        </is>
      </c>
      <c r="CG28" s="31">
        <f>IF(CF28&gt;20,10,IF(CF28&gt;=10,5,2))</f>
        <v/>
      </c>
    </row>
    <row r="29">
      <c r="A29" s="31">
        <f>IF(B29=0,"",RANK(B29,$B$2:$B$92,0))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LOTUSDEV</t>
        </is>
      </c>
      <c r="D29" s="31" t="inlineStr">
        <is>
          <t>Sri Lotus Developers &amp; Realty Ltd</t>
        </is>
      </c>
      <c r="E29" s="31" t="inlineStr">
        <is>
          <t>realty</t>
        </is>
      </c>
      <c r="F29" s="31" t="inlineStr">
        <is>
          <t>Construction Factories and Offices and Commercial</t>
        </is>
      </c>
      <c r="G29" s="31" t="inlineStr">
        <is>
          <t>midcap</t>
        </is>
      </c>
      <c r="H29" s="32" t="n">
        <v>11724.48</v>
      </c>
      <c r="I29" s="32" t="n">
        <v>239.9</v>
      </c>
      <c r="J29" s="32" t="n">
        <v>0.62</v>
      </c>
      <c r="K29" s="32" t="n">
        <v>0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72.76000000000001</v>
      </c>
      <c r="P29" s="32" t="n">
        <v>36.59</v>
      </c>
      <c r="Q29" s="32" t="n">
        <v>184.86</v>
      </c>
      <c r="R29" s="31" t="inlineStr">
        <is>
          <t>Near 52W High Breakout</t>
        </is>
      </c>
      <c r="S29" s="31" t="inlineStr">
        <is>
          <t>Nifty Realty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21</t>
        </is>
      </c>
      <c r="CG29" s="31">
        <f>IF(CF29&gt;20,10,IF(CF29&gt;=10,5,2))</f>
        <v/>
      </c>
    </row>
    <row r="30">
      <c r="A30" s="31">
        <f>IF(B30=0,"",RANK(B30,$B$2:$B$92,0))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DELTACORP</t>
        </is>
      </c>
      <c r="D30" s="31" t="inlineStr">
        <is>
          <t>Delta Corp Ltd</t>
        </is>
      </c>
      <c r="E30" s="31" t="inlineStr">
        <is>
          <t>miscellaneous</t>
        </is>
      </c>
      <c r="F30" s="31" t="inlineStr">
        <is>
          <t>Miscellaneous</t>
        </is>
      </c>
      <c r="G30" s="31" t="inlineStr">
        <is>
          <t>smallcap</t>
        </is>
      </c>
      <c r="H30" s="32" t="n">
        <v>2122.09</v>
      </c>
      <c r="I30" s="32" t="n">
        <v>79.25</v>
      </c>
      <c r="J30" s="32" t="n">
        <v>-2.41</v>
      </c>
      <c r="K30" s="32" t="n">
        <v>0</v>
      </c>
      <c r="L30" s="31" t="n">
        <v>25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63.37</v>
      </c>
      <c r="P30" s="32" t="n">
        <v>26.27</v>
      </c>
      <c r="Q30" s="32" t="n">
        <v>57.36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-10.55</v>
      </c>
      <c r="U30" s="32" t="n">
        <v>1.52</v>
      </c>
      <c r="V30" s="32" t="n">
        <v>13.49</v>
      </c>
      <c r="W30" s="32" t="n">
        <v>6.19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16</t>
        </is>
      </c>
      <c r="CG30" s="31">
        <f>IF(CF30&gt;20,10,IF(CF30&gt;=10,5,2))</f>
        <v/>
      </c>
    </row>
    <row r="31">
      <c r="A31" s="31">
        <f>IF(B31=0,"",RANK(B31,$B$2:$B$92,0))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TATVA</t>
        </is>
      </c>
      <c r="D31" s="31" t="inlineStr">
        <is>
          <t>Tatva Chintan Pharma Chem Ltd</t>
        </is>
      </c>
      <c r="E31" s="31" t="inlineStr">
        <is>
          <t>chemicals</t>
        </is>
      </c>
      <c r="F31" s="31" t="inlineStr">
        <is>
          <t>Specialty Chemicals</t>
        </is>
      </c>
      <c r="G31" s="31" t="inlineStr">
        <is>
          <t>smallcap</t>
        </is>
      </c>
      <c r="H31" s="32" t="n">
        <v>4538.06</v>
      </c>
      <c r="I31" s="32" t="n">
        <v>1940</v>
      </c>
      <c r="J31" s="32" t="n">
        <v>-0.03</v>
      </c>
      <c r="K31" s="32" t="n">
        <v>0</v>
      </c>
      <c r="L31" s="31" t="n">
        <v>53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71.06</v>
      </c>
      <c r="P31" s="32" t="n">
        <v>44.12</v>
      </c>
      <c r="Q31" s="32" t="n">
        <v>1455.24</v>
      </c>
      <c r="R31" s="31" t="inlineStr">
        <is>
          <t>Near 52W High Breakout</t>
        </is>
      </c>
      <c r="S31" s="31" t="inlineStr">
        <is>
          <t>Nifty 50</t>
        </is>
      </c>
      <c r="T31" s="32" t="n">
        <v>-10.55</v>
      </c>
      <c r="U31" s="32" t="n">
        <v>46.15</v>
      </c>
      <c r="V31" s="32" t="n">
        <v>63.39</v>
      </c>
      <c r="W31" s="32" t="n">
        <v>16.05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16</t>
        </is>
      </c>
      <c r="CG31" s="31">
        <f>IF(CF31&gt;20,10,IF(CF31&gt;=10,5,2))</f>
        <v/>
      </c>
    </row>
    <row r="32">
      <c r="A32" s="31">
        <f>IF(B32=0,"",RANK(B32,$B$2:$B$92,0))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PCJEWELLER</t>
        </is>
      </c>
      <c r="D32" s="31" t="inlineStr">
        <is>
          <t>PC Jeweller Ltd</t>
        </is>
      </c>
      <c r="E32" s="31" t="inlineStr">
        <is>
          <t>consumer discretionary</t>
        </is>
      </c>
      <c r="F32" s="31" t="inlineStr">
        <is>
          <t>Diamond Gems and Jewellery</t>
        </is>
      </c>
      <c r="G32" s="31" t="inlineStr">
        <is>
          <t>midcap</t>
        </is>
      </c>
      <c r="H32" s="32" t="n">
        <v>14123.17</v>
      </c>
      <c r="I32" s="32" t="n">
        <v>14.4</v>
      </c>
      <c r="J32" s="32" t="n">
        <v>-0.48</v>
      </c>
      <c r="K32" s="32" t="n">
        <v>0</v>
      </c>
      <c r="L32" s="31" t="n">
        <v>50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65.39</v>
      </c>
      <c r="P32" s="32" t="n">
        <v>39.11</v>
      </c>
      <c r="Q32" s="32" t="n">
        <v>10.35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-10.55</v>
      </c>
      <c r="U32" s="32" t="n">
        <v>19.72</v>
      </c>
      <c r="V32" s="32" t="n">
        <v>33.84</v>
      </c>
      <c r="W32" s="32" t="n">
        <v>15.51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15</t>
        </is>
      </c>
      <c r="CG32" s="31">
        <f>IF(CF32&gt;20,10,IF(CF32&gt;=10,5,2))</f>
        <v/>
      </c>
    </row>
    <row r="33">
      <c r="A33" s="31">
        <f>IF(B33=0,"",RANK(B33,$B$2:$B$92,0))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SPORTKING</t>
        </is>
      </c>
      <c r="D33" s="31" t="inlineStr">
        <is>
          <t>Sportking India Ltd</t>
        </is>
      </c>
      <c r="E33" s="31" t="inlineStr">
        <is>
          <t>textiles</t>
        </is>
      </c>
      <c r="F33" s="31" t="inlineStr">
        <is>
          <t>Textiles Spinning</t>
        </is>
      </c>
      <c r="G33" s="31" t="inlineStr">
        <is>
          <t>smallcap</t>
        </is>
      </c>
      <c r="H33" s="32" t="n">
        <v>2771.95</v>
      </c>
      <c r="I33" s="32" t="n">
        <v>218.14</v>
      </c>
      <c r="J33" s="32" t="n">
        <v>-3.42</v>
      </c>
      <c r="K33" s="32" t="n">
        <v>0</v>
      </c>
      <c r="L33" s="31" t="n">
        <v>66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61.8</v>
      </c>
      <c r="P33" s="32" t="n">
        <v>63.03</v>
      </c>
      <c r="Q33" s="32" t="n">
        <v>167.1</v>
      </c>
      <c r="R33" s="31" t="inlineStr">
        <is>
          <t>Volume Spike / Accumulation</t>
        </is>
      </c>
      <c r="S33" s="31" t="inlineStr">
        <is>
          <t>Nifty 50</t>
        </is>
      </c>
      <c r="T33" s="32" t="n">
        <v>-10.55</v>
      </c>
      <c r="U33" s="32" t="n">
        <v>128.86</v>
      </c>
      <c r="V33" s="32" t="n">
        <v>155.85</v>
      </c>
      <c r="W33" s="32" t="n">
        <v>23.31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15</t>
        </is>
      </c>
      <c r="CG33" s="31">
        <f>IF(CF33&gt;20,10,IF(CF33&gt;=10,5,2))</f>
        <v/>
      </c>
    </row>
    <row r="34">
      <c r="A34" s="31">
        <f>IF(B34=0,"",RANK(B34,$B$2:$B$92,0))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CUPID</t>
        </is>
      </c>
      <c r="D34" s="31" t="inlineStr">
        <is>
          <t>Cupid Ltd</t>
        </is>
      </c>
      <c r="E34" s="31" t="inlineStr">
        <is>
          <t>fmcg</t>
        </is>
      </c>
      <c r="F34" s="31" t="inlineStr">
        <is>
          <t>Contraceptives and Protectives</t>
        </is>
      </c>
      <c r="G34" s="31" t="inlineStr">
        <is>
          <t>largecap</t>
        </is>
      </c>
      <c r="H34" s="32" t="n">
        <v>47244.65</v>
      </c>
      <c r="I34" s="32" t="n">
        <v>351.35</v>
      </c>
      <c r="J34" s="32" t="n">
        <v>-0.92</v>
      </c>
      <c r="K34" s="32" t="n">
        <v>0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81.31999999999999</v>
      </c>
      <c r="P34" s="32" t="n">
        <v>65.09999999999999</v>
      </c>
      <c r="Q34" s="32" t="n">
        <v>281.76</v>
      </c>
      <c r="R34" s="31" t="inlineStr">
        <is>
          <t>Near 52W High Breakout</t>
        </is>
      </c>
      <c r="S34" s="31" t="inlineStr">
        <is>
          <t>Nifty FMCG</t>
        </is>
      </c>
      <c r="T34" s="32" t="inlineStr"/>
      <c r="U34" s="32" t="inlineStr"/>
      <c r="V34" s="32" t="inlineStr"/>
      <c r="W34" s="32" t="inlineStr"/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20</t>
        </is>
      </c>
      <c r="CG34" s="31">
        <f>IF(CF34&gt;20,10,IF(CF34&gt;=10,5,2))</f>
        <v/>
      </c>
    </row>
    <row r="35">
      <c r="A35" s="31">
        <f>IF(B35=0,"",RANK(B35,$B$2:$B$92,0))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SHUKRAPHAR</t>
        </is>
      </c>
      <c r="D35" s="31" t="inlineStr">
        <is>
          <t>Shukra Pharmaceuticals Ltd</t>
        </is>
      </c>
      <c r="E35" s="31" t="inlineStr">
        <is>
          <t>Healthcare</t>
        </is>
      </c>
      <c r="F35" s="31" t="inlineStr">
        <is>
          <t>Pharma Others</t>
        </is>
      </c>
      <c r="G35" s="31" t="inlineStr">
        <is>
          <t>smallcap</t>
        </is>
      </c>
      <c r="H35" s="32" t="n">
        <v>2960.48</v>
      </c>
      <c r="I35" s="32" t="n">
        <v>66.90000000000001</v>
      </c>
      <c r="J35" s="32" t="n">
        <v>-0.15</v>
      </c>
      <c r="K35" s="32" t="n">
        <v>0</v>
      </c>
      <c r="L35" s="31" t="n">
        <v>93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79.5</v>
      </c>
      <c r="P35" s="32" t="n">
        <v>45.97</v>
      </c>
      <c r="Q35" s="32" t="n">
        <v>48.6</v>
      </c>
      <c r="R35" s="31" t="inlineStr">
        <is>
          <t>Near 52W High Breakout</t>
        </is>
      </c>
      <c r="S35" s="31" t="inlineStr">
        <is>
          <t>Nifty Pharma</t>
        </is>
      </c>
      <c r="T35" s="32" t="n">
        <v>16.02</v>
      </c>
      <c r="U35" s="32" t="n">
        <v>79.34999999999999</v>
      </c>
      <c r="V35" s="32" t="n">
        <v>54.59</v>
      </c>
      <c r="W35" s="32" t="n">
        <v>41.22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15</t>
        </is>
      </c>
      <c r="CG35" s="31">
        <f>IF(CF35&gt;20,10,IF(CF35&gt;=10,5,2))</f>
        <v/>
      </c>
    </row>
    <row r="36">
      <c r="A36" s="31">
        <f>IF(B36=0,"",RANK(B36,$B$2:$B$92,0))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KMEW</t>
        </is>
      </c>
      <c r="D36" s="31" t="inlineStr">
        <is>
          <t>Knowledge Marine &amp; Engineering Works Ltd</t>
        </is>
      </c>
      <c r="E36" s="31" t="inlineStr">
        <is>
          <t>transportation</t>
        </is>
      </c>
      <c r="F36" s="31" t="inlineStr">
        <is>
          <t>Shipping</t>
        </is>
      </c>
      <c r="G36" s="31" t="inlineStr">
        <is>
          <t>midcap</t>
        </is>
      </c>
      <c r="H36" s="32" t="n">
        <v>8200.280000000001</v>
      </c>
      <c r="I36" s="32" t="n">
        <v>3233</v>
      </c>
      <c r="J36" s="32" t="n">
        <v>-1.69</v>
      </c>
      <c r="K36" s="32" t="n">
        <v>0</v>
      </c>
      <c r="L36" s="31" t="n">
        <v>85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78.29000000000001</v>
      </c>
      <c r="P36" s="32" t="n">
        <v>58.88</v>
      </c>
      <c r="Q36" s="32" t="n">
        <v>2386.58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-10.55</v>
      </c>
      <c r="U36" s="32" t="n">
        <v>194.93</v>
      </c>
      <c r="V36" s="32" t="n">
        <v>229.72</v>
      </c>
      <c r="W36" s="32" t="n">
        <v>34.1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IF(B37=0,"",RANK(B37,$B$2:$B$92,0))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EIMCOELECO</t>
        </is>
      </c>
      <c r="D37" s="34" t="inlineStr">
        <is>
          <t>Eimco Elecon (India) Ltd</t>
        </is>
      </c>
      <c r="E37" s="31" t="inlineStr">
        <is>
          <t>Industrials</t>
        </is>
      </c>
      <c r="F37" s="31" t="inlineStr">
        <is>
          <t>Capital Goods Engineering Heavy</t>
        </is>
      </c>
      <c r="G37" s="31" t="inlineStr">
        <is>
          <t>smallcap</t>
        </is>
      </c>
      <c r="H37" s="32" t="n">
        <v>1344.61</v>
      </c>
      <c r="I37" s="32" t="n">
        <v>2331</v>
      </c>
      <c r="J37" s="32" t="n">
        <v>-5.02</v>
      </c>
      <c r="K37" s="32" t="n">
        <v>0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70.38</v>
      </c>
      <c r="P37" s="32" t="n">
        <v>60.65</v>
      </c>
      <c r="Q37" s="32" t="n">
        <v>1791.3</v>
      </c>
      <c r="R37" s="31" t="inlineStr">
        <is>
          <t>Volume Spike &amp; Near 52W High Breakout</t>
        </is>
      </c>
      <c r="S37" s="31" t="inlineStr">
        <is>
          <t>Nifty Infra</t>
        </is>
      </c>
      <c r="T37" s="32" t="inlineStr"/>
      <c r="U37" s="32" t="inlineStr"/>
      <c r="V37" s="32" t="inlineStr"/>
      <c r="W37" s="32" t="inlineStr"/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19</t>
        </is>
      </c>
      <c r="CG37" s="31">
        <f>IF(CF37&gt;20,10,IF(CF37&gt;=10,5,2))</f>
        <v/>
      </c>
    </row>
    <row r="38">
      <c r="A38" s="31">
        <f>IF(B38=0,"",RANK(B38,$B$2:$B$92,0))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NRAIL</t>
        </is>
      </c>
      <c r="D38" s="31" t="inlineStr">
        <is>
          <t>N R Agarwal Industries Ltd</t>
        </is>
      </c>
      <c r="E38" s="31" t="inlineStr">
        <is>
          <t>building materials</t>
        </is>
      </c>
      <c r="F38" s="31" t="inlineStr">
        <is>
          <t>Paper</t>
        </is>
      </c>
      <c r="G38" s="31" t="inlineStr">
        <is>
          <t>smallcap</t>
        </is>
      </c>
      <c r="H38" s="32" t="n">
        <v>1288.35</v>
      </c>
      <c r="I38" s="32" t="n">
        <v>757</v>
      </c>
      <c r="J38" s="32" t="n">
        <v>-2.22</v>
      </c>
      <c r="K38" s="32" t="n">
        <v>0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74.25</v>
      </c>
      <c r="P38" s="32" t="n">
        <v>51.3</v>
      </c>
      <c r="Q38" s="32" t="n">
        <v>551.49</v>
      </c>
      <c r="R38" s="31" t="inlineStr">
        <is>
          <t>Volume Spike &amp; Near 52W High Breakout</t>
        </is>
      </c>
      <c r="S38" s="31" t="inlineStr">
        <is>
          <t>Nifty Infra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18</t>
        </is>
      </c>
      <c r="CG38" s="31">
        <f>IF(CF38&gt;20,10,IF(CF38&gt;=10,5,2))</f>
        <v/>
      </c>
    </row>
    <row r="39">
      <c r="A39" s="31">
        <f>IF(B39=0,"",RANK(B39,$B$2:$B$92,0))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WHEELS</t>
        </is>
      </c>
      <c r="D39" s="31" t="inlineStr">
        <is>
          <t>Wheels India Ltd</t>
        </is>
      </c>
      <c r="E39" s="31" t="inlineStr">
        <is>
          <t>auto</t>
        </is>
      </c>
      <c r="F39" s="31" t="inlineStr">
        <is>
          <t>Auto Wheels</t>
        </is>
      </c>
      <c r="G39" s="31" t="inlineStr">
        <is>
          <t>midcap</t>
        </is>
      </c>
      <c r="H39" s="32" t="n">
        <v>6446.97</v>
      </c>
      <c r="I39" s="32" t="n">
        <v>2400</v>
      </c>
      <c r="J39" s="32" t="n">
        <v>-0.39</v>
      </c>
      <c r="K39" s="32" t="n">
        <v>0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76.73999999999999</v>
      </c>
      <c r="P39" s="32" t="n">
        <v>61.89</v>
      </c>
      <c r="Q39" s="32" t="n">
        <v>1783.43</v>
      </c>
      <c r="R39" s="31" t="inlineStr">
        <is>
          <t>Near 52W High Breakout</t>
        </is>
      </c>
      <c r="S39" s="31" t="inlineStr">
        <is>
          <t>Nifty Auto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18</t>
        </is>
      </c>
      <c r="CG39" s="31">
        <f>IF(CF39&gt;20,10,IF(CF39&gt;=10,5,2))</f>
        <v/>
      </c>
    </row>
    <row r="40">
      <c r="A40" s="31">
        <f>IF(B40=0,"",RANK(B40,$B$2:$B$92,0))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BLUSPRING</t>
        </is>
      </c>
      <c r="D40" s="31" t="inlineStr">
        <is>
          <t>Bluspring Enterprises Ltd</t>
        </is>
      </c>
      <c r="E40" s="31" t="inlineStr">
        <is>
          <t>miscellaneous</t>
        </is>
      </c>
      <c r="F40" s="31" t="inlineStr">
        <is>
          <t>Diversified</t>
        </is>
      </c>
      <c r="G40" s="31" t="inlineStr">
        <is>
          <t>smallcap</t>
        </is>
      </c>
      <c r="H40" s="32" t="n">
        <v>2560.97</v>
      </c>
      <c r="I40" s="32" t="n">
        <v>171.3</v>
      </c>
      <c r="J40" s="32" t="n">
        <v>3.04</v>
      </c>
      <c r="K40" s="32" t="n">
        <v>0</v>
      </c>
      <c r="L40" s="31" t="n">
        <v>81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76.64</v>
      </c>
      <c r="P40" s="32" t="n">
        <v>59</v>
      </c>
      <c r="Q40" s="32" t="n">
        <v>121.13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-10.55</v>
      </c>
      <c r="U40" s="32" t="n">
        <v>116.17</v>
      </c>
      <c r="V40" s="32" t="n">
        <v>141.67</v>
      </c>
      <c r="W40" s="32" t="n">
        <v>32.21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17</t>
        </is>
      </c>
      <c r="CG40" s="31">
        <f>IF(CF40&gt;20,10,IF(CF40&gt;=10,5,2))</f>
        <v/>
      </c>
    </row>
    <row r="41">
      <c r="A41" s="31">
        <f>IF(B41=0,"",RANK(B41,$B$2:$B$92,0))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WSTCSTPAPR</t>
        </is>
      </c>
      <c r="D41" s="31" t="inlineStr">
        <is>
          <t>West Coast Paper Mills Ltd</t>
        </is>
      </c>
      <c r="E41" s="31" t="inlineStr">
        <is>
          <t>building materials</t>
        </is>
      </c>
      <c r="F41" s="31" t="inlineStr">
        <is>
          <t>Paper</t>
        </is>
      </c>
      <c r="G41" s="31" t="inlineStr">
        <is>
          <t>midcap</t>
        </is>
      </c>
      <c r="H41" s="32" t="n">
        <v>5449.03</v>
      </c>
      <c r="I41" s="32" t="n">
        <v>825</v>
      </c>
      <c r="J41" s="32" t="n">
        <v>-12.28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77.84999999999999</v>
      </c>
      <c r="P41" s="32" t="n">
        <v>67.01000000000001</v>
      </c>
      <c r="Q41" s="32" t="n">
        <v>621.75</v>
      </c>
      <c r="R41" s="31" t="inlineStr">
        <is>
          <t>Volume Spike &amp; Near 52W High Breakout</t>
        </is>
      </c>
      <c r="S41" s="31" t="inlineStr">
        <is>
          <t>Nifty Infra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16</t>
        </is>
      </c>
      <c r="CG41" s="31">
        <f>IF(CF41&gt;20,10,IF(CF41&gt;=10,5,2))</f>
        <v/>
      </c>
    </row>
    <row r="42">
      <c r="A42" s="31">
        <f>IF(B42=0,"",RANK(B42,$B$2:$B$92,0))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SKYGOLD</t>
        </is>
      </c>
      <c r="D42" s="31" t="inlineStr">
        <is>
          <t>Sky Gold &amp; Diamonds Ltd</t>
        </is>
      </c>
      <c r="E42" s="31" t="inlineStr">
        <is>
          <t>consumer discretionary</t>
        </is>
      </c>
      <c r="F42" s="31" t="inlineStr">
        <is>
          <t>Diamond Gems and Jewellery</t>
        </is>
      </c>
      <c r="G42" s="31" t="inlineStr">
        <is>
          <t>midcap</t>
        </is>
      </c>
      <c r="H42" s="32" t="n">
        <v>15616.71</v>
      </c>
      <c r="I42" s="32" t="n">
        <v>1008.35</v>
      </c>
      <c r="J42" s="32" t="n">
        <v>4.2</v>
      </c>
      <c r="K42" s="32" t="n">
        <v>0</v>
      </c>
      <c r="L42" s="31" t="n">
        <v>92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81.98</v>
      </c>
      <c r="P42" s="32" t="n">
        <v>69.43000000000001</v>
      </c>
      <c r="Q42" s="32" t="n">
        <v>781.39</v>
      </c>
      <c r="R42" s="31" t="inlineStr">
        <is>
          <t>Near 52W High Breakout</t>
        </is>
      </c>
      <c r="S42" s="31" t="inlineStr">
        <is>
          <t>Nifty 50</t>
        </is>
      </c>
      <c r="T42" s="32" t="n">
        <v>-10.55</v>
      </c>
      <c r="U42" s="32" t="n">
        <v>199.75</v>
      </c>
      <c r="V42" s="32" t="n">
        <v>235.1</v>
      </c>
      <c r="W42" s="32" t="n">
        <v>39.32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33</t>
        </is>
      </c>
      <c r="CG42" s="31">
        <f>IF(CF42&gt;20,10,IF(CF42&gt;=10,5,2))</f>
        <v/>
      </c>
    </row>
    <row r="43">
      <c r="A43" s="31">
        <f>IF(B43=0,"",RANK(B43,$B$2:$B$92,0))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ONEPOINT</t>
        </is>
      </c>
      <c r="D43" s="31" t="inlineStr">
        <is>
          <t>One Point One Solutions Ltd</t>
        </is>
      </c>
      <c r="E43" s="31" t="inlineStr">
        <is>
          <t>i.t</t>
        </is>
      </c>
      <c r="F43" s="31" t="inlineStr">
        <is>
          <t>IT Enabled Services</t>
        </is>
      </c>
      <c r="G43" s="31" t="inlineStr">
        <is>
          <t>smallcap</t>
        </is>
      </c>
      <c r="H43" s="32" t="n">
        <v>2198.41</v>
      </c>
      <c r="I43" s="32" t="n">
        <v>83.61</v>
      </c>
      <c r="J43" s="32" t="n">
        <v>-1.8</v>
      </c>
      <c r="K43" s="32" t="n">
        <v>0</v>
      </c>
      <c r="L43" s="31" t="n">
        <v>71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78.87</v>
      </c>
      <c r="P43" s="32" t="n">
        <v>23.73</v>
      </c>
      <c r="Q43" s="32" t="n">
        <v>67.56999999999999</v>
      </c>
      <c r="R43" s="31" t="inlineStr">
        <is>
          <t>Near 52W High Breakout</t>
        </is>
      </c>
      <c r="S43" s="31" t="inlineStr">
        <is>
          <t>Nifty IT</t>
        </is>
      </c>
      <c r="T43" s="32" t="n">
        <v>-12.11</v>
      </c>
      <c r="U43" s="32" t="n">
        <v>90.31999999999999</v>
      </c>
      <c r="V43" s="32" t="n">
        <v>116.54</v>
      </c>
      <c r="W43" s="32" t="n">
        <v>26.82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IF(B44=0,"",RANK(B44,$B$2:$B$92,0))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KRISHANA</t>
        </is>
      </c>
      <c r="D44" s="34" t="inlineStr">
        <is>
          <t>Krishana Phoschem Ltd</t>
        </is>
      </c>
      <c r="E44" s="31" t="inlineStr">
        <is>
          <t>chemicals</t>
        </is>
      </c>
      <c r="F44" s="31" t="inlineStr">
        <is>
          <t>Fertilisers</t>
        </is>
      </c>
      <c r="G44" s="31" t="inlineStr">
        <is>
          <t>midcap</t>
        </is>
      </c>
      <c r="H44" s="32" t="n">
        <v>6551.56</v>
      </c>
      <c r="I44" s="32" t="n">
        <v>211.93</v>
      </c>
      <c r="J44" s="32" t="n">
        <v>2.64</v>
      </c>
      <c r="K44" s="32" t="n">
        <v>0</v>
      </c>
      <c r="L44" s="31" t="n">
        <v>70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74.98</v>
      </c>
      <c r="P44" s="32" t="n">
        <v>54.34</v>
      </c>
      <c r="Q44" s="32" t="n">
        <v>165</v>
      </c>
      <c r="R44" s="31" t="inlineStr">
        <is>
          <t>Near 52W High Breakout</t>
        </is>
      </c>
      <c r="S44" s="31" t="inlineStr">
        <is>
          <t>Nifty 50</t>
        </is>
      </c>
      <c r="T44" s="32" t="n">
        <v>-10.55</v>
      </c>
      <c r="U44" s="32" t="n">
        <v>86.89</v>
      </c>
      <c r="V44" s="32" t="n">
        <v>108.94</v>
      </c>
      <c r="W44" s="32" t="n">
        <v>25.79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More than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21</t>
        </is>
      </c>
      <c r="CG44" s="31">
        <f>IF(CF44&gt;20,10,IF(CF44&gt;=10,5,2))</f>
        <v/>
      </c>
    </row>
    <row r="45">
      <c r="A45" s="31">
        <f>IF(B45=0,"",RANK(B45,$B$2:$B$92,0))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FCL</t>
        </is>
      </c>
      <c r="D45" s="31" t="inlineStr">
        <is>
          <t>Fineotex Chemical Ltd</t>
        </is>
      </c>
      <c r="E45" s="31" t="inlineStr">
        <is>
          <t>Basic Materials</t>
        </is>
      </c>
      <c r="F45" s="31" t="inlineStr">
        <is>
          <t>Specialty Chemicals</t>
        </is>
      </c>
      <c r="G45" s="31" t="inlineStr">
        <is>
          <t>midcap</t>
        </is>
      </c>
      <c r="H45" s="32" t="n">
        <v>6750.61</v>
      </c>
      <c r="I45" s="32" t="n">
        <v>57.97</v>
      </c>
      <c r="J45" s="32" t="n">
        <v>-3.16</v>
      </c>
      <c r="K45" s="32" t="n">
        <v>0</v>
      </c>
      <c r="L45" s="31" t="n">
        <v>81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72.31999999999999</v>
      </c>
      <c r="P45" s="32" t="n">
        <v>49.97</v>
      </c>
      <c r="Q45" s="32" t="n">
        <v>43.77</v>
      </c>
      <c r="R45" s="31" t="inlineStr">
        <is>
          <t>Near 52W High Breakout</t>
        </is>
      </c>
      <c r="S45" s="31" t="inlineStr">
        <is>
          <t>Nifty 50</t>
        </is>
      </c>
      <c r="T45" s="32" t="n">
        <v>-10.55</v>
      </c>
      <c r="U45" s="32" t="n">
        <v>137</v>
      </c>
      <c r="V45" s="32" t="n">
        <v>164.95</v>
      </c>
      <c r="W45" s="32" t="n">
        <v>32.21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Cyclical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Volatile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IF(B46=0,"",RANK(B46,$B$2:$B$92,0))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KINGFA</t>
        </is>
      </c>
      <c r="D46" s="31" t="inlineStr">
        <is>
          <t>Kingfa Science &amp; Technology (India) Ltd</t>
        </is>
      </c>
      <c r="E46" s="31" t="inlineStr">
        <is>
          <t>Basic Materials</t>
        </is>
      </c>
      <c r="F46" s="31" t="inlineStr">
        <is>
          <t>Plastics Plastic and Plastic Products</t>
        </is>
      </c>
      <c r="G46" s="31" t="inlineStr">
        <is>
          <t>midcap</t>
        </is>
      </c>
      <c r="H46" s="32" t="n">
        <v>8813.82</v>
      </c>
      <c r="I46" s="32" t="n">
        <v>6504</v>
      </c>
      <c r="J46" s="32" t="n">
        <v>-2.51</v>
      </c>
      <c r="K46" s="32" t="n">
        <v>0</v>
      </c>
      <c r="L46" s="31" t="n">
        <v>46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69.81</v>
      </c>
      <c r="P46" s="32" t="n">
        <v>47.36</v>
      </c>
      <c r="Q46" s="32" t="n">
        <v>5325.83</v>
      </c>
      <c r="R46" s="31" t="inlineStr">
        <is>
          <t>Near 52W High Breakout</t>
        </is>
      </c>
      <c r="S46" s="31" t="inlineStr">
        <is>
          <t>Nifty 50</t>
        </is>
      </c>
      <c r="T46" s="32" t="n">
        <v>-10.55</v>
      </c>
      <c r="U46" s="32" t="n">
        <v>38.51</v>
      </c>
      <c r="V46" s="32" t="n">
        <v>54.84</v>
      </c>
      <c r="W46" s="32" t="n">
        <v>13.48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Cyclical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Volatile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17</t>
        </is>
      </c>
      <c r="CG46" s="31">
        <f>IF(CF46&gt;20,10,IF(CF46&gt;=10,5,2))</f>
        <v/>
      </c>
    </row>
    <row r="47">
      <c r="A47" s="31">
        <f>IF(B47=0,"",RANK(B47,$B$2:$B$92,0))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PTCIL</t>
        </is>
      </c>
      <c r="D47" s="31" t="inlineStr">
        <is>
          <t>PTC Industries Ltd</t>
        </is>
      </c>
      <c r="E47" s="31" t="inlineStr">
        <is>
          <t>castings, forgings &amp; fasteners</t>
        </is>
      </c>
      <c r="F47" s="31" t="inlineStr">
        <is>
          <t>Castings Steel and Alloy</t>
        </is>
      </c>
      <c r="G47" s="31" t="inlineStr">
        <is>
          <t>largecap</t>
        </is>
      </c>
      <c r="H47" s="32" t="n">
        <v>39839.98</v>
      </c>
      <c r="I47" s="32" t="n">
        <v>25140</v>
      </c>
      <c r="J47" s="32" t="n">
        <v>0.66</v>
      </c>
      <c r="K47" s="32" t="n">
        <v>0</v>
      </c>
      <c r="L47" s="31" t="n">
        <v>58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73.3</v>
      </c>
      <c r="P47" s="32" t="n">
        <v>47.19</v>
      </c>
      <c r="Q47" s="32" t="n">
        <v>20225.39</v>
      </c>
      <c r="R47" s="31" t="inlineStr">
        <is>
          <t>Near 52W High Breakout</t>
        </is>
      </c>
      <c r="S47" s="31" t="inlineStr">
        <is>
          <t>Nifty 50</t>
        </is>
      </c>
      <c r="T47" s="32" t="n">
        <v>-10.55</v>
      </c>
      <c r="U47" s="32" t="n">
        <v>49.43</v>
      </c>
      <c r="V47" s="32" t="n">
        <v>67.06</v>
      </c>
      <c r="W47" s="32" t="n">
        <v>17.61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17</t>
        </is>
      </c>
      <c r="CG47" s="31">
        <f>IF(CF47&gt;20,10,IF(CF47&gt;=10,5,2))</f>
        <v/>
      </c>
    </row>
    <row r="48">
      <c r="A48" s="31">
        <f>IF(B48=0,"",RANK(B48,$B$2:$B$92,0))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PANACHE</t>
        </is>
      </c>
      <c r="D48" s="31" t="inlineStr">
        <is>
          <t>Panache Digilife Ltd</t>
        </is>
      </c>
      <c r="E48" s="31" t="inlineStr">
        <is>
          <t>i.t</t>
        </is>
      </c>
      <c r="F48" s="31" t="inlineStr">
        <is>
          <t>Computer Hardware</t>
        </is>
      </c>
      <c r="G48" s="31" t="inlineStr">
        <is>
          <t>smallcap</t>
        </is>
      </c>
      <c r="H48" s="32" t="n">
        <v>1030.66</v>
      </c>
      <c r="I48" s="32" t="n">
        <v>643.6</v>
      </c>
      <c r="J48" s="32" t="n">
        <v>2</v>
      </c>
      <c r="K48" s="32" t="n">
        <v>0</v>
      </c>
      <c r="L48" s="31" t="n">
        <v>65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79.75</v>
      </c>
      <c r="P48" s="32" t="n">
        <v>42.48</v>
      </c>
      <c r="Q48" s="32" t="n">
        <v>518.17</v>
      </c>
      <c r="R48" s="31" t="inlineStr">
        <is>
          <t>Near 52W High Breakout</t>
        </is>
      </c>
      <c r="S48" s="31" t="inlineStr">
        <is>
          <t>Nifty IT</t>
        </is>
      </c>
      <c r="T48" s="32" t="n">
        <v>-12.11</v>
      </c>
      <c r="U48" s="32" t="n">
        <v>53.38</v>
      </c>
      <c r="V48" s="32" t="n">
        <v>74.51000000000001</v>
      </c>
      <c r="W48" s="32" t="n">
        <v>22.6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17</t>
        </is>
      </c>
      <c r="CG48" s="31">
        <f>IF(CF48&gt;20,10,IF(CF48&gt;=10,5,2))</f>
        <v/>
      </c>
    </row>
    <row r="49">
      <c r="A49" s="31">
        <f>IF(B49=0,"",RANK(B49,$B$2:$B$92,0))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GALAXYSURF</t>
        </is>
      </c>
      <c r="D49" s="31" t="inlineStr">
        <is>
          <t>Galaxy Surfactants Ltd</t>
        </is>
      </c>
      <c r="E49" s="31" t="inlineStr">
        <is>
          <t>chemicals</t>
        </is>
      </c>
      <c r="F49" s="31" t="inlineStr">
        <is>
          <t>Specialty Chemicals</t>
        </is>
      </c>
      <c r="G49" s="31" t="inlineStr">
        <is>
          <t>midcap</t>
        </is>
      </c>
      <c r="H49" s="32" t="n">
        <v>8863.690000000001</v>
      </c>
      <c r="I49" s="32" t="n">
        <v>2500</v>
      </c>
      <c r="J49" s="32" t="n">
        <v>-4.19</v>
      </c>
      <c r="K49" s="32" t="n">
        <v>0</v>
      </c>
      <c r="L49" s="31" t="n">
        <v>39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67.3</v>
      </c>
      <c r="P49" s="32" t="n">
        <v>34.07</v>
      </c>
      <c r="Q49" s="32" t="n">
        <v>1961.09</v>
      </c>
      <c r="R49" s="31" t="inlineStr">
        <is>
          <t>Near 52W High Breakout</t>
        </is>
      </c>
      <c r="S49" s="31" t="inlineStr">
        <is>
          <t>Nifty 50</t>
        </is>
      </c>
      <c r="T49" s="32" t="n">
        <v>-10.55</v>
      </c>
      <c r="U49" s="32" t="n">
        <v>14.12</v>
      </c>
      <c r="V49" s="32" t="n">
        <v>27.58</v>
      </c>
      <c r="W49" s="32" t="n">
        <v>10.09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16</t>
        </is>
      </c>
      <c r="CG49" s="31">
        <f>IF(CF49&gt;20,10,IF(CF49&gt;=10,5,2))</f>
        <v/>
      </c>
    </row>
    <row r="50">
      <c r="A50" s="31">
        <f>IF(B50=0,"",RANK(B50,$B$2:$B$92,0))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TECHM</t>
        </is>
      </c>
      <c r="D50" s="34" t="inlineStr">
        <is>
          <t>Tech Mahindra Ltd</t>
        </is>
      </c>
      <c r="E50" s="31" t="inlineStr">
        <is>
          <t>i.t</t>
        </is>
      </c>
      <c r="F50" s="31" t="inlineStr">
        <is>
          <t>IT Services</t>
        </is>
      </c>
      <c r="G50" s="31" t="inlineStr">
        <is>
          <t>largecap</t>
        </is>
      </c>
      <c r="H50" s="32" t="n">
        <v>161726.25</v>
      </c>
      <c r="I50" s="32" t="n">
        <v>1650</v>
      </c>
      <c r="J50" s="32" t="n">
        <v>4.75</v>
      </c>
      <c r="K50" s="32" t="n">
        <v>0</v>
      </c>
      <c r="L50" s="31" t="n">
        <v>22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60.84</v>
      </c>
      <c r="P50" s="32" t="n">
        <v>11.76</v>
      </c>
      <c r="Q50" s="32" t="n">
        <v>1370.54</v>
      </c>
      <c r="R50" s="31" t="inlineStr">
        <is>
          <t>Volume Spike &amp; Near 52W High Breakout</t>
        </is>
      </c>
      <c r="S50" s="31" t="inlineStr">
        <is>
          <t>Nifty IT</t>
        </is>
      </c>
      <c r="T50" s="32" t="n">
        <v>-12.11</v>
      </c>
      <c r="U50" s="32" t="n">
        <v>18.17</v>
      </c>
      <c r="V50" s="32" t="n">
        <v>34.44</v>
      </c>
      <c r="W50" s="32" t="n">
        <v>4.73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0 to 20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16</t>
        </is>
      </c>
      <c r="CG50" s="31">
        <f>IF(CF50&gt;20,10,IF(CF50&gt;=10,5,2))</f>
        <v/>
      </c>
    </row>
    <row r="51">
      <c r="A51" s="31">
        <f>IF(B51=0,"",RANK(B51,$B$2:$B$92,0))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JGCHEM</t>
        </is>
      </c>
      <c r="D51" s="31" t="inlineStr">
        <is>
          <t>JGChemicals Ltd</t>
        </is>
      </c>
      <c r="E51" s="31" t="inlineStr">
        <is>
          <t>Basic Materials</t>
        </is>
      </c>
      <c r="F51" s="31" t="inlineStr">
        <is>
          <t>Chemicals Inorganic</t>
        </is>
      </c>
      <c r="G51" s="31" t="inlineStr">
        <is>
          <t>smallcap</t>
        </is>
      </c>
      <c r="H51" s="32" t="n">
        <v>2467.55</v>
      </c>
      <c r="I51" s="32" t="n">
        <v>629.7</v>
      </c>
      <c r="J51" s="32" t="n">
        <v>-7.63</v>
      </c>
      <c r="K51" s="32" t="n">
        <v>0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69.66</v>
      </c>
      <c r="P51" s="32" t="n">
        <v>50.27</v>
      </c>
      <c r="Q51" s="32" t="n">
        <v>471.18</v>
      </c>
      <c r="R51" s="31" t="inlineStr">
        <is>
          <t>Near 52W High Breakout</t>
        </is>
      </c>
      <c r="S51" s="31" t="inlineStr">
        <is>
          <t>Nifty Metal</t>
        </is>
      </c>
      <c r="T51" s="32" t="inlineStr"/>
      <c r="U51" s="32" t="inlineStr"/>
      <c r="V51" s="32" t="inlineStr"/>
      <c r="W51" s="32" t="inlineStr"/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Cyclical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Volatile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15</t>
        </is>
      </c>
      <c r="CG51" s="31">
        <f>IF(CF51&gt;20,10,IF(CF51&gt;=10,5,2))</f>
        <v/>
      </c>
    </row>
    <row r="52">
      <c r="A52" s="31">
        <f>IF(B52=0,"",RANK(B52,$B$2:$B$92,0))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REMUS</t>
        </is>
      </c>
      <c r="D52" s="34" t="inlineStr">
        <is>
          <t>Remus Pharmaceuticals Ltd</t>
        </is>
      </c>
      <c r="E52" s="31" t="inlineStr">
        <is>
          <t>unknown</t>
        </is>
      </c>
      <c r="F52" s="31" t="inlineStr">
        <is>
          <t>Pharma Others</t>
        </is>
      </c>
      <c r="G52" s="31" t="inlineStr">
        <is>
          <t>smallcap</t>
        </is>
      </c>
      <c r="H52" s="32" t="n">
        <v>1186.65</v>
      </c>
      <c r="I52" s="32" t="n">
        <v>1007</v>
      </c>
      <c r="J52" s="32" t="n">
        <v>-1.35</v>
      </c>
      <c r="K52" s="32" t="n">
        <v>0</v>
      </c>
      <c r="L52" s="31" t="n">
        <v>59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62.81</v>
      </c>
      <c r="P52" s="32" t="n">
        <v>38.21</v>
      </c>
      <c r="Q52" s="32" t="n">
        <v>734.1900000000001</v>
      </c>
      <c r="R52" s="31" t="inlineStr">
        <is>
          <t>Near 52W High Breakout</t>
        </is>
      </c>
      <c r="S52" s="31" t="inlineStr">
        <is>
          <t>Nifty 50</t>
        </is>
      </c>
      <c r="T52" s="32" t="n">
        <v>-10.55</v>
      </c>
      <c r="U52" s="32" t="n">
        <v>53.63</v>
      </c>
      <c r="V52" s="32" t="n">
        <v>71.75</v>
      </c>
      <c r="W52" s="32" t="n">
        <v>17.93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15</t>
        </is>
      </c>
      <c r="CG52" s="31">
        <f>IF(CF52&gt;20,10,IF(CF52&gt;=10,5,2))</f>
        <v/>
      </c>
    </row>
    <row r="53">
      <c r="A53" s="31">
        <f>IF(B53=0,"",RANK(B53,$B$2:$B$92,0))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4" t="inlineStr">
        <is>
          <t>MAYURUNIQ</t>
        </is>
      </c>
      <c r="D53" s="34" t="inlineStr">
        <is>
          <t>Mayur Uniquoters Ltd</t>
        </is>
      </c>
      <c r="E53" s="31" t="inlineStr">
        <is>
          <t>consumer discretionary</t>
        </is>
      </c>
      <c r="F53" s="31" t="inlineStr">
        <is>
          <t>Plastics Plastic and Plastic Products</t>
        </is>
      </c>
      <c r="G53" s="31" t="inlineStr">
        <is>
          <t>smallcap</t>
        </is>
      </c>
      <c r="H53" s="32" t="n">
        <v>3432.76</v>
      </c>
      <c r="I53" s="32" t="n">
        <v>790</v>
      </c>
      <c r="J53" s="32" t="n">
        <v>-1.73</v>
      </c>
      <c r="K53" s="32" t="n">
        <v>0</v>
      </c>
      <c r="L53" s="31" t="n">
        <v>40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60.37</v>
      </c>
      <c r="P53" s="32" t="n">
        <v>36.72</v>
      </c>
      <c r="Q53" s="32" t="n">
        <v>595.64</v>
      </c>
      <c r="R53" s="31" t="inlineStr">
        <is>
          <t>Earnings / Momentum Support</t>
        </is>
      </c>
      <c r="S53" s="31" t="inlineStr">
        <is>
          <t>Nifty 50</t>
        </is>
      </c>
      <c r="T53" s="32" t="n">
        <v>-10.55</v>
      </c>
      <c r="U53" s="32" t="n">
        <v>58.76</v>
      </c>
      <c r="V53" s="32" t="n">
        <v>77.48</v>
      </c>
      <c r="W53" s="32" t="n">
        <v>10.87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15</t>
        </is>
      </c>
      <c r="CG53" s="31">
        <f>IF(CF53&gt;20,10,IF(CF53&gt;=10,5,2))</f>
        <v/>
      </c>
    </row>
    <row r="54">
      <c r="A54" s="31">
        <f>IF(B54=0,"",RANK(B54,$B$2:$B$92,0))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SPECTRUM</t>
        </is>
      </c>
      <c r="D54" s="34" t="inlineStr">
        <is>
          <t>Spectrum Electrical Industries Ltd</t>
        </is>
      </c>
      <c r="E54" s="31" t="inlineStr">
        <is>
          <t>industrials</t>
        </is>
      </c>
      <c r="F54" s="31" t="inlineStr">
        <is>
          <t>Capital Goods Electric General</t>
        </is>
      </c>
      <c r="G54" s="31" t="inlineStr">
        <is>
          <t>midcap</t>
        </is>
      </c>
      <c r="H54" s="32" t="n">
        <v>6544.5</v>
      </c>
      <c r="I54" s="32" t="n">
        <v>3830</v>
      </c>
      <c r="J54" s="32" t="n">
        <v>-0.71</v>
      </c>
      <c r="K54" s="32" t="n">
        <v>0</v>
      </c>
      <c r="L54" s="31" t="n">
        <v>95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82.33</v>
      </c>
      <c r="P54" s="32" t="n">
        <v>65.87</v>
      </c>
      <c r="Q54" s="32" t="n">
        <v>2869.53</v>
      </c>
      <c r="R54" s="31" t="inlineStr">
        <is>
          <t>Near 52W High Breakout</t>
        </is>
      </c>
      <c r="S54" s="31" t="inlineStr">
        <is>
          <t>Nifty 50</t>
        </is>
      </c>
      <c r="T54" s="32" t="n">
        <v>-10.55</v>
      </c>
      <c r="U54" s="32" t="n">
        <v>188.68</v>
      </c>
      <c r="V54" s="32" t="n">
        <v>222.73</v>
      </c>
      <c r="W54" s="32" t="n">
        <v>48.51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15</t>
        </is>
      </c>
      <c r="CG54" s="31">
        <f>IF(CF54&gt;20,10,IF(CF54&gt;=10,5,2))</f>
        <v/>
      </c>
    </row>
    <row r="55">
      <c r="A55" s="31">
        <f>IF(B55=0,"",RANK(B55,$B$2:$B$92,0))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LAURUSLABS</t>
        </is>
      </c>
      <c r="D55" s="31" t="inlineStr">
        <is>
          <t>Laurus Labs Ltd</t>
        </is>
      </c>
      <c r="E55" s="31" t="inlineStr">
        <is>
          <t>healthcare</t>
        </is>
      </c>
      <c r="F55" s="31" t="inlineStr">
        <is>
          <t>Pharma API</t>
        </is>
      </c>
      <c r="G55" s="31" t="inlineStr">
        <is>
          <t>largecap</t>
        </is>
      </c>
      <c r="H55" s="32" t="n">
        <v>109062.02</v>
      </c>
      <c r="I55" s="32" t="n">
        <v>2018.5</v>
      </c>
      <c r="J55" s="32" t="n">
        <v>-0.9</v>
      </c>
      <c r="K55" s="32" t="n">
        <v>0</v>
      </c>
      <c r="L55" s="31" t="n">
        <v>69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75.09999999999999</v>
      </c>
      <c r="P55" s="32" t="n">
        <v>78.81</v>
      </c>
      <c r="Q55" s="32" t="n">
        <v>1748.77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16.02</v>
      </c>
      <c r="U55" s="32" t="n">
        <v>124.67</v>
      </c>
      <c r="V55" s="32" t="n">
        <v>93.66</v>
      </c>
      <c r="W55" s="32" t="n">
        <v>24.79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19</t>
        </is>
      </c>
      <c r="CG55" s="31">
        <f>IF(CF55&gt;20,10,IF(CF55&gt;=10,5,2))</f>
        <v/>
      </c>
    </row>
    <row r="56">
      <c r="A56" s="31">
        <f>IF(B56=0,"",RANK(B56,$B$2:$B$92,0))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ABDL</t>
        </is>
      </c>
      <c r="D56" s="34" t="inlineStr">
        <is>
          <t>Allied Blenders &amp; Distillers Ltd</t>
        </is>
      </c>
      <c r="E56" s="31" t="inlineStr">
        <is>
          <t>fmcg</t>
        </is>
      </c>
      <c r="F56" s="31" t="inlineStr">
        <is>
          <t>Alcoholic Beverages</t>
        </is>
      </c>
      <c r="G56" s="31" t="inlineStr">
        <is>
          <t>largecap</t>
        </is>
      </c>
      <c r="H56" s="32" t="n">
        <v>20687.36</v>
      </c>
      <c r="I56" s="32" t="n">
        <v>739.6</v>
      </c>
      <c r="J56" s="32" t="n">
        <v>-0.52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68.81999999999999</v>
      </c>
      <c r="P56" s="32" t="n">
        <v>26.7</v>
      </c>
      <c r="Q56" s="32" t="n">
        <v>576.6900000000001</v>
      </c>
      <c r="R56" s="31" t="inlineStr">
        <is>
          <t>Near 52W High Breakout</t>
        </is>
      </c>
      <c r="S56" s="31" t="inlineStr">
        <is>
          <t>Nifty FMCG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B2C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Less than 12%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15</t>
        </is>
      </c>
      <c r="CG56" s="31">
        <f>IF(CF56&gt;20,10,IF(CF56&gt;=10,5,2))</f>
        <v/>
      </c>
    </row>
    <row r="57">
      <c r="A57" s="31">
        <f>IF(B57=0,"",RANK(B57,$B$2:$B$92,0))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AMAL</t>
        </is>
      </c>
      <c r="D57" s="31" t="inlineStr">
        <is>
          <t>Amal Ltd</t>
        </is>
      </c>
      <c r="E57" s="31" t="inlineStr">
        <is>
          <t>Basic Materials</t>
        </is>
      </c>
      <c r="F57" s="31" t="inlineStr">
        <is>
          <t>Specialty Chemicals</t>
        </is>
      </c>
      <c r="G57" s="31" t="inlineStr">
        <is>
          <t>smallcap</t>
        </is>
      </c>
      <c r="H57" s="32" t="n">
        <v>1159.62</v>
      </c>
      <c r="I57" s="32" t="n">
        <v>938</v>
      </c>
      <c r="J57" s="32" t="n">
        <v>3.89</v>
      </c>
      <c r="K57" s="32" t="n">
        <v>0</v>
      </c>
      <c r="L57" s="31" t="n">
        <v>42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72.59</v>
      </c>
      <c r="P57" s="32" t="n">
        <v>47.33</v>
      </c>
      <c r="Q57" s="32" t="n">
        <v>670.38</v>
      </c>
      <c r="R57" s="31" t="inlineStr">
        <is>
          <t>Volume Spike &amp; Near 52W High Breakout</t>
        </is>
      </c>
      <c r="S57" s="31" t="inlineStr">
        <is>
          <t>Nifty 50</t>
        </is>
      </c>
      <c r="T57" s="32" t="n">
        <v>-10.55</v>
      </c>
      <c r="U57" s="32" t="n">
        <v>29.01</v>
      </c>
      <c r="V57" s="32" t="n">
        <v>44.22</v>
      </c>
      <c r="W57" s="32" t="n">
        <v>11.82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Cyclical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Volatile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22</t>
        </is>
      </c>
      <c r="CG57" s="31">
        <f>IF(CF57&gt;20,10,IF(CF57&gt;=10,5,2))</f>
        <v/>
      </c>
    </row>
    <row r="58">
      <c r="A58" s="31">
        <f>IF(B58=0,"",RANK(B58,$B$2:$B$92,0))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SHRINGARMS</t>
        </is>
      </c>
      <c r="D58" s="31" t="inlineStr">
        <is>
          <t>Shringar House of Mangalsutra Ltd</t>
        </is>
      </c>
      <c r="E58" s="31" t="inlineStr">
        <is>
          <t>consumer discretionary</t>
        </is>
      </c>
      <c r="F58" s="31" t="inlineStr">
        <is>
          <t>Diamond Gems and Jewellery</t>
        </is>
      </c>
      <c r="G58" s="31" t="inlineStr">
        <is>
          <t>smallcap</t>
        </is>
      </c>
      <c r="H58" s="32" t="n">
        <v>2863.65</v>
      </c>
      <c r="I58" s="32" t="n">
        <v>296.96</v>
      </c>
      <c r="J58" s="32" t="n">
        <v>-6.54</v>
      </c>
      <c r="K58" s="32" t="n">
        <v>0</v>
      </c>
      <c r="L58" s="31" t="n">
        <v>55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74.94</v>
      </c>
      <c r="P58" s="32" t="n">
        <v>21.85</v>
      </c>
      <c r="Q58" s="32" t="n">
        <v>234.58</v>
      </c>
      <c r="R58" s="31" t="inlineStr">
        <is>
          <t>Volume Spike &amp; Near 52W High Breakout</t>
        </is>
      </c>
      <c r="S58" s="31" t="inlineStr">
        <is>
          <t>Nifty 50</t>
        </is>
      </c>
      <c r="T58" s="32" t="n">
        <v>-10.55</v>
      </c>
      <c r="U58" s="32" t="n">
        <v>50.89</v>
      </c>
      <c r="V58" s="32" t="n">
        <v>68.69</v>
      </c>
      <c r="W58" s="32" t="n">
        <v>16.53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IF(B59=0,"",RANK(B59,$B$2:$B$92,0))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OAL</t>
        </is>
      </c>
      <c r="D59" s="34" t="inlineStr">
        <is>
          <t>Oriental Aromatics Ltd</t>
        </is>
      </c>
      <c r="E59" s="31" t="inlineStr">
        <is>
          <t>chemicals</t>
        </is>
      </c>
      <c r="F59" s="31" t="inlineStr">
        <is>
          <t>Chemicals Organic</t>
        </is>
      </c>
      <c r="G59" s="31" t="inlineStr">
        <is>
          <t>smallcap</t>
        </is>
      </c>
      <c r="H59" s="32" t="n">
        <v>1970.42</v>
      </c>
      <c r="I59" s="32" t="n">
        <v>585.5</v>
      </c>
      <c r="J59" s="32" t="n">
        <v>12.09</v>
      </c>
      <c r="K59" s="32" t="n">
        <v>0</v>
      </c>
      <c r="L59" s="31" t="n">
        <v>71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76.08</v>
      </c>
      <c r="P59" s="32" t="n">
        <v>44.8</v>
      </c>
      <c r="Q59" s="32" t="n">
        <v>413.78</v>
      </c>
      <c r="R59" s="31" t="inlineStr">
        <is>
          <t>Volume Spike &amp; Near 52W High Breakout</t>
        </is>
      </c>
      <c r="S59" s="31" t="inlineStr">
        <is>
          <t>Nifty 50</t>
        </is>
      </c>
      <c r="T59" s="32" t="n">
        <v>-10.55</v>
      </c>
      <c r="U59" s="32" t="n">
        <v>71.98</v>
      </c>
      <c r="V59" s="32" t="n">
        <v>92.26000000000001</v>
      </c>
      <c r="W59" s="32" t="n">
        <v>26.74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15</t>
        </is>
      </c>
      <c r="CG59" s="31">
        <f>IF(CF59&gt;20,10,IF(CF59&gt;=10,5,2))</f>
        <v/>
      </c>
    </row>
    <row r="60">
      <c r="A60" s="31">
        <f>IF(B60=0,"",RANK(B60,$B$2:$B$92,0))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UTTAMSUGAR</t>
        </is>
      </c>
      <c r="D60" s="31" t="inlineStr">
        <is>
          <t>Uttam Sugar Mills Ltd</t>
        </is>
      </c>
      <c r="E60" s="31" t="inlineStr">
        <is>
          <t>fmcg</t>
        </is>
      </c>
      <c r="F60" s="31" t="inlineStr">
        <is>
          <t>Sugar</t>
        </is>
      </c>
      <c r="G60" s="31" t="inlineStr">
        <is>
          <t>smallcap</t>
        </is>
      </c>
      <c r="H60" s="32" t="n">
        <v>1437.81</v>
      </c>
      <c r="I60" s="32" t="n">
        <v>377</v>
      </c>
      <c r="J60" s="32" t="n">
        <v>-0.8</v>
      </c>
      <c r="K60" s="32" t="n">
        <v>0</v>
      </c>
      <c r="L60" s="31" t="inlineStr"/>
      <c r="M60" s="31" t="inlineStr"/>
      <c r="N60" s="32">
        <f>IF(M60="Underperforming",-5,IF(L60&gt;=95,15,IF(L60&gt;=90,10,IF(L60&gt;=80,5,0))))</f>
        <v/>
      </c>
      <c r="O60" s="32" t="n">
        <v>70.58</v>
      </c>
      <c r="P60" s="32" t="n">
        <v>33.1</v>
      </c>
      <c r="Q60" s="32" t="n">
        <v>262.97</v>
      </c>
      <c r="R60" s="31" t="inlineStr">
        <is>
          <t>Volume Spike &amp; Near 52W High Breakout</t>
        </is>
      </c>
      <c r="S60" s="31" t="inlineStr">
        <is>
          <t>Nifty FMCG</t>
        </is>
      </c>
      <c r="T60" s="32" t="inlineStr"/>
      <c r="U60" s="32" t="inlineStr"/>
      <c r="V60" s="32" t="inlineStr"/>
      <c r="W60" s="32" t="inlineStr"/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15</t>
        </is>
      </c>
      <c r="CG60" s="31">
        <f>IF(CF60&gt;20,10,IF(CF60&gt;=10,5,2))</f>
        <v/>
      </c>
    </row>
    <row r="61">
      <c r="A61" s="31">
        <f>IF(B61=0,"",RANK(B61,$B$2:$B$92,0))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GANDHAR</t>
        </is>
      </c>
      <c r="D61" s="31" t="inlineStr">
        <is>
          <t>Gandhar Oil Refinery (India) Ltd</t>
        </is>
      </c>
      <c r="E61" s="31" t="inlineStr">
        <is>
          <t>energy</t>
        </is>
      </c>
      <c r="F61" s="31" t="inlineStr">
        <is>
          <t>Refineries</t>
        </is>
      </c>
      <c r="G61" s="31" t="inlineStr">
        <is>
          <t>smallcap</t>
        </is>
      </c>
      <c r="H61" s="32" t="n">
        <v>2926.88</v>
      </c>
      <c r="I61" s="32" t="n">
        <v>299</v>
      </c>
      <c r="J61" s="32" t="n">
        <v>-3.84</v>
      </c>
      <c r="K61" s="32" t="n">
        <v>0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72.09</v>
      </c>
      <c r="P61" s="32" t="n">
        <v>78.89</v>
      </c>
      <c r="Q61" s="32" t="n">
        <v>229.44</v>
      </c>
      <c r="R61" s="31" t="inlineStr">
        <is>
          <t>Near 52W High Breakout</t>
        </is>
      </c>
      <c r="S61" s="31" t="inlineStr">
        <is>
          <t>Nifty Energy</t>
        </is>
      </c>
      <c r="T61" s="32" t="inlineStr"/>
      <c r="U61" s="32" t="inlineStr"/>
      <c r="V61" s="32" t="inlineStr"/>
      <c r="W61" s="32" t="inlineStr"/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Oligopoly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Volatile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23</t>
        </is>
      </c>
      <c r="CG61" s="31">
        <f>IF(CF61&gt;20,10,IF(CF61&gt;=10,5,2))</f>
        <v/>
      </c>
    </row>
    <row r="62">
      <c r="A62" s="31">
        <f>IF(B62=0,"",RANK(B62,$B$2:$B$92,0))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SAMBHV</t>
        </is>
      </c>
      <c r="D62" s="31" t="inlineStr">
        <is>
          <t>Sambhv Steel Tubes Ltd</t>
        </is>
      </c>
      <c r="E62" s="31" t="inlineStr">
        <is>
          <t>metals &amp; mining</t>
        </is>
      </c>
      <c r="F62" s="31" t="inlineStr">
        <is>
          <t>Steel Tubes and Pipes</t>
        </is>
      </c>
      <c r="G62" s="31" t="inlineStr">
        <is>
          <t>smallcap</t>
        </is>
      </c>
      <c r="H62" s="32" t="n">
        <v>4829.66</v>
      </c>
      <c r="I62" s="32" t="n">
        <v>163.9</v>
      </c>
      <c r="J62" s="32" t="n">
        <v>0.03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78.7</v>
      </c>
      <c r="P62" s="32" t="n">
        <v>52.43</v>
      </c>
      <c r="Q62" s="32" t="n">
        <v>126.6</v>
      </c>
      <c r="R62" s="31" t="inlineStr">
        <is>
          <t>Near 52W High Breakout</t>
        </is>
      </c>
      <c r="S62" s="31" t="inlineStr">
        <is>
          <t>Nifty Metal</t>
        </is>
      </c>
      <c r="T62" s="32" t="inlineStr"/>
      <c r="U62" s="32" t="inlineStr"/>
      <c r="V62" s="32" t="inlineStr"/>
      <c r="W62" s="32" t="inlineStr"/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Cyclical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Volatile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19</t>
        </is>
      </c>
      <c r="CG62" s="31">
        <f>IF(CF62&gt;20,10,IF(CF62&gt;=10,5,2))</f>
        <v/>
      </c>
    </row>
    <row r="63">
      <c r="A63" s="31">
        <f>IF(B63=0,"",RANK(B63,$B$2:$B$92,0))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IRISDOREME</t>
        </is>
      </c>
      <c r="D63" s="34" t="inlineStr">
        <is>
          <t>Iris Clothings Ltd</t>
        </is>
      </c>
      <c r="E63" s="31" t="inlineStr">
        <is>
          <t>readymade garments/apparels</t>
        </is>
      </c>
      <c r="F63" s="31" t="inlineStr">
        <is>
          <t>Textiles Readymade Apparel</t>
        </is>
      </c>
      <c r="G63" s="31" t="inlineStr">
        <is>
          <t>smallcap</t>
        </is>
      </c>
      <c r="H63" s="32" t="n">
        <v>1199.28</v>
      </c>
      <c r="I63" s="32" t="n">
        <v>63.01</v>
      </c>
      <c r="J63" s="32" t="n">
        <v>5.51</v>
      </c>
      <c r="K63" s="32" t="n">
        <v>0</v>
      </c>
      <c r="L63" s="31" t="n">
        <v>65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69.93000000000001</v>
      </c>
      <c r="P63" s="32" t="n">
        <v>51.3</v>
      </c>
      <c r="Q63" s="32" t="n">
        <v>50.6</v>
      </c>
      <c r="R63" s="31" t="inlineStr">
        <is>
          <t>Near 52W High Breakout</t>
        </is>
      </c>
      <c r="S63" s="31" t="inlineStr">
        <is>
          <t>Nifty 50</t>
        </is>
      </c>
      <c r="T63" s="32" t="n">
        <v>-10.55</v>
      </c>
      <c r="U63" s="32" t="n">
        <v>92.12</v>
      </c>
      <c r="V63" s="32" t="n">
        <v>114.78</v>
      </c>
      <c r="W63" s="32" t="n">
        <v>22.07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16</t>
        </is>
      </c>
      <c r="CG63" s="31">
        <f>IF(CF63&gt;20,10,IF(CF63&gt;=10,5,2))</f>
        <v/>
      </c>
    </row>
    <row r="64">
      <c r="A64" s="31">
        <f>IF(B64=0,"",RANK(B64,$B$2:$B$92,0))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MUKANDLTD</t>
        </is>
      </c>
      <c r="D64" s="31" t="inlineStr">
        <is>
          <t>Mukand Ltd</t>
        </is>
      </c>
      <c r="E64" s="31" t="inlineStr">
        <is>
          <t>metals &amp; mining</t>
        </is>
      </c>
      <c r="F64" s="31" t="inlineStr">
        <is>
          <t>Steel</t>
        </is>
      </c>
      <c r="G64" s="31" t="inlineStr">
        <is>
          <t>smallcap</t>
        </is>
      </c>
      <c r="H64" s="32" t="n">
        <v>2460.18</v>
      </c>
      <c r="I64" s="32" t="n">
        <v>170.26</v>
      </c>
      <c r="J64" s="32" t="n">
        <v>-2.72</v>
      </c>
      <c r="K64" s="32" t="n">
        <v>0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67.56999999999999</v>
      </c>
      <c r="P64" s="32" t="n">
        <v>45.79</v>
      </c>
      <c r="Q64" s="32" t="n">
        <v>137.98</v>
      </c>
      <c r="R64" s="31" t="inlineStr">
        <is>
          <t>Near 52W High Breakout</t>
        </is>
      </c>
      <c r="S64" s="31" t="inlineStr">
        <is>
          <t>Nifty Metal</t>
        </is>
      </c>
      <c r="T64" s="32" t="inlineStr"/>
      <c r="U64" s="32" t="inlineStr"/>
      <c r="V64" s="32" t="inlineStr"/>
      <c r="W64" s="32" t="inlineStr"/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16</t>
        </is>
      </c>
      <c r="CG64" s="31">
        <f>IF(CF64&gt;20,10,IF(CF64&gt;=10,5,2))</f>
        <v/>
      </c>
    </row>
    <row r="65">
      <c r="A65" s="31">
        <f>IF(B65=0,"",RANK(B65,$B$2:$B$92,0))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MMP</t>
        </is>
      </c>
      <c r="D65" s="31" t="inlineStr">
        <is>
          <t>MMP Industries Ltd</t>
        </is>
      </c>
      <c r="E65" s="31" t="inlineStr">
        <is>
          <t>metals &amp; mining</t>
        </is>
      </c>
      <c r="F65" s="31" t="inlineStr">
        <is>
          <t>Aluminium Products</t>
        </is>
      </c>
      <c r="G65" s="31" t="inlineStr">
        <is>
          <t>smallcap</t>
        </is>
      </c>
      <c r="H65" s="32" t="n">
        <v>1260.99</v>
      </c>
      <c r="I65" s="32" t="n">
        <v>496.4</v>
      </c>
      <c r="J65" s="32" t="n">
        <v>-2.41</v>
      </c>
      <c r="K65" s="32" t="n">
        <v>0</v>
      </c>
      <c r="L65" s="31" t="inlineStr"/>
      <c r="M65" s="31" t="inlineStr"/>
      <c r="N65" s="32">
        <f>IF(M65="Underperforming",-5,IF(L65&gt;=95,15,IF(L65&gt;=90,10,IF(L65&gt;=80,5,0))))</f>
        <v/>
      </c>
      <c r="O65" s="32" t="n">
        <v>79.64</v>
      </c>
      <c r="P65" s="32" t="n">
        <v>64.52</v>
      </c>
      <c r="Q65" s="32" t="n">
        <v>374.28</v>
      </c>
      <c r="R65" s="31" t="inlineStr">
        <is>
          <t>Near 52W High Breakout</t>
        </is>
      </c>
      <c r="S65" s="31" t="inlineStr">
        <is>
          <t>Nifty Metal</t>
        </is>
      </c>
      <c r="T65" s="32" t="inlineStr"/>
      <c r="U65" s="32" t="inlineStr"/>
      <c r="V65" s="32" t="inlineStr"/>
      <c r="W65" s="32" t="inlineStr"/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Cyclical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Volatile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15</t>
        </is>
      </c>
      <c r="CG65" s="31">
        <f>IF(CF65&gt;20,10,IF(CF65&gt;=10,5,2))</f>
        <v/>
      </c>
    </row>
    <row r="66">
      <c r="A66" s="31">
        <f>IF(B66=0,"",RANK(B66,$B$2:$B$92,0))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BIRLACABLE</t>
        </is>
      </c>
      <c r="D66" s="31" t="inlineStr">
        <is>
          <t>Birla Cable Ltd</t>
        </is>
      </c>
      <c r="E66" s="31" t="inlineStr">
        <is>
          <t>Technology</t>
        </is>
      </c>
      <c r="F66" s="31" t="inlineStr">
        <is>
          <t>Cables Telecom</t>
        </is>
      </c>
      <c r="G66" s="31" t="inlineStr">
        <is>
          <t>smallcap</t>
        </is>
      </c>
      <c r="H66" s="32" t="n">
        <v>1081.05</v>
      </c>
      <c r="I66" s="32" t="n">
        <v>360.35</v>
      </c>
      <c r="J66" s="32" t="n">
        <v>-5</v>
      </c>
      <c r="K66" s="32" t="n">
        <v>0</v>
      </c>
      <c r="L66" s="31" t="n">
        <v>94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65.73999999999999</v>
      </c>
      <c r="P66" s="32" t="n">
        <v>56.95</v>
      </c>
      <c r="Q66" s="32" t="n">
        <v>288.82</v>
      </c>
      <c r="R66" s="31" t="inlineStr">
        <is>
          <t>Earnings / Momentum Support</t>
        </is>
      </c>
      <c r="S66" s="31" t="inlineStr">
        <is>
          <t>Nifty 50</t>
        </is>
      </c>
      <c r="T66" s="32" t="n">
        <v>-10.55</v>
      </c>
      <c r="U66" s="32" t="n">
        <v>134.59</v>
      </c>
      <c r="V66" s="32" t="n">
        <v>162.26</v>
      </c>
      <c r="W66" s="32" t="n">
        <v>43.53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IF(B67=0,"",RANK(B67,$B$2:$B$92,0))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VHLTD</t>
        </is>
      </c>
      <c r="D67" s="31" t="inlineStr">
        <is>
          <t>Viceroy Hotels Ltd</t>
        </is>
      </c>
      <c r="E67" s="31" t="inlineStr">
        <is>
          <t>services</t>
        </is>
      </c>
      <c r="F67" s="31" t="inlineStr">
        <is>
          <t>Hotels</t>
        </is>
      </c>
      <c r="G67" s="31" t="inlineStr">
        <is>
          <t>smallcap</t>
        </is>
      </c>
      <c r="H67" s="32" t="n">
        <v>1190.12</v>
      </c>
      <c r="I67" s="32" t="n">
        <v>155</v>
      </c>
      <c r="J67" s="32" t="n">
        <v>1.83</v>
      </c>
      <c r="K67" s="32" t="n">
        <v>0</v>
      </c>
      <c r="L67" s="31" t="n">
        <v>31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68.84999999999999</v>
      </c>
      <c r="P67" s="32" t="n">
        <v>19.64</v>
      </c>
      <c r="Q67" s="32" t="n">
        <v>122.16</v>
      </c>
      <c r="R67" s="31" t="inlineStr">
        <is>
          <t>Near 52W High Breakout</t>
        </is>
      </c>
      <c r="S67" s="31" t="inlineStr">
        <is>
          <t>Nifty 50</t>
        </is>
      </c>
      <c r="T67" s="32" t="n">
        <v>-10.55</v>
      </c>
      <c r="U67" s="32" t="n">
        <v>22.58</v>
      </c>
      <c r="V67" s="32" t="n">
        <v>37.03</v>
      </c>
      <c r="W67" s="32" t="n">
        <v>8.42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19</t>
        </is>
      </c>
      <c r="CG67" s="31">
        <f>IF(CF67&gt;20,10,IF(CF67&gt;=10,5,2))</f>
        <v/>
      </c>
    </row>
    <row r="68">
      <c r="A68" s="31">
        <f>IF(B68=0,"",RANK(B68,$B$2:$B$92,0))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PVRINOX</t>
        </is>
      </c>
      <c r="D68" s="31" t="inlineStr">
        <is>
          <t>PVR Inox Ltd</t>
        </is>
      </c>
      <c r="E68" s="31" t="inlineStr">
        <is>
          <t>media</t>
        </is>
      </c>
      <c r="F68" s="31" t="inlineStr">
        <is>
          <t>Entertainment and Media</t>
        </is>
      </c>
      <c r="G68" s="31" t="inlineStr">
        <is>
          <t>midcap</t>
        </is>
      </c>
      <c r="H68" s="32" t="n">
        <v>13607.57</v>
      </c>
      <c r="I68" s="32" t="n">
        <v>1385.7</v>
      </c>
      <c r="J68" s="32" t="n">
        <v>0.34</v>
      </c>
      <c r="K68" s="32" t="n">
        <v>0</v>
      </c>
      <c r="L68" s="31" t="n">
        <v>46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72.05</v>
      </c>
      <c r="P68" s="32" t="n">
        <v>37.1</v>
      </c>
      <c r="Q68" s="32" t="n">
        <v>1126.9</v>
      </c>
      <c r="R68" s="31" t="inlineStr">
        <is>
          <t>Near 52W High Breakout</t>
        </is>
      </c>
      <c r="S68" s="31" t="inlineStr">
        <is>
          <t>Nifty IT</t>
        </is>
      </c>
      <c r="T68" s="32" t="n">
        <v>-12.11</v>
      </c>
      <c r="U68" s="32" t="n">
        <v>26.48</v>
      </c>
      <c r="V68" s="32" t="n">
        <v>43.9</v>
      </c>
      <c r="W68" s="32" t="n">
        <v>13.69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15</t>
        </is>
      </c>
      <c r="CG68" s="31">
        <f>IF(CF68&gt;20,10,IF(CF68&gt;=10,5,2))</f>
        <v/>
      </c>
    </row>
    <row r="69">
      <c r="A69" s="31">
        <f>IF(B69=0,"",RANK(B69,$B$2:$B$92,0))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YASHHV</t>
        </is>
      </c>
      <c r="D69" s="31" t="inlineStr">
        <is>
          <t>Yash Highvoltage Ltd</t>
        </is>
      </c>
      <c r="E69" s="31" t="inlineStr">
        <is>
          <t>Industrials</t>
        </is>
      </c>
      <c r="F69" s="31" t="inlineStr">
        <is>
          <t>Electric Equipment General</t>
        </is>
      </c>
      <c r="G69" s="31" t="inlineStr">
        <is>
          <t>smallcap</t>
        </is>
      </c>
      <c r="H69" s="32" t="n">
        <v>3475.94</v>
      </c>
      <c r="I69" s="32" t="n">
        <v>1163</v>
      </c>
      <c r="J69" s="32" t="n">
        <v>-5.32</v>
      </c>
      <c r="K69" s="32" t="n">
        <v>0</v>
      </c>
      <c r="L69" s="31" t="n">
        <v>73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76.33</v>
      </c>
      <c r="P69" s="32" t="n">
        <v>64.06</v>
      </c>
      <c r="Q69" s="32" t="n">
        <v>900.04</v>
      </c>
      <c r="R69" s="31" t="inlineStr">
        <is>
          <t>Near 52W High Breakout</t>
        </is>
      </c>
      <c r="S69" s="31" t="inlineStr">
        <is>
          <t>Nifty 50</t>
        </is>
      </c>
      <c r="T69" s="32" t="n">
        <v>-10.55</v>
      </c>
      <c r="U69" s="32" t="n">
        <v>138.52</v>
      </c>
      <c r="V69" s="32" t="n">
        <v>166.65</v>
      </c>
      <c r="W69" s="32" t="n">
        <v>27.44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15</t>
        </is>
      </c>
      <c r="CG69" s="31">
        <f>IF(CF69&gt;20,10,IF(CF69&gt;=10,5,2))</f>
        <v/>
      </c>
    </row>
    <row r="70">
      <c r="A70" s="31">
        <f>IF(B70=0,"",RANK(B70,$B$2:$B$92,0))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MBAPL</t>
        </is>
      </c>
      <c r="D70" s="34" t="inlineStr">
        <is>
          <t>Madhya Bharat Agro Products Ltd</t>
        </is>
      </c>
      <c r="E70" s="31" t="inlineStr">
        <is>
          <t>chemicals</t>
        </is>
      </c>
      <c r="F70" s="31" t="inlineStr">
        <is>
          <t>Fertilisers</t>
        </is>
      </c>
      <c r="G70" s="31" t="inlineStr">
        <is>
          <t>midcap</t>
        </is>
      </c>
      <c r="H70" s="32" t="n">
        <v>7841.42</v>
      </c>
      <c r="I70" s="32" t="n">
        <v>170.89</v>
      </c>
      <c r="J70" s="32" t="n">
        <v>1.22</v>
      </c>
      <c r="K70" s="32" t="n">
        <v>0</v>
      </c>
      <c r="L70" s="31" t="n">
        <v>63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74.48999999999999</v>
      </c>
      <c r="P70" s="32" t="n">
        <v>70.14</v>
      </c>
      <c r="Q70" s="32" t="n">
        <v>135.79</v>
      </c>
      <c r="R70" s="31" t="inlineStr">
        <is>
          <t>Near 52W High Breakout</t>
        </is>
      </c>
      <c r="S70" s="31" t="inlineStr">
        <is>
          <t>Nifty 50</t>
        </is>
      </c>
      <c r="T70" s="32" t="n">
        <v>-10.55</v>
      </c>
      <c r="U70" s="32" t="n">
        <v>90.88</v>
      </c>
      <c r="V70" s="32" t="n">
        <v>113.39</v>
      </c>
      <c r="W70" s="32" t="n">
        <v>20.36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Between 12 to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More than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15</t>
        </is>
      </c>
      <c r="CG70" s="31">
        <f>IF(CF70&gt;20,10,IF(CF70&gt;=10,5,2))</f>
        <v/>
      </c>
    </row>
    <row r="71">
      <c r="A71" s="31">
        <f>IF(B71=0,"",RANK(B71,$B$2:$B$92,0))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MMWL</t>
        </is>
      </c>
      <c r="D71" s="31" t="inlineStr">
        <is>
          <t>Media Matrix Worldwide Ltd</t>
        </is>
      </c>
      <c r="E71" s="31" t="inlineStr">
        <is>
          <t>Communication Services</t>
        </is>
      </c>
      <c r="F71" s="31" t="inlineStr">
        <is>
          <t>Technology Distribution</t>
        </is>
      </c>
      <c r="G71" s="31" t="inlineStr">
        <is>
          <t>smallcap</t>
        </is>
      </c>
      <c r="H71" s="32" t="n">
        <v>2487.5</v>
      </c>
      <c r="I71" s="32" t="n">
        <v>21.96</v>
      </c>
      <c r="J71" s="32" t="n">
        <v>-4.98</v>
      </c>
      <c r="K71" s="32" t="n">
        <v>0</v>
      </c>
      <c r="L71" s="31" t="n">
        <v>75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76.77</v>
      </c>
      <c r="P71" s="32" t="n">
        <v>38</v>
      </c>
      <c r="Q71" s="32" t="n">
        <v>15.72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-10.55</v>
      </c>
      <c r="U71" s="32" t="n">
        <v>104.84</v>
      </c>
      <c r="V71" s="32" t="n">
        <v>129</v>
      </c>
      <c r="W71" s="32" t="n">
        <v>28.67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17</t>
        </is>
      </c>
      <c r="CG71" s="31">
        <f>IF(CF71&gt;20,10,IF(CF71&gt;=10,5,2))</f>
        <v/>
      </c>
    </row>
    <row r="72">
      <c r="A72" s="31">
        <f>IF(B72=0,"",RANK(B72,$B$2:$B$92,0))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SEJALLTD</t>
        </is>
      </c>
      <c r="D72" s="34" t="inlineStr">
        <is>
          <t>Sejal Glass Ltd</t>
        </is>
      </c>
      <c r="E72" s="31" t="inlineStr">
        <is>
          <t>building materials</t>
        </is>
      </c>
      <c r="F72" s="31" t="inlineStr">
        <is>
          <t>Glass and Glass Products</t>
        </is>
      </c>
      <c r="G72" s="31" t="inlineStr">
        <is>
          <t>smallcap</t>
        </is>
      </c>
      <c r="H72" s="32" t="n">
        <v>1067.04</v>
      </c>
      <c r="I72" s="32" t="n">
        <v>936</v>
      </c>
      <c r="J72" s="32" t="n">
        <v>6.85</v>
      </c>
      <c r="K72" s="32" t="n">
        <v>0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67.54000000000001</v>
      </c>
      <c r="P72" s="32" t="n">
        <v>9.98</v>
      </c>
      <c r="Q72" s="32" t="n">
        <v>662.92</v>
      </c>
      <c r="R72" s="31" t="inlineStr">
        <is>
          <t>Volume Spike &amp; Near 52W High Breakout</t>
        </is>
      </c>
      <c r="S72" s="31" t="inlineStr">
        <is>
          <t>Nifty Infra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More than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25</t>
        </is>
      </c>
      <c r="CG72" s="31">
        <f>IF(CF72&gt;20,10,IF(CF72&gt;=10,5,2))</f>
        <v/>
      </c>
    </row>
    <row r="73">
      <c r="A73" s="31">
        <f>IF(B73=0,"",RANK(B73,$B$2:$B$92,0))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GOODLUCK</t>
        </is>
      </c>
      <c r="D73" s="31" t="inlineStr">
        <is>
          <t>Goodluck India Ltd</t>
        </is>
      </c>
      <c r="E73" s="31" t="inlineStr">
        <is>
          <t>metals &amp; mining</t>
        </is>
      </c>
      <c r="F73" s="31" t="inlineStr">
        <is>
          <t>Steel Tubes and Pipes</t>
        </is>
      </c>
      <c r="G73" s="31" t="inlineStr">
        <is>
          <t>midcap</t>
        </is>
      </c>
      <c r="H73" s="32" t="n">
        <v>5813.42</v>
      </c>
      <c r="I73" s="32" t="n">
        <v>583</v>
      </c>
      <c r="J73" s="32" t="n">
        <v>-2.25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65.05</v>
      </c>
      <c r="P73" s="32" t="n">
        <v>30.54</v>
      </c>
      <c r="Q73" s="32" t="n">
        <v>420.24</v>
      </c>
      <c r="R73" s="31" t="inlineStr">
        <is>
          <t>Volume Spike &amp; Near 52W High Breakout</t>
        </is>
      </c>
      <c r="S73" s="31" t="inlineStr">
        <is>
          <t>Nifty Metal</t>
        </is>
      </c>
      <c r="T73" s="32" t="inlineStr"/>
      <c r="U73" s="32" t="inlineStr"/>
      <c r="V73" s="32" t="inlineStr"/>
      <c r="W73" s="32" t="inlineStr"/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Cyclical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Volatile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19</t>
        </is>
      </c>
      <c r="CG73" s="31">
        <f>IF(CF73&gt;20,10,IF(CF73&gt;=10,5,2))</f>
        <v/>
      </c>
    </row>
    <row r="74">
      <c r="A74" s="31">
        <f>IF(B74=0,"",RANK(B74,$B$2:$B$92,0))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INOVSYNTH</t>
        </is>
      </c>
      <c r="D74" s="31" t="inlineStr">
        <is>
          <t>Innovassynth Technologies (India) Ltd</t>
        </is>
      </c>
      <c r="E74" s="31" t="inlineStr">
        <is>
          <t>Basic Materials</t>
        </is>
      </c>
      <c r="F74" s="31" t="inlineStr">
        <is>
          <t>Specialty Chemicals</t>
        </is>
      </c>
      <c r="G74" s="31" t="inlineStr">
        <is>
          <t>smallcap</t>
        </is>
      </c>
      <c r="H74" s="32" t="n">
        <v>1577.7</v>
      </c>
      <c r="I74" s="32" t="n">
        <v>169.9</v>
      </c>
      <c r="J74" s="32" t="n">
        <v>-1.99</v>
      </c>
      <c r="K74" s="32" t="n">
        <v>0</v>
      </c>
      <c r="L74" s="31" t="n">
        <v>67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87.54000000000001</v>
      </c>
      <c r="P74" s="32" t="n">
        <v>60.99</v>
      </c>
      <c r="Q74" s="32" t="n">
        <v>148.74</v>
      </c>
      <c r="R74" s="31" t="inlineStr">
        <is>
          <t>Near 52W High Breakout</t>
        </is>
      </c>
      <c r="S74" s="31" t="inlineStr">
        <is>
          <t>Nifty 50</t>
        </is>
      </c>
      <c r="T74" s="32" t="n">
        <v>-10.55</v>
      </c>
      <c r="U74" s="32" t="n">
        <v>104.87</v>
      </c>
      <c r="V74" s="32" t="n">
        <v>129.04</v>
      </c>
      <c r="W74" s="32" t="n">
        <v>23.93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IF(B75=0,"",RANK(B75,$B$2:$B$92,0))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CHENNPETRO</t>
        </is>
      </c>
      <c r="D75" s="31" t="inlineStr">
        <is>
          <t>Chennai Petroleum Corporation Ltd</t>
        </is>
      </c>
      <c r="E75" s="31" t="inlineStr">
        <is>
          <t>Energy</t>
        </is>
      </c>
      <c r="F75" s="31" t="inlineStr">
        <is>
          <t>Refineries</t>
        </is>
      </c>
      <c r="G75" s="31" t="inlineStr">
        <is>
          <t>largecap</t>
        </is>
      </c>
      <c r="H75" s="32" t="n">
        <v>21428.35</v>
      </c>
      <c r="I75" s="32" t="n">
        <v>1439</v>
      </c>
      <c r="J75" s="32" t="n">
        <v>-6.93</v>
      </c>
      <c r="K75" s="32" t="n">
        <v>0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62.28</v>
      </c>
      <c r="P75" s="32" t="n">
        <v>65.81</v>
      </c>
      <c r="Q75" s="32" t="n">
        <v>1129.04</v>
      </c>
      <c r="R75" s="31" t="inlineStr">
        <is>
          <t>Earnings / Momentum Support</t>
        </is>
      </c>
      <c r="S75" s="31" t="inlineStr">
        <is>
          <t>Nifty Energy</t>
        </is>
      </c>
      <c r="T75" s="32" t="inlineStr"/>
      <c r="U75" s="32" t="inlineStr"/>
      <c r="V75" s="32" t="inlineStr"/>
      <c r="W75" s="32" t="inlineStr"/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IF(B76=0,"",RANK(B76,$B$2:$B$92,0))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BHAGERIA</t>
        </is>
      </c>
      <c r="D76" s="31" t="inlineStr">
        <is>
          <t>Bhageria Industries Ltd</t>
        </is>
      </c>
      <c r="E76" s="31" t="inlineStr">
        <is>
          <t>Basic Materials</t>
        </is>
      </c>
      <c r="F76" s="31" t="inlineStr">
        <is>
          <t>Dyes and Pigments</t>
        </is>
      </c>
      <c r="G76" s="31" t="inlineStr">
        <is>
          <t>smallcap</t>
        </is>
      </c>
      <c r="H76" s="32" t="n">
        <v>1579.92</v>
      </c>
      <c r="I76" s="32" t="n">
        <v>362</v>
      </c>
      <c r="J76" s="32" t="n">
        <v>-3.84</v>
      </c>
      <c r="K76" s="32" t="n">
        <v>0</v>
      </c>
      <c r="L76" s="31" t="n">
        <v>86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72.48</v>
      </c>
      <c r="P76" s="32" t="n">
        <v>49.37</v>
      </c>
      <c r="Q76" s="32" t="n">
        <v>296.83</v>
      </c>
      <c r="R76" s="31" t="inlineStr">
        <is>
          <t>Earnings / Momentum Support</t>
        </is>
      </c>
      <c r="S76" s="31" t="inlineStr">
        <is>
          <t>Nifty 50</t>
        </is>
      </c>
      <c r="T76" s="32" t="n">
        <v>-10.55</v>
      </c>
      <c r="U76" s="32" t="n">
        <v>110.72</v>
      </c>
      <c r="V76" s="32" t="n">
        <v>135.58</v>
      </c>
      <c r="W76" s="32" t="n">
        <v>35.33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16</t>
        </is>
      </c>
      <c r="CG76" s="31">
        <f>IF(CF76&gt;20,10,IF(CF76&gt;=10,5,2))</f>
        <v/>
      </c>
    </row>
    <row r="77">
      <c r="A77" s="31">
        <f>IF(B77=0,"",RANK(B77,$B$2:$B$92,0))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RATNAVEER</t>
        </is>
      </c>
      <c r="D77" s="34" t="inlineStr">
        <is>
          <t>Ratnaveer Precision Engineering Ltd</t>
        </is>
      </c>
      <c r="E77" s="31" t="inlineStr">
        <is>
          <t>Basic Materials</t>
        </is>
      </c>
      <c r="F77" s="31" t="inlineStr">
        <is>
          <t>Stainless Steel</t>
        </is>
      </c>
      <c r="G77" s="31" t="inlineStr">
        <is>
          <t>smallcap</t>
        </is>
      </c>
      <c r="H77" s="32" t="n">
        <v>2768.73</v>
      </c>
      <c r="I77" s="32" t="n">
        <v>329.9</v>
      </c>
      <c r="J77" s="32" t="n">
        <v>0.46</v>
      </c>
      <c r="K77" s="32" t="n">
        <v>0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74.65000000000001</v>
      </c>
      <c r="P77" s="32" t="n">
        <v>71.41</v>
      </c>
      <c r="Q77" s="32" t="n">
        <v>255.88</v>
      </c>
      <c r="R77" s="31" t="inlineStr">
        <is>
          <t>Near 52W High Breakout</t>
        </is>
      </c>
      <c r="S77" s="31" t="inlineStr">
        <is>
          <t>Nifty Metal</t>
        </is>
      </c>
      <c r="T77" s="32" t="inlineStr"/>
      <c r="U77" s="32" t="inlineStr"/>
      <c r="V77" s="32" t="inlineStr"/>
      <c r="W77" s="32" t="inlineStr"/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16</t>
        </is>
      </c>
      <c r="CG77" s="31">
        <f>IF(CF77&gt;20,10,IF(CF77&gt;=10,5,2))</f>
        <v/>
      </c>
    </row>
    <row r="78">
      <c r="A78" s="31">
        <f>IF(B78=0,"",RANK(B78,$B$2:$B$92,0))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RPEL</t>
        </is>
      </c>
      <c r="D78" s="31" t="inlineStr">
        <is>
          <t>Raghav Productivity Enhancers Ltd</t>
        </is>
      </c>
      <c r="E78" s="31" t="inlineStr">
        <is>
          <t>Basic Materials</t>
        </is>
      </c>
      <c r="F78" s="31" t="inlineStr">
        <is>
          <t>Refractories</t>
        </is>
      </c>
      <c r="G78" s="31" t="inlineStr">
        <is>
          <t>midcap</t>
        </is>
      </c>
      <c r="H78" s="32" t="n">
        <v>8102.47</v>
      </c>
      <c r="I78" s="32" t="n">
        <v>1764.4</v>
      </c>
      <c r="J78" s="32" t="n">
        <v>-5.42</v>
      </c>
      <c r="K78" s="32" t="n">
        <v>0</v>
      </c>
      <c r="L78" s="31" t="n">
        <v>80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69.01000000000001</v>
      </c>
      <c r="P78" s="32" t="n">
        <v>61.66</v>
      </c>
      <c r="Q78" s="32" t="n">
        <v>1331.75</v>
      </c>
      <c r="R78" s="31" t="inlineStr">
        <is>
          <t>Earnings / Momentum Support</t>
        </is>
      </c>
      <c r="S78" s="31" t="inlineStr">
        <is>
          <t>Nifty 50</t>
        </is>
      </c>
      <c r="T78" s="32" t="n">
        <v>-10.55</v>
      </c>
      <c r="U78" s="32" t="n">
        <v>157.52</v>
      </c>
      <c r="V78" s="32" t="n">
        <v>187.89</v>
      </c>
      <c r="W78" s="32" t="n">
        <v>31.7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15</t>
        </is>
      </c>
      <c r="CG78" s="31">
        <f>IF(CF78&gt;20,10,IF(CF78&gt;=10,5,2))</f>
        <v/>
      </c>
    </row>
    <row r="79">
      <c r="A79" s="31">
        <f>IF(B79=0,"",RANK(B79,$B$2:$B$92,0))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EBGNG</t>
        </is>
      </c>
      <c r="D79" s="34" t="inlineStr">
        <is>
          <t>GNG Electronics Ltd</t>
        </is>
      </c>
      <c r="E79" s="31" t="inlineStr">
        <is>
          <t>Technology</t>
        </is>
      </c>
      <c r="F79" s="31" t="inlineStr">
        <is>
          <t>New age Platform E Retail</t>
        </is>
      </c>
      <c r="G79" s="31" t="inlineStr">
        <is>
          <t>midcap</t>
        </is>
      </c>
      <c r="H79" s="32" t="n">
        <v>7935.2</v>
      </c>
      <c r="I79" s="32" t="n">
        <v>696</v>
      </c>
      <c r="J79" s="32" t="n">
        <v>-4.58</v>
      </c>
      <c r="K79" s="32" t="n">
        <v>0</v>
      </c>
      <c r="L79" s="31" t="n">
        <v>68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65.43000000000001</v>
      </c>
      <c r="P79" s="32" t="n">
        <v>37.24</v>
      </c>
      <c r="Q79" s="32" t="n">
        <v>497.6</v>
      </c>
      <c r="R79" s="31" t="inlineStr">
        <is>
          <t>Near 52W High Breakout</t>
        </is>
      </c>
      <c r="S79" s="31" t="inlineStr">
        <is>
          <t>Nifty 50</t>
        </is>
      </c>
      <c r="T79" s="32" t="n">
        <v>-10.55</v>
      </c>
      <c r="U79" s="32" t="n">
        <v>114.55</v>
      </c>
      <c r="V79" s="32" t="n">
        <v>139.86</v>
      </c>
      <c r="W79" s="32" t="n">
        <v>24.1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B2C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16</t>
        </is>
      </c>
      <c r="CG79" s="31">
        <f>IF(CF79&gt;20,10,IF(CF79&gt;=10,5,2))</f>
        <v/>
      </c>
    </row>
    <row r="80">
      <c r="A80" s="31">
        <f>IF(B80=0,"",RANK(B80,$B$2:$B$92,0))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ORIENTELEC</t>
        </is>
      </c>
      <c r="D80" s="34" t="inlineStr">
        <is>
          <t>Orient Electric Ltd</t>
        </is>
      </c>
      <c r="E80" s="31" t="inlineStr">
        <is>
          <t>consumer discretionary</t>
        </is>
      </c>
      <c r="F80" s="31" t="inlineStr">
        <is>
          <t>Consumer Electronics</t>
        </is>
      </c>
      <c r="G80" s="31" t="inlineStr">
        <is>
          <t>smallcap</t>
        </is>
      </c>
      <c r="H80" s="32" t="n">
        <v>4324.93</v>
      </c>
      <c r="I80" s="32" t="n">
        <v>202.7</v>
      </c>
      <c r="J80" s="32" t="n">
        <v>16.59</v>
      </c>
      <c r="K80" s="32" t="n">
        <v>0</v>
      </c>
      <c r="L80" s="31" t="n">
        <v>14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60.52</v>
      </c>
      <c r="P80" s="32" t="n">
        <v>15.93</v>
      </c>
      <c r="Q80" s="32" t="n">
        <v>153.81</v>
      </c>
      <c r="R80" s="31" t="inlineStr">
        <is>
          <t>Volume Spike / Accumulation</t>
        </is>
      </c>
      <c r="S80" s="31" t="inlineStr">
        <is>
          <t>Nifty 50</t>
        </is>
      </c>
      <c r="T80" s="32" t="n">
        <v>-10.55</v>
      </c>
      <c r="U80" s="32" t="n">
        <v>-3.48</v>
      </c>
      <c r="V80" s="32" t="n">
        <v>7.9</v>
      </c>
      <c r="W80" s="32" t="n">
        <v>2.63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1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24</t>
        </is>
      </c>
      <c r="CG80" s="31">
        <f>IF(CF80&gt;20,10,IF(CF80&gt;=10,5,2))</f>
        <v/>
      </c>
    </row>
    <row r="81">
      <c r="A81" s="31">
        <f>IF(B81=0,"",RANK(B81,$B$2:$B$92,0))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SBC</t>
        </is>
      </c>
      <c r="D81" s="31" t="inlineStr">
        <is>
          <t>SBC Exports Ltd</t>
        </is>
      </c>
      <c r="E81" s="31" t="inlineStr">
        <is>
          <t>textiles</t>
        </is>
      </c>
      <c r="F81" s="31" t="inlineStr">
        <is>
          <t>Textiles Readymade Apparel</t>
        </is>
      </c>
      <c r="G81" s="31" t="inlineStr">
        <is>
          <t>smallcap</t>
        </is>
      </c>
      <c r="H81" s="32" t="n">
        <v>3059.52</v>
      </c>
      <c r="I81" s="32" t="n">
        <v>64.25</v>
      </c>
      <c r="J81" s="32" t="n">
        <v>0.22</v>
      </c>
      <c r="K81" s="32" t="n">
        <v>0</v>
      </c>
      <c r="L81" s="31" t="n">
        <v>84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87.48999999999999</v>
      </c>
      <c r="P81" s="32" t="n">
        <v>32.85</v>
      </c>
      <c r="Q81" s="32" t="n">
        <v>53.03</v>
      </c>
      <c r="R81" s="31" t="inlineStr">
        <is>
          <t>Near 52W High Breakout</t>
        </is>
      </c>
      <c r="S81" s="31" t="inlineStr">
        <is>
          <t>Nifty 50</t>
        </is>
      </c>
      <c r="T81" s="32" t="n">
        <v>-10.55</v>
      </c>
      <c r="U81" s="32" t="n">
        <v>175.93</v>
      </c>
      <c r="V81" s="32" t="n">
        <v>208.48</v>
      </c>
      <c r="W81" s="32" t="n">
        <v>34.05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IF(B82=0,"",RANK(B82,$B$2:$B$92,0))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TIPSMUSIC</t>
        </is>
      </c>
      <c r="D82" s="34" t="inlineStr">
        <is>
          <t>Tips Music Ltd</t>
        </is>
      </c>
      <c r="E82" s="31" t="inlineStr">
        <is>
          <t>media</t>
        </is>
      </c>
      <c r="F82" s="31" t="inlineStr">
        <is>
          <t>Music Licensing</t>
        </is>
      </c>
      <c r="G82" s="31" t="inlineStr">
        <is>
          <t>midcap</t>
        </is>
      </c>
      <c r="H82" s="32" t="n">
        <v>8735.870000000001</v>
      </c>
      <c r="I82" s="32" t="n">
        <v>687</v>
      </c>
      <c r="J82" s="32" t="n">
        <v>-4.35</v>
      </c>
      <c r="K82" s="32" t="n">
        <v>0</v>
      </c>
      <c r="L82" s="31" t="n">
        <v>27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57.29</v>
      </c>
      <c r="P82" s="32" t="n">
        <v>16.64</v>
      </c>
      <c r="Q82" s="32" t="n">
        <v>549.3</v>
      </c>
      <c r="R82" s="31" t="inlineStr">
        <is>
          <t>Volume Spike &amp; Near 52W High Breakout</t>
        </is>
      </c>
      <c r="S82" s="31" t="inlineStr">
        <is>
          <t>Nifty IT</t>
        </is>
      </c>
      <c r="T82" s="32" t="n">
        <v>-12.11</v>
      </c>
      <c r="U82" s="32" t="n">
        <v>35.88</v>
      </c>
      <c r="V82" s="32" t="n">
        <v>54.59</v>
      </c>
      <c r="W82" s="32" t="n">
        <v>6.93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21</t>
        </is>
      </c>
      <c r="CG82" s="31">
        <f>IF(CF82&gt;20,10,IF(CF82&gt;=10,5,2))</f>
        <v/>
      </c>
    </row>
    <row r="83">
      <c r="A83" s="31">
        <f>IF(B83=0,"",RANK(B83,$B$2:$B$92,0))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BHEL</t>
        </is>
      </c>
      <c r="D83" s="31" t="inlineStr">
        <is>
          <t>Bharat Heavy Electricals Ltd</t>
        </is>
      </c>
      <c r="E83" s="31" t="inlineStr">
        <is>
          <t>Industrials</t>
        </is>
      </c>
      <c r="F83" s="31" t="inlineStr">
        <is>
          <t>Capital Goods Engineering Heavy</t>
        </is>
      </c>
      <c r="G83" s="31" t="inlineStr">
        <is>
          <t>largecap</t>
        </is>
      </c>
      <c r="H83" s="32" t="n">
        <v>151208.6</v>
      </c>
      <c r="I83" s="32" t="n">
        <v>434.25</v>
      </c>
      <c r="J83" s="32" t="n">
        <v>-6.41</v>
      </c>
      <c r="K83" s="32" t="n">
        <v>0</v>
      </c>
      <c r="L83" s="31" t="n">
        <v>48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63.43</v>
      </c>
      <c r="P83" s="32" t="n">
        <v>37.19</v>
      </c>
      <c r="Q83" s="32" t="n">
        <v>353.13</v>
      </c>
      <c r="R83" s="31" t="inlineStr">
        <is>
          <t>Volume Spike &amp; Near 52W High Breakout</t>
        </is>
      </c>
      <c r="S83" s="31" t="inlineStr">
        <is>
          <t>Nifty 50</t>
        </is>
      </c>
      <c r="T83" s="32" t="n">
        <v>-10.55</v>
      </c>
      <c r="U83" s="32" t="n">
        <v>87.28</v>
      </c>
      <c r="V83" s="32" t="n">
        <v>109.37</v>
      </c>
      <c r="W83" s="32" t="n">
        <v>14.58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Between 1.5 to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21</t>
        </is>
      </c>
      <c r="CG83" s="31">
        <f>IF(CF83&gt;20,10,IF(CF83&gt;=10,5,2))</f>
        <v/>
      </c>
    </row>
    <row r="84">
      <c r="A84" s="31">
        <f>IF(B84=0,"",RANK(B84,$B$2:$B$92,0))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4" t="inlineStr">
        <is>
          <t>SVRL</t>
        </is>
      </c>
      <c r="D84" s="34" t="inlineStr">
        <is>
          <t>Shri Venkatesh Refineries Ltd</t>
        </is>
      </c>
      <c r="E84" s="31" t="inlineStr">
        <is>
          <t>Consumer Defensive</t>
        </is>
      </c>
      <c r="F84" s="31" t="inlineStr">
        <is>
          <t>Solvent Extraction</t>
        </is>
      </c>
      <c r="G84" s="31" t="inlineStr">
        <is>
          <t>smallcap</t>
        </is>
      </c>
      <c r="H84" s="32" t="n">
        <v>1614.71</v>
      </c>
      <c r="I84" s="32" t="n">
        <v>730</v>
      </c>
      <c r="J84" s="32" t="n">
        <v>2</v>
      </c>
      <c r="K84" s="32" t="n">
        <v>0</v>
      </c>
      <c r="L84" s="31" t="n">
        <v>94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84.48999999999999</v>
      </c>
      <c r="P84" s="32" t="n">
        <v>63.46</v>
      </c>
      <c r="Q84" s="32" t="n">
        <v>569.46</v>
      </c>
      <c r="R84" s="31" t="inlineStr">
        <is>
          <t>Near 52W High Breakout</t>
        </is>
      </c>
      <c r="S84" s="31" t="inlineStr">
        <is>
          <t>Nifty 50</t>
        </is>
      </c>
      <c r="T84" s="32" t="n">
        <v>-10.55</v>
      </c>
      <c r="U84" s="32" t="n">
        <v>168.62</v>
      </c>
      <c r="V84" s="32" t="n">
        <v>200.3</v>
      </c>
      <c r="W84" s="32" t="n">
        <v>44.66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15</t>
        </is>
      </c>
      <c r="CG84" s="31">
        <f>IF(CF84&gt;20,10,IF(CF84&gt;=10,5,2))</f>
        <v/>
      </c>
    </row>
    <row r="85">
      <c r="A85" s="31">
        <f>IF(B85=0,"",RANK(B85,$B$2:$B$92,0))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SIMPLEXINF</t>
        </is>
      </c>
      <c r="D85" s="34" t="inlineStr">
        <is>
          <t>Simplex Infrastructures Ltd</t>
        </is>
      </c>
      <c r="E85" s="31" t="inlineStr">
        <is>
          <t>realty</t>
        </is>
      </c>
      <c r="F85" s="31" t="inlineStr">
        <is>
          <t>Infra Construction and Contracting</t>
        </is>
      </c>
      <c r="G85" s="31" t="inlineStr">
        <is>
          <t>smallcap</t>
        </is>
      </c>
      <c r="H85" s="32" t="n">
        <v>2068.34</v>
      </c>
      <c r="I85" s="32" t="n">
        <v>261.5</v>
      </c>
      <c r="J85" s="32" t="n">
        <v>-1.92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55.13</v>
      </c>
      <c r="P85" s="32" t="n">
        <v>14.81</v>
      </c>
      <c r="Q85" s="32" t="n">
        <v>197.42</v>
      </c>
      <c r="R85" s="31" t="inlineStr">
        <is>
          <t>Volume Spike / Accumulation</t>
        </is>
      </c>
      <c r="S85" s="31" t="inlineStr">
        <is>
          <t>Nifty Realty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15</t>
        </is>
      </c>
      <c r="CG85" s="31">
        <f>IF(CF85&gt;20,10,IF(CF85&gt;=10,5,2))</f>
        <v/>
      </c>
    </row>
    <row r="86">
      <c r="A86" s="31">
        <f>IF(B86=0,"",RANK(B86,$B$2:$B$92,0))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KPL</t>
        </is>
      </c>
      <c r="D86" s="31" t="inlineStr">
        <is>
          <t>Kwality Pharmaceuticals Ltd</t>
        </is>
      </c>
      <c r="E86" s="31" t="inlineStr">
        <is>
          <t>Healthcare</t>
        </is>
      </c>
      <c r="F86" s="31" t="inlineStr">
        <is>
          <t>Pharma Formulations</t>
        </is>
      </c>
      <c r="G86" s="31" t="inlineStr">
        <is>
          <t>smallcap</t>
        </is>
      </c>
      <c r="H86" s="32" t="n">
        <v>3449.05</v>
      </c>
      <c r="I86" s="32" t="n">
        <v>3324</v>
      </c>
      <c r="J86" s="32" t="n">
        <v>-2.01</v>
      </c>
      <c r="K86" s="32" t="n">
        <v>0</v>
      </c>
      <c r="L86" s="31" t="n">
        <v>88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63.06</v>
      </c>
      <c r="P86" s="32" t="n">
        <v>65.97</v>
      </c>
      <c r="Q86" s="32" t="n">
        <v>2665.41</v>
      </c>
      <c r="R86" s="31" t="inlineStr">
        <is>
          <t>Earnings / Momentum Support</t>
        </is>
      </c>
      <c r="S86" s="31" t="inlineStr">
        <is>
          <t>Nifty Pharma</t>
        </is>
      </c>
      <c r="T86" s="32" t="n">
        <v>16.02</v>
      </c>
      <c r="U86" s="32" t="n">
        <v>282.15</v>
      </c>
      <c r="V86" s="32" t="n">
        <v>229.4</v>
      </c>
      <c r="W86" s="32" t="n">
        <v>37.21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16</t>
        </is>
      </c>
      <c r="CG86" s="31">
        <f>IF(CF86&gt;20,10,IF(CF86&gt;=10,5,2))</f>
        <v/>
      </c>
    </row>
    <row r="87">
      <c r="A87" s="31">
        <f>IF(B87=0,"",RANK(B87,$B$2:$B$92,0))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4" t="inlineStr">
        <is>
          <t>SAHANA</t>
        </is>
      </c>
      <c r="D87" s="34" t="inlineStr">
        <is>
          <t>Sahana Systems Ltd</t>
        </is>
      </c>
      <c r="E87" s="31" t="inlineStr">
        <is>
          <t>unknown</t>
        </is>
      </c>
      <c r="F87" s="31" t="inlineStr">
        <is>
          <t>IT Services</t>
        </is>
      </c>
      <c r="G87" s="31" t="inlineStr">
        <is>
          <t>smallcap</t>
        </is>
      </c>
      <c r="H87" s="32" t="n">
        <v>1030.71</v>
      </c>
      <c r="I87" s="32" t="n">
        <v>971.95</v>
      </c>
      <c r="J87" s="32" t="n">
        <v>0.3</v>
      </c>
      <c r="K87" s="32" t="n">
        <v>0</v>
      </c>
      <c r="L87" s="31" t="n">
        <v>11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56.34</v>
      </c>
      <c r="P87" s="32" t="n">
        <v>8.23</v>
      </c>
      <c r="Q87" s="32" t="n">
        <v>672.08</v>
      </c>
      <c r="R87" s="31" t="inlineStr">
        <is>
          <t>Earnings / Momentum Support</t>
        </is>
      </c>
      <c r="S87" s="31" t="inlineStr">
        <is>
          <t>Nifty 50</t>
        </is>
      </c>
      <c r="T87" s="32" t="n">
        <v>-10.55</v>
      </c>
      <c r="U87" s="32" t="n">
        <v>0.26</v>
      </c>
      <c r="V87" s="32" t="n">
        <v>12.09</v>
      </c>
      <c r="W87" s="32" t="n">
        <v>1.96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1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18</t>
        </is>
      </c>
      <c r="CG87" s="31">
        <f>IF(CF87&gt;20,10,IF(CF87&gt;=10,5,2))</f>
        <v/>
      </c>
    </row>
    <row r="88">
      <c r="A88" s="31">
        <f>IF(B88=0,"",RANK(B88,$B$2:$B$92,0))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AEGISLOG</t>
        </is>
      </c>
      <c r="D88" s="31" t="inlineStr">
        <is>
          <t>Aegis Logistics Ltd</t>
        </is>
      </c>
      <c r="E88" s="31" t="inlineStr">
        <is>
          <t>Energy</t>
        </is>
      </c>
      <c r="F88" s="31" t="inlineStr">
        <is>
          <t>Logistics</t>
        </is>
      </c>
      <c r="G88" s="31" t="inlineStr">
        <is>
          <t>largecap</t>
        </is>
      </c>
      <c r="H88" s="32" t="n">
        <v>49417.29</v>
      </c>
      <c r="I88" s="32" t="n">
        <v>1407.9</v>
      </c>
      <c r="J88" s="32" t="n">
        <v>-5.45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65.27</v>
      </c>
      <c r="P88" s="32" t="n">
        <v>54.72</v>
      </c>
      <c r="Q88" s="32" t="n">
        <v>1013.74</v>
      </c>
      <c r="R88" s="31" t="inlineStr">
        <is>
          <t>Near 52W High Breakout</t>
        </is>
      </c>
      <c r="S88" s="31" t="inlineStr">
        <is>
          <t>Nifty Energy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22</t>
        </is>
      </c>
      <c r="CG88" s="31">
        <f>IF(CF88&gt;20,10,IF(CF88&gt;=10,5,2))</f>
        <v/>
      </c>
    </row>
    <row r="89">
      <c r="A89" s="31">
        <f>IF(B89=0,"",RANK(B89,$B$2:$B$92,0))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TARIL</t>
        </is>
      </c>
      <c r="D89" s="34" t="inlineStr">
        <is>
          <t>Transformers &amp; Rectifiers India Ltd</t>
        </is>
      </c>
      <c r="E89" s="31" t="inlineStr">
        <is>
          <t>Industrials</t>
        </is>
      </c>
      <c r="F89" s="31" t="inlineStr">
        <is>
          <t>Capital Goods Transformers</t>
        </is>
      </c>
      <c r="G89" s="31" t="inlineStr">
        <is>
          <t>midcap</t>
        </is>
      </c>
      <c r="H89" s="32" t="n">
        <v>9980.51</v>
      </c>
      <c r="I89" s="32" t="n">
        <v>332.5</v>
      </c>
      <c r="J89" s="32" t="n">
        <v>-4.86</v>
      </c>
      <c r="K89" s="32" t="n">
        <v>0</v>
      </c>
      <c r="L89" s="31" t="n">
        <v>1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58.05</v>
      </c>
      <c r="P89" s="32" t="n">
        <v>9.33</v>
      </c>
      <c r="Q89" s="32" t="n">
        <v>244.91</v>
      </c>
      <c r="R89" s="31" t="inlineStr">
        <is>
          <t>Volume Spike / Accumulation</t>
        </is>
      </c>
      <c r="S89" s="31" t="inlineStr">
        <is>
          <t>Nifty 50</t>
        </is>
      </c>
      <c r="T89" s="32" t="n">
        <v>-10.55</v>
      </c>
      <c r="U89" s="32" t="n">
        <v>-31.06</v>
      </c>
      <c r="V89" s="32" t="n">
        <v>-22.93</v>
      </c>
      <c r="W89" s="32" t="n">
        <v>-3.7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1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Negative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18</t>
        </is>
      </c>
      <c r="CG89" s="31">
        <f>IF(CF89&gt;20,10,IF(CF89&gt;=10,5,2))</f>
        <v/>
      </c>
    </row>
    <row r="90">
      <c r="A90" s="31">
        <f>IF(B90=0,"",RANK(B90,$B$2:$B$92,0))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UNITEDPOLY</t>
        </is>
      </c>
      <c r="D90" s="31" t="inlineStr">
        <is>
          <t>United Polyfab Gujarat Ltd</t>
        </is>
      </c>
      <c r="E90" s="31" t="inlineStr">
        <is>
          <t>textiles</t>
        </is>
      </c>
      <c r="F90" s="31" t="inlineStr">
        <is>
          <t>Textiles Others</t>
        </is>
      </c>
      <c r="G90" s="31" t="inlineStr">
        <is>
          <t>smallcap</t>
        </is>
      </c>
      <c r="H90" s="32" t="n">
        <v>1191.19</v>
      </c>
      <c r="I90" s="32" t="n">
        <v>51.9</v>
      </c>
      <c r="J90" s="32" t="n">
        <v>0.43</v>
      </c>
      <c r="K90" s="32" t="n">
        <v>0</v>
      </c>
      <c r="L90" s="31" t="n">
        <v>66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79.48999999999999</v>
      </c>
      <c r="P90" s="32" t="n">
        <v>32.81</v>
      </c>
      <c r="Q90" s="32" t="n">
        <v>38.28</v>
      </c>
      <c r="R90" s="31" t="inlineStr">
        <is>
          <t>Volume Spike &amp; Near 52W High Breakout</t>
        </is>
      </c>
      <c r="S90" s="31" t="inlineStr">
        <is>
          <t>Nifty 50</t>
        </is>
      </c>
      <c r="T90" s="32" t="n">
        <v>-10.55</v>
      </c>
      <c r="U90" s="32" t="n">
        <v>20.76</v>
      </c>
      <c r="V90" s="32" t="n">
        <v>35.01</v>
      </c>
      <c r="W90" s="32" t="n">
        <v>23.7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Shallow Cyclical (2 to 3 Years Growth)</t>
        </is>
      </c>
      <c r="AG90" s="31">
        <f>IF(AF90="Structural (10 Years Consistency)",10,IF(AF90="Shallow Cyclical (2 to 3 years growth)",5,0))</f>
        <v/>
      </c>
      <c r="AH90" s="31" t="inlineStr">
        <is>
          <t>Yes due to Product Mix change or Operating Leverage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Allocated capital in Non-core Areas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Sideways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Overhead supply in last 2 years in last 2 years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More than 15%</t>
        </is>
      </c>
      <c r="CC90" s="31">
        <f>IF(CB90="More than 15%",-10,IF(CB90="Less than 15%",10,0))</f>
        <v/>
      </c>
      <c r="CD90" s="31" t="inlineStr">
        <is>
          <t>Yes Upto 10%</t>
        </is>
      </c>
      <c r="CE90" s="31">
        <f>IF(CD90="Yes, more than 10%",-10,IF(CD90="No",10,0))</f>
        <v/>
      </c>
      <c r="CF90" s="31" t="inlineStr">
        <is>
          <t>16</t>
        </is>
      </c>
      <c r="CG90" s="31">
        <f>IF(CF90&gt;20,10,IF(CF90&gt;=10,5,2))</f>
        <v/>
      </c>
    </row>
    <row r="91">
      <c r="A91" s="31">
        <f>IF(B91=0,"",RANK(B91,$B$2:$B$92,0))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GAEL</t>
        </is>
      </c>
      <c r="D91" s="34" t="inlineStr">
        <is>
          <t>Gujarat Ambuja Exports Ltd</t>
        </is>
      </c>
      <c r="E91" s="31" t="inlineStr">
        <is>
          <t>fmcg</t>
        </is>
      </c>
      <c r="F91" s="31" t="inlineStr">
        <is>
          <t>Agricultural Processing Maize</t>
        </is>
      </c>
      <c r="G91" s="31" t="inlineStr">
        <is>
          <t>midcap</t>
        </is>
      </c>
      <c r="H91" s="32" t="n">
        <v>7898.31</v>
      </c>
      <c r="I91" s="32" t="n">
        <v>172.2</v>
      </c>
      <c r="J91" s="32" t="n">
        <v>-3.79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59.46</v>
      </c>
      <c r="P91" s="32" t="n">
        <v>23.15</v>
      </c>
      <c r="Q91" s="32" t="n">
        <v>139.39</v>
      </c>
      <c r="R91" s="31" t="inlineStr">
        <is>
          <t>Near 52W High Breakout</t>
        </is>
      </c>
      <c r="S91" s="31" t="inlineStr">
        <is>
          <t>Nifty FMCG</t>
        </is>
      </c>
      <c r="T91" s="32" t="inlineStr"/>
      <c r="U91" s="32" t="inlineStr"/>
      <c r="V91" s="32" t="inlineStr"/>
      <c r="W91" s="32" t="inlineStr"/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Shallow Cyclical (2 to 3 Years Growth)</t>
        </is>
      </c>
      <c r="AG91" s="31">
        <f>IF(AF91="Structural (10 Years Consistency)",10,IF(AF91="Shallow Cyclical (2 to 3 years growth)",5,0))</f>
        <v/>
      </c>
      <c r="AH91" s="31" t="inlineStr">
        <is>
          <t>Yes due to Product Mix change or Operating Leverage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Allocated capital in Non-core Areas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Sideways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Overhead supply in last 2 years in last 2 years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More than 15%</t>
        </is>
      </c>
      <c r="CC91" s="31">
        <f>IF(CB91="More than 15%",-10,IF(CB91="Less than 15%",10,0))</f>
        <v/>
      </c>
      <c r="CD91" s="31" t="inlineStr">
        <is>
          <t>Yes Upto 10%</t>
        </is>
      </c>
      <c r="CE91" s="31">
        <f>IF(CD91="Yes, more than 10%",-10,IF(CD91="No",10,0))</f>
        <v/>
      </c>
      <c r="CF91" s="31" t="inlineStr">
        <is>
          <t>15</t>
        </is>
      </c>
      <c r="CG91" s="31">
        <f>IF(CF91&gt;20,10,IF(CF91&gt;=10,5,2))</f>
        <v/>
      </c>
    </row>
    <row r="92">
      <c r="A92" s="31">
        <f>IF(B92=0,"",RANK(B92,$B$2:$B$92,0))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UTSSAV</t>
        </is>
      </c>
      <c r="D92" s="31" t="inlineStr">
        <is>
          <t>Utssav CZ Gold Jewels Ltd</t>
        </is>
      </c>
      <c r="E92" s="31" t="inlineStr">
        <is>
          <t>unknown</t>
        </is>
      </c>
      <c r="F92" s="31" t="inlineStr">
        <is>
          <t>Diamond Gems and Jewellery</t>
        </is>
      </c>
      <c r="G92" s="31" t="inlineStr">
        <is>
          <t>smallcap</t>
        </is>
      </c>
      <c r="H92" s="32" t="n">
        <v>2390.65</v>
      </c>
      <c r="I92" s="32" t="n">
        <v>990</v>
      </c>
      <c r="J92" s="32" t="n">
        <v>5.88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inlineStr"/>
      <c r="P92" s="32" t="inlineStr"/>
      <c r="Q92" s="32" t="inlineStr"/>
      <c r="R92" s="31" t="inlineStr"/>
      <c r="S92" s="31" t="inlineStr"/>
      <c r="T92" s="32" t="inlineStr"/>
      <c r="U92" s="32" t="inlineStr"/>
      <c r="V92" s="32" t="inlineStr"/>
      <c r="W92" s="32" t="inlineStr"/>
      <c r="X92" s="31" t="n"/>
      <c r="Y92" s="31">
        <f>IF(X92="Growing Industry",10,IF(X92="Cyclical in an Upturn",5,0))</f>
        <v/>
      </c>
      <c r="Z92" s="31" t="n"/>
      <c r="AA92" s="31">
        <f>IF(Z92="Monopoly",10,IF(Z92="Oligopoly",5,IF(Z92="Duopoly that cooperate",10,IF(Z92="Duopoly that compete",5,IF(Z92="Too many players with High ROCE",5,0)))))</f>
        <v/>
      </c>
      <c r="AB92" s="31" t="n"/>
      <c r="AC92" s="31">
        <f>IF(AB92="No",5,0)</f>
        <v/>
      </c>
      <c r="AD92" s="31" t="n"/>
      <c r="AE92" s="31">
        <f>IF(AD92="Tailwind",10,0)</f>
        <v/>
      </c>
      <c r="AF92" s="31" t="n"/>
      <c r="AG92" s="31">
        <f>IF(AF92="Structural (10 Years Consistency)",10,IF(AF92="Shallow Cyclical (2 to 3 years growth)",5,0))</f>
        <v/>
      </c>
      <c r="AH92" s="31" t="n"/>
      <c r="AI92" s="31">
        <f>IF(AH92="Yes due to Product Mix change or Operating Leverage",10,IF(AH92="Yes, these are peak margins",-5,IF(AH92="No",5,0)))</f>
        <v/>
      </c>
      <c r="AJ92" s="31" t="n"/>
      <c r="AK92" s="31">
        <f>IF(AJ92="Stable",10,0)</f>
        <v/>
      </c>
      <c r="AL92" s="31" t="n"/>
      <c r="AM92" s="31">
        <f>IF(AL92="Yes",10,0)</f>
        <v/>
      </c>
      <c r="AN92" s="31" t="n"/>
      <c r="AO92" s="31">
        <f>IF(AN92="B2C",10,IF(AN92="B2B",5,0))</f>
        <v/>
      </c>
      <c r="AP92" s="31" t="n"/>
      <c r="AQ92" s="31">
        <f>IF(AP92="Yes",10,0)</f>
        <v/>
      </c>
      <c r="AR92" s="31" t="n"/>
      <c r="AS92" s="31">
        <f>IF(AR92="Fully Annuity",10,IF(AR92="Higher Annuity, Lower One Time",5,IF(AR92="Higher One Time, Lower Annuity",3,0)))</f>
        <v/>
      </c>
      <c r="AT92" s="31" t="n"/>
      <c r="AU92" s="31">
        <f>IF(AT92="Good",10,0)</f>
        <v/>
      </c>
      <c r="AV92" s="31" t="n"/>
      <c r="AW92" s="31">
        <f>IF(AV92="Yes for more than 2 years",10,IF(AV92="Yes only for next 1 to 2 years",5,0))</f>
        <v/>
      </c>
      <c r="AX92" s="31" t="n"/>
      <c r="AY92" s="31">
        <f>IF(AX92="Above 40",20,IF(AX92="20 to 40",10,IF(AX92="0 to 20",-5,0)))</f>
        <v/>
      </c>
      <c r="AZ92" s="31" t="n"/>
      <c r="BA92" s="31">
        <f>IF(AZ92="Between 50 to 75",10,IF(AZ92="Above 75",0,0))</f>
        <v/>
      </c>
      <c r="BB92" s="31" t="n"/>
      <c r="BC92" s="31">
        <f>IF(BB92="Stage 2",20,IF(BB92="Stage 1",0,IF(BB92="Stage 3",5,IF(BB92="Stage 4",-5,0))))</f>
        <v/>
      </c>
      <c r="BD92" s="31" t="n"/>
      <c r="BE92" s="31">
        <f>IF(BD92="Positive Trend",20,IF(BD92="Negative Trend",-10,0))</f>
        <v/>
      </c>
      <c r="BF92" s="31" t="n"/>
      <c r="BG92" s="31">
        <f>IF(BF92="Uptrend",10,IF(BF92="Sideways",5,0))</f>
        <v/>
      </c>
      <c r="BH92" s="31" t="n"/>
      <c r="BI92" s="31">
        <f>IF(BH92="Uptrend",10,IF(BH92="Sideways",5,0))</f>
        <v/>
      </c>
      <c r="BJ92" s="31" t="n"/>
      <c r="BK92" s="31">
        <f>IF(BJ92="Overhead supply in last 2 years in last 2 years",-5,IF(BJ92="Close to 52 week high or retracement",5,IF(BJ92="Blue sky scenario",10,IF(BJ92="Long term Downtrend",-10,0))))</f>
        <v/>
      </c>
      <c r="BL92" s="31" t="n"/>
      <c r="BM92" s="31">
        <f>IF(BL92="Yes",10,0)</f>
        <v/>
      </c>
      <c r="BN92" s="31" t="n"/>
      <c r="BO92" s="31">
        <f>IF(BN92="More than 20%",10,IF(BN92="Between 12 to 20%",5,IF(BN92="Less than 12%",0,0)))</f>
        <v/>
      </c>
      <c r="BP92" s="31" t="n"/>
      <c r="BQ92" s="31">
        <f>IF(BP92="No",10,0)</f>
        <v/>
      </c>
      <c r="BR92" s="31" t="n"/>
      <c r="BS92" s="31">
        <f>IF(BR92="NO",5,0)</f>
        <v/>
      </c>
      <c r="BT92" s="31" t="n"/>
      <c r="BU92" s="31">
        <f>IF(BT92="Above 2",0,IF(BT92="Between 1.5 to 2",5,IF(BT92="Less than 1.5",10,0)))</f>
        <v/>
      </c>
      <c r="BV92" s="31" t="n"/>
      <c r="BW92" s="31">
        <f>IF(BV92="Above 70%",10,IF(BV92="Between 50% to 70%",5,IF(BV92="Less than 50%",0,IF(BV92="Negative",-10,IF(BV92="Less than 50% and Borrowings are increasing",-5,0)))))</f>
        <v/>
      </c>
      <c r="BX92" s="31" t="n"/>
      <c r="BY92" s="31">
        <f>IF(BX92="More than 1.2",-10,IF(BX92="Between 0.7 to 1.2",0,IF(BX92="Less than 0.7",10,0)))</f>
        <v/>
      </c>
      <c r="BZ92" s="31" t="n"/>
      <c r="CA92" s="31">
        <f>IF(BZ92="Yes",-10,0)</f>
        <v/>
      </c>
      <c r="CB92" s="31" t="n"/>
      <c r="CC92" s="31">
        <f>IF(CB92="More than 15%",-10,IF(CB92="Less than 15%",10,0))</f>
        <v/>
      </c>
      <c r="CD92" s="31" t="n"/>
      <c r="CE92" s="31">
        <f>IF(CD92="Yes, more than 10%",-10,IF(CD92="No",10,0))</f>
        <v/>
      </c>
      <c r="CF92" s="31" t="n"/>
      <c r="CG92" s="31">
        <f>IF(CF92&gt;20,10,IF(CF92&gt;=10,5,2))</f>
        <v/>
      </c>
    </row>
    <row r="96">
      <c r="A96" s="25" t="inlineStr">
        <is>
          <t>❌ REMOVED SCAN MATCH STOCKS (THIS WEEK)</t>
        </is>
      </c>
    </row>
    <row r="97">
      <c r="A97" s="35" t="inlineStr">
        <is>
          <t>Symbol</t>
        </is>
      </c>
      <c r="B97" s="35" t="inlineStr">
        <is>
          <t>Company Name</t>
        </is>
      </c>
      <c r="C97" s="35" t="inlineStr">
        <is>
          <t>Sector</t>
        </is>
      </c>
      <c r="D97" s="35" t="inlineStr">
        <is>
          <t>Date of Removal</t>
        </is>
      </c>
    </row>
    <row r="98">
      <c r="A98" s="36" t="inlineStr">
        <is>
          <t>AEROENTER</t>
        </is>
      </c>
      <c r="B98" s="37" t="inlineStr">
        <is>
          <t>AEROENTER</t>
        </is>
      </c>
      <c r="C98" s="37" t="inlineStr">
        <is>
          <t>unknown</t>
        </is>
      </c>
      <c r="D98" s="38" t="inlineStr">
        <is>
          <t>2026-10-13</t>
        </is>
      </c>
    </row>
    <row r="99">
      <c r="A99" s="36" t="inlineStr">
        <is>
          <t>AEROFLEX</t>
        </is>
      </c>
      <c r="B99" s="37" t="inlineStr">
        <is>
          <t>AEROFLEX</t>
        </is>
      </c>
      <c r="C99" s="37" t="inlineStr">
        <is>
          <t>unknown</t>
        </is>
      </c>
      <c r="D99" s="38" t="inlineStr">
        <is>
          <t>2026-10-15</t>
        </is>
      </c>
    </row>
    <row r="100">
      <c r="A100" s="36" t="inlineStr">
        <is>
          <t>AETHER</t>
        </is>
      </c>
      <c r="B100" s="37" t="inlineStr">
        <is>
          <t>AETHER</t>
        </is>
      </c>
      <c r="C100" s="37" t="inlineStr">
        <is>
          <t>unknown</t>
        </is>
      </c>
      <c r="D100" s="38" t="inlineStr">
        <is>
          <t>2026-10-13</t>
        </is>
      </c>
    </row>
    <row r="101">
      <c r="A101" s="36" t="inlineStr">
        <is>
          <t>ASMTEC</t>
        </is>
      </c>
      <c r="B101" s="37" t="inlineStr">
        <is>
          <t>ASMTEC</t>
        </is>
      </c>
      <c r="C101" s="37" t="inlineStr">
        <is>
          <t>unknown</t>
        </is>
      </c>
      <c r="D101" s="38" t="inlineStr">
        <is>
          <t>2026-10-15</t>
        </is>
      </c>
    </row>
    <row r="102">
      <c r="A102" s="36" t="inlineStr">
        <is>
          <t>ATLANTAELE</t>
        </is>
      </c>
      <c r="B102" s="37" t="inlineStr">
        <is>
          <t>Atlanta Electricals Limited</t>
        </is>
      </c>
      <c r="C102" s="37" t="inlineStr">
        <is>
          <t>Industrials</t>
        </is>
      </c>
      <c r="D102" s="38" t="inlineStr">
        <is>
          <t>2026-10-14</t>
        </is>
      </c>
    </row>
    <row r="103">
      <c r="A103" s="36" t="inlineStr">
        <is>
          <t>AVADHSUGAR</t>
        </is>
      </c>
      <c r="B103" s="37" t="inlineStr">
        <is>
          <t>Avadh Sugar &amp; Energy Limited</t>
        </is>
      </c>
      <c r="C103" s="37" t="inlineStr">
        <is>
          <t>Consumer Defensive</t>
        </is>
      </c>
      <c r="D103" s="38" t="inlineStr">
        <is>
          <t>2026-10-13</t>
        </is>
      </c>
    </row>
    <row r="104">
      <c r="A104" s="36" t="inlineStr">
        <is>
          <t>AVALON</t>
        </is>
      </c>
      <c r="B104" s="37" t="inlineStr">
        <is>
          <t>AVALON</t>
        </is>
      </c>
      <c r="C104" s="37" t="inlineStr">
        <is>
          <t>unknown</t>
        </is>
      </c>
      <c r="D104" s="38" t="inlineStr">
        <is>
          <t>2026-10-13</t>
        </is>
      </c>
    </row>
    <row r="105">
      <c r="A105" s="36" t="inlineStr">
        <is>
          <t>AZAD</t>
        </is>
      </c>
      <c r="B105" s="37" t="inlineStr">
        <is>
          <t>AZAD</t>
        </is>
      </c>
      <c r="C105" s="37" t="inlineStr">
        <is>
          <t>unknown</t>
        </is>
      </c>
      <c r="D105" s="38" t="inlineStr">
        <is>
          <t>2026-10-15</t>
        </is>
      </c>
    </row>
    <row r="106">
      <c r="A106" s="36" t="inlineStr">
        <is>
          <t>BLKASHYAP</t>
        </is>
      </c>
      <c r="B106" s="37" t="inlineStr">
        <is>
          <t>B.L. Kashyap and Sons Limited</t>
        </is>
      </c>
      <c r="C106" s="37" t="inlineStr">
        <is>
          <t>Industrials</t>
        </is>
      </c>
      <c r="D106" s="38" t="inlineStr">
        <is>
          <t>2026-10-14</t>
        </is>
      </c>
    </row>
    <row r="107">
      <c r="A107" s="36" t="inlineStr">
        <is>
          <t>BODALCHEM</t>
        </is>
      </c>
      <c r="B107" s="37" t="inlineStr">
        <is>
          <t>BODALCHEM</t>
        </is>
      </c>
      <c r="C107" s="37" t="inlineStr">
        <is>
          <t>unknown</t>
        </is>
      </c>
      <c r="D107" s="38" t="inlineStr">
        <is>
          <t>2026-10-14</t>
        </is>
      </c>
    </row>
    <row r="108">
      <c r="A108" s="36" t="inlineStr">
        <is>
          <t>CPPLUS</t>
        </is>
      </c>
      <c r="B108" s="37" t="inlineStr">
        <is>
          <t>Aditya Infotech Limited</t>
        </is>
      </c>
      <c r="C108" s="37" t="inlineStr">
        <is>
          <t>Industrials</t>
        </is>
      </c>
      <c r="D108" s="38" t="inlineStr">
        <is>
          <t>2026-10-15</t>
        </is>
      </c>
    </row>
    <row r="109">
      <c r="A109" s="36" t="inlineStr">
        <is>
          <t>CYIENTDLM</t>
        </is>
      </c>
      <c r="B109" s="37" t="inlineStr">
        <is>
          <t>Cyient DLM Limited</t>
        </is>
      </c>
      <c r="C109" s="37" t="inlineStr">
        <is>
          <t>Industrials</t>
        </is>
      </c>
      <c r="D109" s="38" t="inlineStr">
        <is>
          <t>2026-10-15</t>
        </is>
      </c>
    </row>
    <row r="110">
      <c r="A110" s="36" t="inlineStr">
        <is>
          <t>DHAMPURSUG</t>
        </is>
      </c>
      <c r="B110" s="37" t="inlineStr">
        <is>
          <t>Dhampur Sugar Mills Limited</t>
        </is>
      </c>
      <c r="C110" s="37" t="inlineStr">
        <is>
          <t>Consumer Defensive</t>
        </is>
      </c>
      <c r="D110" s="38" t="inlineStr">
        <is>
          <t>2026-10-14</t>
        </is>
      </c>
    </row>
    <row r="111">
      <c r="A111" s="36" t="inlineStr">
        <is>
          <t>DYNAMATECH</t>
        </is>
      </c>
      <c r="B111" s="37" t="inlineStr">
        <is>
          <t>Dynamatic Technologies Limited</t>
        </is>
      </c>
      <c r="C111" s="37" t="inlineStr">
        <is>
          <t>Consumer Cyclical</t>
        </is>
      </c>
      <c r="D111" s="38" t="inlineStr">
        <is>
          <t>2026-10-14</t>
        </is>
      </c>
    </row>
    <row r="112">
      <c r="A112" s="36" t="inlineStr">
        <is>
          <t>E2E</t>
        </is>
      </c>
      <c r="B112" s="37" t="inlineStr">
        <is>
          <t>E2E Networks Limited</t>
        </is>
      </c>
      <c r="C112" s="37" t="inlineStr">
        <is>
          <t>Technology</t>
        </is>
      </c>
      <c r="D112" s="38" t="inlineStr">
        <is>
          <t>2026-10-13</t>
        </is>
      </c>
    </row>
    <row r="113">
      <c r="A113" s="36" t="inlineStr">
        <is>
          <t>ENGINERSIN</t>
        </is>
      </c>
      <c r="B113" s="37" t="inlineStr">
        <is>
          <t>ENGINERSIN</t>
        </is>
      </c>
      <c r="C113" s="37" t="inlineStr">
        <is>
          <t>unknown</t>
        </is>
      </c>
      <c r="D113" s="38" t="inlineStr">
        <is>
          <t>2026-10-13</t>
        </is>
      </c>
    </row>
    <row r="114">
      <c r="A114" s="36" t="inlineStr">
        <is>
          <t>FAIRCHEMOR</t>
        </is>
      </c>
      <c r="B114" s="37" t="inlineStr">
        <is>
          <t>Fairchem Organics Limited</t>
        </is>
      </c>
      <c r="C114" s="37" t="inlineStr">
        <is>
          <t>Basic Materials</t>
        </is>
      </c>
      <c r="D114" s="38" t="inlineStr">
        <is>
          <t>2026-10-14</t>
        </is>
      </c>
    </row>
    <row r="115">
      <c r="A115" s="36" t="inlineStr">
        <is>
          <t>FILATEX</t>
        </is>
      </c>
      <c r="B115" s="37" t="inlineStr">
        <is>
          <t>Filatex India Limited</t>
        </is>
      </c>
      <c r="C115" s="37" t="inlineStr">
        <is>
          <t>Consumer Cyclical</t>
        </is>
      </c>
      <c r="D115" s="38" t="inlineStr">
        <is>
          <t>2026-10-15</t>
        </is>
      </c>
    </row>
    <row r="116">
      <c r="A116" s="36" t="inlineStr">
        <is>
          <t>FINCABLES</t>
        </is>
      </c>
      <c r="B116" s="37" t="inlineStr">
        <is>
          <t>FINCABLES</t>
        </is>
      </c>
      <c r="C116" s="37" t="inlineStr">
        <is>
          <t>unknown</t>
        </is>
      </c>
      <c r="D116" s="38" t="inlineStr">
        <is>
          <t>2026-10-15</t>
        </is>
      </c>
    </row>
    <row r="117">
      <c r="A117" s="36" t="inlineStr">
        <is>
          <t>FREDUN</t>
        </is>
      </c>
      <c r="B117" s="37" t="inlineStr">
        <is>
          <t>FREDUN</t>
        </is>
      </c>
      <c r="C117" s="37" t="inlineStr">
        <is>
          <t>unknown</t>
        </is>
      </c>
      <c r="D117" s="38" t="inlineStr">
        <is>
          <t>2026-10-15</t>
        </is>
      </c>
    </row>
    <row r="118">
      <c r="A118" s="36" t="inlineStr">
        <is>
          <t>GHCLTEXTIL</t>
        </is>
      </c>
      <c r="B118" s="37" t="inlineStr">
        <is>
          <t>GHCLTEXTIL</t>
        </is>
      </c>
      <c r="C118" s="37" t="inlineStr">
        <is>
          <t>unknown</t>
        </is>
      </c>
      <c r="D118" s="38" t="inlineStr">
        <is>
          <t>2026-10-14</t>
        </is>
      </c>
    </row>
    <row r="119">
      <c r="A119" s="36" t="inlineStr">
        <is>
          <t>GPPL</t>
        </is>
      </c>
      <c r="B119" s="37" t="inlineStr">
        <is>
          <t>GPPL</t>
        </is>
      </c>
      <c r="C119" s="37" t="inlineStr">
        <is>
          <t>unknown</t>
        </is>
      </c>
      <c r="D119" s="38" t="inlineStr">
        <is>
          <t>2026-10-15</t>
        </is>
      </c>
    </row>
    <row r="120">
      <c r="A120" s="36" t="inlineStr">
        <is>
          <t>HFCL</t>
        </is>
      </c>
      <c r="B120" s="37" t="inlineStr">
        <is>
          <t>HFCL</t>
        </is>
      </c>
      <c r="C120" s="37" t="inlineStr">
        <is>
          <t>unknown</t>
        </is>
      </c>
      <c r="D120" s="38" t="inlineStr">
        <is>
          <t>2026-10-15</t>
        </is>
      </c>
    </row>
    <row r="121">
      <c r="A121" s="36" t="inlineStr">
        <is>
          <t>KMCSHIL</t>
        </is>
      </c>
      <c r="B121" s="37" t="inlineStr">
        <is>
          <t>KMCSHIL</t>
        </is>
      </c>
      <c r="C121" s="37" t="inlineStr">
        <is>
          <t>unknown</t>
        </is>
      </c>
      <c r="D121" s="38" t="inlineStr">
        <is>
          <t>2026-10-15</t>
        </is>
      </c>
    </row>
    <row r="122">
      <c r="A122" s="36" t="inlineStr">
        <is>
          <t>LALPATHLAB</t>
        </is>
      </c>
      <c r="B122" s="37" t="inlineStr">
        <is>
          <t>LALPATHLAB</t>
        </is>
      </c>
      <c r="C122" s="37" t="inlineStr">
        <is>
          <t>unknown</t>
        </is>
      </c>
      <c r="D122" s="38" t="inlineStr">
        <is>
          <t>2026-10-13</t>
        </is>
      </c>
    </row>
    <row r="123">
      <c r="A123" s="36" t="inlineStr">
        <is>
          <t>MMP</t>
        </is>
      </c>
      <c r="B123" s="37" t="inlineStr">
        <is>
          <t>MMP Industries Limited</t>
        </is>
      </c>
      <c r="C123" s="37" t="inlineStr">
        <is>
          <t>Basic Materials</t>
        </is>
      </c>
      <c r="D123" s="38" t="inlineStr">
        <is>
          <t>2026-10-15</t>
        </is>
      </c>
    </row>
    <row r="124">
      <c r="A124" s="36" t="inlineStr">
        <is>
          <t>MODINSU</t>
        </is>
      </c>
      <c r="B124" s="37" t="inlineStr">
        <is>
          <t>MODINSU</t>
        </is>
      </c>
      <c r="C124" s="37" t="inlineStr">
        <is>
          <t>unknown</t>
        </is>
      </c>
      <c r="D124" s="38" t="inlineStr">
        <is>
          <t>2026-10-15</t>
        </is>
      </c>
    </row>
    <row r="125">
      <c r="A125" s="36" t="inlineStr">
        <is>
          <t>NAVINFLUOR</t>
        </is>
      </c>
      <c r="B125" s="37" t="inlineStr">
        <is>
          <t>NAVINFLUOR</t>
        </is>
      </c>
      <c r="C125" s="37" t="inlineStr">
        <is>
          <t>unknown</t>
        </is>
      </c>
      <c r="D125" s="38" t="inlineStr">
        <is>
          <t>2026-10-13</t>
        </is>
      </c>
    </row>
    <row r="126">
      <c r="A126" s="36" t="inlineStr">
        <is>
          <t>NAZARA</t>
        </is>
      </c>
      <c r="B126" s="37" t="inlineStr">
        <is>
          <t>Nazara Technologies Limited</t>
        </is>
      </c>
      <c r="C126" s="37" t="inlineStr">
        <is>
          <t>Communication Services</t>
        </is>
      </c>
      <c r="D126" s="38" t="inlineStr">
        <is>
          <t>2026-10-13</t>
        </is>
      </c>
    </row>
    <row r="127">
      <c r="A127" s="36" t="inlineStr">
        <is>
          <t>NEOGEN</t>
        </is>
      </c>
      <c r="B127" s="37" t="inlineStr">
        <is>
          <t>Neogen Chemicals Limited</t>
        </is>
      </c>
      <c r="C127" s="37" t="inlineStr">
        <is>
          <t>Basic Materials</t>
        </is>
      </c>
      <c r="D127" s="38" t="inlineStr">
        <is>
          <t>2026-10-15</t>
        </is>
      </c>
    </row>
    <row r="128">
      <c r="A128" s="36" t="inlineStr">
        <is>
          <t>PANAMAPET</t>
        </is>
      </c>
      <c r="B128" s="37" t="inlineStr">
        <is>
          <t>PANAMAPET</t>
        </is>
      </c>
      <c r="C128" s="37" t="inlineStr">
        <is>
          <t>unknown</t>
        </is>
      </c>
      <c r="D128" s="38" t="inlineStr">
        <is>
          <t>2026-10-15</t>
        </is>
      </c>
    </row>
    <row r="129">
      <c r="A129" s="36" t="inlineStr">
        <is>
          <t>PNGSREVA</t>
        </is>
      </c>
      <c r="B129" s="37" t="inlineStr">
        <is>
          <t>PNGSREVA</t>
        </is>
      </c>
      <c r="C129" s="37" t="inlineStr">
        <is>
          <t>unknown</t>
        </is>
      </c>
      <c r="D129" s="38" t="inlineStr">
        <is>
          <t>2026-10-14</t>
        </is>
      </c>
    </row>
    <row r="130">
      <c r="A130" s="36" t="inlineStr">
        <is>
          <t>PRECWIRE</t>
        </is>
      </c>
      <c r="B130" s="37" t="inlineStr">
        <is>
          <t>PRECWIRE</t>
        </is>
      </c>
      <c r="C130" s="37" t="inlineStr">
        <is>
          <t>unknown</t>
        </is>
      </c>
      <c r="D130" s="38" t="inlineStr">
        <is>
          <t>2026-10-14</t>
        </is>
      </c>
    </row>
    <row r="131">
      <c r="A131" s="36" t="inlineStr">
        <is>
          <t>RPTECH</t>
        </is>
      </c>
      <c r="B131" s="37" t="inlineStr">
        <is>
          <t>RPTECH</t>
        </is>
      </c>
      <c r="C131" s="37" t="inlineStr">
        <is>
          <t>unknown</t>
        </is>
      </c>
      <c r="D131" s="38" t="inlineStr">
        <is>
          <t>2026-10-15</t>
        </is>
      </c>
    </row>
    <row r="132">
      <c r="A132" s="36" t="inlineStr">
        <is>
          <t>SANSERA</t>
        </is>
      </c>
      <c r="B132" s="37" t="inlineStr">
        <is>
          <t>SANSERA</t>
        </is>
      </c>
      <c r="C132" s="37" t="inlineStr">
        <is>
          <t>unknown</t>
        </is>
      </c>
      <c r="D132" s="38" t="inlineStr">
        <is>
          <t>2026-10-14</t>
        </is>
      </c>
    </row>
    <row r="133">
      <c r="A133" s="36" t="inlineStr">
        <is>
          <t>SHILPAMED</t>
        </is>
      </c>
      <c r="B133" s="37" t="inlineStr">
        <is>
          <t>SHILPAMED</t>
        </is>
      </c>
      <c r="C133" s="37" t="inlineStr">
        <is>
          <t>unknown</t>
        </is>
      </c>
      <c r="D133" s="38" t="inlineStr">
        <is>
          <t>2026-10-13</t>
        </is>
      </c>
    </row>
    <row r="134">
      <c r="A134" s="36" t="inlineStr">
        <is>
          <t>SOMANYCERA</t>
        </is>
      </c>
      <c r="B134" s="37" t="inlineStr">
        <is>
          <t>SOMANYCERA</t>
        </is>
      </c>
      <c r="C134" s="37" t="inlineStr">
        <is>
          <t>unknown</t>
        </is>
      </c>
      <c r="D134" s="38" t="inlineStr">
        <is>
          <t>2026-10-13</t>
        </is>
      </c>
    </row>
    <row r="135">
      <c r="A135" s="36" t="inlineStr">
        <is>
          <t>SOTL</t>
        </is>
      </c>
      <c r="B135" s="37" t="inlineStr">
        <is>
          <t>SOTL</t>
        </is>
      </c>
      <c r="C135" s="37" t="inlineStr">
        <is>
          <t>unknown</t>
        </is>
      </c>
      <c r="D135" s="38" t="inlineStr">
        <is>
          <t>2026-10-15</t>
        </is>
      </c>
    </row>
    <row r="136">
      <c r="A136" s="36" t="inlineStr">
        <is>
          <t>SPORTKING</t>
        </is>
      </c>
      <c r="B136" s="37" t="inlineStr">
        <is>
          <t>Sportking India Limited</t>
        </is>
      </c>
      <c r="C136" s="37" t="inlineStr">
        <is>
          <t>Consumer Cyclical</t>
        </is>
      </c>
      <c r="D136" s="38" t="inlineStr">
        <is>
          <t>2026-10-15</t>
        </is>
      </c>
    </row>
    <row r="137">
      <c r="A137" s="36" t="inlineStr">
        <is>
          <t>STLTECH</t>
        </is>
      </c>
      <c r="B137" s="37" t="inlineStr">
        <is>
          <t>STLTECH</t>
        </is>
      </c>
      <c r="C137" s="37" t="inlineStr">
        <is>
          <t>unknown</t>
        </is>
      </c>
      <c r="D137" s="38" t="inlineStr">
        <is>
          <t>2026-10-15</t>
        </is>
      </c>
    </row>
    <row r="138">
      <c r="A138" s="36" t="inlineStr">
        <is>
          <t>SUNTV</t>
        </is>
      </c>
      <c r="B138" s="37" t="inlineStr">
        <is>
          <t>Sun TV Network Limited</t>
        </is>
      </c>
      <c r="C138" s="37" t="inlineStr">
        <is>
          <t>Communication Services</t>
        </is>
      </c>
      <c r="D138" s="38" t="inlineStr">
        <is>
          <t>2026-10-15</t>
        </is>
      </c>
    </row>
    <row r="139">
      <c r="A139" s="36" t="inlineStr">
        <is>
          <t>SYRMA</t>
        </is>
      </c>
      <c r="B139" s="37" t="inlineStr">
        <is>
          <t>SYRMA</t>
        </is>
      </c>
      <c r="C139" s="37" t="inlineStr">
        <is>
          <t>unknown</t>
        </is>
      </c>
      <c r="D139" s="38" t="inlineStr">
        <is>
          <t>2026-10-13</t>
        </is>
      </c>
    </row>
    <row r="140">
      <c r="A140" s="36" t="inlineStr">
        <is>
          <t>TDPOWERSYS</t>
        </is>
      </c>
      <c r="B140" s="37" t="inlineStr">
        <is>
          <t>TDPOWERSYS</t>
        </is>
      </c>
      <c r="C140" s="37" t="inlineStr">
        <is>
          <t>unknown</t>
        </is>
      </c>
      <c r="D140" s="38" t="inlineStr">
        <is>
          <t>2026-10-14</t>
        </is>
      </c>
    </row>
    <row r="141">
      <c r="A141" s="36" t="inlineStr">
        <is>
          <t>TIMEX</t>
        </is>
      </c>
      <c r="B141" s="37" t="inlineStr">
        <is>
          <t>TIMEX</t>
        </is>
      </c>
      <c r="C141" s="37" t="inlineStr">
        <is>
          <t>unknown</t>
        </is>
      </c>
      <c r="D141" s="38" t="inlineStr">
        <is>
          <t>2026-10-15</t>
        </is>
      </c>
    </row>
    <row r="142">
      <c r="A142" s="36" t="inlineStr">
        <is>
          <t>VALIANT</t>
        </is>
      </c>
      <c r="B142" s="37" t="inlineStr">
        <is>
          <t>VALIANT</t>
        </is>
      </c>
      <c r="C142" s="37" t="inlineStr">
        <is>
          <t>unknown</t>
        </is>
      </c>
      <c r="D142" s="38" t="inlineStr">
        <is>
          <t>2026-10-15</t>
        </is>
      </c>
    </row>
    <row r="143">
      <c r="A143" s="36" t="inlineStr">
        <is>
          <t>WELCORP</t>
        </is>
      </c>
      <c r="B143" s="37" t="inlineStr">
        <is>
          <t>WELCORP</t>
        </is>
      </c>
      <c r="C143" s="37" t="inlineStr">
        <is>
          <t>unknown</t>
        </is>
      </c>
      <c r="D143" s="38" t="inlineStr">
        <is>
          <t>2026-10-13</t>
        </is>
      </c>
    </row>
  </sheetData>
  <autoFilter ref="A1:CG92"/>
  <conditionalFormatting sqref="B2:B9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2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2">
    <cfRule type="cellIs" priority="37" operator="equal" dxfId="3" stopIfTrue="1">
      <formula>"Underperforming"</formula>
    </cfRule>
  </conditionalFormatting>
  <conditionalFormatting sqref="N2:N92">
    <cfRule type="cellIs" priority="38" operator="equal" dxfId="3" stopIfTrue="1">
      <formula>-5</formula>
    </cfRule>
  </conditionalFormatting>
  <conditionalFormatting sqref="Q2:Q92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2" showDropDown="0" showInputMessage="0" showErrorMessage="0" allowBlank="1" type="list">
      <formula1>"Growing Industry,Stagnant Industry,Cyclical in an Upturn"</formula1>
    </dataValidation>
    <dataValidation sqref="Z2:Z9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2" showDropDown="0" showInputMessage="0" showErrorMessage="0" allowBlank="1" type="list">
      <formula1>"Yes,No"</formula1>
    </dataValidation>
    <dataValidation sqref="AD2:AD92" showDropDown="0" showInputMessage="0" showErrorMessage="0" allowBlank="1" type="list">
      <formula1>"Tailwind,Headwind"</formula1>
    </dataValidation>
    <dataValidation sqref="AF2:AF92" showDropDown="0" showInputMessage="0" showErrorMessage="0" allowBlank="1" type="list">
      <formula1>"Structural (10 Years Consistency),Shallow Cyclical (2 to 3 Years Growth),Cyclical"</formula1>
    </dataValidation>
    <dataValidation sqref="AH2:AH92" showDropDown="0" showInputMessage="0" showErrorMessage="0" allowBlank="1" type="list">
      <formula1>"Yes due to Product Mix change or Operating Leverage,Yes, these are peak margins,No"</formula1>
    </dataValidation>
    <dataValidation sqref="AJ2:AJ92" showDropDown="0" showInputMessage="0" showErrorMessage="0" allowBlank="1" type="list">
      <formula1>"Stable,Volatile"</formula1>
    </dataValidation>
    <dataValidation sqref="AL2:AL92" showDropDown="0" showInputMessage="0" showErrorMessage="0" allowBlank="1" type="list">
      <formula1>"Yes,No"</formula1>
    </dataValidation>
    <dataValidation sqref="AN2:AN92" showDropDown="0" showInputMessage="0" showErrorMessage="0" allowBlank="1" type="list">
      <formula1>"B2C,B2B,B2G"</formula1>
    </dataValidation>
    <dataValidation sqref="AP2:AP92" showDropDown="0" showInputMessage="0" showErrorMessage="0" allowBlank="1" type="list">
      <formula1>"Yes,No"</formula1>
    </dataValidation>
    <dataValidation sqref="AR2:AR92" showDropDown="0" showInputMessage="0" showErrorMessage="0" allowBlank="1" type="list">
      <formula1>"Fully Annuity,Higher Annuity, Lower One time,Higher One Time, Lower Annuity,Fully One Time"</formula1>
    </dataValidation>
    <dataValidation sqref="AT2:AT92" showDropDown="0" showInputMessage="0" showErrorMessage="0" allowBlank="1" type="list">
      <formula1>"Good,Allocated capital in Non-core Areas"</formula1>
    </dataValidation>
    <dataValidation sqref="AV2:AV92" showDropDown="0" showInputMessage="0" showErrorMessage="0" allowBlank="1" type="list">
      <formula1>"Yes for more than 2 years,Yes only for next 1 to 2 years,No"</formula1>
    </dataValidation>
    <dataValidation sqref="AX2:AX92" showDropDown="0" showInputMessage="0" showErrorMessage="0" allowBlank="1" type="list">
      <formula1>"Above 40,20 to 40,0 to 20"</formula1>
    </dataValidation>
    <dataValidation sqref="AZ2:AZ92" showDropDown="0" showInputMessage="0" showErrorMessage="0" allowBlank="1" type="list">
      <formula1>"Between 50 to 75,Above 75,Below 45"</formula1>
    </dataValidation>
    <dataValidation sqref="BB2:BB92" showDropDown="0" showInputMessage="0" showErrorMessage="0" allowBlank="1" type="list">
      <formula1>"Stage 1,Stage 2,Stage 3,Stage 4"</formula1>
    </dataValidation>
    <dataValidation sqref="BD2:BD92" showDropDown="0" showInputMessage="0" showErrorMessage="0" allowBlank="1" type="list">
      <formula1>"Positive Trend,Negative Trend"</formula1>
    </dataValidation>
    <dataValidation sqref="BF2:BF92" showDropDown="0" showInputMessage="0" showErrorMessage="0" allowBlank="1" type="list">
      <formula1>"Uptrend,Sideways,Downtrend"</formula1>
    </dataValidation>
    <dataValidation sqref="BH2:BH92" showDropDown="0" showInputMessage="0" showErrorMessage="0" allowBlank="1" type="list">
      <formula1>"Uptrend,Sideways,Downtrend"</formula1>
    </dataValidation>
    <dataValidation sqref="BJ2:BJ9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2" showDropDown="0" showInputMessage="0" showErrorMessage="0" allowBlank="1" type="list">
      <formula1>"Yes,No"</formula1>
    </dataValidation>
    <dataValidation sqref="BN2:BN92" showDropDown="0" showInputMessage="0" showErrorMessage="0" allowBlank="1" type="list">
      <formula1>"More than 20%,Between 12 to 20%,Less than 12%"</formula1>
    </dataValidation>
    <dataValidation sqref="BP2:BP92" showDropDown="0" showInputMessage="0" showErrorMessage="0" allowBlank="1" type="list">
      <formula1>"Yes,No"</formula1>
    </dataValidation>
    <dataValidation sqref="BR2:BR92" showDropDown="0" showInputMessage="0" showErrorMessage="0" allowBlank="1" type="list">
      <formula1>"Yes,No"</formula1>
    </dataValidation>
    <dataValidation sqref="BT2:BT92" showDropDown="0" showInputMessage="0" showErrorMessage="0" allowBlank="1" type="list">
      <formula1>"Above 2,Between 1.5 to 2,Less than 1.5"</formula1>
    </dataValidation>
    <dataValidation sqref="BV2:BV92" showDropDown="0" showInputMessage="0" showErrorMessage="0" allowBlank="1" type="list">
      <formula1>"Above 70%,Between 50% to 70%,Less than 50%,Less than 50% and Borrowings are increasing,Negative"</formula1>
    </dataValidation>
    <dataValidation sqref="BX2:BX92" showDropDown="0" showInputMessage="0" showErrorMessage="0" allowBlank="1" type="list">
      <formula1>"More than 1.2,Between 0.7 to 1.2,Less than 0.7"</formula1>
    </dataValidation>
    <dataValidation sqref="BZ2:BZ92" showDropDown="0" showInputMessage="0" showErrorMessage="0" allowBlank="1" type="list">
      <formula1>"Yes,No"</formula1>
    </dataValidation>
    <dataValidation sqref="CB2:CB92" showDropDown="0" showInputMessage="0" showErrorMessage="0" allowBlank="1" type="list">
      <formula1>"More than 15%,Less than 15%"</formula1>
    </dataValidation>
    <dataValidation sqref="CD2:CD9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IF(B2=0,"",RANK(B2,$B$2:$B$10,0))</f>
        <v/>
      </c>
      <c r="B2" s="32">
        <f>SUM(N2,Y2,AA2,AC2,AE2,AG2,AI2,AK2,AM2,AO2,AQ2,AS2,AU2,AW2,AY2,BA2,BC2,BE2,BG2,BI2,BK2,BM2,BO2,BQ2,BS2,BU2,BW2,BY2,CA2,CC2)</f>
        <v/>
      </c>
      <c r="C2" s="34" t="inlineStr">
        <is>
          <t>KARURVYSYA</t>
        </is>
      </c>
      <c r="D2" s="34" t="inlineStr">
        <is>
          <t>Karur Vysya Bank Ltd</t>
        </is>
      </c>
      <c r="E2" s="31" t="inlineStr">
        <is>
          <t>bank</t>
        </is>
      </c>
      <c r="F2" s="31" t="inlineStr">
        <is>
          <t>Private Banks</t>
        </is>
      </c>
      <c r="G2" s="31" t="inlineStr">
        <is>
          <t>largecap</t>
        </is>
      </c>
      <c r="H2" s="32" t="n">
        <v>33539.36</v>
      </c>
      <c r="I2" s="32" t="n">
        <v>347</v>
      </c>
      <c r="J2" s="32" t="n">
        <v>1.68</v>
      </c>
      <c r="K2" s="32" t="n">
        <v>0</v>
      </c>
      <c r="L2" s="31" t="n">
        <v>41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63.98</v>
      </c>
      <c r="P2" s="32" t="n">
        <v>31.61</v>
      </c>
      <c r="Q2" s="32" t="n">
        <v>291.1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-3.3</v>
      </c>
      <c r="U2" s="32" t="n">
        <v>53.19</v>
      </c>
      <c r="V2" s="32" t="n">
        <v>58.41</v>
      </c>
      <c r="W2" s="32" t="n">
        <v>11.58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15</t>
        </is>
      </c>
      <c r="CC2" s="31">
        <f>IF(CB2&gt;20,10,IF(CB2&gt;=10,5,2))</f>
        <v/>
      </c>
    </row>
    <row r="3">
      <c r="A3" s="31">
        <f>IF(B3=0,"",RANK(B3,$B$2:$B$10,0))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SMCGLOBAL</t>
        </is>
      </c>
      <c r="D3" s="31" t="inlineStr">
        <is>
          <t>SMC Global Securities Ltd</t>
        </is>
      </c>
      <c r="E3" s="31" t="inlineStr">
        <is>
          <t>financials</t>
        </is>
      </c>
      <c r="F3" s="31" t="inlineStr">
        <is>
          <t>Finance Capital Markets Brokers</t>
        </is>
      </c>
      <c r="G3" s="31" t="inlineStr">
        <is>
          <t>smallcap</t>
        </is>
      </c>
      <c r="H3" s="32" t="n">
        <v>2292.93</v>
      </c>
      <c r="I3" s="32" t="n">
        <v>109.5</v>
      </c>
      <c r="J3" s="32" t="n">
        <v>-4.93</v>
      </c>
      <c r="K3" s="32" t="n">
        <v>0</v>
      </c>
      <c r="L3" s="31" t="n">
        <v>60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69.15000000000001</v>
      </c>
      <c r="P3" s="32" t="n">
        <v>43.19</v>
      </c>
      <c r="Q3" s="32" t="n">
        <v>86.27</v>
      </c>
      <c r="R3" s="31" t="inlineStr">
        <is>
          <t>Earnings / Momentum Support</t>
        </is>
      </c>
      <c r="S3" s="31" t="inlineStr">
        <is>
          <t>Nifty Bank</t>
        </is>
      </c>
      <c r="T3" s="32" t="n">
        <v>-3.3</v>
      </c>
      <c r="U3" s="32" t="n">
        <v>62.41</v>
      </c>
      <c r="V3" s="32" t="n">
        <v>67.95</v>
      </c>
      <c r="W3" s="32" t="n">
        <v>18.57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16</t>
        </is>
      </c>
      <c r="CC3" s="31">
        <f>IF(CB3&gt;20,10,IF(CB3&gt;=10,5,2))</f>
        <v/>
      </c>
    </row>
    <row r="4">
      <c r="A4" s="31">
        <f>IF(B4=0,"",RANK(B4,$B$2:$B$10,0))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SGFIN</t>
        </is>
      </c>
      <c r="D4" s="31" t="inlineStr">
        <is>
          <t>SG Finserve Ltd</t>
        </is>
      </c>
      <c r="E4" s="31" t="inlineStr">
        <is>
          <t>financials</t>
        </is>
      </c>
      <c r="F4" s="31" t="inlineStr">
        <is>
          <t>Finance and Investments MSME Lending</t>
        </is>
      </c>
      <c r="G4" s="31" t="inlineStr">
        <is>
          <t>smallcap</t>
        </is>
      </c>
      <c r="H4" s="32" t="n">
        <v>4559.28</v>
      </c>
      <c r="I4" s="32" t="n">
        <v>691.9</v>
      </c>
      <c r="J4" s="32" t="n">
        <v>0.43</v>
      </c>
      <c r="K4" s="32" t="n">
        <v>0</v>
      </c>
      <c r="L4" s="31" t="n">
        <v>51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63.18</v>
      </c>
      <c r="P4" s="32" t="n">
        <v>27.65</v>
      </c>
      <c r="Q4" s="32" t="n">
        <v>530.86</v>
      </c>
      <c r="R4" s="31" t="inlineStr">
        <is>
          <t>Near 52W High Breakout</t>
        </is>
      </c>
      <c r="S4" s="31" t="inlineStr">
        <is>
          <t>Nifty Bank</t>
        </is>
      </c>
      <c r="T4" s="32" t="n">
        <v>-3.3</v>
      </c>
      <c r="U4" s="32" t="n">
        <v>87.48</v>
      </c>
      <c r="V4" s="32" t="n">
        <v>93.88</v>
      </c>
      <c r="W4" s="32" t="n">
        <v>15.91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5">
      <c r="A5" s="31">
        <f>IF(B5=0,"",RANK(B5,$B$2:$B$10,0))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SOUTHBANK</t>
        </is>
      </c>
      <c r="D5" s="34" t="inlineStr">
        <is>
          <t>South Indian Bank Ltd</t>
        </is>
      </c>
      <c r="E5" s="31" t="inlineStr">
        <is>
          <t>bank</t>
        </is>
      </c>
      <c r="F5" s="31" t="inlineStr">
        <is>
          <t>Private Banks</t>
        </is>
      </c>
      <c r="G5" s="31" t="inlineStr">
        <is>
          <t>midcap</t>
        </is>
      </c>
      <c r="H5" s="32" t="n">
        <v>13490.44</v>
      </c>
      <c r="I5" s="32" t="n">
        <v>51.5</v>
      </c>
      <c r="J5" s="32" t="n">
        <v>3.75</v>
      </c>
      <c r="K5" s="32" t="n">
        <v>0</v>
      </c>
      <c r="L5" s="31" t="n">
        <v>47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66.25</v>
      </c>
      <c r="P5" s="32" t="n">
        <v>39.78</v>
      </c>
      <c r="Q5" s="32" t="n">
        <v>41.69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-3.3</v>
      </c>
      <c r="U5" s="32" t="n">
        <v>59.22</v>
      </c>
      <c r="V5" s="32" t="n">
        <v>64.65000000000001</v>
      </c>
      <c r="W5" s="32" t="n">
        <v>14.18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less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  <row r="6">
      <c r="A6" s="31">
        <f>IF(B6=0,"",RANK(B6,$B$2:$B$10,0))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KOTAKBANK</t>
        </is>
      </c>
      <c r="D6" s="34" t="inlineStr">
        <is>
          <t>Kotak Mahindra Bank Ltd</t>
        </is>
      </c>
      <c r="E6" s="31" t="inlineStr">
        <is>
          <t>bank</t>
        </is>
      </c>
      <c r="F6" s="31" t="inlineStr">
        <is>
          <t>Private Banks</t>
        </is>
      </c>
      <c r="G6" s="31" t="inlineStr">
        <is>
          <t>largecap</t>
        </is>
      </c>
      <c r="H6" s="32" t="n">
        <v>445615.34</v>
      </c>
      <c r="I6" s="32" t="n">
        <v>447.95</v>
      </c>
      <c r="J6" s="32" t="n">
        <v>2.26</v>
      </c>
      <c r="K6" s="32" t="n">
        <v>0</v>
      </c>
      <c r="L6" s="31" t="n">
        <v>17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66.38</v>
      </c>
      <c r="P6" s="32" t="n">
        <v>14.92</v>
      </c>
      <c r="Q6" s="32" t="n">
        <v>390.66</v>
      </c>
      <c r="R6" s="31" t="inlineStr">
        <is>
          <t>Near 52W High Breakout</t>
        </is>
      </c>
      <c r="S6" s="31" t="inlineStr">
        <is>
          <t>Nifty Bank</t>
        </is>
      </c>
      <c r="T6" s="32" t="n">
        <v>-3.3</v>
      </c>
      <c r="U6" s="32" t="n">
        <v>1.71</v>
      </c>
      <c r="V6" s="32" t="n">
        <v>5.18</v>
      </c>
      <c r="W6" s="32" t="n">
        <v>3.62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0 to 20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15</t>
        </is>
      </c>
      <c r="CC6" s="31">
        <f>IF(CB6&gt;20,10,IF(CB6&gt;=10,5,2))</f>
        <v/>
      </c>
    </row>
    <row r="7">
      <c r="A7" s="31">
        <f>IF(B7=0,"",RANK(B7,$B$2:$B$10,0))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TFCILTD</t>
        </is>
      </c>
      <c r="D7" s="31" t="inlineStr">
        <is>
          <t>Tourism Finance Corporation of India Ltd</t>
        </is>
      </c>
      <c r="E7" s="31" t="inlineStr">
        <is>
          <t>financials</t>
        </is>
      </c>
      <c r="F7" s="31" t="inlineStr">
        <is>
          <t>Finance PSU Lending</t>
        </is>
      </c>
      <c r="G7" s="31" t="inlineStr">
        <is>
          <t>midcap</t>
        </is>
      </c>
      <c r="H7" s="32" t="n">
        <v>7308.56</v>
      </c>
      <c r="I7" s="32" t="n">
        <v>157.86</v>
      </c>
      <c r="J7" s="32" t="n">
        <v>-1.83</v>
      </c>
      <c r="K7" s="32" t="n">
        <v>0</v>
      </c>
      <c r="L7" s="31" t="n">
        <v>89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85.3</v>
      </c>
      <c r="P7" s="32" t="n">
        <v>76.20999999999999</v>
      </c>
      <c r="Q7" s="32" t="n">
        <v>126.5</v>
      </c>
      <c r="R7" s="31" t="inlineStr">
        <is>
          <t>Near 52W High Breakout</t>
        </is>
      </c>
      <c r="S7" s="31" t="inlineStr">
        <is>
          <t>Nifty Bank</t>
        </is>
      </c>
      <c r="T7" s="32" t="n">
        <v>-3.3</v>
      </c>
      <c r="U7" s="32" t="n">
        <v>115.87</v>
      </c>
      <c r="V7" s="32" t="n">
        <v>123.23</v>
      </c>
      <c r="W7" s="32" t="n">
        <v>37.87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above 5x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18</t>
        </is>
      </c>
      <c r="CC7" s="31">
        <f>IF(CB7&gt;20,10,IF(CB7&gt;=10,5,2))</f>
        <v/>
      </c>
    </row>
    <row r="8">
      <c r="A8" s="31">
        <f>IF(B8=0,"",RANK(B8,$B$2:$B$10,0))</f>
        <v/>
      </c>
      <c r="B8" s="32">
        <f>SUM(N8,Y8,AA8,AC8,AE8,AG8,AI8,AK8,AM8,AO8,AQ8,AS8,AU8,AW8,AY8,BA8,BC8,BE8,BG8,BI8,BK8,BM8,BO8,BQ8,BS8,BU8,BW8,BY8,CA8,CC8)</f>
        <v/>
      </c>
      <c r="C8" s="34" t="inlineStr">
        <is>
          <t>FEDFINA</t>
        </is>
      </c>
      <c r="D8" s="34" t="inlineStr">
        <is>
          <t>Fedbank Financial Services Ltd</t>
        </is>
      </c>
      <c r="E8" s="31" t="inlineStr">
        <is>
          <t>financials</t>
        </is>
      </c>
      <c r="F8" s="31" t="inlineStr">
        <is>
          <t>Finance and Investments Gold Loan</t>
        </is>
      </c>
      <c r="G8" s="31" t="inlineStr">
        <is>
          <t>midcap</t>
        </is>
      </c>
      <c r="H8" s="32" t="n">
        <v>5885.6</v>
      </c>
      <c r="I8" s="32" t="n">
        <v>156.89</v>
      </c>
      <c r="J8" s="32" t="n">
        <v>-1.91</v>
      </c>
      <c r="K8" s="32" t="n">
        <v>0</v>
      </c>
      <c r="L8" s="31" t="n">
        <v>10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55.17</v>
      </c>
      <c r="P8" s="32" t="n">
        <v>23.85</v>
      </c>
      <c r="Q8" s="32" t="n">
        <v>127.43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-3.3</v>
      </c>
      <c r="U8" s="32" t="n">
        <v>5.1</v>
      </c>
      <c r="V8" s="32" t="n">
        <v>8.68</v>
      </c>
      <c r="W8" s="32" t="n">
        <v>1.03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1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16</t>
        </is>
      </c>
      <c r="CC8" s="31">
        <f>IF(CB8&gt;20,10,IF(CB8&gt;=10,5,2))</f>
        <v/>
      </c>
    </row>
    <row r="9">
      <c r="A9" s="31">
        <f>IF(B9=0,"",RANK(B9,$B$2:$B$10,0))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GCSL</t>
        </is>
      </c>
      <c r="D9" s="31" t="inlineStr">
        <is>
          <t>Gretex Corporate Services Ltd</t>
        </is>
      </c>
      <c r="E9" s="31" t="inlineStr">
        <is>
          <t>financials</t>
        </is>
      </c>
      <c r="F9" s="31" t="inlineStr">
        <is>
          <t>Finance and Investments Others</t>
        </is>
      </c>
      <c r="G9" s="31" t="inlineStr">
        <is>
          <t>smallcap</t>
        </is>
      </c>
      <c r="H9" s="32" t="n">
        <v>1841.4</v>
      </c>
      <c r="I9" s="32" t="n">
        <v>736.4</v>
      </c>
      <c r="J9" s="32" t="n">
        <v>-0.13</v>
      </c>
      <c r="K9" s="32" t="n">
        <v>0</v>
      </c>
      <c r="L9" s="31" t="n">
        <v>89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83.76000000000001</v>
      </c>
      <c r="P9" s="32" t="n">
        <v>35.36</v>
      </c>
      <c r="Q9" s="32" t="n">
        <v>605.72</v>
      </c>
      <c r="R9" s="31" t="inlineStr">
        <is>
          <t>Near 52W High Breakout</t>
        </is>
      </c>
      <c r="S9" s="31" t="inlineStr">
        <is>
          <t>Nifty Bank</t>
        </is>
      </c>
      <c r="T9" s="32" t="n">
        <v>-3.3</v>
      </c>
      <c r="U9" s="32" t="n">
        <v>233.92</v>
      </c>
      <c r="V9" s="32" t="n">
        <v>245.31</v>
      </c>
      <c r="W9" s="32" t="n">
        <v>37.68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16</t>
        </is>
      </c>
      <c r="CC9" s="31">
        <f>IF(CB9&gt;20,10,IF(CB9&gt;=10,5,2))</f>
        <v/>
      </c>
    </row>
    <row r="10">
      <c r="A10" s="31">
        <f>IF(B10=0,"",RANK(B10,$B$2:$B$10,0))</f>
        <v/>
      </c>
      <c r="B10" s="32">
        <f>SUM(N10,Y10,AA10,AC10,AE10,AG10,AI10,AK10,AM10,AO10,AQ10,AS10,AU10,AW10,AY10,BA10,BC10,BE10,BG10,BI10,BK10,BM10,BO10,BQ10,BS10,BU10,BW10,BY10,CA10,CC10)</f>
        <v/>
      </c>
      <c r="C10" s="34" t="inlineStr">
        <is>
          <t>ALGOQUANT</t>
        </is>
      </c>
      <c r="D10" s="34" t="inlineStr">
        <is>
          <t>Algoquant Fintech Ltd</t>
        </is>
      </c>
      <c r="E10" s="31" t="inlineStr">
        <is>
          <t>Financial Services</t>
        </is>
      </c>
      <c r="F10" s="31" t="inlineStr">
        <is>
          <t>Finance and Investments Others</t>
        </is>
      </c>
      <c r="G10" s="31" t="inlineStr">
        <is>
          <t>smallcap</t>
        </is>
      </c>
      <c r="H10" s="32" t="n">
        <v>1973.58</v>
      </c>
      <c r="I10" s="32" t="n">
        <v>70.20999999999999</v>
      </c>
      <c r="J10" s="32" t="n">
        <v>-1.68</v>
      </c>
      <c r="K10" s="32" t="n">
        <v>0</v>
      </c>
      <c r="L10" s="31" t="n">
        <v>13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59.22</v>
      </c>
      <c r="P10" s="32" t="n">
        <v>35.7</v>
      </c>
      <c r="Q10" s="32" t="n">
        <v>53.27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-5.81</v>
      </c>
      <c r="U10" s="32" t="n">
        <v>4.5</v>
      </c>
      <c r="V10" s="32" t="n">
        <v>10.94</v>
      </c>
      <c r="W10" s="32" t="n">
        <v>2.51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above 5x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16</t>
        </is>
      </c>
      <c r="CC10" s="31">
        <f>IF(CB10&gt;20,10,IF(CB10&gt;=10,5,2))</f>
        <v/>
      </c>
    </row>
    <row r="14">
      <c r="A14" s="25" t="inlineStr">
        <is>
          <t>❌ REMOVED SCAN MATCH STOCKS (THIS WEEK)</t>
        </is>
      </c>
    </row>
    <row r="15">
      <c r="A15" s="35" t="inlineStr">
        <is>
          <t>Symbol</t>
        </is>
      </c>
      <c r="B15" s="35" t="inlineStr">
        <is>
          <t>Company Name</t>
        </is>
      </c>
      <c r="C15" s="35" t="inlineStr">
        <is>
          <t>Sector</t>
        </is>
      </c>
      <c r="D15" s="35" t="inlineStr">
        <is>
          <t>Date of Removal</t>
        </is>
      </c>
    </row>
  </sheetData>
  <autoFilter ref="A1:CC10"/>
  <conditionalFormatting sqref="B2:B1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0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0">
    <cfRule type="cellIs" priority="35" operator="equal" dxfId="3" stopIfTrue="1">
      <formula>"Underperforming"</formula>
    </cfRule>
  </conditionalFormatting>
  <conditionalFormatting sqref="N2:N10">
    <cfRule type="cellIs" priority="36" operator="equal" dxfId="3" stopIfTrue="1">
      <formula>-5</formula>
    </cfRule>
  </conditionalFormatting>
  <conditionalFormatting sqref="Q2:Q10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0" showDropDown="0" showInputMessage="0" showErrorMessage="0" allowBlank="1" type="list">
      <formula1>"Growing Industry,Stagnant Industry,Cyclical in an Upturn"</formula1>
    </dataValidation>
    <dataValidation sqref="Z2:Z10" showDropDown="0" showInputMessage="0" showErrorMessage="0" allowBlank="1" type="list">
      <formula1>"Fragmented with Low ROE,Fragmented with High ROE,Highly Cyclical"</formula1>
    </dataValidation>
    <dataValidation sqref="AB2:AB10" showDropDown="0" showInputMessage="0" showErrorMessage="0" allowBlank="1" type="list">
      <formula1>"Yes,No"</formula1>
    </dataValidation>
    <dataValidation sqref="AD2:AD10" showDropDown="0" showInputMessage="0" showErrorMessage="0" allowBlank="1" type="list">
      <formula1>"Tailwind,Headwind"</formula1>
    </dataValidation>
    <dataValidation sqref="AF2:AF10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0" showDropDown="0" showInputMessage="0" showErrorMessage="0" allowBlank="1" type="list">
      <formula1>"Yes,No"</formula1>
    </dataValidation>
    <dataValidation sqref="AJ2:AJ10" showDropDown="0" showInputMessage="0" showErrorMessage="0" allowBlank="1" type="list">
      <formula1>"Yes,No,Not Applicable"</formula1>
    </dataValidation>
    <dataValidation sqref="AL2:AL10" showDropDown="0" showInputMessage="0" showErrorMessage="0" allowBlank="1" type="list">
      <formula1>"Yes,No"</formula1>
    </dataValidation>
    <dataValidation sqref="AN2:AN10" showDropDown="0" showInputMessage="0" showErrorMessage="0" allowBlank="1" type="list">
      <formula1>"Yes,No"</formula1>
    </dataValidation>
    <dataValidation sqref="AP2:AP10" showDropDown="0" showInputMessage="0" showErrorMessage="0" allowBlank="1" type="list">
      <formula1>"Yes,No"</formula1>
    </dataValidation>
    <dataValidation sqref="AR2:AR10" showDropDown="0" showInputMessage="0" showErrorMessage="0" allowBlank="1" type="list">
      <formula1>"Yes,No"</formula1>
    </dataValidation>
    <dataValidation sqref="AT2:AT10" showDropDown="0" showInputMessage="0" showErrorMessage="0" allowBlank="1" type="list">
      <formula1>"No,Yes"</formula1>
    </dataValidation>
    <dataValidation sqref="AV2:AV10" showDropDown="0" showInputMessage="0" showErrorMessage="0" allowBlank="1" type="list">
      <formula1>"No,Yes"</formula1>
    </dataValidation>
    <dataValidation sqref="AX2:AX10" showDropDown="0" showInputMessage="0" showErrorMessage="0" allowBlank="1" type="list">
      <formula1>"No,Yes CEO Resignation,Yes CEO Retirement"</formula1>
    </dataValidation>
    <dataValidation sqref="AZ2:AZ10" showDropDown="0" showInputMessage="0" showErrorMessage="0" allowBlank="1" type="list">
      <formula1>"No,Yes"</formula1>
    </dataValidation>
    <dataValidation sqref="BB2:BB10" showDropDown="0" showInputMessage="0" showErrorMessage="0" allowBlank="1" type="list">
      <formula1>"No,Yes"</formula1>
    </dataValidation>
    <dataValidation sqref="BD2:BD10" showDropDown="0" showInputMessage="0" showErrorMessage="0" allowBlank="1" type="list">
      <formula1>"Yes,No"</formula1>
    </dataValidation>
    <dataValidation sqref="BF2:BF10" showDropDown="0" showInputMessage="0" showErrorMessage="0" allowBlank="1" type="list">
      <formula1>"Yes,No"</formula1>
    </dataValidation>
    <dataValidation sqref="BH2:BH10" showDropDown="0" showInputMessage="0" showErrorMessage="0" allowBlank="1" type="list">
      <formula1>"Yes,No"</formula1>
    </dataValidation>
    <dataValidation sqref="BJ2:BJ10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0" showDropDown="0" showInputMessage="0" showErrorMessage="0" allowBlank="1" type="list">
      <formula1>"Above 40,20 to 40,0 to 20"</formula1>
    </dataValidation>
    <dataValidation sqref="BN2:BN10" showDropDown="0" showInputMessage="0" showErrorMessage="0" allowBlank="1" type="list">
      <formula1>"Between 50 to 75,Above 75,Below 45"</formula1>
    </dataValidation>
    <dataValidation sqref="BP2:BP10" showDropDown="0" showInputMessage="0" showErrorMessage="0" allowBlank="1" type="list">
      <formula1>"Stage 1,Stage 2,Stage 3,Stage 4"</formula1>
    </dataValidation>
    <dataValidation sqref="BR2:BR10" showDropDown="0" showInputMessage="0" showErrorMessage="0" allowBlank="1" type="list">
      <formula1>"Positive Trend,Negative Trend"</formula1>
    </dataValidation>
    <dataValidation sqref="BT2:BT10" showDropDown="0" showInputMessage="0" showErrorMessage="0" allowBlank="1" type="list">
      <formula1>"Uptrend,Sideways,Downtrend"</formula1>
    </dataValidation>
    <dataValidation sqref="BV2:BV10" showDropDown="0" showInputMessage="0" showErrorMessage="0" allowBlank="1" type="list">
      <formula1>"Uptrend,Sideways,Downtrend"</formula1>
    </dataValidation>
    <dataValidation sqref="BX2:BX1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2026-10-15T15:07:40Z</dcterms:created>
  <dcterms:modified xmlns:dcterms="http://purl.org/dc/terms/" xmlns:xsi="http://www.w3.org/2001/XMLSchema-instance" xsi:type="dcterms:W3CDTF">2026-10-15T15:09:36Z</dcterms:modified>
</cp:coreProperties>
</file>