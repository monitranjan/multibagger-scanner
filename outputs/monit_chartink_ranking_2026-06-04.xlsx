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Monit Non Financial" sheetId="4" state="visible" r:id="rId4"/>
    <sheet xmlns:r="http://schemas.openxmlformats.org/officeDocument/2006/relationships" name="Monit Banks NBFC" sheetId="5" state="visible" r:id="rId5"/>
    <sheet xmlns:r="http://schemas.openxmlformats.org/officeDocument/2006/relationships" name="Scanner Non Financial" sheetId="6" state="visible" r:id="rId6"/>
    <sheet xmlns:r="http://schemas.openxmlformats.org/officeDocument/2006/relationships" name="Scanner Banks NBFC" sheetId="7" state="visible" r:id="rId7"/>
    <sheet xmlns:r="http://schemas.openxmlformats.org/officeDocument/2006/relationships" name="Scan Match Non Financial" sheetId="8" state="visible" r:id="rId8"/>
    <sheet xmlns:r="http://schemas.openxmlformats.org/officeDocument/2006/relationships" name="Scan Match Banks NBFC" sheetId="9" state="visible" r:id="rId9"/>
    <sheet xmlns:r="http://schemas.openxmlformats.org/officeDocument/2006/relationships" name="Confluence Overlap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Universe'!$A$1:$J$345</definedName>
    <definedName name="_xlnm._FilterDatabase" localSheetId="3" hidden="1">'Monit Non Financial'!$A$1:$CE$314</definedName>
    <definedName name="_xlnm._FilterDatabase" localSheetId="4" hidden="1">'Monit Banks NBFC'!$A$1:$CA$32</definedName>
    <definedName name="_xlnm._FilterDatabase" localSheetId="5" hidden="1">'Scanner Non Financial'!$A$1:$CJ$22</definedName>
    <definedName name="_xlnm._FilterDatabase" localSheetId="6" hidden="1">'Scanner Banks NBFC'!$A$1:$CF$2</definedName>
    <definedName name="_xlnm._FilterDatabase" localSheetId="7" hidden="1">'Scan Match Non Financial'!$A$1:$CG$94</definedName>
    <definedName name="_xlnm._FilterDatabase" localSheetId="8" hidden="1">'Scan Match Banks NBFC'!$A$1:$CC$8</definedName>
    <definedName name="_xlnm._FilterDatabase" localSheetId="9" hidden="1">'Confluence Overlap'!$A$1:$J$95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04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7" customWidth="1" min="2" max="2"/>
    <col width="25" customWidth="1" min="3" max="3"/>
    <col width="48" customWidth="1" min="4" max="4"/>
    <col width="21" customWidth="1" min="5" max="5"/>
    <col width="34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390</v>
      </c>
      <c r="C6" s="17" t="inlineStr">
        <is>
          <t>GRANULES</t>
        </is>
      </c>
      <c r="D6" s="18" t="inlineStr">
        <is>
          <t>Granules India Limited</t>
        </is>
      </c>
      <c r="E6" s="18" t="inlineStr">
        <is>
          <t>healthcare</t>
        </is>
      </c>
      <c r="F6" s="16" t="n">
        <v>50</v>
      </c>
      <c r="G6" s="19" t="n">
        <v>19670.12</v>
      </c>
      <c r="H6" s="18" t="inlineStr">
        <is>
          <t>Potential Leader</t>
        </is>
      </c>
      <c r="J6" s="18" t="inlineStr">
        <is>
          <t>services</t>
        </is>
      </c>
      <c r="K6" s="16" t="n">
        <v>41</v>
      </c>
      <c r="L6" s="16" t="n">
        <v>20</v>
      </c>
      <c r="M6" s="20" t="inlineStr">
        <is>
          <t>105.0%</t>
        </is>
      </c>
    </row>
    <row r="7">
      <c r="A7" s="16" t="n">
        <v>2</v>
      </c>
      <c r="B7" s="17" t="n">
        <v>378</v>
      </c>
      <c r="C7" s="17" t="inlineStr">
        <is>
          <t>HONASA</t>
        </is>
      </c>
      <c r="D7" s="18" t="inlineStr">
        <is>
          <t>Honasa Consumer Ltd</t>
        </is>
      </c>
      <c r="E7" s="18" t="inlineStr">
        <is>
          <t>services</t>
        </is>
      </c>
      <c r="F7" s="16" t="n">
        <v>48</v>
      </c>
      <c r="G7" s="19" t="n">
        <v>13083.12</v>
      </c>
      <c r="H7" s="18" t="inlineStr">
        <is>
          <t>Potential Leader</t>
        </is>
      </c>
      <c r="J7" s="18" t="inlineStr">
        <is>
          <t>building materials</t>
        </is>
      </c>
      <c r="K7" s="16" t="n">
        <v>34</v>
      </c>
      <c r="L7" s="16" t="n">
        <v>18</v>
      </c>
      <c r="M7" s="20" t="inlineStr">
        <is>
          <t>88.9%</t>
        </is>
      </c>
    </row>
    <row r="8">
      <c r="A8" s="16" t="n">
        <v>3</v>
      </c>
      <c r="B8" s="17" t="n">
        <v>366</v>
      </c>
      <c r="C8" s="17" t="inlineStr">
        <is>
          <t>ADANIPOWER</t>
        </is>
      </c>
      <c r="D8" s="18" t="inlineStr">
        <is>
          <t>Adani Power Limited</t>
        </is>
      </c>
      <c r="E8" s="18" t="inlineStr">
        <is>
          <t>power &amp; utilities</t>
        </is>
      </c>
      <c r="F8" s="16" t="n">
        <v>46</v>
      </c>
      <c r="G8" s="19" t="n">
        <v>448407.72</v>
      </c>
      <c r="H8" s="18" t="inlineStr">
        <is>
          <t>Potential Leader</t>
        </is>
      </c>
      <c r="J8" s="18" t="inlineStr">
        <is>
          <t>textiles</t>
        </is>
      </c>
      <c r="K8" s="16" t="n">
        <v>90</v>
      </c>
      <c r="L8" s="16" t="n">
        <v>51</v>
      </c>
      <c r="M8" s="20" t="inlineStr">
        <is>
          <t>76.5%</t>
        </is>
      </c>
    </row>
    <row r="9">
      <c r="A9" s="16" t="n">
        <v>4</v>
      </c>
      <c r="B9" s="17" t="n">
        <v>366</v>
      </c>
      <c r="C9" s="17" t="inlineStr">
        <is>
          <t>BLISSGVS</t>
        </is>
      </c>
      <c r="D9" s="18" t="inlineStr">
        <is>
          <t>Bliss Gvs Pharma Limited</t>
        </is>
      </c>
      <c r="E9" s="18" t="inlineStr">
        <is>
          <t>healthcare</t>
        </is>
      </c>
      <c r="F9" s="16" t="n">
        <v>46</v>
      </c>
      <c r="G9" s="19" t="n">
        <v>4651.01</v>
      </c>
      <c r="H9" s="18" t="inlineStr">
        <is>
          <t>Potential Leader</t>
        </is>
      </c>
      <c r="J9" s="18" t="inlineStr">
        <is>
          <t>consumer discretionary</t>
        </is>
      </c>
      <c r="K9" s="16" t="n">
        <v>107</v>
      </c>
      <c r="L9" s="16" t="n">
        <v>62</v>
      </c>
      <c r="M9" s="20" t="inlineStr">
        <is>
          <t>72.6%</t>
        </is>
      </c>
    </row>
    <row r="10">
      <c r="A10" s="16" t="n">
        <v>5</v>
      </c>
      <c r="B10" s="17" t="n">
        <v>366</v>
      </c>
      <c r="C10" s="17" t="inlineStr">
        <is>
          <t>DEEDEV</t>
        </is>
      </c>
      <c r="D10" s="18" t="inlineStr">
        <is>
          <t>DEE Development Engineers Ltd</t>
        </is>
      </c>
      <c r="E10" s="18" t="inlineStr">
        <is>
          <t>metals &amp; mining</t>
        </is>
      </c>
      <c r="F10" s="16" t="n">
        <v>46</v>
      </c>
      <c r="G10" s="19" t="n">
        <v>4555.45</v>
      </c>
      <c r="H10" s="18" t="inlineStr">
        <is>
          <t>Potential Leader</t>
        </is>
      </c>
      <c r="J10" s="18" t="inlineStr">
        <is>
          <t>fmcg</t>
        </is>
      </c>
      <c r="K10" s="16" t="n">
        <v>69</v>
      </c>
      <c r="L10" s="16" t="n">
        <v>40</v>
      </c>
      <c r="M10" s="20" t="inlineStr">
        <is>
          <t>72.5%</t>
        </is>
      </c>
    </row>
    <row r="11">
      <c r="A11" s="16" t="n">
        <v>6</v>
      </c>
      <c r="B11" s="17" t="n">
        <v>360</v>
      </c>
      <c r="C11" s="17" t="inlineStr">
        <is>
          <t>ARVIND</t>
        </is>
      </c>
      <c r="D11" s="18" t="inlineStr">
        <is>
          <t>Arvind Limited</t>
        </is>
      </c>
      <c r="E11" s="18" t="inlineStr">
        <is>
          <t>textiles</t>
        </is>
      </c>
      <c r="F11" s="16" t="n">
        <v>45</v>
      </c>
      <c r="G11" s="19" t="n">
        <v>12713.87</v>
      </c>
      <c r="H11" s="18" t="inlineStr">
        <is>
          <t>Potential Leader</t>
        </is>
      </c>
      <c r="J11" s="18" t="inlineStr">
        <is>
          <t>metals &amp; mining</t>
        </is>
      </c>
      <c r="K11" s="16" t="n">
        <v>118</v>
      </c>
      <c r="L11" s="16" t="n">
        <v>69</v>
      </c>
      <c r="M11" s="20" t="inlineStr">
        <is>
          <t>71.0%</t>
        </is>
      </c>
    </row>
    <row r="12">
      <c r="A12" s="16" t="n">
        <v>7</v>
      </c>
      <c r="B12" s="17" t="n">
        <v>360</v>
      </c>
      <c r="C12" s="17" t="inlineStr">
        <is>
          <t>NITINSPIN</t>
        </is>
      </c>
      <c r="D12" s="18" t="inlineStr">
        <is>
          <t>Nitin Spinners Limited</t>
        </is>
      </c>
      <c r="E12" s="18" t="inlineStr">
        <is>
          <t>textiles</t>
        </is>
      </c>
      <c r="F12" s="16" t="n">
        <v>45</v>
      </c>
      <c r="G12" s="19" t="n">
        <v>2854.85</v>
      </c>
      <c r="H12" s="18" t="inlineStr">
        <is>
          <t>Potential Leader</t>
        </is>
      </c>
      <c r="J12" s="18" t="inlineStr">
        <is>
          <t>energy</t>
        </is>
      </c>
      <c r="K12" s="16" t="n">
        <v>41</v>
      </c>
      <c r="L12" s="16" t="n">
        <v>24</v>
      </c>
      <c r="M12" s="20" t="inlineStr">
        <is>
          <t>70.8%</t>
        </is>
      </c>
    </row>
    <row r="13">
      <c r="A13" s="16" t="n">
        <v>8</v>
      </c>
      <c r="B13" s="17" t="n">
        <v>360</v>
      </c>
      <c r="C13" s="17" t="inlineStr">
        <is>
          <t>RPTECH</t>
        </is>
      </c>
      <c r="D13" s="18" t="inlineStr">
        <is>
          <t>Rashi Peripherals Ltd</t>
        </is>
      </c>
      <c r="E13" s="18" t="inlineStr">
        <is>
          <t>services</t>
        </is>
      </c>
      <c r="F13" s="16" t="n">
        <v>45</v>
      </c>
      <c r="G13" s="19" t="n">
        <v>3573.41</v>
      </c>
      <c r="H13" s="18" t="inlineStr">
        <is>
          <t>Potential Leader</t>
        </is>
      </c>
      <c r="J13" s="18" t="inlineStr">
        <is>
          <t>telecom-service</t>
        </is>
      </c>
      <c r="K13" s="16" t="n">
        <v>10</v>
      </c>
      <c r="L13" s="16" t="n">
        <v>6</v>
      </c>
      <c r="M13" s="20" t="inlineStr">
        <is>
          <t>66.7%</t>
        </is>
      </c>
    </row>
    <row r="14">
      <c r="A14" s="16" t="n">
        <v>9</v>
      </c>
      <c r="B14" s="17" t="n">
        <v>360</v>
      </c>
      <c r="C14" s="17" t="inlineStr">
        <is>
          <t>WELCORP</t>
        </is>
      </c>
      <c r="D14" s="18" t="inlineStr">
        <is>
          <t>Welspun Corp Limited</t>
        </is>
      </c>
      <c r="E14" s="18" t="inlineStr">
        <is>
          <t>industrials</t>
        </is>
      </c>
      <c r="F14" s="16" t="n">
        <v>45</v>
      </c>
      <c r="G14" s="19" t="n">
        <v>37289.45</v>
      </c>
      <c r="H14" s="18" t="inlineStr">
        <is>
          <t>Potential Leader</t>
        </is>
      </c>
      <c r="J14" s="18" t="inlineStr">
        <is>
          <t>media</t>
        </is>
      </c>
      <c r="K14" s="16" t="n">
        <v>10</v>
      </c>
      <c r="L14" s="16" t="n">
        <v>6</v>
      </c>
      <c r="M14" s="20" t="inlineStr">
        <is>
          <t>66.7%</t>
        </is>
      </c>
    </row>
    <row r="15">
      <c r="A15" s="16" t="n">
        <v>10</v>
      </c>
      <c r="B15" s="17" t="n">
        <v>354</v>
      </c>
      <c r="C15" s="17" t="inlineStr">
        <is>
          <t>BAJAJCON</t>
        </is>
      </c>
      <c r="D15" s="18" t="inlineStr">
        <is>
          <t>Bajaj Consumer Care Ltd</t>
        </is>
      </c>
      <c r="E15" s="18" t="inlineStr">
        <is>
          <t>fmcg</t>
        </is>
      </c>
      <c r="F15" s="16" t="n">
        <v>44</v>
      </c>
      <c r="G15" s="19" t="n">
        <v>7254.54</v>
      </c>
      <c r="H15" s="18" t="inlineStr">
        <is>
          <t>Potential Leader</t>
        </is>
      </c>
      <c r="J15" s="18" t="inlineStr">
        <is>
          <t>transportation</t>
        </is>
      </c>
      <c r="K15" s="16" t="n">
        <v>16</v>
      </c>
      <c r="L15" s="16" t="n">
        <v>10</v>
      </c>
      <c r="M15" s="20" t="inlineStr">
        <is>
          <t>60.0%</t>
        </is>
      </c>
    </row>
    <row r="16">
      <c r="A16" s="16" t="n">
        <v>11</v>
      </c>
      <c r="B16" s="17" t="n">
        <v>354</v>
      </c>
      <c r="C16" s="17" t="inlineStr">
        <is>
          <t>STLTECH</t>
        </is>
      </c>
      <c r="D16" s="18" t="inlineStr">
        <is>
          <t>Sterlite Technologies Limited</t>
        </is>
      </c>
      <c r="E16" s="18" t="inlineStr">
        <is>
          <t>industrials</t>
        </is>
      </c>
      <c r="F16" s="16" t="n">
        <v>44</v>
      </c>
      <c r="G16" s="19" t="n">
        <v>30293.51</v>
      </c>
      <c r="H16" s="18" t="inlineStr">
        <is>
          <t>Potential Leader</t>
        </is>
      </c>
      <c r="J16" s="18" t="inlineStr">
        <is>
          <t>i.t</t>
        </is>
      </c>
      <c r="K16" s="16" t="n">
        <v>69</v>
      </c>
      <c r="L16" s="16" t="n">
        <v>45</v>
      </c>
      <c r="M16" s="20" t="inlineStr">
        <is>
          <t>53.3%</t>
        </is>
      </c>
    </row>
    <row r="17">
      <c r="A17" s="16" t="n">
        <v>12</v>
      </c>
      <c r="B17" s="17" t="n">
        <v>354</v>
      </c>
      <c r="C17" s="17" t="inlineStr">
        <is>
          <t>STYLAMIND</t>
        </is>
      </c>
      <c r="D17" s="18" t="inlineStr">
        <is>
          <t>Stylam Industries Ltd</t>
        </is>
      </c>
      <c r="E17" s="18" t="inlineStr">
        <is>
          <t>building materials</t>
        </is>
      </c>
      <c r="F17" s="16" t="n">
        <v>44</v>
      </c>
      <c r="G17" s="19" t="n">
        <v>5067.13</v>
      </c>
      <c r="H17" s="18" t="inlineStr">
        <is>
          <t>Potential Leader</t>
        </is>
      </c>
      <c r="J17" s="18" t="inlineStr">
        <is>
          <t>auto</t>
        </is>
      </c>
      <c r="K17" s="16" t="n">
        <v>129</v>
      </c>
      <c r="L17" s="16" t="n">
        <v>85</v>
      </c>
      <c r="M17" s="20" t="inlineStr">
        <is>
          <t>51.8%</t>
        </is>
      </c>
    </row>
    <row r="18">
      <c r="A18" s="16" t="n">
        <v>13</v>
      </c>
      <c r="B18" s="17" t="n">
        <v>348</v>
      </c>
      <c r="C18" s="17" t="inlineStr">
        <is>
          <t>POWERINDIA</t>
        </is>
      </c>
      <c r="D18" s="18" t="inlineStr">
        <is>
          <t>Hitachi Energy India Ltd</t>
        </is>
      </c>
      <c r="E18" s="18" t="inlineStr">
        <is>
          <t>industrials</t>
        </is>
      </c>
      <c r="F18" s="16" t="n">
        <v>43</v>
      </c>
      <c r="G18" s="19" t="n">
        <v>156850.15</v>
      </c>
      <c r="H18" s="18" t="inlineStr">
        <is>
          <t>Potential Leader</t>
        </is>
      </c>
      <c r="J18" s="18" t="inlineStr">
        <is>
          <t>bank</t>
        </is>
      </c>
      <c r="K18" s="16" t="n">
        <v>53</v>
      </c>
      <c r="L18" s="16" t="n">
        <v>35</v>
      </c>
      <c r="M18" s="20" t="inlineStr">
        <is>
          <t>51.4%</t>
        </is>
      </c>
    </row>
    <row r="19">
      <c r="A19" s="16" t="n">
        <v>14</v>
      </c>
      <c r="B19" s="17" t="n">
        <v>342</v>
      </c>
      <c r="C19" s="17" t="inlineStr">
        <is>
          <t>ADANIGREEN</t>
        </is>
      </c>
      <c r="D19" s="18" t="inlineStr">
        <is>
          <t>Adani Green Energy Ltd</t>
        </is>
      </c>
      <c r="E19" s="18" t="inlineStr">
        <is>
          <t>power &amp; utilities</t>
        </is>
      </c>
      <c r="F19" s="16" t="n">
        <v>42</v>
      </c>
      <c r="G19" s="19" t="n">
        <v>235134.4</v>
      </c>
      <c r="H19" s="18" t="inlineStr">
        <is>
          <t>Potential Leader</t>
        </is>
      </c>
      <c r="J19" s="18" t="inlineStr">
        <is>
          <t>healthcare</t>
        </is>
      </c>
      <c r="K19" s="16" t="n">
        <v>221</v>
      </c>
      <c r="L19" s="16" t="n">
        <v>148</v>
      </c>
      <c r="M19" s="20" t="inlineStr">
        <is>
          <t>49.3%</t>
        </is>
      </c>
    </row>
    <row r="20">
      <c r="A20" s="16" t="n">
        <v>15</v>
      </c>
      <c r="B20" s="17" t="n">
        <v>342</v>
      </c>
      <c r="C20" s="17" t="inlineStr">
        <is>
          <t>ADANIPORTS</t>
        </is>
      </c>
      <c r="D20" s="18" t="inlineStr">
        <is>
          <t>Adani Ports And Special Economic Zone Limited</t>
        </is>
      </c>
      <c r="E20" s="18" t="inlineStr">
        <is>
          <t>transportation</t>
        </is>
      </c>
      <c r="F20" s="16" t="n">
        <v>42</v>
      </c>
      <c r="G20" s="19" t="n">
        <v>415588.14</v>
      </c>
      <c r="H20" s="18" t="inlineStr">
        <is>
          <t>Potential Leader</t>
        </is>
      </c>
      <c r="J20" s="18" t="inlineStr">
        <is>
          <t>aerospace &amp; defence</t>
        </is>
      </c>
      <c r="K20" s="16" t="n">
        <v>58</v>
      </c>
      <c r="L20" s="16" t="n">
        <v>39</v>
      </c>
      <c r="M20" s="20" t="inlineStr">
        <is>
          <t>48.7%</t>
        </is>
      </c>
    </row>
    <row r="21">
      <c r="A21" s="16" t="n">
        <v>16</v>
      </c>
      <c r="B21" s="17" t="n">
        <v>342</v>
      </c>
      <c r="C21" s="17" t="inlineStr">
        <is>
          <t>APCOTEXIND</t>
        </is>
      </c>
      <c r="D21" s="18" t="inlineStr">
        <is>
          <t>Apcotex Industries Limited</t>
        </is>
      </c>
      <c r="E21" s="18" t="inlineStr">
        <is>
          <t>chemicals</t>
        </is>
      </c>
      <c r="F21" s="16" t="n">
        <v>42</v>
      </c>
      <c r="G21" s="19" t="n">
        <v>2584.21</v>
      </c>
      <c r="H21" s="18" t="inlineStr">
        <is>
          <t>Potential Leader</t>
        </is>
      </c>
    </row>
    <row r="22">
      <c r="A22" s="16" t="n">
        <v>17</v>
      </c>
      <c r="B22" s="17" t="n">
        <v>342</v>
      </c>
      <c r="C22" s="17" t="inlineStr">
        <is>
          <t>CRAFTSMAN</t>
        </is>
      </c>
      <c r="D22" s="18" t="inlineStr">
        <is>
          <t>Craftsman Automation Ltd</t>
        </is>
      </c>
      <c r="E22" s="18" t="inlineStr">
        <is>
          <t>auto</t>
        </is>
      </c>
      <c r="F22" s="16" t="n">
        <v>42</v>
      </c>
      <c r="G22" s="19" t="n">
        <v>21227.89</v>
      </c>
      <c r="H22" s="18" t="inlineStr">
        <is>
          <t>Potential Leader</t>
        </is>
      </c>
    </row>
    <row r="23">
      <c r="A23" s="16" t="n">
        <v>18</v>
      </c>
      <c r="B23" s="17" t="n">
        <v>342</v>
      </c>
      <c r="C23" s="17" t="inlineStr">
        <is>
          <t>HFCL</t>
        </is>
      </c>
      <c r="D23" s="18" t="inlineStr">
        <is>
          <t>HFCL Ltd</t>
        </is>
      </c>
      <c r="E23" s="18" t="inlineStr">
        <is>
          <t>telecom</t>
        </is>
      </c>
      <c r="F23" s="16" t="n">
        <v>42</v>
      </c>
      <c r="G23" s="19" t="n">
        <v>30521.74</v>
      </c>
      <c r="H23" s="18" t="inlineStr">
        <is>
          <t>Potential Leader</t>
        </is>
      </c>
    </row>
    <row r="24">
      <c r="A24" s="16" t="n">
        <v>19</v>
      </c>
      <c r="B24" s="17" t="n">
        <v>342</v>
      </c>
      <c r="C24" s="17" t="inlineStr">
        <is>
          <t>SATIN</t>
        </is>
      </c>
      <c r="D24" s="18" t="inlineStr">
        <is>
          <t>Satin Creditcare Network Limited</t>
        </is>
      </c>
      <c r="E24" s="18" t="inlineStr">
        <is>
          <t>financials</t>
        </is>
      </c>
      <c r="F24" s="16" t="n">
        <v>42</v>
      </c>
      <c r="G24" s="19" t="n">
        <v>2598.83</v>
      </c>
      <c r="H24" s="18" t="inlineStr">
        <is>
          <t>Potential Leader</t>
        </is>
      </c>
    </row>
    <row r="25">
      <c r="A25" s="16" t="n">
        <v>20</v>
      </c>
      <c r="B25" s="17" t="n">
        <v>342</v>
      </c>
      <c r="C25" s="17" t="inlineStr">
        <is>
          <t>SHILPAMED</t>
        </is>
      </c>
      <c r="D25" s="18" t="inlineStr">
        <is>
          <t>Shilpa Medicare Limited</t>
        </is>
      </c>
      <c r="E25" s="18" t="inlineStr">
        <is>
          <t>healthcare</t>
        </is>
      </c>
      <c r="F25" s="16" t="n">
        <v>42</v>
      </c>
      <c r="G25" s="19" t="n">
        <v>10080.29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TMPV</t>
        </is>
      </c>
      <c r="B30" s="18" t="inlineStr">
        <is>
          <t>Tata Motors Passenger Vehicles Ltd</t>
        </is>
      </c>
      <c r="C30" s="18" t="inlineStr">
        <is>
          <t>auto</t>
        </is>
      </c>
      <c r="D30" s="16" t="n">
        <v>10</v>
      </c>
      <c r="E30" s="16" t="n">
        <v>1</v>
      </c>
      <c r="F30" s="19" t="n">
        <v>146613.86</v>
      </c>
      <c r="J30" s="17" t="inlineStr">
        <is>
          <t>BAJAJCON</t>
        </is>
      </c>
      <c r="K30" s="18" t="inlineStr">
        <is>
          <t>fmcg</t>
        </is>
      </c>
      <c r="L30" s="19" t="n">
        <v>297</v>
      </c>
      <c r="M30" s="19" t="n">
        <v>7254.54</v>
      </c>
      <c r="N30" s="16" t="n">
        <v>30</v>
      </c>
    </row>
    <row r="31">
      <c r="A31" s="17" t="inlineStr">
        <is>
          <t>HESTERBIO</t>
        </is>
      </c>
      <c r="B31" s="18" t="inlineStr">
        <is>
          <t>Hester Biosciences Limited</t>
        </is>
      </c>
      <c r="C31" s="18" t="inlineStr">
        <is>
          <t>healthcare</t>
        </is>
      </c>
      <c r="D31" s="16" t="n">
        <v>10</v>
      </c>
      <c r="E31" s="16" t="n">
        <v>2</v>
      </c>
      <c r="F31" s="19" t="n">
        <v>1664.71</v>
      </c>
      <c r="J31" s="17" t="inlineStr">
        <is>
          <t>OMAXAUTO</t>
        </is>
      </c>
      <c r="K31" s="18" t="inlineStr">
        <is>
          <t>auto</t>
        </is>
      </c>
      <c r="L31" s="19" t="n">
        <v>293</v>
      </c>
      <c r="M31" s="19" t="n">
        <v>507.54</v>
      </c>
      <c r="N31" s="16" t="n">
        <v>26</v>
      </c>
    </row>
    <row r="32">
      <c r="A32" s="17" t="inlineStr">
        <is>
          <t>ASAHIINDIA</t>
        </is>
      </c>
      <c r="B32" s="18" t="inlineStr">
        <is>
          <t>Asahi India Glass Limited</t>
        </is>
      </c>
      <c r="C32" s="18" t="inlineStr">
        <is>
          <t>building materials</t>
        </is>
      </c>
      <c r="D32" s="16" t="n">
        <v>10</v>
      </c>
      <c r="E32" s="16" t="n">
        <v>0</v>
      </c>
      <c r="F32" s="19" t="n">
        <v>23032.67</v>
      </c>
      <c r="J32" s="17" t="inlineStr">
        <is>
          <t>IBULLSLTD</t>
        </is>
      </c>
      <c r="K32" s="18" t="inlineStr">
        <is>
          <t>miscellaneous</t>
        </is>
      </c>
      <c r="L32" s="19" t="n">
        <v>290</v>
      </c>
      <c r="M32" s="19" t="n">
        <v>5655.22</v>
      </c>
      <c r="N32" s="16" t="n">
        <v>25</v>
      </c>
    </row>
    <row r="33">
      <c r="A33" s="17" t="inlineStr">
        <is>
          <t>AVANTEL</t>
        </is>
      </c>
      <c r="B33" s="18" t="inlineStr">
        <is>
          <t>Avantel Ltd</t>
        </is>
      </c>
      <c r="C33" s="18" t="inlineStr">
        <is>
          <t>aerospace &amp; defence</t>
        </is>
      </c>
      <c r="D33" s="16" t="n">
        <v>10</v>
      </c>
      <c r="E33" s="16" t="n">
        <v>0</v>
      </c>
      <c r="F33" s="19" t="n">
        <v>4668.54</v>
      </c>
      <c r="J33" s="17" t="inlineStr">
        <is>
          <t>CONFIPET</t>
        </is>
      </c>
      <c r="K33" s="18" t="inlineStr">
        <is>
          <t>miscellaneous</t>
        </is>
      </c>
      <c r="L33" s="19" t="n">
        <v>288</v>
      </c>
      <c r="M33" s="19" t="n">
        <v>2551.28</v>
      </c>
      <c r="N33" s="16" t="n">
        <v>28</v>
      </c>
    </row>
    <row r="34">
      <c r="A34" s="17" t="inlineStr">
        <is>
          <t>MONARCH</t>
        </is>
      </c>
      <c r="B34" s="18" t="inlineStr">
        <is>
          <t>Monarch Networth Capital Ltd</t>
        </is>
      </c>
      <c r="C34" s="18" t="inlineStr">
        <is>
          <t>financials</t>
        </is>
      </c>
      <c r="D34" s="16" t="n">
        <v>10</v>
      </c>
      <c r="E34" s="16" t="n">
        <v>2</v>
      </c>
      <c r="F34" s="19" t="n">
        <v>2685.61</v>
      </c>
      <c r="J34" s="17" t="inlineStr">
        <is>
          <t>FEDFINA</t>
        </is>
      </c>
      <c r="K34" s="18" t="inlineStr">
        <is>
          <t>financials</t>
        </is>
      </c>
      <c r="L34" s="19" t="n">
        <v>285</v>
      </c>
      <c r="M34" s="19" t="n">
        <v>5875.41</v>
      </c>
      <c r="N34" s="16" t="n">
        <v>24</v>
      </c>
    </row>
    <row r="35">
      <c r="A35" s="17" t="inlineStr">
        <is>
          <t>KOPRAN</t>
        </is>
      </c>
      <c r="B35" s="18" t="inlineStr">
        <is>
          <t>Kopran Limited</t>
        </is>
      </c>
      <c r="C35" s="18" t="inlineStr">
        <is>
          <t>healthcare</t>
        </is>
      </c>
      <c r="D35" s="16" t="n">
        <v>10</v>
      </c>
      <c r="E35" s="16" t="n">
        <v>2</v>
      </c>
      <c r="F35" s="19" t="n">
        <v>900.1900000000001</v>
      </c>
      <c r="J35" s="17" t="inlineStr">
        <is>
          <t>RBLBANK</t>
        </is>
      </c>
      <c r="K35" s="18" t="inlineStr">
        <is>
          <t>bank</t>
        </is>
      </c>
      <c r="L35" s="19" t="n">
        <v>285</v>
      </c>
      <c r="M35" s="19" t="n">
        <v>21522.64</v>
      </c>
      <c r="N35" s="16" t="n">
        <v>22</v>
      </c>
    </row>
    <row r="36">
      <c r="A36" s="17" t="inlineStr">
        <is>
          <t>DIAMONDYD</t>
        </is>
      </c>
      <c r="B36" s="18" t="inlineStr">
        <is>
          <t>Prataap Snacks Ltd</t>
        </is>
      </c>
      <c r="C36" s="18" t="inlineStr">
        <is>
          <t>fmcg</t>
        </is>
      </c>
      <c r="D36" s="16" t="n">
        <v>10</v>
      </c>
      <c r="E36" s="16" t="n">
        <v>0</v>
      </c>
      <c r="F36" s="19" t="n">
        <v>2836.39</v>
      </c>
      <c r="J36" s="17" t="inlineStr">
        <is>
          <t>TMB</t>
        </is>
      </c>
      <c r="K36" s="18" t="inlineStr">
        <is>
          <t>bank</t>
        </is>
      </c>
      <c r="L36" s="19" t="n">
        <v>285</v>
      </c>
      <c r="M36" s="19" t="n">
        <v>11725.13</v>
      </c>
      <c r="N36" s="16" t="n">
        <v>13</v>
      </c>
    </row>
    <row r="37">
      <c r="A37" s="17" t="inlineStr">
        <is>
          <t>SPECTRUM</t>
        </is>
      </c>
      <c r="B37" s="18" t="inlineStr">
        <is>
          <t>Spectrum Electrical Industries Ltd</t>
        </is>
      </c>
      <c r="C37" s="18" t="inlineStr">
        <is>
          <t>industrials</t>
        </is>
      </c>
      <c r="D37" s="16" t="n">
        <v>9</v>
      </c>
      <c r="E37" s="16" t="n">
        <v>1</v>
      </c>
      <c r="F37" s="19" t="n">
        <v>2547.37</v>
      </c>
      <c r="J37" s="17" t="inlineStr">
        <is>
          <t>GAYAPROJ</t>
        </is>
      </c>
      <c r="K37" s="18" t="inlineStr">
        <is>
          <t>realty</t>
        </is>
      </c>
      <c r="L37" s="19" t="n">
        <v>283</v>
      </c>
      <c r="M37" s="19" t="n">
        <v>595.36</v>
      </c>
      <c r="N37" s="16" t="n">
        <v>23</v>
      </c>
    </row>
    <row r="38">
      <c r="A38" s="17" t="inlineStr">
        <is>
          <t>VINCOFE</t>
        </is>
      </c>
      <c r="B38" s="18" t="inlineStr">
        <is>
          <t>Vintage Coffee &amp; Beverages Ltd</t>
        </is>
      </c>
      <c r="C38" s="18" t="inlineStr">
        <is>
          <t>consumer discretionary</t>
        </is>
      </c>
      <c r="D38" s="16" t="n">
        <v>9</v>
      </c>
      <c r="E38" s="16" t="n">
        <v>0</v>
      </c>
      <c r="F38" s="19" t="n">
        <v>2167.99</v>
      </c>
      <c r="J38" s="17" t="inlineStr">
        <is>
          <t>DHANBANK</t>
        </is>
      </c>
      <c r="K38" s="18" t="inlineStr">
        <is>
          <t>bank</t>
        </is>
      </c>
      <c r="L38" s="19" t="n">
        <v>282</v>
      </c>
      <c r="M38" s="19" t="n">
        <v>1341.58</v>
      </c>
      <c r="N38" s="16" t="n">
        <v>30</v>
      </c>
    </row>
    <row r="39">
      <c r="A39" s="17" t="inlineStr">
        <is>
          <t>TEGA</t>
        </is>
      </c>
      <c r="B39" s="18" t="inlineStr">
        <is>
          <t>Tega Industries Ltd</t>
        </is>
      </c>
      <c r="C39" s="18" t="inlineStr">
        <is>
          <t>industrials</t>
        </is>
      </c>
      <c r="D39" s="16" t="n">
        <v>7</v>
      </c>
      <c r="E39" s="16" t="n">
        <v>1</v>
      </c>
      <c r="F39" s="19" t="n">
        <v>13681.51</v>
      </c>
      <c r="J39" s="17" t="inlineStr">
        <is>
          <t>VENUSREM</t>
        </is>
      </c>
      <c r="K39" s="18" t="inlineStr">
        <is>
          <t>healthcare</t>
        </is>
      </c>
      <c r="L39" s="19" t="n">
        <v>282</v>
      </c>
      <c r="M39" s="19" t="n">
        <v>1980.72</v>
      </c>
      <c r="N39" s="16" t="n">
        <v>17</v>
      </c>
    </row>
    <row r="40">
      <c r="A40" s="17" t="inlineStr">
        <is>
          <t>GUFICBIO</t>
        </is>
      </c>
      <c r="B40" s="18" t="inlineStr">
        <is>
          <t>Gufic Biosciences Limited</t>
        </is>
      </c>
      <c r="C40" s="18" t="inlineStr">
        <is>
          <t>healthcare</t>
        </is>
      </c>
      <c r="D40" s="16" t="n">
        <v>7</v>
      </c>
      <c r="E40" s="16" t="n">
        <v>0</v>
      </c>
      <c r="F40" s="19" t="n">
        <v>3629.73</v>
      </c>
      <c r="J40" s="17" t="inlineStr">
        <is>
          <t>WELINV</t>
        </is>
      </c>
      <c r="K40" s="18" t="inlineStr">
        <is>
          <t>financials</t>
        </is>
      </c>
      <c r="L40" s="19" t="n">
        <v>280</v>
      </c>
      <c r="M40" s="19" t="n">
        <v>678.97</v>
      </c>
      <c r="N40" s="16" t="n">
        <v>30</v>
      </c>
    </row>
    <row r="41">
      <c r="A41" s="17" t="inlineStr">
        <is>
          <t>BFINVEST</t>
        </is>
      </c>
      <c r="B41" s="18" t="inlineStr">
        <is>
          <t>Bf Investment Limited</t>
        </is>
      </c>
      <c r="C41" s="18" t="inlineStr">
        <is>
          <t>financials</t>
        </is>
      </c>
      <c r="D41" s="16" t="n">
        <v>7</v>
      </c>
      <c r="E41" s="16" t="n">
        <v>0</v>
      </c>
      <c r="F41" s="19" t="n">
        <v>1660.39</v>
      </c>
      <c r="J41" s="17" t="inlineStr">
        <is>
          <t>INDOBORAX</t>
        </is>
      </c>
      <c r="K41" s="18" t="inlineStr">
        <is>
          <t>chemicals</t>
        </is>
      </c>
      <c r="L41" s="19" t="n">
        <v>280</v>
      </c>
      <c r="M41" s="19" t="n">
        <v>1110.63</v>
      </c>
      <c r="N41" s="16" t="n">
        <v>28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127.42</v>
      </c>
      <c r="D47" s="27" t="n">
        <v>260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30293.51</v>
      </c>
    </row>
    <row r="48">
      <c r="A48" s="16" t="n">
        <v>2</v>
      </c>
      <c r="B48" s="26" t="n">
        <v>99</v>
      </c>
      <c r="C48" s="27" t="n">
        <v>89.41</v>
      </c>
      <c r="D48" s="27" t="n">
        <v>255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7699.91</v>
      </c>
    </row>
    <row r="49">
      <c r="A49" s="16" t="n">
        <v>3</v>
      </c>
      <c r="B49" s="26" t="n">
        <v>98</v>
      </c>
      <c r="C49" s="27" t="n">
        <v>68.45</v>
      </c>
      <c r="D49" s="27" t="n">
        <v>255</v>
      </c>
      <c r="E49" s="17" t="inlineStr">
        <is>
          <t>HFCL</t>
        </is>
      </c>
      <c r="F49" s="18" t="inlineStr">
        <is>
          <t>HFCL Ltd</t>
        </is>
      </c>
      <c r="G49" s="18" t="inlineStr">
        <is>
          <t>telecom</t>
        </is>
      </c>
      <c r="H49" s="19" t="n">
        <v>30521.74</v>
      </c>
    </row>
    <row r="50">
      <c r="A50" s="16" t="n">
        <v>4</v>
      </c>
      <c r="B50" s="26" t="n">
        <v>98</v>
      </c>
      <c r="C50" s="27" t="n">
        <v>63.52</v>
      </c>
      <c r="D50" s="27" t="n">
        <v>280</v>
      </c>
      <c r="E50" s="17" t="inlineStr">
        <is>
          <t>MTARTECH</t>
        </is>
      </c>
      <c r="F50" s="18" t="inlineStr">
        <is>
          <t>MTAR Technologies Ltd</t>
        </is>
      </c>
      <c r="G50" s="18" t="inlineStr">
        <is>
          <t>aerospace &amp; defence</t>
        </is>
      </c>
      <c r="H50" s="19" t="n">
        <v>22971.26</v>
      </c>
    </row>
    <row r="51">
      <c r="A51" s="16" t="n">
        <v>5</v>
      </c>
      <c r="B51" s="26" t="n">
        <v>98</v>
      </c>
      <c r="C51" s="27" t="n">
        <v>62.33</v>
      </c>
      <c r="D51" s="27" t="n">
        <v>247</v>
      </c>
      <c r="E51" s="17" t="inlineStr">
        <is>
          <t>CUPID</t>
        </is>
      </c>
      <c r="F51" s="18" t="inlineStr">
        <is>
          <t>Cupid Limited</t>
        </is>
      </c>
      <c r="G51" s="18" t="inlineStr">
        <is>
          <t>fmcg</t>
        </is>
      </c>
      <c r="H51" s="19" t="n">
        <v>17453.7</v>
      </c>
    </row>
    <row r="52">
      <c r="A52" s="16" t="n">
        <v>6</v>
      </c>
      <c r="B52" s="26" t="n">
        <v>98</v>
      </c>
      <c r="C52" s="27" t="n">
        <v>62.19</v>
      </c>
      <c r="D52" s="27" t="n">
        <v>270</v>
      </c>
      <c r="E52" s="17" t="inlineStr">
        <is>
          <t>MODISONLTD</t>
        </is>
      </c>
      <c r="F52" s="18" t="inlineStr">
        <is>
          <t>Modison Ltd</t>
        </is>
      </c>
      <c r="G52" s="18" t="inlineStr">
        <is>
          <t>industrials</t>
        </is>
      </c>
      <c r="H52" s="19" t="n">
        <v>1067.61</v>
      </c>
    </row>
    <row r="53">
      <c r="A53" s="16" t="n">
        <v>7</v>
      </c>
      <c r="B53" s="26" t="n">
        <v>97</v>
      </c>
      <c r="C53" s="27" t="n">
        <v>61.02</v>
      </c>
      <c r="D53" s="27" t="n">
        <v>282</v>
      </c>
      <c r="E53" s="17" t="inlineStr">
        <is>
          <t>VENUSREM</t>
        </is>
      </c>
      <c r="F53" s="18" t="inlineStr">
        <is>
          <t>Venus Remedies Limited</t>
        </is>
      </c>
      <c r="G53" s="18" t="inlineStr">
        <is>
          <t>healthcare</t>
        </is>
      </c>
      <c r="H53" s="19" t="n">
        <v>1980.72</v>
      </c>
    </row>
    <row r="54">
      <c r="A54" s="16" t="n">
        <v>8</v>
      </c>
      <c r="B54" s="26" t="n">
        <v>97</v>
      </c>
      <c r="C54" s="27" t="n">
        <v>60.96</v>
      </c>
      <c r="D54" s="27" t="n">
        <v>285</v>
      </c>
      <c r="E54" s="17" t="inlineStr">
        <is>
          <t>VMARCIND</t>
        </is>
      </c>
      <c r="F54" s="18" t="inlineStr">
        <is>
          <t>VMARCIND</t>
        </is>
      </c>
      <c r="G54" s="18" t="inlineStr">
        <is>
          <t>unknown</t>
        </is>
      </c>
      <c r="H54" s="19" t="n">
        <v>441.28</v>
      </c>
    </row>
    <row r="55">
      <c r="A55" s="16" t="n">
        <v>9</v>
      </c>
      <c r="B55" s="26" t="n">
        <v>97</v>
      </c>
      <c r="C55" s="27" t="n">
        <v>60.16</v>
      </c>
      <c r="D55" s="27" t="n">
        <v>293</v>
      </c>
      <c r="E55" s="17" t="inlineStr">
        <is>
          <t>OMAXAUTO</t>
        </is>
      </c>
      <c r="F55" s="18" t="inlineStr">
        <is>
          <t>Omax Autos Limited</t>
        </is>
      </c>
      <c r="G55" s="18" t="inlineStr">
        <is>
          <t>auto</t>
        </is>
      </c>
      <c r="H55" s="19" t="n">
        <v>507.54</v>
      </c>
    </row>
    <row r="56">
      <c r="A56" s="16" t="n">
        <v>10</v>
      </c>
      <c r="B56" s="26" t="n">
        <v>97</v>
      </c>
      <c r="C56" s="27" t="n">
        <v>56.81</v>
      </c>
      <c r="D56" s="27" t="n">
        <v>270</v>
      </c>
      <c r="E56" s="17" t="inlineStr">
        <is>
          <t>BHAGYANGR</t>
        </is>
      </c>
      <c r="F56" s="18" t="inlineStr">
        <is>
          <t>Bhagyanagar India</t>
        </is>
      </c>
      <c r="G56" s="18" t="inlineStr">
        <is>
          <t>power &amp; utilities</t>
        </is>
      </c>
      <c r="H56" s="19" t="n">
        <v>1085.75</v>
      </c>
    </row>
    <row r="57">
      <c r="A57" s="16" t="n">
        <v>11</v>
      </c>
      <c r="B57" s="26" t="n">
        <v>96</v>
      </c>
      <c r="C57" s="27" t="n">
        <v>55.24</v>
      </c>
      <c r="D57" s="27" t="n">
        <v>272</v>
      </c>
      <c r="E57" s="17" t="inlineStr">
        <is>
          <t>BLISSGVS</t>
        </is>
      </c>
      <c r="F57" s="18" t="inlineStr">
        <is>
          <t>Bliss Gvs Pharma Limited</t>
        </is>
      </c>
      <c r="G57" s="18" t="inlineStr">
        <is>
          <t>healthcare</t>
        </is>
      </c>
      <c r="H57" s="19" t="n">
        <v>4651.01</v>
      </c>
    </row>
    <row r="58">
      <c r="A58" s="16" t="n">
        <v>12</v>
      </c>
      <c r="B58" s="26" t="n">
        <v>96</v>
      </c>
      <c r="C58" s="27" t="n">
        <v>53.19</v>
      </c>
      <c r="D58" s="27" t="n">
        <v>290</v>
      </c>
      <c r="E58" s="17" t="inlineStr">
        <is>
          <t>IBULLSLTD</t>
        </is>
      </c>
      <c r="F58" s="18" t="inlineStr">
        <is>
          <t>Indiabulls Limited</t>
        </is>
      </c>
      <c r="G58" s="18" t="inlineStr">
        <is>
          <t>miscellaneous</t>
        </is>
      </c>
      <c r="H58" s="19" t="n">
        <v>5655.22</v>
      </c>
    </row>
    <row r="59">
      <c r="A59" s="16" t="n">
        <v>13</v>
      </c>
      <c r="B59" s="26" t="n">
        <v>96</v>
      </c>
      <c r="C59" s="27" t="n">
        <v>53.11</v>
      </c>
      <c r="D59" s="27" t="n">
        <v>223</v>
      </c>
      <c r="E59" s="17" t="inlineStr">
        <is>
          <t>DEEDEV</t>
        </is>
      </c>
      <c r="F59" s="18" t="inlineStr">
        <is>
          <t>DEE Development Engineers Ltd</t>
        </is>
      </c>
      <c r="G59" s="18" t="inlineStr">
        <is>
          <t>metals &amp; mining</t>
        </is>
      </c>
      <c r="H59" s="19" t="n">
        <v>4555.45</v>
      </c>
    </row>
    <row r="60">
      <c r="A60" s="16" t="n">
        <v>14</v>
      </c>
      <c r="B60" s="26" t="n">
        <v>95</v>
      </c>
      <c r="C60" s="27" t="n">
        <v>52.68</v>
      </c>
      <c r="D60" s="27" t="n">
        <v>272</v>
      </c>
      <c r="E60" s="17" t="inlineStr">
        <is>
          <t>GVPIL</t>
        </is>
      </c>
      <c r="F60" s="18" t="inlineStr">
        <is>
          <t>GE Power India Ltd</t>
        </is>
      </c>
      <c r="G60" s="18" t="inlineStr">
        <is>
          <t>realty</t>
        </is>
      </c>
      <c r="H60" s="19" t="n">
        <v>5838.37</v>
      </c>
    </row>
    <row r="61">
      <c r="A61" s="16" t="n">
        <v>15</v>
      </c>
      <c r="B61" s="26" t="n">
        <v>95</v>
      </c>
      <c r="C61" s="27" t="n">
        <v>51.11</v>
      </c>
      <c r="D61" s="27" t="n">
        <v>288</v>
      </c>
      <c r="E61" s="17" t="inlineStr">
        <is>
          <t>CONFIPET</t>
        </is>
      </c>
      <c r="F61" s="18" t="inlineStr">
        <is>
          <t>Confidence Petroleum India Ltd</t>
        </is>
      </c>
      <c r="G61" s="18" t="inlineStr">
        <is>
          <t>miscellaneous</t>
        </is>
      </c>
      <c r="H61" s="19" t="n">
        <v>2551.28</v>
      </c>
    </row>
    <row r="62">
      <c r="A62" s="16" t="n">
        <v>16</v>
      </c>
      <c r="B62" s="26" t="n">
        <v>95</v>
      </c>
      <c r="C62" s="27" t="n">
        <v>50.74</v>
      </c>
      <c r="D62" s="27" t="n">
        <v>263</v>
      </c>
      <c r="E62" s="17" t="inlineStr">
        <is>
          <t>HITECHCORP</t>
        </is>
      </c>
      <c r="F62" s="18" t="inlineStr">
        <is>
          <t>Hitech Corporation</t>
        </is>
      </c>
      <c r="G62" s="18" t="inlineStr">
        <is>
          <t>industrials</t>
        </is>
      </c>
      <c r="H62" s="19" t="n">
        <v>504.42</v>
      </c>
    </row>
    <row r="63">
      <c r="A63" s="16" t="n">
        <v>17</v>
      </c>
      <c r="B63" s="26" t="n">
        <v>95</v>
      </c>
      <c r="C63" s="27" t="n">
        <v>49.18</v>
      </c>
      <c r="D63" s="27" t="n">
        <v>265</v>
      </c>
      <c r="E63" s="17" t="inlineStr">
        <is>
          <t>CPPLUS</t>
        </is>
      </c>
      <c r="F63" s="18" t="inlineStr">
        <is>
          <t>CPPLUS</t>
        </is>
      </c>
      <c r="G63" s="18" t="inlineStr">
        <is>
          <t>Industrials</t>
        </is>
      </c>
      <c r="H63" s="19" t="n">
        <v>41690.79</v>
      </c>
    </row>
    <row r="64">
      <c r="A64" s="16" t="n">
        <v>18</v>
      </c>
      <c r="B64" s="28" t="n">
        <v>94</v>
      </c>
      <c r="C64" s="27" t="n">
        <v>49.05</v>
      </c>
      <c r="D64" s="27" t="n">
        <v>255</v>
      </c>
      <c r="E64" s="17" t="inlineStr">
        <is>
          <t>NITTAGELA</t>
        </is>
      </c>
      <c r="F64" s="18" t="inlineStr">
        <is>
          <t>Nitta Gelatin India Limited</t>
        </is>
      </c>
      <c r="G64" s="18" t="inlineStr">
        <is>
          <t>Basic Materials</t>
        </is>
      </c>
      <c r="H64" s="19" t="n">
        <v>1656.95</v>
      </c>
    </row>
    <row r="65">
      <c r="A65" s="16" t="n">
        <v>19</v>
      </c>
      <c r="B65" s="28" t="n">
        <v>94</v>
      </c>
      <c r="C65" s="27" t="n">
        <v>47.02</v>
      </c>
      <c r="D65" s="27" t="n">
        <v>265</v>
      </c>
      <c r="E65" s="17" t="inlineStr">
        <is>
          <t>NINSYS</t>
        </is>
      </c>
      <c r="F65" s="18" t="inlineStr">
        <is>
          <t>NINtec Systems Ltd</t>
        </is>
      </c>
      <c r="G65" s="18" t="inlineStr">
        <is>
          <t>i.t</t>
        </is>
      </c>
      <c r="H65" s="19" t="n">
        <v>1342.86</v>
      </c>
    </row>
    <row r="66">
      <c r="A66" s="16" t="n">
        <v>20</v>
      </c>
      <c r="B66" s="28" t="n">
        <v>94</v>
      </c>
      <c r="C66" s="27" t="n">
        <v>46.46</v>
      </c>
      <c r="D66" s="27" t="n">
        <v>260</v>
      </c>
      <c r="E66" s="17" t="inlineStr">
        <is>
          <t>AEROFLEX</t>
        </is>
      </c>
      <c r="F66" s="18" t="inlineStr">
        <is>
          <t>Aeroflex Industries Ltd</t>
        </is>
      </c>
      <c r="G66" s="18" t="inlineStr">
        <is>
          <t>metals &amp; mining</t>
        </is>
      </c>
      <c r="H66" s="19" t="n">
        <v>5748.45</v>
      </c>
    </row>
    <row r="67">
      <c r="A67" s="16" t="n">
        <v>21</v>
      </c>
      <c r="B67" s="28" t="n">
        <v>93</v>
      </c>
      <c r="C67" s="27" t="n">
        <v>46.15</v>
      </c>
      <c r="D67" s="27" t="n">
        <v>277</v>
      </c>
      <c r="E67" s="17" t="inlineStr">
        <is>
          <t>MODINSU</t>
        </is>
      </c>
      <c r="F67" s="18" t="inlineStr">
        <is>
          <t>Modern Insulators Limited</t>
        </is>
      </c>
      <c r="G67" s="18" t="inlineStr">
        <is>
          <t>Technology</t>
        </is>
      </c>
      <c r="H67" s="19" t="n">
        <v>1916.64</v>
      </c>
    </row>
    <row r="68">
      <c r="A68" s="16" t="n">
        <v>22</v>
      </c>
      <c r="B68" s="28" t="n">
        <v>93</v>
      </c>
      <c r="C68" s="27" t="n">
        <v>43.26</v>
      </c>
      <c r="D68" s="27" t="n">
        <v>235</v>
      </c>
      <c r="E68" s="17" t="inlineStr">
        <is>
          <t>BBOX</t>
        </is>
      </c>
      <c r="F68" s="18" t="inlineStr">
        <is>
          <t>Black Box Ltd</t>
        </is>
      </c>
      <c r="G68" s="18" t="inlineStr">
        <is>
          <t>i.t</t>
        </is>
      </c>
      <c r="H68" s="19" t="n">
        <v>18748.82</v>
      </c>
    </row>
    <row r="69">
      <c r="A69" s="16" t="n">
        <v>23</v>
      </c>
      <c r="B69" s="28" t="n">
        <v>93</v>
      </c>
      <c r="C69" s="27" t="n">
        <v>42.56</v>
      </c>
      <c r="D69" s="27" t="n">
        <v>260</v>
      </c>
      <c r="E69" s="17" t="inlineStr">
        <is>
          <t>COCKERILL</t>
        </is>
      </c>
      <c r="F69" s="18" t="inlineStr">
        <is>
          <t>John Cockerill India Ltd</t>
        </is>
      </c>
      <c r="G69" s="18" t="inlineStr">
        <is>
          <t>Industrials</t>
        </is>
      </c>
      <c r="H69" s="19" t="n">
        <v>4597.05</v>
      </c>
    </row>
    <row r="70">
      <c r="A70" s="16" t="n">
        <v>24</v>
      </c>
      <c r="B70" s="28" t="n">
        <v>93</v>
      </c>
      <c r="C70" s="27" t="n">
        <v>41.58</v>
      </c>
      <c r="D70" s="27" t="n">
        <v>258</v>
      </c>
      <c r="E70" s="17" t="inlineStr">
        <is>
          <t>MIRCELECTR</t>
        </is>
      </c>
      <c r="F70" s="18" t="inlineStr">
        <is>
          <t>Mirc Electronics Limited</t>
        </is>
      </c>
      <c r="G70" s="18" t="inlineStr">
        <is>
          <t>consumer discretionary</t>
        </is>
      </c>
      <c r="H70" s="19" t="n">
        <v>1504.17</v>
      </c>
    </row>
    <row r="71">
      <c r="A71" s="16" t="n">
        <v>25</v>
      </c>
      <c r="B71" s="28" t="n">
        <v>92</v>
      </c>
      <c r="C71" s="27" t="n">
        <v>39.88</v>
      </c>
      <c r="D71" s="27" t="n">
        <v>252</v>
      </c>
      <c r="E71" s="17" t="inlineStr">
        <is>
          <t>APOLLO</t>
        </is>
      </c>
      <c r="F71" s="18" t="inlineStr">
        <is>
          <t>Apollo Micro Systems Ltd</t>
        </is>
      </c>
      <c r="G71" s="18" t="inlineStr">
        <is>
          <t>aerospace &amp; defence</t>
        </is>
      </c>
      <c r="H71" s="19" t="n">
        <v>14561.45</v>
      </c>
    </row>
    <row r="72">
      <c r="A72" s="16" t="n">
        <v>26</v>
      </c>
      <c r="B72" s="28" t="n">
        <v>92</v>
      </c>
      <c r="C72" s="27" t="n">
        <v>38.44</v>
      </c>
      <c r="D72" s="27" t="n">
        <v>260</v>
      </c>
      <c r="E72" s="17" t="inlineStr">
        <is>
          <t>MCLEODRUSS</t>
        </is>
      </c>
      <c r="F72" s="18" t="inlineStr">
        <is>
          <t>Mcleod Russel India Limited</t>
        </is>
      </c>
      <c r="G72" s="18" t="inlineStr">
        <is>
          <t>fmcg</t>
        </is>
      </c>
      <c r="H72" s="19" t="n">
        <v>771.09</v>
      </c>
    </row>
    <row r="73">
      <c r="A73" s="16" t="n">
        <v>27</v>
      </c>
      <c r="B73" s="28" t="n">
        <v>92</v>
      </c>
      <c r="C73" s="27" t="n">
        <v>38.09</v>
      </c>
      <c r="D73" s="27" t="n">
        <v>223</v>
      </c>
      <c r="E73" s="17" t="inlineStr">
        <is>
          <t>ROSSTECH</t>
        </is>
      </c>
      <c r="F73" s="18" t="inlineStr">
        <is>
          <t>Rossell Techsys Ltd</t>
        </is>
      </c>
      <c r="G73" s="18" t="inlineStr">
        <is>
          <t>aerospace &amp; defence</t>
        </is>
      </c>
      <c r="H73" s="19" t="n">
        <v>4047.85</v>
      </c>
    </row>
    <row r="74">
      <c r="A74" s="16" t="n">
        <v>28</v>
      </c>
      <c r="B74" s="28" t="n">
        <v>92</v>
      </c>
      <c r="C74" s="27" t="n">
        <v>38.03</v>
      </c>
      <c r="D74" s="27" t="n">
        <v>243</v>
      </c>
      <c r="E74" s="17" t="inlineStr">
        <is>
          <t>SALSTEEL</t>
        </is>
      </c>
      <c r="F74" s="18" t="inlineStr">
        <is>
          <t>SAL Steel</t>
        </is>
      </c>
      <c r="G74" s="18" t="inlineStr">
        <is>
          <t>metals &amp; mining</t>
        </is>
      </c>
      <c r="H74" s="19" t="n">
        <v>899.4400000000001</v>
      </c>
    </row>
    <row r="75">
      <c r="A75" s="16" t="n">
        <v>29</v>
      </c>
      <c r="B75" s="28" t="n">
        <v>91</v>
      </c>
      <c r="C75" s="27" t="n">
        <v>37.97</v>
      </c>
      <c r="D75" s="27" t="n">
        <v>278</v>
      </c>
      <c r="E75" s="17" t="inlineStr">
        <is>
          <t>ATHERENERG</t>
        </is>
      </c>
      <c r="F75" s="18" t="inlineStr">
        <is>
          <t>Ather Energy Ltd</t>
        </is>
      </c>
      <c r="G75" s="18" t="inlineStr">
        <is>
          <t>auto</t>
        </is>
      </c>
      <c r="H75" s="19" t="n">
        <v>39111.11</v>
      </c>
    </row>
    <row r="76">
      <c r="A76" s="16" t="n">
        <v>30</v>
      </c>
      <c r="B76" s="28" t="n">
        <v>91</v>
      </c>
      <c r="C76" s="27" t="n">
        <v>37.53</v>
      </c>
      <c r="D76" s="27" t="n">
        <v>297</v>
      </c>
      <c r="E76" s="17" t="inlineStr">
        <is>
          <t>BAJAJCON</t>
        </is>
      </c>
      <c r="F76" s="18" t="inlineStr">
        <is>
          <t>Bajaj Consumer Care Ltd</t>
        </is>
      </c>
      <c r="G76" s="18" t="inlineStr">
        <is>
          <t>fmcg</t>
        </is>
      </c>
      <c r="H76" s="19" t="n">
        <v>7254.54</v>
      </c>
    </row>
    <row r="77">
      <c r="A77" s="16" t="n">
        <v>31</v>
      </c>
      <c r="B77" s="28" t="n">
        <v>91</v>
      </c>
      <c r="C77" s="27" t="n">
        <v>37.43</v>
      </c>
      <c r="D77" s="27" t="n">
        <v>243</v>
      </c>
      <c r="E77" s="17" t="inlineStr">
        <is>
          <t>VINDHYATEL</t>
        </is>
      </c>
      <c r="F77" s="18" t="inlineStr">
        <is>
          <t>Vindhya Telelinks Limited</t>
        </is>
      </c>
      <c r="G77" s="18" t="inlineStr">
        <is>
          <t>realty</t>
        </is>
      </c>
      <c r="H77" s="19" t="n">
        <v>2607.19</v>
      </c>
    </row>
    <row r="78">
      <c r="A78" s="16" t="n">
        <v>32</v>
      </c>
      <c r="B78" s="28" t="n">
        <v>91</v>
      </c>
      <c r="C78" s="27" t="n">
        <v>37.43</v>
      </c>
      <c r="D78" s="27" t="n">
        <v>277</v>
      </c>
      <c r="E78" s="17" t="inlineStr">
        <is>
          <t>KPL</t>
        </is>
      </c>
      <c r="F78" s="18" t="inlineStr">
        <is>
          <t>Kwality Pharmaceuticals Limited</t>
        </is>
      </c>
      <c r="G78" s="18" t="inlineStr">
        <is>
          <t>Healthcare</t>
        </is>
      </c>
      <c r="H78" s="19" t="n">
        <v>2472.49</v>
      </c>
    </row>
    <row r="79">
      <c r="A79" s="16" t="n">
        <v>33</v>
      </c>
      <c r="B79" s="28" t="n">
        <v>90</v>
      </c>
      <c r="C79" s="27" t="n">
        <v>37.14</v>
      </c>
      <c r="D79" s="27" t="n">
        <v>255</v>
      </c>
      <c r="E79" s="17" t="inlineStr">
        <is>
          <t>UNIVCABLES</t>
        </is>
      </c>
      <c r="F79" s="18" t="inlineStr">
        <is>
          <t>Universal Cables Limited</t>
        </is>
      </c>
      <c r="G79" s="18" t="inlineStr">
        <is>
          <t>industrials</t>
        </is>
      </c>
      <c r="H79" s="19" t="n">
        <v>4128.4</v>
      </c>
    </row>
    <row r="80">
      <c r="A80" s="16" t="n">
        <v>34</v>
      </c>
      <c r="B80" s="28" t="n">
        <v>90</v>
      </c>
      <c r="C80" s="27" t="n">
        <v>36.13</v>
      </c>
      <c r="D80" s="27" t="n">
        <v>250</v>
      </c>
      <c r="E80" s="17" t="inlineStr">
        <is>
          <t>IDEAFORGE</t>
        </is>
      </c>
      <c r="F80" s="18" t="inlineStr">
        <is>
          <t>Ideaforge Technology Ltd</t>
        </is>
      </c>
      <c r="G80" s="18" t="inlineStr">
        <is>
          <t>aerospace &amp; defence</t>
        </is>
      </c>
      <c r="H80" s="19" t="n">
        <v>3709.4</v>
      </c>
    </row>
    <row r="81">
      <c r="A81" s="16" t="n">
        <v>35</v>
      </c>
      <c r="B81" s="28" t="n">
        <v>90</v>
      </c>
      <c r="C81" s="27" t="n">
        <v>35.59</v>
      </c>
      <c r="D81" s="27" t="n">
        <v>260</v>
      </c>
      <c r="E81" s="17" t="inlineStr">
        <is>
          <t>CEMPRO</t>
        </is>
      </c>
      <c r="F81" s="18" t="inlineStr">
        <is>
          <t>Cemindia Projects Ltd</t>
        </is>
      </c>
      <c r="G81" s="18" t="inlineStr">
        <is>
          <t>realty</t>
        </is>
      </c>
      <c r="H81" s="19" t="n">
        <v>17606.51</v>
      </c>
    </row>
    <row r="8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PANACEABIO</t>
        </is>
      </c>
      <c r="B2" s="30" t="inlineStr">
        <is>
          <t>Panacea Biotec Limited</t>
        </is>
      </c>
      <c r="C2" s="30" t="inlineStr">
        <is>
          <t>healthcare</t>
        </is>
      </c>
      <c r="D2" s="30" t="inlineStr">
        <is>
          <t>pharmaceuticals - indian - bulk drugs &amp; formln</t>
        </is>
      </c>
      <c r="E2" s="30" t="inlineStr">
        <is>
          <t>smallcap</t>
        </is>
      </c>
      <c r="F2" s="30" t="n">
        <v>2655.83</v>
      </c>
      <c r="G2" s="30" t="n">
        <v>520.3</v>
      </c>
      <c r="H2" s="30" t="n">
        <v>20</v>
      </c>
      <c r="I2" s="30" t="n">
        <v>3632208</v>
      </c>
      <c r="J2" s="30" t="inlineStr">
        <is>
          <t>531349</t>
        </is>
      </c>
    </row>
    <row r="3">
      <c r="A3" s="30" t="inlineStr">
        <is>
          <t>MSTCLTD</t>
        </is>
      </c>
      <c r="B3" s="30" t="inlineStr">
        <is>
          <t>MSTC Ltd</t>
        </is>
      </c>
      <c r="C3" s="30" t="inlineStr">
        <is>
          <t>i.t</t>
        </is>
      </c>
      <c r="D3" s="30" t="inlineStr">
        <is>
          <t>trading</t>
        </is>
      </c>
      <c r="E3" s="30" t="inlineStr">
        <is>
          <t>smallcap</t>
        </is>
      </c>
      <c r="F3" s="30" t="n">
        <v>3143.01</v>
      </c>
      <c r="G3" s="30" t="n">
        <v>531.85</v>
      </c>
      <c r="H3" s="30" t="n">
        <v>19.13</v>
      </c>
      <c r="I3" s="30" t="n">
        <v>13124225</v>
      </c>
      <c r="J3" s="30" t="inlineStr">
        <is>
          <t>542597</t>
        </is>
      </c>
    </row>
    <row r="4">
      <c r="A4" s="30" t="inlineStr">
        <is>
          <t>RUBYMILLS</t>
        </is>
      </c>
      <c r="B4" s="30" t="inlineStr">
        <is>
          <t>The Ruby Mills Limited</t>
        </is>
      </c>
      <c r="C4" s="30" t="inlineStr">
        <is>
          <t>textiles</t>
        </is>
      </c>
      <c r="D4" s="30" t="inlineStr">
        <is>
          <t>textiles - composite</t>
        </is>
      </c>
      <c r="E4" s="30" t="inlineStr">
        <is>
          <t>smallcap</t>
        </is>
      </c>
      <c r="F4" s="30" t="n">
        <v>949.7</v>
      </c>
      <c r="G4" s="30" t="n">
        <v>336.2</v>
      </c>
      <c r="H4" s="30" t="n">
        <v>18.38</v>
      </c>
      <c r="I4" s="30" t="n">
        <v>1383749</v>
      </c>
      <c r="J4" s="30" t="inlineStr">
        <is>
          <t>503169</t>
        </is>
      </c>
    </row>
    <row r="5">
      <c r="A5" s="30" t="inlineStr">
        <is>
          <t>THANGAMAYL</t>
        </is>
      </c>
      <c r="B5" s="30" t="inlineStr">
        <is>
          <t>Thangamayil Jewellery Limited</t>
        </is>
      </c>
      <c r="C5" s="30" t="inlineStr">
        <is>
          <t>consumer discretionary</t>
        </is>
      </c>
      <c r="D5" s="30" t="inlineStr">
        <is>
          <t>diamond cutting / jewellery</t>
        </is>
      </c>
      <c r="E5" s="30" t="inlineStr">
        <is>
          <t>midcap</t>
        </is>
      </c>
      <c r="F5" s="30" t="n">
        <v>14903.83</v>
      </c>
      <c r="G5" s="30" t="n">
        <v>5520.6</v>
      </c>
      <c r="H5" s="30" t="n">
        <v>15.13</v>
      </c>
      <c r="I5" s="30" t="n">
        <v>1263774</v>
      </c>
      <c r="J5" s="30" t="inlineStr">
        <is>
          <t>533158</t>
        </is>
      </c>
    </row>
    <row r="6">
      <c r="A6" s="30" t="inlineStr">
        <is>
          <t>RICOAUTO</t>
        </is>
      </c>
      <c r="B6" s="30" t="inlineStr">
        <is>
          <t>Rico Auto Industries Limited</t>
        </is>
      </c>
      <c r="C6" s="30" t="inlineStr">
        <is>
          <t>auto</t>
        </is>
      </c>
      <c r="D6" s="30" t="inlineStr">
        <is>
          <t>auto ancillaries</t>
        </is>
      </c>
      <c r="E6" s="30" t="inlineStr">
        <is>
          <t>smallcap</t>
        </is>
      </c>
      <c r="F6" s="30" t="n">
        <v>1573.5</v>
      </c>
      <c r="G6" s="30" t="n">
        <v>131.37</v>
      </c>
      <c r="H6" s="30" t="n">
        <v>12.95</v>
      </c>
      <c r="I6" s="30" t="n">
        <v>44524758</v>
      </c>
      <c r="J6" s="30" t="inlineStr">
        <is>
          <t>520008</t>
        </is>
      </c>
    </row>
    <row r="7">
      <c r="A7" s="30" t="inlineStr">
        <is>
          <t>YASHO</t>
        </is>
      </c>
      <c r="B7" s="30" t="inlineStr">
        <is>
          <t>Yasho Industries Ltd</t>
        </is>
      </c>
      <c r="C7" s="30" t="inlineStr">
        <is>
          <t>chemicals</t>
        </is>
      </c>
      <c r="D7" s="30" t="inlineStr">
        <is>
          <t>chemicals</t>
        </is>
      </c>
      <c r="E7" s="30" t="inlineStr">
        <is>
          <t>smallcap</t>
        </is>
      </c>
      <c r="F7" s="30" t="n">
        <v>2702.12</v>
      </c>
      <c r="G7" s="30" t="n">
        <v>2475.2</v>
      </c>
      <c r="H7" s="30" t="n">
        <v>10.45</v>
      </c>
      <c r="I7" s="30" t="n">
        <v>87457</v>
      </c>
      <c r="J7" s="30" t="inlineStr">
        <is>
          <t>541167</t>
        </is>
      </c>
    </row>
    <row r="8">
      <c r="A8" s="30" t="inlineStr">
        <is>
          <t>ITDC</t>
        </is>
      </c>
      <c r="B8" s="30" t="inlineStr">
        <is>
          <t>India Tourism Development Corporation Ltd</t>
        </is>
      </c>
      <c r="C8" s="30" t="inlineStr">
        <is>
          <t>services</t>
        </is>
      </c>
      <c r="D8" s="30" t="inlineStr">
        <is>
          <t>hotels</t>
        </is>
      </c>
      <c r="E8" s="30" t="inlineStr">
        <is>
          <t>smallcap</t>
        </is>
      </c>
      <c r="F8" s="30" t="n">
        <v>4593.81</v>
      </c>
      <c r="G8" s="30" t="n">
        <v>589.15</v>
      </c>
      <c r="H8" s="30" t="n">
        <v>10</v>
      </c>
      <c r="I8" s="30" t="n">
        <v>357669</v>
      </c>
      <c r="J8" s="30" t="inlineStr">
        <is>
          <t>532189</t>
        </is>
      </c>
    </row>
    <row r="9">
      <c r="A9" s="30" t="inlineStr">
        <is>
          <t>JNKINDIA</t>
        </is>
      </c>
      <c r="B9" s="30" t="inlineStr">
        <is>
          <t>JNK India Ltd</t>
        </is>
      </c>
      <c r="C9" s="30" t="inlineStr">
        <is>
          <t>realty</t>
        </is>
      </c>
      <c r="D9" s="30" t="inlineStr">
        <is>
          <t>engineering - turnkey services</t>
        </is>
      </c>
      <c r="E9" s="30" t="inlineStr">
        <is>
          <t>smallcap</t>
        </is>
      </c>
      <c r="F9" s="30" t="n">
        <v>2144.71</v>
      </c>
      <c r="G9" s="30" t="n">
        <v>421.6</v>
      </c>
      <c r="H9" s="30" t="n">
        <v>9.99</v>
      </c>
      <c r="I9" s="30" t="n">
        <v>912000</v>
      </c>
      <c r="J9" s="30" t="inlineStr">
        <is>
          <t>544167</t>
        </is>
      </c>
    </row>
    <row r="10">
      <c r="A10" s="30" t="inlineStr">
        <is>
          <t>CEMPRO</t>
        </is>
      </c>
      <c r="B10" s="30" t="inlineStr">
        <is>
          <t>Cemindia Projects Ltd</t>
        </is>
      </c>
      <c r="C10" s="30" t="inlineStr">
        <is>
          <t>realty</t>
        </is>
      </c>
      <c r="D10" s="30" t="inlineStr">
        <is>
          <t>construction</t>
        </is>
      </c>
      <c r="E10" s="30" t="inlineStr">
        <is>
          <t>midcap</t>
        </is>
      </c>
      <c r="F10" s="30" t="n">
        <v>17606.51</v>
      </c>
      <c r="G10" s="30" t="n">
        <v>1127.3</v>
      </c>
      <c r="H10" s="30" t="n">
        <v>9.99</v>
      </c>
      <c r="I10" s="30" t="n">
        <v>1435282</v>
      </c>
      <c r="J10" s="30" t="inlineStr">
        <is>
          <t>509496</t>
        </is>
      </c>
    </row>
    <row r="11">
      <c r="A11" s="30" t="inlineStr">
        <is>
          <t>SOTL</t>
        </is>
      </c>
      <c r="B11" s="30" t="inlineStr">
        <is>
          <t>Savita Oil Technologies Limited</t>
        </is>
      </c>
      <c r="C11" s="30" t="inlineStr">
        <is>
          <t>energy</t>
        </is>
      </c>
      <c r="D11" s="30" t="inlineStr">
        <is>
          <t>petrochemicals</t>
        </is>
      </c>
      <c r="E11" s="30" t="inlineStr">
        <is>
          <t>smallcap</t>
        </is>
      </c>
      <c r="F11" s="30" t="n">
        <v>3528.12</v>
      </c>
      <c r="G11" s="30" t="n">
        <v>564.3</v>
      </c>
      <c r="H11" s="30" t="n">
        <v>9.66</v>
      </c>
      <c r="I11" s="30" t="n">
        <v>10971069</v>
      </c>
      <c r="J11" s="30" t="inlineStr">
        <is>
          <t>524667</t>
        </is>
      </c>
    </row>
    <row r="12">
      <c r="A12" s="30" t="inlineStr">
        <is>
          <t>PSPPROJECT</t>
        </is>
      </c>
      <c r="B12" s="30" t="inlineStr">
        <is>
          <t>PSP Projects Ltd</t>
        </is>
      </c>
      <c r="C12" s="30" t="inlineStr">
        <is>
          <t>realty</t>
        </is>
      </c>
      <c r="D12" s="30" t="inlineStr">
        <is>
          <t>construction</t>
        </is>
      </c>
      <c r="E12" s="30" t="inlineStr">
        <is>
          <t>smallcap</t>
        </is>
      </c>
      <c r="F12" s="30" t="n">
        <v>3250.83</v>
      </c>
      <c r="G12" s="30" t="n">
        <v>898.65</v>
      </c>
      <c r="H12" s="30" t="n">
        <v>9.58</v>
      </c>
      <c r="I12" s="30" t="n">
        <v>793302</v>
      </c>
      <c r="J12" s="30" t="inlineStr">
        <is>
          <t>540544</t>
        </is>
      </c>
    </row>
    <row r="13">
      <c r="A13" s="30" t="inlineStr">
        <is>
          <t>AVALON</t>
        </is>
      </c>
      <c r="B13" s="30" t="inlineStr">
        <is>
          <t>Avalon Technologies Ltd</t>
        </is>
      </c>
      <c r="C13" s="30" t="inlineStr">
        <is>
          <t>consumer discretionary</t>
        </is>
      </c>
      <c r="D13" s="30" t="inlineStr">
        <is>
          <t>electronics - components</t>
        </is>
      </c>
      <c r="E13" s="30" t="inlineStr">
        <is>
          <t>midcap</t>
        </is>
      </c>
      <c r="F13" s="30" t="n">
        <v>10120.42</v>
      </c>
      <c r="G13" s="30" t="n">
        <v>1637.7</v>
      </c>
      <c r="H13" s="30" t="n">
        <v>8.039999999999999</v>
      </c>
      <c r="I13" s="30" t="n">
        <v>781827</v>
      </c>
      <c r="J13" s="30" t="inlineStr">
        <is>
          <t>543896</t>
        </is>
      </c>
    </row>
    <row r="14">
      <c r="A14" s="30" t="inlineStr">
        <is>
          <t>APCOTEXIND</t>
        </is>
      </c>
      <c r="B14" s="30" t="inlineStr">
        <is>
          <t>Apcotex Industries Limited</t>
        </is>
      </c>
      <c r="C14" s="30" t="inlineStr">
        <is>
          <t>chemicals</t>
        </is>
      </c>
      <c r="D14" s="30" t="inlineStr">
        <is>
          <t>miscellaneous</t>
        </is>
      </c>
      <c r="E14" s="30" t="inlineStr">
        <is>
          <t>smallcap</t>
        </is>
      </c>
      <c r="F14" s="30" t="n">
        <v>2584.21</v>
      </c>
      <c r="G14" s="30" t="n">
        <v>538.35</v>
      </c>
      <c r="H14" s="30" t="n">
        <v>8</v>
      </c>
      <c r="I14" s="30" t="n">
        <v>655502</v>
      </c>
      <c r="J14" s="30" t="inlineStr">
        <is>
          <t>523694</t>
        </is>
      </c>
    </row>
    <row r="15">
      <c r="A15" s="30" t="inlineStr">
        <is>
          <t>PARACABLES</t>
        </is>
      </c>
      <c r="B15" s="30" t="inlineStr">
        <is>
          <t>Paramount Communications Limited</t>
        </is>
      </c>
      <c r="C15" s="30" t="inlineStr">
        <is>
          <t>industrials</t>
        </is>
      </c>
      <c r="D15" s="30" t="inlineStr">
        <is>
          <t>cables - power</t>
        </is>
      </c>
      <c r="E15" s="30" t="inlineStr">
        <is>
          <t>smallcap</t>
        </is>
      </c>
      <c r="F15" s="30" t="n">
        <v>1960.97</v>
      </c>
      <c r="G15" s="30" t="n">
        <v>69.36</v>
      </c>
      <c r="H15" s="30" t="n">
        <v>7.95</v>
      </c>
      <c r="I15" s="30" t="n">
        <v>9986437</v>
      </c>
      <c r="J15" s="30" t="inlineStr">
        <is>
          <t>530555</t>
        </is>
      </c>
    </row>
    <row r="16">
      <c r="A16" s="30" t="inlineStr">
        <is>
          <t>GANESHBE</t>
        </is>
      </c>
      <c r="B16" s="30" t="inlineStr">
        <is>
          <t>Ganesh Benzoplast Ltd</t>
        </is>
      </c>
      <c r="C16" s="30" t="inlineStr">
        <is>
          <t>miscellaneous</t>
        </is>
      </c>
      <c r="D16" s="30" t="inlineStr">
        <is>
          <t>miscellaneous</t>
        </is>
      </c>
      <c r="E16" s="30" t="inlineStr">
        <is>
          <t>smallcap</t>
        </is>
      </c>
      <c r="F16" s="30" t="n">
        <v>676.92</v>
      </c>
      <c r="G16" s="30" t="n">
        <v>101.18</v>
      </c>
      <c r="H16" s="30" t="n">
        <v>7.6</v>
      </c>
      <c r="I16" s="30" t="n">
        <v>1463646</v>
      </c>
      <c r="J16" s="30" t="inlineStr">
        <is>
          <t>500153</t>
        </is>
      </c>
    </row>
    <row r="17">
      <c r="A17" s="30" t="inlineStr">
        <is>
          <t>TINNARUBR</t>
        </is>
      </c>
      <c r="B17" s="30" t="inlineStr">
        <is>
          <t>Tinna Rubber &amp; Infrastructure Ltd</t>
        </is>
      </c>
      <c r="C17" s="30" t="inlineStr">
        <is>
          <t>fmcg</t>
        </is>
      </c>
      <c r="D17" s="30" t="inlineStr">
        <is>
          <t>miscellaneous</t>
        </is>
      </c>
      <c r="E17" s="30" t="inlineStr">
        <is>
          <t>smallcap</t>
        </is>
      </c>
      <c r="F17" s="30" t="n">
        <v>1499.9</v>
      </c>
      <c r="G17" s="30" t="n">
        <v>891.25</v>
      </c>
      <c r="H17" s="30" t="n">
        <v>7.05</v>
      </c>
      <c r="I17" s="30" t="n">
        <v>261798</v>
      </c>
      <c r="J17" s="30" t="inlineStr">
        <is>
          <t>530475</t>
        </is>
      </c>
    </row>
    <row r="18">
      <c r="A18" s="30" t="inlineStr">
        <is>
          <t>NITINSPIN</t>
        </is>
      </c>
      <c r="B18" s="30" t="inlineStr">
        <is>
          <t>Nitin Spinners Limited</t>
        </is>
      </c>
      <c r="C18" s="30" t="inlineStr">
        <is>
          <t>textiles</t>
        </is>
      </c>
      <c r="D18" s="30" t="inlineStr">
        <is>
          <t>textiles - cotton/blended</t>
        </is>
      </c>
      <c r="E18" s="30" t="inlineStr">
        <is>
          <t>smallcap</t>
        </is>
      </c>
      <c r="F18" s="30" t="n">
        <v>2854.85</v>
      </c>
      <c r="G18" s="30" t="n">
        <v>541.55</v>
      </c>
      <c r="H18" s="30" t="n">
        <v>6.65</v>
      </c>
      <c r="I18" s="30" t="n">
        <v>485090</v>
      </c>
      <c r="J18" s="30" t="inlineStr">
        <is>
          <t>532698</t>
        </is>
      </c>
    </row>
    <row r="19">
      <c r="A19" s="30" t="inlineStr">
        <is>
          <t>HSCL</t>
        </is>
      </c>
      <c r="B19" s="30" t="inlineStr">
        <is>
          <t>Himadri Speciality Chemical Limited</t>
        </is>
      </c>
      <c r="C19" s="30" t="inlineStr">
        <is>
          <t>chemicals</t>
        </is>
      </c>
      <c r="D19" s="30" t="inlineStr">
        <is>
          <t>chemicals</t>
        </is>
      </c>
      <c r="E19" s="30" t="inlineStr">
        <is>
          <t>largecap</t>
        </is>
      </c>
      <c r="F19" s="30" t="n">
        <v>30375.93</v>
      </c>
      <c r="G19" s="30" t="n">
        <v>642</v>
      </c>
      <c r="H19" s="30" t="n">
        <v>6.64</v>
      </c>
      <c r="I19" s="30" t="n">
        <v>19227270</v>
      </c>
      <c r="J19" s="30" t="inlineStr">
        <is>
          <t>500184</t>
        </is>
      </c>
    </row>
    <row r="20">
      <c r="A20" s="30" t="inlineStr">
        <is>
          <t>PARAS</t>
        </is>
      </c>
      <c r="B20" s="30" t="inlineStr">
        <is>
          <t>Paras Defence and Space Technologies Ltd</t>
        </is>
      </c>
      <c r="C20" s="30" t="inlineStr">
        <is>
          <t>aerospace &amp; defence</t>
        </is>
      </c>
      <c r="D20" s="30" t="inlineStr">
        <is>
          <t>engineering</t>
        </is>
      </c>
      <c r="E20" s="30" t="inlineStr">
        <is>
          <t>midcap</t>
        </is>
      </c>
      <c r="F20" s="30" t="n">
        <v>6764.1</v>
      </c>
      <c r="G20" s="30" t="n">
        <v>893.8</v>
      </c>
      <c r="H20" s="30" t="n">
        <v>6.49</v>
      </c>
      <c r="I20" s="30" t="n">
        <v>7313338</v>
      </c>
      <c r="J20" s="30" t="inlineStr">
        <is>
          <t>543367</t>
        </is>
      </c>
    </row>
    <row r="21">
      <c r="A21" s="30" t="inlineStr">
        <is>
          <t>SGIL</t>
        </is>
      </c>
      <c r="B21" s="30" t="inlineStr">
        <is>
          <t>Synergy Green Industries Ltd</t>
        </is>
      </c>
      <c r="C21" s="30" t="inlineStr">
        <is>
          <t>industrials</t>
        </is>
      </c>
      <c r="D21" s="30" t="inlineStr">
        <is>
          <t>castings &amp; forgings</t>
        </is>
      </c>
      <c r="E21" s="30" t="inlineStr">
        <is>
          <t>smallcap</t>
        </is>
      </c>
      <c r="F21" s="30" t="n">
        <v>867.0700000000001</v>
      </c>
      <c r="G21" s="30" t="n">
        <v>593.9</v>
      </c>
      <c r="H21" s="30" t="n">
        <v>6.46</v>
      </c>
      <c r="I21" s="30" t="n">
        <v>83544</v>
      </c>
      <c r="J21" s="30" t="inlineStr">
        <is>
          <t>541929</t>
        </is>
      </c>
    </row>
    <row r="22">
      <c r="A22" s="30" t="inlineStr">
        <is>
          <t>MIDHANI</t>
        </is>
      </c>
      <c r="B22" s="30" t="inlineStr">
        <is>
          <t>Mishra Dhatu Nigam Ltd</t>
        </is>
      </c>
      <c r="C22" s="30" t="inlineStr">
        <is>
          <t>aerospace &amp; defence</t>
        </is>
      </c>
      <c r="D22" s="30" t="inlineStr">
        <is>
          <t>steel - medium / small</t>
        </is>
      </c>
      <c r="E22" s="30" t="inlineStr">
        <is>
          <t>midcap</t>
        </is>
      </c>
      <c r="F22" s="30" t="n">
        <v>7812.08</v>
      </c>
      <c r="G22" s="30" t="n">
        <v>443.25</v>
      </c>
      <c r="H22" s="30" t="n">
        <v>6.3</v>
      </c>
      <c r="I22" s="30" t="n">
        <v>7192034</v>
      </c>
      <c r="J22" s="30" t="inlineStr">
        <is>
          <t>541195</t>
        </is>
      </c>
    </row>
    <row r="23">
      <c r="A23" s="30" t="inlineStr">
        <is>
          <t>VIJAYA</t>
        </is>
      </c>
      <c r="B23" s="30" t="inlineStr">
        <is>
          <t>Vijaya Diagnostic Centre Ltd</t>
        </is>
      </c>
      <c r="C23" s="30" t="inlineStr">
        <is>
          <t>healthcare</t>
        </is>
      </c>
      <c r="D23" s="30" t="inlineStr">
        <is>
          <t>healthcare</t>
        </is>
      </c>
      <c r="E23" s="30" t="inlineStr">
        <is>
          <t>midcap</t>
        </is>
      </c>
      <c r="F23" s="30" t="n">
        <v>13164.61</v>
      </c>
      <c r="G23" s="30" t="n">
        <v>1359.4</v>
      </c>
      <c r="H23" s="30" t="n">
        <v>6.25</v>
      </c>
      <c r="I23" s="30" t="n">
        <v>840077</v>
      </c>
      <c r="J23" s="30" t="inlineStr">
        <is>
          <t>543350</t>
        </is>
      </c>
    </row>
    <row r="24">
      <c r="A24" s="30" t="inlineStr">
        <is>
          <t>SUNFLAG</t>
        </is>
      </c>
      <c r="B24" s="30" t="inlineStr">
        <is>
          <t>Sunflag Iron And Steel Company Limited</t>
        </is>
      </c>
      <c r="C24" s="30" t="inlineStr">
        <is>
          <t>metals &amp; mining</t>
        </is>
      </c>
      <c r="D24" s="30" t="inlineStr">
        <is>
          <t>steel - medium / small</t>
        </is>
      </c>
      <c r="E24" s="30" t="inlineStr">
        <is>
          <t>midcap</t>
        </is>
      </c>
      <c r="F24" s="30" t="n">
        <v>6902.4</v>
      </c>
      <c r="G24" s="30" t="n">
        <v>406.85</v>
      </c>
      <c r="H24" s="30" t="n">
        <v>6.23</v>
      </c>
      <c r="I24" s="30" t="n">
        <v>1358071</v>
      </c>
      <c r="J24" s="30" t="inlineStr">
        <is>
          <t>500404</t>
        </is>
      </c>
    </row>
    <row r="25">
      <c r="A25" s="30" t="inlineStr">
        <is>
          <t>KDDL</t>
        </is>
      </c>
      <c r="B25" s="30" t="inlineStr">
        <is>
          <t>Kddl Limited</t>
        </is>
      </c>
      <c r="C25" s="30" t="inlineStr">
        <is>
          <t>consumer discretionary</t>
        </is>
      </c>
      <c r="D25" s="30" t="inlineStr">
        <is>
          <t>miscellaneous</t>
        </is>
      </c>
      <c r="E25" s="30" t="inlineStr">
        <is>
          <t>smallcap</t>
        </is>
      </c>
      <c r="F25" s="30" t="n">
        <v>3422.4</v>
      </c>
      <c r="G25" s="30" t="n">
        <v>2946.1</v>
      </c>
      <c r="H25" s="30" t="n">
        <v>5.88</v>
      </c>
      <c r="I25" s="30" t="n">
        <v>49183</v>
      </c>
      <c r="J25" s="30" t="inlineStr">
        <is>
          <t>532054</t>
        </is>
      </c>
    </row>
    <row r="26">
      <c r="A26" s="30" t="inlineStr">
        <is>
          <t>PVP</t>
        </is>
      </c>
      <c r="B26" s="30" t="inlineStr">
        <is>
          <t>Pvp Ventures Limited</t>
        </is>
      </c>
      <c r="C26" s="30" t="inlineStr">
        <is>
          <t>realty</t>
        </is>
      </c>
      <c r="D26" s="30" t="inlineStr">
        <is>
          <t>construction</t>
        </is>
      </c>
      <c r="E26" s="30" t="inlineStr">
        <is>
          <t>smallcap</t>
        </is>
      </c>
      <c r="F26" s="30" t="n">
        <v>783.8200000000001</v>
      </c>
      <c r="G26" s="30" t="n">
        <v>31.85</v>
      </c>
      <c r="H26" s="30" t="n">
        <v>5.81</v>
      </c>
      <c r="I26" s="30" t="n">
        <v>2299249</v>
      </c>
      <c r="J26" s="30" t="inlineStr">
        <is>
          <t>517556</t>
        </is>
      </c>
    </row>
    <row r="27">
      <c r="A27" s="30" t="inlineStr">
        <is>
          <t>TEJASNET</t>
        </is>
      </c>
      <c r="B27" s="30" t="inlineStr">
        <is>
          <t>Tejas Networks Ltd</t>
        </is>
      </c>
      <c r="C27" s="30" t="inlineStr">
        <is>
          <t>telecom</t>
        </is>
      </c>
      <c r="D27" s="30" t="inlineStr">
        <is>
          <t>telecommunications - equipment</t>
        </is>
      </c>
      <c r="E27" s="30" t="inlineStr">
        <is>
          <t>midcap</t>
        </is>
      </c>
      <c r="F27" s="30" t="n">
        <v>10117.96</v>
      </c>
      <c r="G27" s="30" t="n">
        <v>601.95</v>
      </c>
      <c r="H27" s="30" t="n">
        <v>5.74</v>
      </c>
      <c r="I27" s="30" t="n">
        <v>46078716</v>
      </c>
      <c r="J27" s="30" t="inlineStr">
        <is>
          <t>540595</t>
        </is>
      </c>
    </row>
    <row r="28">
      <c r="A28" s="30" t="inlineStr">
        <is>
          <t>SUPRIYA</t>
        </is>
      </c>
      <c r="B28" s="30" t="inlineStr">
        <is>
          <t>Supriya Lifescience Ltd</t>
        </is>
      </c>
      <c r="C28" s="30" t="inlineStr">
        <is>
          <t>healthcare</t>
        </is>
      </c>
      <c r="D28" s="30" t="inlineStr">
        <is>
          <t>pharmaceuticals - indian - bulk drugs &amp; formln</t>
        </is>
      </c>
      <c r="E28" s="30" t="inlineStr">
        <is>
          <t>midcap</t>
        </is>
      </c>
      <c r="F28" s="30" t="n">
        <v>7251.1</v>
      </c>
      <c r="G28" s="30" t="n">
        <v>952.1</v>
      </c>
      <c r="H28" s="30" t="n">
        <v>5.68</v>
      </c>
      <c r="I28" s="30" t="n">
        <v>898127</v>
      </c>
      <c r="J28" s="30" t="inlineStr">
        <is>
          <t>543434</t>
        </is>
      </c>
    </row>
    <row r="29">
      <c r="A29" s="30" t="inlineStr">
        <is>
          <t>STOVEKRAFT</t>
        </is>
      </c>
      <c r="B29" s="30" t="inlineStr">
        <is>
          <t>Stove Kraft Ltd</t>
        </is>
      </c>
      <c r="C29" s="30" t="inlineStr">
        <is>
          <t>consumer discretionary</t>
        </is>
      </c>
      <c r="D29" s="30" t="inlineStr">
        <is>
          <t>domestic appliances</t>
        </is>
      </c>
      <c r="E29" s="30" t="inlineStr">
        <is>
          <t>smallcap</t>
        </is>
      </c>
      <c r="F29" s="30" t="n">
        <v>2050.83</v>
      </c>
      <c r="G29" s="30" t="n">
        <v>653.3</v>
      </c>
      <c r="H29" s="30" t="n">
        <v>5.46</v>
      </c>
      <c r="I29" s="30" t="n">
        <v>410692</v>
      </c>
      <c r="J29" s="30" t="inlineStr">
        <is>
          <t>543260</t>
        </is>
      </c>
    </row>
    <row r="30">
      <c r="A30" s="30" t="inlineStr">
        <is>
          <t>AZAD</t>
        </is>
      </c>
      <c r="B30" s="30" t="inlineStr">
        <is>
          <t>Azad Engineering Ltd</t>
        </is>
      </c>
      <c r="C30" s="30" t="inlineStr">
        <is>
          <t>aerospace &amp; defence</t>
        </is>
      </c>
      <c r="D30" s="30" t="inlineStr">
        <is>
          <t>engineering</t>
        </is>
      </c>
      <c r="E30" s="30" t="inlineStr">
        <is>
          <t>midcap</t>
        </is>
      </c>
      <c r="F30" s="30" t="n">
        <v>13503.4</v>
      </c>
      <c r="G30" s="30" t="n">
        <v>2200.5</v>
      </c>
      <c r="H30" s="30" t="n">
        <v>5.24</v>
      </c>
      <c r="I30" s="30" t="n">
        <v>837789</v>
      </c>
      <c r="J30" s="30" t="inlineStr">
        <is>
          <t>544061</t>
        </is>
      </c>
    </row>
    <row r="31">
      <c r="A31" s="30" t="inlineStr">
        <is>
          <t>ACMESOLAR</t>
        </is>
      </c>
      <c r="B31" s="30" t="inlineStr">
        <is>
          <t>ACME Solar Holdings Ltd</t>
        </is>
      </c>
      <c r="C31" s="30" t="inlineStr">
        <is>
          <t>realty</t>
        </is>
      </c>
      <c r="D31" s="30" t="inlineStr">
        <is>
          <t>engineering - turnkey services</t>
        </is>
      </c>
      <c r="E31" s="30" t="inlineStr">
        <is>
          <t>midcap</t>
        </is>
      </c>
      <c r="F31" s="30" t="n">
        <v>19939.5</v>
      </c>
      <c r="G31" s="30" t="n">
        <v>345.85</v>
      </c>
      <c r="H31" s="30" t="n">
        <v>5.11</v>
      </c>
      <c r="I31" s="30" t="n">
        <v>4610275</v>
      </c>
      <c r="J31" s="30" t="inlineStr">
        <is>
          <t>544283</t>
        </is>
      </c>
    </row>
    <row r="32">
      <c r="A32" s="30" t="inlineStr">
        <is>
          <t>DATAPATTNS</t>
        </is>
      </c>
      <c r="B32" s="30" t="inlineStr">
        <is>
          <t>Data Patterns (India) Ltd</t>
        </is>
      </c>
      <c r="C32" s="30" t="inlineStr">
        <is>
          <t>aerospace &amp; defence</t>
        </is>
      </c>
      <c r="D32" s="30" t="inlineStr">
        <is>
          <t>electronics - components</t>
        </is>
      </c>
      <c r="E32" s="30" t="inlineStr">
        <is>
          <t>largecap</t>
        </is>
      </c>
      <c r="F32" s="30" t="n">
        <v>22339.84</v>
      </c>
      <c r="G32" s="30" t="n">
        <v>4192.4</v>
      </c>
      <c r="H32" s="30" t="n">
        <v>5.06</v>
      </c>
      <c r="I32" s="30" t="n">
        <v>1257638</v>
      </c>
      <c r="J32" s="30" t="inlineStr">
        <is>
          <t>543428</t>
        </is>
      </c>
    </row>
    <row r="33">
      <c r="A33" s="30" t="inlineStr">
        <is>
          <t>SSWL</t>
        </is>
      </c>
      <c r="B33" s="30" t="inlineStr">
        <is>
          <t>Steel Strips Wheels Limited</t>
        </is>
      </c>
      <c r="C33" s="30" t="inlineStr">
        <is>
          <t>auto</t>
        </is>
      </c>
      <c r="D33" s="30" t="inlineStr">
        <is>
          <t>auto ancillaries</t>
        </is>
      </c>
      <c r="E33" s="30" t="inlineStr">
        <is>
          <t>smallcap</t>
        </is>
      </c>
      <c r="F33" s="30" t="n">
        <v>3413.96</v>
      </c>
      <c r="G33" s="30" t="n">
        <v>228.08</v>
      </c>
      <c r="H33" s="30" t="n">
        <v>5.01</v>
      </c>
      <c r="I33" s="30" t="n">
        <v>1860781</v>
      </c>
      <c r="J33" s="30" t="inlineStr">
        <is>
          <t>513262</t>
        </is>
      </c>
    </row>
    <row r="34">
      <c r="A34" s="30" t="inlineStr">
        <is>
          <t>IDEAFORGE</t>
        </is>
      </c>
      <c r="B34" s="30" t="inlineStr">
        <is>
          <t>Ideaforge Technology Ltd</t>
        </is>
      </c>
      <c r="C34" s="30" t="inlineStr">
        <is>
          <t>aerospace &amp; defence</t>
        </is>
      </c>
      <c r="D34" s="30" t="inlineStr">
        <is>
          <t>engineering</t>
        </is>
      </c>
      <c r="E34" s="30" t="inlineStr">
        <is>
          <t>smallcap</t>
        </is>
      </c>
      <c r="F34" s="30" t="n">
        <v>3709.4</v>
      </c>
      <c r="G34" s="30" t="n">
        <v>900</v>
      </c>
      <c r="H34" s="30" t="n">
        <v>5</v>
      </c>
      <c r="I34" s="30" t="n">
        <v>456053</v>
      </c>
      <c r="J34" s="30" t="inlineStr">
        <is>
          <t>543932</t>
        </is>
      </c>
    </row>
    <row r="35">
      <c r="A35" s="30" t="inlineStr">
        <is>
          <t>HITECHCORP</t>
        </is>
      </c>
      <c r="B35" s="30" t="inlineStr">
        <is>
          <t>Hitech Corporation</t>
        </is>
      </c>
      <c r="C35" s="30" t="inlineStr">
        <is>
          <t>industrials</t>
        </is>
      </c>
      <c r="D35" s="30" t="inlineStr">
        <is>
          <t>packaging</t>
        </is>
      </c>
      <c r="E35" s="30" t="inlineStr">
        <is>
          <t>smallcap</t>
        </is>
      </c>
      <c r="F35" s="30" t="n">
        <v>504.42</v>
      </c>
      <c r="G35" s="30" t="n">
        <v>308.36</v>
      </c>
      <c r="H35" s="30" t="n">
        <v>5</v>
      </c>
      <c r="I35" s="30" t="n">
        <v>15257</v>
      </c>
      <c r="J35" s="30" t="inlineStr">
        <is>
          <t>526217</t>
        </is>
      </c>
    </row>
    <row r="36">
      <c r="A36" s="30" t="inlineStr">
        <is>
          <t>BIRLACABLE</t>
        </is>
      </c>
      <c r="B36" s="30" t="inlineStr">
        <is>
          <t>Birla Cable Limited</t>
        </is>
      </c>
      <c r="C36" s="30" t="inlineStr">
        <is>
          <t>industrials</t>
        </is>
      </c>
      <c r="D36" s="30" t="inlineStr">
        <is>
          <t>cables - telephone</t>
        </is>
      </c>
      <c r="E36" s="30" t="inlineStr">
        <is>
          <t>smallcap</t>
        </is>
      </c>
      <c r="F36" s="30" t="n">
        <v>673.38</v>
      </c>
      <c r="G36" s="30" t="n">
        <v>235.68</v>
      </c>
      <c r="H36" s="30" t="n">
        <v>5</v>
      </c>
      <c r="I36" s="30" t="n">
        <v>199723</v>
      </c>
      <c r="J36" s="30" t="inlineStr">
        <is>
          <t>500060</t>
        </is>
      </c>
    </row>
    <row r="37">
      <c r="A37" s="30" t="inlineStr">
        <is>
          <t>TVSSCS</t>
        </is>
      </c>
      <c r="B37" s="30" t="inlineStr">
        <is>
          <t>TVS Supply Chain Solutions Ltd</t>
        </is>
      </c>
      <c r="C37" s="30" t="inlineStr">
        <is>
          <t>transportation</t>
        </is>
      </c>
      <c r="D37" s="30" t="inlineStr">
        <is>
          <t>miscellaneous</t>
        </is>
      </c>
      <c r="E37" s="30" t="inlineStr">
        <is>
          <t>midcap</t>
        </is>
      </c>
      <c r="F37" s="30" t="n">
        <v>5153.42</v>
      </c>
      <c r="G37" s="30" t="n">
        <v>122.65</v>
      </c>
      <c r="H37" s="30" t="n">
        <v>5</v>
      </c>
      <c r="I37" s="30" t="n">
        <v>925107</v>
      </c>
      <c r="J37" s="30" t="inlineStr">
        <is>
          <t>543965</t>
        </is>
      </c>
    </row>
    <row r="38">
      <c r="A38" s="30" t="inlineStr">
        <is>
          <t>E2E</t>
        </is>
      </c>
      <c r="B38" s="30" t="inlineStr">
        <is>
          <t>E2E Networks Ltd</t>
        </is>
      </c>
      <c r="C38" s="30" t="inlineStr">
        <is>
          <t>i.t</t>
        </is>
      </c>
      <c r="D38" s="30" t="inlineStr">
        <is>
          <t>computers - software - medium / small</t>
        </is>
      </c>
      <c r="E38" s="30" t="inlineStr">
        <is>
          <t>midcap</t>
        </is>
      </c>
      <c r="F38" s="30" t="n">
        <v>8445.02</v>
      </c>
      <c r="G38" s="30" t="n">
        <v>4313.6</v>
      </c>
      <c r="H38" s="30" t="n">
        <v>5</v>
      </c>
      <c r="I38" s="30" t="n">
        <v>215019</v>
      </c>
      <c r="J38" s="30" t="inlineStr">
        <is>
          <t>535080</t>
        </is>
      </c>
    </row>
    <row r="39">
      <c r="A39" s="30" t="inlineStr">
        <is>
          <t>ANTELOPUS</t>
        </is>
      </c>
      <c r="B39" s="30" t="inlineStr">
        <is>
          <t>Antelopus Selan Energy Ltd</t>
        </is>
      </c>
      <c r="C39" s="30" t="inlineStr">
        <is>
          <t>energy</t>
        </is>
      </c>
      <c r="D39" s="30" t="inlineStr">
        <is>
          <t>oil drilling / allied services</t>
        </is>
      </c>
      <c r="E39" s="30" t="inlineStr">
        <is>
          <t>smallcap</t>
        </is>
      </c>
      <c r="F39" s="30" t="n">
        <v>3065.45</v>
      </c>
      <c r="G39" s="30" t="n">
        <v>915.35</v>
      </c>
      <c r="H39" s="30" t="n">
        <v>5</v>
      </c>
      <c r="I39" s="30" t="n">
        <v>109511</v>
      </c>
      <c r="J39" s="30" t="inlineStr">
        <is>
          <t>530075</t>
        </is>
      </c>
    </row>
    <row r="40">
      <c r="A40" s="30" t="inlineStr">
        <is>
          <t>MODISONLTD</t>
        </is>
      </c>
      <c r="B40" s="30" t="inlineStr">
        <is>
          <t>Modison Ltd</t>
        </is>
      </c>
      <c r="C40" s="30" t="inlineStr">
        <is>
          <t>industrials</t>
        </is>
      </c>
      <c r="D40" s="30" t="inlineStr">
        <is>
          <t>electric equipment</t>
        </is>
      </c>
      <c r="E40" s="30" t="inlineStr">
        <is>
          <t>smallcap</t>
        </is>
      </c>
      <c r="F40" s="30" t="n">
        <v>1067.61</v>
      </c>
      <c r="G40" s="30" t="n">
        <v>345.45</v>
      </c>
      <c r="H40" s="30" t="n">
        <v>5</v>
      </c>
      <c r="I40" s="30" t="n">
        <v>247079</v>
      </c>
      <c r="J40" s="30" t="inlineStr">
        <is>
          <t>506261</t>
        </is>
      </c>
    </row>
    <row r="41">
      <c r="A41" s="30" t="inlineStr">
        <is>
          <t>STLTECH</t>
        </is>
      </c>
      <c r="B41" s="30" t="inlineStr">
        <is>
          <t>Sterlite Technologies Limited</t>
        </is>
      </c>
      <c r="C41" s="30" t="inlineStr">
        <is>
          <t>industrials</t>
        </is>
      </c>
      <c r="D41" s="30" t="inlineStr">
        <is>
          <t>cables - telephone</t>
        </is>
      </c>
      <c r="E41" s="30" t="inlineStr">
        <is>
          <t>largecap</t>
        </is>
      </c>
      <c r="F41" s="30" t="n">
        <v>30293.51</v>
      </c>
      <c r="G41" s="30" t="n">
        <v>651.6</v>
      </c>
      <c r="H41" s="30" t="n">
        <v>5</v>
      </c>
      <c r="I41" s="30" t="n">
        <v>6119470</v>
      </c>
      <c r="J41" s="30" t="inlineStr">
        <is>
          <t>532374</t>
        </is>
      </c>
    </row>
    <row r="42">
      <c r="A42" s="30" t="inlineStr">
        <is>
          <t>SIGMAADV</t>
        </is>
      </c>
      <c r="B42" s="30" t="inlineStr">
        <is>
          <t>Sigma Advanced System Ltd</t>
        </is>
      </c>
      <c r="C42" s="30" t="inlineStr">
        <is>
          <t>aerospace &amp; defence</t>
        </is>
      </c>
      <c r="D42" s="30" t="inlineStr">
        <is>
          <t>electronics - components</t>
        </is>
      </c>
      <c r="E42" s="30" t="inlineStr">
        <is>
          <t>midcap</t>
        </is>
      </c>
      <c r="F42" s="30" t="n">
        <v>7699.91</v>
      </c>
      <c r="G42" s="30" t="n">
        <v>458.7</v>
      </c>
      <c r="H42" s="30" t="n">
        <v>4.99</v>
      </c>
      <c r="I42" s="30" t="n">
        <v>224154</v>
      </c>
      <c r="J42" s="30" t="inlineStr">
        <is>
          <t>532408</t>
        </is>
      </c>
    </row>
    <row r="43">
      <c r="A43" s="30" t="inlineStr">
        <is>
          <t>KRN</t>
        </is>
      </c>
      <c r="B43" s="30" t="inlineStr">
        <is>
          <t>KRN Heat Exchanger and Refrigeration Ltd</t>
        </is>
      </c>
      <c r="C43" s="30" t="inlineStr">
        <is>
          <t>industrials</t>
        </is>
      </c>
      <c r="D43" s="30" t="inlineStr">
        <is>
          <t>engineering</t>
        </is>
      </c>
      <c r="E43" s="30" t="inlineStr">
        <is>
          <t>midcap</t>
        </is>
      </c>
      <c r="F43" s="30" t="n">
        <v>7208.92</v>
      </c>
      <c r="G43" s="30" t="n">
        <v>1217.7</v>
      </c>
      <c r="H43" s="30" t="n">
        <v>4.99</v>
      </c>
      <c r="I43" s="30" t="n">
        <v>232966</v>
      </c>
      <c r="J43" s="30" t="inlineStr">
        <is>
          <t>544263</t>
        </is>
      </c>
    </row>
    <row r="44">
      <c r="A44" s="30" t="inlineStr">
        <is>
          <t>VENUSREM</t>
        </is>
      </c>
      <c r="B44" s="30" t="inlineStr">
        <is>
          <t>Venus Remedies Limited</t>
        </is>
      </c>
      <c r="C44" s="30" t="inlineStr">
        <is>
          <t>healthcare</t>
        </is>
      </c>
      <c r="D44" s="30" t="inlineStr">
        <is>
          <t>pharmaceuticals - indian - formulations</t>
        </is>
      </c>
      <c r="E44" s="30" t="inlineStr">
        <is>
          <t>smallcap</t>
        </is>
      </c>
      <c r="F44" s="30" t="n">
        <v>1980.72</v>
      </c>
      <c r="G44" s="30" t="n">
        <v>1555.8</v>
      </c>
      <c r="H44" s="30" t="n">
        <v>4.99</v>
      </c>
      <c r="I44" s="30" t="n">
        <v>282923</v>
      </c>
      <c r="J44" s="30" t="inlineStr">
        <is>
          <t>526953</t>
        </is>
      </c>
    </row>
    <row r="45">
      <c r="A45" s="30" t="inlineStr">
        <is>
          <t>GALAPREC</t>
        </is>
      </c>
      <c r="B45" s="30" t="inlineStr">
        <is>
          <t>Gala Precision Engineering Ltd</t>
        </is>
      </c>
      <c r="C45" s="30" t="inlineStr">
        <is>
          <t>industrials</t>
        </is>
      </c>
      <c r="D45" s="30" t="inlineStr">
        <is>
          <t>fasteners</t>
        </is>
      </c>
      <c r="E45" s="30" t="inlineStr">
        <is>
          <t>smallcap</t>
        </is>
      </c>
      <c r="F45" s="30" t="n">
        <v>1111.12</v>
      </c>
      <c r="G45" s="30" t="n">
        <v>914.45</v>
      </c>
      <c r="H45" s="30" t="n">
        <v>4.93</v>
      </c>
      <c r="I45" s="30" t="n">
        <v>48795</v>
      </c>
      <c r="J45" s="30" t="inlineStr">
        <is>
          <t>544244</t>
        </is>
      </c>
    </row>
    <row r="46">
      <c r="A46" s="30" t="inlineStr">
        <is>
          <t>NETWEB</t>
        </is>
      </c>
      <c r="B46" s="30" t="inlineStr">
        <is>
          <t>Netweb Technologies India Ltd</t>
        </is>
      </c>
      <c r="C46" s="30" t="inlineStr">
        <is>
          <t>i.t</t>
        </is>
      </c>
      <c r="D46" s="30" t="inlineStr">
        <is>
          <t>computers - hardware</t>
        </is>
      </c>
      <c r="E46" s="30" t="inlineStr">
        <is>
          <t>largecap</t>
        </is>
      </c>
      <c r="F46" s="30" t="n">
        <v>26792.3</v>
      </c>
      <c r="G46" s="30" t="n">
        <v>4934.2</v>
      </c>
      <c r="H46" s="30" t="n">
        <v>4.86</v>
      </c>
      <c r="I46" s="30" t="n">
        <v>2758303</v>
      </c>
      <c r="J46" s="30" t="inlineStr">
        <is>
          <t>543945</t>
        </is>
      </c>
    </row>
    <row r="47">
      <c r="A47" s="30" t="inlineStr">
        <is>
          <t>NAM-INDIA</t>
        </is>
      </c>
      <c r="B47" s="30" t="inlineStr">
        <is>
          <t>Nippon Life India Asset Management Ltd</t>
        </is>
      </c>
      <c r="C47" s="30" t="inlineStr">
        <is>
          <t>financials</t>
        </is>
      </c>
      <c r="D47" s="30" t="inlineStr">
        <is>
          <t>finance &amp; investments</t>
        </is>
      </c>
      <c r="E47" s="30" t="inlineStr">
        <is>
          <t>largecap</t>
        </is>
      </c>
      <c r="F47" s="30" t="n">
        <v>68776.14</v>
      </c>
      <c r="G47" s="30" t="n">
        <v>1129.1</v>
      </c>
      <c r="H47" s="30" t="n">
        <v>4.76</v>
      </c>
      <c r="I47" s="30" t="n">
        <v>2576570</v>
      </c>
      <c r="J47" s="30" t="inlineStr">
        <is>
          <t>540767</t>
        </is>
      </c>
    </row>
    <row r="48">
      <c r="A48" s="30" t="inlineStr">
        <is>
          <t>AURUM</t>
        </is>
      </c>
      <c r="B48" s="30" t="inlineStr">
        <is>
          <t>Aurum Proptech Ltd</t>
        </is>
      </c>
      <c r="C48" s="30" t="inlineStr">
        <is>
          <t>i.t</t>
        </is>
      </c>
      <c r="D48" s="30" t="inlineStr">
        <is>
          <t>computers - software - medium / small</t>
        </is>
      </c>
      <c r="E48" s="30" t="inlineStr">
        <is>
          <t>smallcap</t>
        </is>
      </c>
      <c r="F48" s="30" t="n">
        <v>1381.62</v>
      </c>
      <c r="G48" s="30" t="n">
        <v>188.7</v>
      </c>
      <c r="H48" s="30" t="n">
        <v>4.7</v>
      </c>
      <c r="I48" s="30" t="n">
        <v>316232</v>
      </c>
      <c r="J48" s="30" t="inlineStr">
        <is>
          <t>539289</t>
        </is>
      </c>
    </row>
    <row r="49">
      <c r="A49" s="30" t="inlineStr">
        <is>
          <t>ASIANENE</t>
        </is>
      </c>
      <c r="B49" s="30" t="inlineStr">
        <is>
          <t>Asian Energy Services Ltd</t>
        </is>
      </c>
      <c r="C49" s="30" t="inlineStr">
        <is>
          <t>energy</t>
        </is>
      </c>
      <c r="D49" s="30" t="inlineStr">
        <is>
          <t>oil drilling / allied services</t>
        </is>
      </c>
      <c r="E49" s="30" t="inlineStr">
        <is>
          <t>smallcap</t>
        </is>
      </c>
      <c r="F49" s="30" t="n">
        <v>1714.51</v>
      </c>
      <c r="G49" s="30" t="n">
        <v>369.2</v>
      </c>
      <c r="H49" s="30" t="n">
        <v>4.68</v>
      </c>
      <c r="I49" s="30" t="n">
        <v>1091092</v>
      </c>
      <c r="J49" s="30" t="inlineStr">
        <is>
          <t>530355</t>
        </is>
      </c>
    </row>
    <row r="50">
      <c r="A50" s="30" t="inlineStr">
        <is>
          <t>PREMEXPLN</t>
        </is>
      </c>
      <c r="B50" s="30" t="inlineStr">
        <is>
          <t>Premier Explosives Limited</t>
        </is>
      </c>
      <c r="C50" s="30" t="inlineStr">
        <is>
          <t>aerospace &amp; defence</t>
        </is>
      </c>
      <c r="D50" s="30" t="inlineStr">
        <is>
          <t>chemicals</t>
        </is>
      </c>
      <c r="E50" s="30" t="inlineStr">
        <is>
          <t>smallcap</t>
        </is>
      </c>
      <c r="F50" s="30" t="n">
        <v>3518.94</v>
      </c>
      <c r="G50" s="30" t="n">
        <v>684.4</v>
      </c>
      <c r="H50" s="30" t="n">
        <v>4.56</v>
      </c>
      <c r="I50" s="30" t="n">
        <v>1064606</v>
      </c>
      <c r="J50" s="30" t="inlineStr">
        <is>
          <t>526247</t>
        </is>
      </c>
    </row>
    <row r="51">
      <c r="A51" s="30" t="inlineStr">
        <is>
          <t>GVPIL</t>
        </is>
      </c>
      <c r="B51" s="30" t="inlineStr">
        <is>
          <t>GE Power India Ltd</t>
        </is>
      </c>
      <c r="C51" s="30" t="inlineStr">
        <is>
          <t>realty</t>
        </is>
      </c>
      <c r="D51" s="30" t="inlineStr">
        <is>
          <t>engineering - turnkey services</t>
        </is>
      </c>
      <c r="E51" s="30" t="inlineStr">
        <is>
          <t>midcap</t>
        </is>
      </c>
      <c r="F51" s="30" t="n">
        <v>5838.37</v>
      </c>
      <c r="G51" s="30" t="n">
        <v>907.55</v>
      </c>
      <c r="H51" s="30" t="n">
        <v>4.5</v>
      </c>
      <c r="I51" s="30" t="n">
        <v>687596</v>
      </c>
      <c r="J51" s="30" t="inlineStr">
        <is>
          <t>532309</t>
        </is>
      </c>
    </row>
    <row r="52">
      <c r="A52" s="30" t="inlineStr">
        <is>
          <t>UNIVCABLES</t>
        </is>
      </c>
      <c r="B52" s="30" t="inlineStr">
        <is>
          <t>Universal Cables Limited</t>
        </is>
      </c>
      <c r="C52" s="30" t="inlineStr">
        <is>
          <t>industrials</t>
        </is>
      </c>
      <c r="D52" s="30" t="inlineStr">
        <is>
          <t>cables - power</t>
        </is>
      </c>
      <c r="E52" s="30" t="inlineStr">
        <is>
          <t>smallcap</t>
        </is>
      </c>
      <c r="F52" s="30" t="n">
        <v>4128.4</v>
      </c>
      <c r="G52" s="30" t="n">
        <v>1242.7</v>
      </c>
      <c r="H52" s="30" t="n">
        <v>4.44</v>
      </c>
      <c r="I52" s="30" t="n">
        <v>443287</v>
      </c>
      <c r="J52" s="30" t="inlineStr">
        <is>
          <t>504212</t>
        </is>
      </c>
    </row>
    <row r="53">
      <c r="A53" s="30" t="inlineStr">
        <is>
          <t>USHAMART</t>
        </is>
      </c>
      <c r="B53" s="30" t="inlineStr">
        <is>
          <t>Usha Martin Limited</t>
        </is>
      </c>
      <c r="C53" s="30" t="inlineStr">
        <is>
          <t>metals &amp; mining</t>
        </is>
      </c>
      <c r="D53" s="30" t="inlineStr">
        <is>
          <t>steel - medium / small</t>
        </is>
      </c>
      <c r="E53" s="30" t="inlineStr">
        <is>
          <t>midcap</t>
        </is>
      </c>
      <c r="F53" s="30" t="n">
        <v>15174.63</v>
      </c>
      <c r="G53" s="30" t="n">
        <v>519.8</v>
      </c>
      <c r="H53" s="30" t="n">
        <v>4.39</v>
      </c>
      <c r="I53" s="30" t="n">
        <v>1578459</v>
      </c>
      <c r="J53" s="30" t="inlineStr">
        <is>
          <t>517146</t>
        </is>
      </c>
    </row>
    <row r="54">
      <c r="A54" s="30" t="inlineStr">
        <is>
          <t>V2RETAIL</t>
        </is>
      </c>
      <c r="B54" s="30" t="inlineStr">
        <is>
          <t>V2 Retail Limited</t>
        </is>
      </c>
      <c r="C54" s="30" t="inlineStr">
        <is>
          <t>consumer discretionary</t>
        </is>
      </c>
      <c r="D54" s="30" t="inlineStr">
        <is>
          <t>textiles - products</t>
        </is>
      </c>
      <c r="E54" s="30" t="inlineStr">
        <is>
          <t>midcap</t>
        </is>
      </c>
      <c r="F54" s="30" t="n">
        <v>8957.32</v>
      </c>
      <c r="G54" s="30" t="n">
        <v>256.4</v>
      </c>
      <c r="H54" s="30" t="n">
        <v>4.38</v>
      </c>
      <c r="I54" s="30" t="n">
        <v>4139382</v>
      </c>
      <c r="J54" s="30" t="inlineStr">
        <is>
          <t>532867</t>
        </is>
      </c>
    </row>
    <row r="55">
      <c r="A55" s="30" t="inlineStr">
        <is>
          <t>PRECOT</t>
        </is>
      </c>
      <c r="B55" s="30" t="inlineStr">
        <is>
          <t>Precot Meridian Limited</t>
        </is>
      </c>
      <c r="C55" s="30" t="inlineStr">
        <is>
          <t>textiles</t>
        </is>
      </c>
      <c r="D55" s="30" t="inlineStr">
        <is>
          <t>textiles - cotton/blended</t>
        </is>
      </c>
      <c r="E55" s="30" t="inlineStr">
        <is>
          <t>smallcap</t>
        </is>
      </c>
      <c r="F55" s="30" t="n">
        <v>880.26</v>
      </c>
      <c r="G55" s="30" t="n">
        <v>765.65</v>
      </c>
      <c r="H55" s="30" t="n">
        <v>4.38</v>
      </c>
      <c r="I55" s="30" t="n">
        <v>4899</v>
      </c>
      <c r="J55" s="30" t="inlineStr">
        <is>
          <t>521184</t>
        </is>
      </c>
    </row>
    <row r="56">
      <c r="A56" s="30" t="inlineStr">
        <is>
          <t>WELENT</t>
        </is>
      </c>
      <c r="B56" s="30" t="inlineStr">
        <is>
          <t>Welspun Enterprises Limited</t>
        </is>
      </c>
      <c r="C56" s="30" t="inlineStr">
        <is>
          <t>realty</t>
        </is>
      </c>
      <c r="D56" s="30" t="inlineStr">
        <is>
          <t>construction</t>
        </is>
      </c>
      <c r="E56" s="30" t="inlineStr">
        <is>
          <t>midcap</t>
        </is>
      </c>
      <c r="F56" s="30" t="n">
        <v>7178.14</v>
      </c>
      <c r="G56" s="30" t="n">
        <v>540.75</v>
      </c>
      <c r="H56" s="30" t="n">
        <v>4.27</v>
      </c>
      <c r="I56" s="30" t="n">
        <v>678219</v>
      </c>
      <c r="J56" s="30" t="inlineStr">
        <is>
          <t>532553</t>
        </is>
      </c>
    </row>
    <row r="57">
      <c r="A57" s="30" t="inlineStr">
        <is>
          <t>ASTRAMICRO</t>
        </is>
      </c>
      <c r="B57" s="30" t="inlineStr">
        <is>
          <t>Astra Microwave Products Limited</t>
        </is>
      </c>
      <c r="C57" s="30" t="inlineStr">
        <is>
          <t>aerospace &amp; defence</t>
        </is>
      </c>
      <c r="D57" s="30" t="inlineStr">
        <is>
          <t>telecommunications - equipment</t>
        </is>
      </c>
      <c r="E57" s="30" t="inlineStr">
        <is>
          <t>midcap</t>
        </is>
      </c>
      <c r="F57" s="30" t="n">
        <v>12567.87</v>
      </c>
      <c r="G57" s="30" t="n">
        <v>1377.7</v>
      </c>
      <c r="H57" s="30" t="n">
        <v>4.08</v>
      </c>
      <c r="I57" s="30" t="n">
        <v>1209521</v>
      </c>
      <c r="J57" s="30" t="inlineStr">
        <is>
          <t>532493</t>
        </is>
      </c>
    </row>
    <row r="58">
      <c r="A58" s="30" t="inlineStr">
        <is>
          <t>NRBBEARING</t>
        </is>
      </c>
      <c r="B58" s="30" t="inlineStr">
        <is>
          <t>Nrb Bearing Limited</t>
        </is>
      </c>
      <c r="C58" s="30" t="inlineStr">
        <is>
          <t>industrials</t>
        </is>
      </c>
      <c r="D58" s="30" t="inlineStr">
        <is>
          <t>bearings</t>
        </is>
      </c>
      <c r="E58" s="30" t="inlineStr">
        <is>
          <t>smallcap</t>
        </is>
      </c>
      <c r="F58" s="30" t="n">
        <v>3463.53</v>
      </c>
      <c r="G58" s="30" t="n">
        <v>371.6</v>
      </c>
      <c r="H58" s="30" t="n">
        <v>3.99</v>
      </c>
      <c r="I58" s="30" t="n">
        <v>614883</v>
      </c>
      <c r="J58" s="30" t="inlineStr">
        <is>
          <t>530367</t>
        </is>
      </c>
    </row>
    <row r="59">
      <c r="A59" s="30" t="inlineStr">
        <is>
          <t>GAYAPROJ</t>
        </is>
      </c>
      <c r="B59" s="30" t="inlineStr">
        <is>
          <t>Gayatri Projects Limited</t>
        </is>
      </c>
      <c r="C59" s="30" t="inlineStr">
        <is>
          <t>realty</t>
        </is>
      </c>
      <c r="D59" s="30" t="inlineStr">
        <is>
          <t>construction</t>
        </is>
      </c>
      <c r="E59" s="30" t="inlineStr">
        <is>
          <t>smallcap</t>
        </is>
      </c>
      <c r="F59" s="30" t="n">
        <v>595.36</v>
      </c>
      <c r="G59" s="30" t="n">
        <v>20.9</v>
      </c>
      <c r="H59" s="30" t="n">
        <v>3.98</v>
      </c>
      <c r="I59" s="30" t="n">
        <v>779784</v>
      </c>
      <c r="J59" s="30" t="inlineStr">
        <is>
          <t>532767</t>
        </is>
      </c>
    </row>
    <row r="60">
      <c r="A60" s="30" t="inlineStr">
        <is>
          <t>SFL</t>
        </is>
      </c>
      <c r="B60" s="30" t="inlineStr">
        <is>
          <t>Sheela Foam Limited</t>
        </is>
      </c>
      <c r="C60" s="30" t="inlineStr">
        <is>
          <t>consumer discretionary</t>
        </is>
      </c>
      <c r="D60" s="30" t="inlineStr">
        <is>
          <t>miscellaneous</t>
        </is>
      </c>
      <c r="E60" s="30" t="inlineStr">
        <is>
          <t>midcap</t>
        </is>
      </c>
      <c r="F60" s="30" t="n">
        <v>6515.58</v>
      </c>
      <c r="G60" s="30" t="n">
        <v>623.15</v>
      </c>
      <c r="H60" s="30" t="n">
        <v>3.97</v>
      </c>
      <c r="I60" s="30" t="n">
        <v>310500</v>
      </c>
      <c r="J60" s="30" t="inlineStr">
        <is>
          <t>540203</t>
        </is>
      </c>
    </row>
    <row r="61">
      <c r="A61" s="30" t="inlineStr">
        <is>
          <t>IOLCP</t>
        </is>
      </c>
      <c r="B61" s="30" t="inlineStr">
        <is>
          <t>Iol Chemicals And Pharmaceuticals Limited</t>
        </is>
      </c>
      <c r="C61" s="30" t="inlineStr">
        <is>
          <t>healthcare</t>
        </is>
      </c>
      <c r="D61" s="30" t="inlineStr">
        <is>
          <t>pharmaceuticals - indian - bulk drugs &amp; formln</t>
        </is>
      </c>
      <c r="E61" s="30" t="inlineStr">
        <is>
          <t>smallcap</t>
        </is>
      </c>
      <c r="F61" s="30" t="n">
        <v>3844.33</v>
      </c>
      <c r="G61" s="30" t="n">
        <v>136.16</v>
      </c>
      <c r="H61" s="30" t="n">
        <v>3.96</v>
      </c>
      <c r="I61" s="30" t="n">
        <v>5107418</v>
      </c>
      <c r="J61" s="30" t="inlineStr">
        <is>
          <t>524164</t>
        </is>
      </c>
    </row>
    <row r="62">
      <c r="A62" s="30" t="inlineStr">
        <is>
          <t>MTARTECH</t>
        </is>
      </c>
      <c r="B62" s="30" t="inlineStr">
        <is>
          <t>MTAR Technologies Ltd</t>
        </is>
      </c>
      <c r="C62" s="30" t="inlineStr">
        <is>
          <t>aerospace &amp; defence</t>
        </is>
      </c>
      <c r="D62" s="30" t="inlineStr">
        <is>
          <t>engineering</t>
        </is>
      </c>
      <c r="E62" s="30" t="inlineStr">
        <is>
          <t>largecap</t>
        </is>
      </c>
      <c r="F62" s="30" t="n">
        <v>22971.26</v>
      </c>
      <c r="G62" s="30" t="n">
        <v>7755.5</v>
      </c>
      <c r="H62" s="30" t="n">
        <v>3.85</v>
      </c>
      <c r="I62" s="30" t="n">
        <v>1275473</v>
      </c>
      <c r="J62" s="30" t="inlineStr">
        <is>
          <t>543270</t>
        </is>
      </c>
    </row>
    <row r="63">
      <c r="A63" s="30" t="inlineStr">
        <is>
          <t>IPCALAB</t>
        </is>
      </c>
      <c r="B63" s="30" t="inlineStr">
        <is>
          <t>Ipca Laboratories Limited</t>
        </is>
      </c>
      <c r="C63" s="30" t="inlineStr">
        <is>
          <t>healthcare</t>
        </is>
      </c>
      <c r="D63" s="30" t="inlineStr">
        <is>
          <t>pharmaceuticals - indian - bulk drugs &amp; formln</t>
        </is>
      </c>
      <c r="E63" s="30" t="inlineStr">
        <is>
          <t>largecap</t>
        </is>
      </c>
      <c r="F63" s="30" t="n">
        <v>39443.39</v>
      </c>
      <c r="G63" s="30" t="n">
        <v>1614</v>
      </c>
      <c r="H63" s="30" t="n">
        <v>3.81</v>
      </c>
      <c r="I63" s="30" t="n">
        <v>396358</v>
      </c>
      <c r="J63" s="30" t="inlineStr">
        <is>
          <t>524494</t>
        </is>
      </c>
    </row>
    <row r="64">
      <c r="A64" s="30" t="inlineStr">
        <is>
          <t>POWERINDIA</t>
        </is>
      </c>
      <c r="B64" s="30" t="inlineStr">
        <is>
          <t>Hitachi Energy India Ltd</t>
        </is>
      </c>
      <c r="C64" s="30" t="inlineStr">
        <is>
          <t>industrials</t>
        </is>
      </c>
      <c r="D64" s="30" t="inlineStr">
        <is>
          <t>electric equipment</t>
        </is>
      </c>
      <c r="E64" s="30" t="inlineStr">
        <is>
          <t>largecap</t>
        </is>
      </c>
      <c r="F64" s="30" t="n">
        <v>156850.15</v>
      </c>
      <c r="G64" s="30" t="n">
        <v>36525</v>
      </c>
      <c r="H64" s="30" t="n">
        <v>3.79</v>
      </c>
      <c r="I64" s="30" t="n">
        <v>254549</v>
      </c>
      <c r="J64" s="30" t="inlineStr">
        <is>
          <t>543187</t>
        </is>
      </c>
    </row>
    <row r="65">
      <c r="A65" s="30" t="inlineStr">
        <is>
          <t>BLISSGVS</t>
        </is>
      </c>
      <c r="B65" s="30" t="inlineStr">
        <is>
          <t>Bliss Gvs Pharma Limited</t>
        </is>
      </c>
      <c r="C65" s="30" t="inlineStr">
        <is>
          <t>healthcare</t>
        </is>
      </c>
      <c r="D65" s="30" t="inlineStr">
        <is>
          <t>pharmaceuticals - indian - formulations</t>
        </is>
      </c>
      <c r="E65" s="30" t="inlineStr">
        <is>
          <t>smallcap</t>
        </is>
      </c>
      <c r="F65" s="30" t="n">
        <v>4651.01</v>
      </c>
      <c r="G65" s="30" t="n">
        <v>456.2</v>
      </c>
      <c r="H65" s="30" t="n">
        <v>3.76</v>
      </c>
      <c r="I65" s="30" t="n">
        <v>1669756</v>
      </c>
      <c r="J65" s="30" t="inlineStr">
        <is>
          <t>506197</t>
        </is>
      </c>
    </row>
    <row r="66">
      <c r="A66" s="30" t="inlineStr">
        <is>
          <t>KIMS</t>
        </is>
      </c>
      <c r="B66" s="30" t="inlineStr">
        <is>
          <t>Krishna Institute of Medical Sciences Ltd</t>
        </is>
      </c>
      <c r="C66" s="30" t="inlineStr">
        <is>
          <t>healthcare</t>
        </is>
      </c>
      <c r="D66" s="30" t="inlineStr">
        <is>
          <t>healthcare</t>
        </is>
      </c>
      <c r="E66" s="30" t="inlineStr">
        <is>
          <t>largecap</t>
        </is>
      </c>
      <c r="F66" s="30" t="n">
        <v>29508.25</v>
      </c>
      <c r="G66" s="30" t="n">
        <v>764.9</v>
      </c>
      <c r="H66" s="30" t="n">
        <v>3.72</v>
      </c>
      <c r="I66" s="30" t="n">
        <v>728695</v>
      </c>
      <c r="J66" s="30" t="inlineStr">
        <is>
          <t>543307</t>
        </is>
      </c>
    </row>
    <row r="67">
      <c r="A67" s="30" t="inlineStr">
        <is>
          <t>HONASA</t>
        </is>
      </c>
      <c r="B67" s="30" t="inlineStr">
        <is>
          <t>Honasa Consumer Ltd</t>
        </is>
      </c>
      <c r="C67" s="30" t="inlineStr">
        <is>
          <t>services</t>
        </is>
      </c>
      <c r="D67" s="30" t="inlineStr">
        <is>
          <t>trading</t>
        </is>
      </c>
      <c r="E67" s="30" t="inlineStr">
        <is>
          <t>midcap</t>
        </is>
      </c>
      <c r="F67" s="30" t="n">
        <v>13083.12</v>
      </c>
      <c r="G67" s="30" t="n">
        <v>417.05</v>
      </c>
      <c r="H67" s="30" t="n">
        <v>3.72</v>
      </c>
      <c r="I67" s="30" t="n">
        <v>2354119</v>
      </c>
      <c r="J67" s="30" t="inlineStr">
        <is>
          <t>544014</t>
        </is>
      </c>
    </row>
    <row r="68">
      <c r="A68" s="30" t="inlineStr">
        <is>
          <t>ATGL</t>
        </is>
      </c>
      <c r="B68" s="30" t="inlineStr">
        <is>
          <t>Adani Total Gas Ltd</t>
        </is>
      </c>
      <c r="C68" s="30" t="inlineStr">
        <is>
          <t>energy</t>
        </is>
      </c>
      <c r="D68" s="30" t="inlineStr">
        <is>
          <t>miscellaneous</t>
        </is>
      </c>
      <c r="E68" s="30" t="inlineStr">
        <is>
          <t>largecap</t>
        </is>
      </c>
      <c r="F68" s="30" t="n">
        <v>78922.37</v>
      </c>
      <c r="G68" s="30" t="n">
        <v>744.05</v>
      </c>
      <c r="H68" s="30" t="n">
        <v>3.69</v>
      </c>
      <c r="I68" s="30" t="n">
        <v>9657791</v>
      </c>
      <c r="J68" s="30" t="inlineStr">
        <is>
          <t>542066</t>
        </is>
      </c>
    </row>
    <row r="69">
      <c r="A69" s="30" t="inlineStr">
        <is>
          <t>TRITURBINE</t>
        </is>
      </c>
      <c r="B69" s="30" t="inlineStr">
        <is>
          <t>Triveni Turbine Limited</t>
        </is>
      </c>
      <c r="C69" s="30" t="inlineStr">
        <is>
          <t>industrials</t>
        </is>
      </c>
      <c r="D69" s="30" t="inlineStr">
        <is>
          <t>electric equipment</t>
        </is>
      </c>
      <c r="E69" s="30" t="inlineStr">
        <is>
          <t>largecap</t>
        </is>
      </c>
      <c r="F69" s="30" t="n">
        <v>21262.41</v>
      </c>
      <c r="G69" s="30" t="n">
        <v>693.4</v>
      </c>
      <c r="H69" s="30" t="n">
        <v>3.67</v>
      </c>
      <c r="I69" s="30" t="n">
        <v>1409484</v>
      </c>
      <c r="J69" s="30" t="inlineStr">
        <is>
          <t>533655</t>
        </is>
      </c>
    </row>
    <row r="70">
      <c r="A70" s="30" t="inlineStr">
        <is>
          <t>INDOBORAX</t>
        </is>
      </c>
      <c r="B70" s="30" t="inlineStr">
        <is>
          <t>Indo Borax &amp; Chemicals Ltd</t>
        </is>
      </c>
      <c r="C70" s="30" t="inlineStr">
        <is>
          <t>chemicals</t>
        </is>
      </c>
      <c r="D70" s="30" t="inlineStr">
        <is>
          <t>chemicals</t>
        </is>
      </c>
      <c r="E70" s="30" t="inlineStr">
        <is>
          <t>smallcap</t>
        </is>
      </c>
      <c r="F70" s="30" t="n">
        <v>1110.63</v>
      </c>
      <c r="G70" s="30" t="n">
        <v>358.7</v>
      </c>
      <c r="H70" s="30" t="n">
        <v>3.64</v>
      </c>
      <c r="I70" s="30" t="n">
        <v>193416</v>
      </c>
      <c r="J70" s="30" t="inlineStr">
        <is>
          <t>524342</t>
        </is>
      </c>
    </row>
    <row r="71">
      <c r="A71" s="30" t="inlineStr">
        <is>
          <t>JINDALSAW</t>
        </is>
      </c>
      <c r="B71" s="30" t="inlineStr">
        <is>
          <t>Jindal Saw Limited</t>
        </is>
      </c>
      <c r="C71" s="30" t="inlineStr">
        <is>
          <t>industrials</t>
        </is>
      </c>
      <c r="D71" s="30" t="inlineStr">
        <is>
          <t>steel - large</t>
        </is>
      </c>
      <c r="E71" s="30" t="inlineStr">
        <is>
          <t>midcap</t>
        </is>
      </c>
      <c r="F71" s="30" t="n">
        <v>16043.34</v>
      </c>
      <c r="G71" s="30" t="n">
        <v>260</v>
      </c>
      <c r="H71" s="30" t="n">
        <v>3.64</v>
      </c>
      <c r="I71" s="30" t="n">
        <v>10769366</v>
      </c>
      <c r="J71" s="30" t="inlineStr">
        <is>
          <t>500378</t>
        </is>
      </c>
    </row>
    <row r="72">
      <c r="A72" s="30" t="inlineStr">
        <is>
          <t>JBMA</t>
        </is>
      </c>
      <c r="B72" s="30" t="inlineStr">
        <is>
          <t>Jbm Auto Limited</t>
        </is>
      </c>
      <c r="C72" s="30" t="inlineStr">
        <is>
          <t>auto</t>
        </is>
      </c>
      <c r="D72" s="30" t="inlineStr">
        <is>
          <t>auto ancillaries</t>
        </is>
      </c>
      <c r="E72" s="30" t="inlineStr">
        <is>
          <t>midcap</t>
        </is>
      </c>
      <c r="F72" s="30" t="n">
        <v>15827.38</v>
      </c>
      <c r="G72" s="30" t="n">
        <v>692.8</v>
      </c>
      <c r="H72" s="30" t="n">
        <v>3.52</v>
      </c>
      <c r="I72" s="30" t="n">
        <v>16349825</v>
      </c>
      <c r="J72" s="30" t="inlineStr">
        <is>
          <t>532605</t>
        </is>
      </c>
    </row>
    <row r="73">
      <c r="A73" s="30" t="inlineStr">
        <is>
          <t>PANAMAPET</t>
        </is>
      </c>
      <c r="B73" s="30" t="inlineStr">
        <is>
          <t>Panama Petrochem Limited</t>
        </is>
      </c>
      <c r="C73" s="30" t="inlineStr">
        <is>
          <t>energy</t>
        </is>
      </c>
      <c r="D73" s="30" t="inlineStr">
        <is>
          <t>petrochemicals</t>
        </is>
      </c>
      <c r="E73" s="30" t="inlineStr">
        <is>
          <t>smallcap</t>
        </is>
      </c>
      <c r="F73" s="30" t="n">
        <v>2043.47</v>
      </c>
      <c r="G73" s="30" t="n">
        <v>349.6</v>
      </c>
      <c r="H73" s="30" t="n">
        <v>3.49</v>
      </c>
      <c r="I73" s="30" t="n">
        <v>540803</v>
      </c>
      <c r="J73" s="30" t="inlineStr">
        <is>
          <t>524820</t>
        </is>
      </c>
    </row>
    <row r="74">
      <c r="A74" s="30" t="inlineStr">
        <is>
          <t>ELGIEQUIP</t>
        </is>
      </c>
      <c r="B74" s="30" t="inlineStr">
        <is>
          <t>Elgi Equipments Limited</t>
        </is>
      </c>
      <c r="C74" s="30" t="inlineStr">
        <is>
          <t>industrials</t>
        </is>
      </c>
      <c r="D74" s="30" t="inlineStr">
        <is>
          <t>compressors / drilling equipment</t>
        </is>
      </c>
      <c r="E74" s="30" t="inlineStr">
        <is>
          <t>midcap</t>
        </is>
      </c>
      <c r="F74" s="30" t="n">
        <v>19052.57</v>
      </c>
      <c r="G74" s="30" t="n">
        <v>622.15</v>
      </c>
      <c r="H74" s="30" t="n">
        <v>3.48</v>
      </c>
      <c r="I74" s="30" t="n">
        <v>1850678</v>
      </c>
      <c r="J74" s="30" t="inlineStr">
        <is>
          <t>522074</t>
        </is>
      </c>
    </row>
    <row r="75">
      <c r="A75" s="30" t="inlineStr">
        <is>
          <t>CGPOWER</t>
        </is>
      </c>
      <c r="B75" s="30" t="inlineStr">
        <is>
          <t>CG Power and Industrial Solutions Ltd</t>
        </is>
      </c>
      <c r="C75" s="30" t="inlineStr">
        <is>
          <t>industrials</t>
        </is>
      </c>
      <c r="D75" s="30" t="inlineStr">
        <is>
          <t>electric equipment</t>
        </is>
      </c>
      <c r="E75" s="30" t="inlineStr">
        <is>
          <t>largecap</t>
        </is>
      </c>
      <c r="F75" s="30" t="n">
        <v>142790.24</v>
      </c>
      <c r="G75" s="30" t="n">
        <v>937.9</v>
      </c>
      <c r="H75" s="30" t="n">
        <v>3.45</v>
      </c>
      <c r="I75" s="30" t="n">
        <v>8471887</v>
      </c>
      <c r="J75" s="30" t="inlineStr">
        <is>
          <t>500093</t>
        </is>
      </c>
    </row>
    <row r="76">
      <c r="A76" s="30" t="inlineStr">
        <is>
          <t>VENUSPIPES</t>
        </is>
      </c>
      <c r="B76" s="30" t="inlineStr">
        <is>
          <t>Venus Pipes &amp; Tubes Ltd</t>
        </is>
      </c>
      <c r="C76" s="30" t="inlineStr">
        <is>
          <t>metals &amp; mining</t>
        </is>
      </c>
      <c r="D76" s="30" t="inlineStr">
        <is>
          <t>steel - medium / small</t>
        </is>
      </c>
      <c r="E76" s="30" t="inlineStr">
        <is>
          <t>smallcap</t>
        </is>
      </c>
      <c r="F76" s="30" t="n">
        <v>2940.44</v>
      </c>
      <c r="G76" s="30" t="n">
        <v>1467.8</v>
      </c>
      <c r="H76" s="30" t="n">
        <v>3.41</v>
      </c>
      <c r="I76" s="30" t="n">
        <v>190283</v>
      </c>
      <c r="J76" s="30" t="inlineStr">
        <is>
          <t>543528</t>
        </is>
      </c>
    </row>
    <row r="77">
      <c r="A77" s="30" t="inlineStr">
        <is>
          <t>SVLL</t>
        </is>
      </c>
      <c r="B77" s="30" t="inlineStr">
        <is>
          <t>Shree Vasu Logistics Ltd</t>
        </is>
      </c>
      <c r="C77" s="30" t="inlineStr">
        <is>
          <t>transportation</t>
        </is>
      </c>
      <c r="D77" s="30" t="inlineStr">
        <is>
          <t>miscellaneous</t>
        </is>
      </c>
      <c r="E77" s="30" t="inlineStr">
        <is>
          <t>smallcap</t>
        </is>
      </c>
      <c r="F77" s="30" t="n">
        <v>790.71</v>
      </c>
      <c r="G77" s="30" t="n">
        <v>710.95</v>
      </c>
      <c r="H77" s="30" t="n">
        <v>3.34</v>
      </c>
      <c r="I77" s="30" t="n">
        <v>3084</v>
      </c>
      <c r="J77" s="30" t="inlineStr">
        <is>
          <t>535084</t>
        </is>
      </c>
    </row>
    <row r="78">
      <c r="A78" s="30" t="inlineStr">
        <is>
          <t>ARVIND</t>
        </is>
      </c>
      <c r="B78" s="30" t="inlineStr">
        <is>
          <t>Arvind Limited</t>
        </is>
      </c>
      <c r="C78" s="30" t="inlineStr">
        <is>
          <t>textiles</t>
        </is>
      </c>
      <c r="D78" s="30" t="inlineStr">
        <is>
          <t>textiles - cotton/blended</t>
        </is>
      </c>
      <c r="E78" s="30" t="inlineStr">
        <is>
          <t>midcap</t>
        </is>
      </c>
      <c r="F78" s="30" t="n">
        <v>12713.87</v>
      </c>
      <c r="G78" s="30" t="n">
        <v>501.05</v>
      </c>
      <c r="H78" s="30" t="n">
        <v>3.3</v>
      </c>
      <c r="I78" s="30" t="n">
        <v>1136947</v>
      </c>
      <c r="J78" s="30" t="inlineStr">
        <is>
          <t>500101</t>
        </is>
      </c>
    </row>
    <row r="79">
      <c r="A79" s="30" t="inlineStr">
        <is>
          <t>GMRAIRPORT</t>
        </is>
      </c>
      <c r="B79" s="30" t="inlineStr">
        <is>
          <t>GMR Airports Ltd</t>
        </is>
      </c>
      <c r="C79" s="30" t="inlineStr">
        <is>
          <t>miscellaneous</t>
        </is>
      </c>
      <c r="D79" s="30" t="inlineStr">
        <is>
          <t>miscellaneous</t>
        </is>
      </c>
      <c r="E79" s="30" t="inlineStr">
        <is>
          <t>largecap</t>
        </is>
      </c>
      <c r="F79" s="30" t="n">
        <v>104301.56</v>
      </c>
      <c r="G79" s="30" t="n">
        <v>101.99</v>
      </c>
      <c r="H79" s="30" t="n">
        <v>3.25</v>
      </c>
      <c r="I79" s="30" t="n">
        <v>43377542</v>
      </c>
      <c r="J79" s="30" t="inlineStr">
        <is>
          <t>532754</t>
        </is>
      </c>
    </row>
    <row r="80">
      <c r="A80" s="30" t="inlineStr">
        <is>
          <t>FEDFINA</t>
        </is>
      </c>
      <c r="B80" s="30" t="inlineStr">
        <is>
          <t>Fedbank Financial Services Ltd</t>
        </is>
      </c>
      <c r="C80" s="30" t="inlineStr">
        <is>
          <t>financials</t>
        </is>
      </c>
      <c r="D80" s="30" t="inlineStr">
        <is>
          <t>finance &amp; investments</t>
        </is>
      </c>
      <c r="E80" s="30" t="inlineStr">
        <is>
          <t>midcap</t>
        </is>
      </c>
      <c r="F80" s="30" t="n">
        <v>5875.41</v>
      </c>
      <c r="G80" s="30" t="n">
        <v>162.05</v>
      </c>
      <c r="H80" s="30" t="n">
        <v>3.21</v>
      </c>
      <c r="I80" s="30" t="n">
        <v>663731</v>
      </c>
      <c r="J80" s="30" t="inlineStr">
        <is>
          <t>544027</t>
        </is>
      </c>
    </row>
    <row r="81">
      <c r="A81" s="30" t="inlineStr">
        <is>
          <t>KIRLOSENG</t>
        </is>
      </c>
      <c r="B81" s="30" t="inlineStr">
        <is>
          <t>Kirloskar Oil Engines Limited</t>
        </is>
      </c>
      <c r="C81" s="30" t="inlineStr">
        <is>
          <t>industrials</t>
        </is>
      </c>
      <c r="D81" s="30" t="inlineStr">
        <is>
          <t>engines</t>
        </is>
      </c>
      <c r="E81" s="30" t="inlineStr">
        <is>
          <t>largecap</t>
        </is>
      </c>
      <c r="F81" s="30" t="n">
        <v>27465.62</v>
      </c>
      <c r="G81" s="30" t="n">
        <v>1949.9</v>
      </c>
      <c r="H81" s="30" t="n">
        <v>3.2</v>
      </c>
      <c r="I81" s="30" t="n">
        <v>498919</v>
      </c>
      <c r="J81" s="30" t="inlineStr">
        <is>
          <t>533293</t>
        </is>
      </c>
    </row>
    <row r="82">
      <c r="A82" s="30" t="inlineStr">
        <is>
          <t>RRKABEL</t>
        </is>
      </c>
      <c r="B82" s="30" t="inlineStr">
        <is>
          <t>R R Kabel Ltd</t>
        </is>
      </c>
      <c r="C82" s="30" t="inlineStr">
        <is>
          <t>industrials</t>
        </is>
      </c>
      <c r="D82" s="30" t="inlineStr">
        <is>
          <t>cables - power</t>
        </is>
      </c>
      <c r="E82" s="30" t="inlineStr">
        <is>
          <t>largecap</t>
        </is>
      </c>
      <c r="F82" s="30" t="n">
        <v>24384.42</v>
      </c>
      <c r="G82" s="30" t="n">
        <v>2223</v>
      </c>
      <c r="H82" s="30" t="n">
        <v>3.11</v>
      </c>
      <c r="I82" s="30" t="n">
        <v>1089810</v>
      </c>
      <c r="J82" s="30" t="inlineStr">
        <is>
          <t>543981</t>
        </is>
      </c>
    </row>
    <row r="83">
      <c r="A83" s="30" t="inlineStr">
        <is>
          <t>CRAFTSMAN</t>
        </is>
      </c>
      <c r="B83" s="30" t="inlineStr">
        <is>
          <t>Craftsman Automation Ltd</t>
        </is>
      </c>
      <c r="C83" s="30" t="inlineStr">
        <is>
          <t>auto</t>
        </is>
      </c>
      <c r="D83" s="30" t="inlineStr">
        <is>
          <t>auto ancillaries</t>
        </is>
      </c>
      <c r="E83" s="30" t="inlineStr">
        <is>
          <t>largecap</t>
        </is>
      </c>
      <c r="F83" s="30" t="n">
        <v>21227.89</v>
      </c>
      <c r="G83" s="30" t="n">
        <v>9174</v>
      </c>
      <c r="H83" s="30" t="n">
        <v>3.1</v>
      </c>
      <c r="I83" s="30" t="n">
        <v>86273</v>
      </c>
      <c r="J83" s="30" t="inlineStr">
        <is>
          <t>543276</t>
        </is>
      </c>
    </row>
    <row r="84">
      <c r="A84" s="30" t="inlineStr">
        <is>
          <t>TDPOWERSYS</t>
        </is>
      </c>
      <c r="B84" s="30" t="inlineStr">
        <is>
          <t>Td Power Systems Limited</t>
        </is>
      </c>
      <c r="C84" s="30" t="inlineStr">
        <is>
          <t>industrials</t>
        </is>
      </c>
      <c r="D84" s="30" t="inlineStr">
        <is>
          <t>electric equipment</t>
        </is>
      </c>
      <c r="E84" s="30" t="inlineStr">
        <is>
          <t>largecap</t>
        </is>
      </c>
      <c r="F84" s="30" t="n">
        <v>20093.91</v>
      </c>
      <c r="G84" s="30" t="n">
        <v>1325.5</v>
      </c>
      <c r="H84" s="30" t="n">
        <v>3.05</v>
      </c>
      <c r="I84" s="30" t="n">
        <v>1115238</v>
      </c>
      <c r="J84" s="30" t="inlineStr">
        <is>
          <t>533553</t>
        </is>
      </c>
    </row>
    <row r="85">
      <c r="A85" s="30" t="inlineStr">
        <is>
          <t>MINDACORP</t>
        </is>
      </c>
      <c r="B85" s="30" t="inlineStr">
        <is>
          <t>Minda Corporation Limited</t>
        </is>
      </c>
      <c r="C85" s="30" t="inlineStr">
        <is>
          <t>auto</t>
        </is>
      </c>
      <c r="D85" s="30" t="inlineStr">
        <is>
          <t>auto ancillaries</t>
        </is>
      </c>
      <c r="E85" s="30" t="inlineStr">
        <is>
          <t>midcap</t>
        </is>
      </c>
      <c r="F85" s="30" t="n">
        <v>14975.94</v>
      </c>
      <c r="G85" s="30" t="n">
        <v>645.3</v>
      </c>
      <c r="H85" s="30" t="n">
        <v>3.02</v>
      </c>
      <c r="I85" s="30" t="n">
        <v>1813244</v>
      </c>
      <c r="J85" s="30" t="inlineStr">
        <is>
          <t>538962</t>
        </is>
      </c>
    </row>
    <row r="86">
      <c r="A86" s="30" t="inlineStr">
        <is>
          <t>GANDHAR</t>
        </is>
      </c>
      <c r="B86" s="30" t="inlineStr">
        <is>
          <t>Gandhar Oil Refinery (India) Ltd</t>
        </is>
      </c>
      <c r="C86" s="30" t="inlineStr">
        <is>
          <t>energy</t>
        </is>
      </c>
      <c r="D86" s="30" t="inlineStr">
        <is>
          <t>refineries</t>
        </is>
      </c>
      <c r="E86" s="30" t="inlineStr">
        <is>
          <t>smallcap</t>
        </is>
      </c>
      <c r="F86" s="30" t="n">
        <v>1538.47</v>
      </c>
      <c r="G86" s="30" t="n">
        <v>161.85</v>
      </c>
      <c r="H86" s="30" t="n">
        <v>2.97</v>
      </c>
      <c r="I86" s="30" t="n">
        <v>1641710</v>
      </c>
      <c r="J86" s="30" t="inlineStr">
        <is>
          <t>544029</t>
        </is>
      </c>
    </row>
    <row r="87">
      <c r="A87" s="30" t="inlineStr">
        <is>
          <t>MBAPL</t>
        </is>
      </c>
      <c r="B87" s="30" t="inlineStr">
        <is>
          <t>Madhya Bharat Agro Products Ltd</t>
        </is>
      </c>
      <c r="C87" s="30" t="inlineStr">
        <is>
          <t>chemicals</t>
        </is>
      </c>
      <c r="D87" s="30" t="inlineStr">
        <is>
          <t>fertilizers</t>
        </is>
      </c>
      <c r="E87" s="30" t="inlineStr">
        <is>
          <t>smallcap</t>
        </is>
      </c>
      <c r="F87" s="30" t="n">
        <v>4729.66</v>
      </c>
      <c r="G87" s="30" t="n">
        <v>555.65</v>
      </c>
      <c r="H87" s="30" t="n">
        <v>2.95</v>
      </c>
      <c r="I87" s="30" t="n">
        <v>213446</v>
      </c>
      <c r="J87" s="30" t="inlineStr">
        <is>
          <t>538370</t>
        </is>
      </c>
    </row>
    <row r="88">
      <c r="A88" s="30" t="inlineStr">
        <is>
          <t>SAMMAANCAP</t>
        </is>
      </c>
      <c r="B88" s="30" t="inlineStr">
        <is>
          <t>Sammaan Capital Ltd</t>
        </is>
      </c>
      <c r="C88" s="30" t="inlineStr">
        <is>
          <t>financials</t>
        </is>
      </c>
      <c r="D88" s="30" t="inlineStr">
        <is>
          <t>finance - housing</t>
        </is>
      </c>
      <c r="E88" s="30" t="inlineStr">
        <is>
          <t>largecap</t>
        </is>
      </c>
      <c r="F88" s="30" t="n">
        <v>20668.68</v>
      </c>
      <c r="G88" s="30" t="n">
        <v>183.12</v>
      </c>
      <c r="H88" s="30" t="n">
        <v>2.92</v>
      </c>
      <c r="I88" s="30" t="n">
        <v>22212655</v>
      </c>
      <c r="J88" s="30" t="inlineStr">
        <is>
          <t>535789</t>
        </is>
      </c>
    </row>
    <row r="89">
      <c r="A89" s="30" t="inlineStr">
        <is>
          <t>GRINDWELL</t>
        </is>
      </c>
      <c r="B89" s="30" t="inlineStr">
        <is>
          <t>Grindwell Norton Limited</t>
        </is>
      </c>
      <c r="C89" s="30" t="inlineStr">
        <is>
          <t>industrials</t>
        </is>
      </c>
      <c r="D89" s="30" t="inlineStr">
        <is>
          <t>abrasives and grinding wheels</t>
        </is>
      </c>
      <c r="E89" s="30" t="inlineStr">
        <is>
          <t>largecap</t>
        </is>
      </c>
      <c r="F89" s="30" t="n">
        <v>20671.42</v>
      </c>
      <c r="G89" s="30" t="n">
        <v>1921.4</v>
      </c>
      <c r="H89" s="30" t="n">
        <v>2.91</v>
      </c>
      <c r="I89" s="30" t="n">
        <v>83341</v>
      </c>
      <c r="J89" s="30" t="inlineStr">
        <is>
          <t>506076</t>
        </is>
      </c>
    </row>
    <row r="90">
      <c r="A90" s="30" t="inlineStr">
        <is>
          <t>XPROINDIA</t>
        </is>
      </c>
      <c r="B90" s="30" t="inlineStr">
        <is>
          <t>Xpro India Limited</t>
        </is>
      </c>
      <c r="C90" s="30" t="inlineStr">
        <is>
          <t>industrials</t>
        </is>
      </c>
      <c r="D90" s="30" t="inlineStr">
        <is>
          <t>packaging</t>
        </is>
      </c>
      <c r="E90" s="30" t="inlineStr">
        <is>
          <t>smallcap</t>
        </is>
      </c>
      <c r="F90" s="30" t="n">
        <v>2705.2</v>
      </c>
      <c r="G90" s="30" t="n">
        <v>1185.9</v>
      </c>
      <c r="H90" s="30" t="n">
        <v>2.89</v>
      </c>
      <c r="I90" s="30" t="n">
        <v>93778</v>
      </c>
      <c r="J90" s="30" t="inlineStr">
        <is>
          <t>590013</t>
        </is>
      </c>
    </row>
    <row r="91">
      <c r="A91" s="30" t="inlineStr">
        <is>
          <t>GLOBAL</t>
        </is>
      </c>
      <c r="B91" s="30" t="inlineStr">
        <is>
          <t>Global Education Ltd</t>
        </is>
      </c>
      <c r="C91" s="30" t="inlineStr">
        <is>
          <t>services</t>
        </is>
      </c>
      <c r="D91" s="30" t="inlineStr">
        <is>
          <t>miscellaneous</t>
        </is>
      </c>
      <c r="E91" s="30" t="inlineStr">
        <is>
          <t>smallcap</t>
        </is>
      </c>
      <c r="F91" s="30" t="n">
        <v>534.52</v>
      </c>
      <c r="G91" s="30" t="n">
        <v>108.02</v>
      </c>
      <c r="H91" s="30" t="n">
        <v>2.87</v>
      </c>
      <c r="I91" s="30" t="n">
        <v>223535</v>
      </c>
      <c r="J91" s="30" t="inlineStr">
        <is>
          <t>538406</t>
        </is>
      </c>
    </row>
    <row r="92">
      <c r="A92" s="30" t="inlineStr">
        <is>
          <t>APOLLO</t>
        </is>
      </c>
      <c r="B92" s="30" t="inlineStr">
        <is>
          <t>Apollo Micro Systems Ltd</t>
        </is>
      </c>
      <c r="C92" s="30" t="inlineStr">
        <is>
          <t>aerospace &amp; defence</t>
        </is>
      </c>
      <c r="D92" s="30" t="inlineStr">
        <is>
          <t>electronics - components</t>
        </is>
      </c>
      <c r="E92" s="30" t="inlineStr">
        <is>
          <t>midcap</t>
        </is>
      </c>
      <c r="F92" s="30" t="n">
        <v>14561.45</v>
      </c>
      <c r="G92" s="30" t="n">
        <v>419.2</v>
      </c>
      <c r="H92" s="30" t="n">
        <v>2.86</v>
      </c>
      <c r="I92" s="30" t="n">
        <v>30125129</v>
      </c>
      <c r="J92" s="30" t="inlineStr">
        <is>
          <t>540879</t>
        </is>
      </c>
    </row>
    <row r="93">
      <c r="A93" s="30" t="inlineStr">
        <is>
          <t>SATIN</t>
        </is>
      </c>
      <c r="B93" s="30" t="inlineStr">
        <is>
          <t>Satin Creditcare Network Limited</t>
        </is>
      </c>
      <c r="C93" s="30" t="inlineStr">
        <is>
          <t>financials</t>
        </is>
      </c>
      <c r="D93" s="30" t="inlineStr">
        <is>
          <t>finance &amp; investments</t>
        </is>
      </c>
      <c r="E93" s="30" t="inlineStr">
        <is>
          <t>smallcap</t>
        </is>
      </c>
      <c r="F93" s="30" t="n">
        <v>2598.83</v>
      </c>
      <c r="G93" s="30" t="n">
        <v>241.93</v>
      </c>
      <c r="H93" s="30" t="n">
        <v>2.84</v>
      </c>
      <c r="I93" s="30" t="n">
        <v>2487322</v>
      </c>
      <c r="J93" s="30" t="inlineStr">
        <is>
          <t>539404</t>
        </is>
      </c>
    </row>
    <row r="94">
      <c r="A94" s="30" t="inlineStr">
        <is>
          <t>TEGA</t>
        </is>
      </c>
      <c r="B94" s="30" t="inlineStr">
        <is>
          <t>Tega Industries Ltd</t>
        </is>
      </c>
      <c r="C94" s="30" t="inlineStr">
        <is>
          <t>industrials</t>
        </is>
      </c>
      <c r="D94" s="30" t="inlineStr">
        <is>
          <t>engineering</t>
        </is>
      </c>
      <c r="E94" s="30" t="inlineStr">
        <is>
          <t>midcap</t>
        </is>
      </c>
      <c r="F94" s="30" t="n">
        <v>13681.51</v>
      </c>
      <c r="G94" s="30" t="n">
        <v>1872.2</v>
      </c>
      <c r="H94" s="30" t="n">
        <v>2.81</v>
      </c>
      <c r="I94" s="30" t="n">
        <v>156628</v>
      </c>
      <c r="J94" s="30" t="inlineStr">
        <is>
          <t>543413</t>
        </is>
      </c>
    </row>
    <row r="95">
      <c r="A95" s="30" t="inlineStr">
        <is>
          <t>AKUMS</t>
        </is>
      </c>
      <c r="B95" s="30" t="inlineStr">
        <is>
          <t>Akums Drugs &amp; Pharmaceuticals Ltd</t>
        </is>
      </c>
      <c r="C95" s="30" t="inlineStr">
        <is>
          <t>healthcare</t>
        </is>
      </c>
      <c r="D95" s="30" t="inlineStr">
        <is>
          <t>pharmaceuticals - indian - bulk drugs &amp; formln</t>
        </is>
      </c>
      <c r="E95" s="30" t="inlineStr">
        <is>
          <t>midcap</t>
        </is>
      </c>
      <c r="F95" s="30" t="n">
        <v>8506.360000000001</v>
      </c>
      <c r="G95" s="30" t="n">
        <v>555.5</v>
      </c>
      <c r="H95" s="30" t="n">
        <v>2.78</v>
      </c>
      <c r="I95" s="30" t="n">
        <v>324949</v>
      </c>
      <c r="J95" s="30" t="inlineStr">
        <is>
          <t>544222</t>
        </is>
      </c>
    </row>
    <row r="96">
      <c r="A96" s="30" t="inlineStr">
        <is>
          <t>AEROENTER</t>
        </is>
      </c>
      <c r="B96" s="30" t="inlineStr">
        <is>
          <t>Aeroflex Enterprises Ltd</t>
        </is>
      </c>
      <c r="C96" s="30" t="inlineStr">
        <is>
          <t>metals &amp; mining</t>
        </is>
      </c>
      <c r="D96" s="30" t="inlineStr">
        <is>
          <t>steel - medium / small</t>
        </is>
      </c>
      <c r="E96" s="30" t="inlineStr">
        <is>
          <t>smallcap</t>
        </is>
      </c>
      <c r="F96" s="30" t="n">
        <v>1112.76</v>
      </c>
      <c r="G96" s="30" t="n">
        <v>101.13</v>
      </c>
      <c r="H96" s="30" t="n">
        <v>2.77</v>
      </c>
      <c r="I96" s="30" t="n">
        <v>755189</v>
      </c>
      <c r="J96" s="30" t="inlineStr">
        <is>
          <t>511076</t>
        </is>
      </c>
    </row>
    <row r="97">
      <c r="A97" s="30" t="inlineStr">
        <is>
          <t>TATACOMM</t>
        </is>
      </c>
      <c r="B97" s="30" t="inlineStr">
        <is>
          <t>Tata Communications Limited</t>
        </is>
      </c>
      <c r="C97" s="30" t="inlineStr">
        <is>
          <t>telecom-service</t>
        </is>
      </c>
      <c r="D97" s="30" t="inlineStr">
        <is>
          <t>telecommunications - service provider</t>
        </is>
      </c>
      <c r="E97" s="30" t="inlineStr">
        <is>
          <t>largecap</t>
        </is>
      </c>
      <c r="F97" s="30" t="n">
        <v>55110.45</v>
      </c>
      <c r="G97" s="30" t="n">
        <v>1985.9</v>
      </c>
      <c r="H97" s="30" t="n">
        <v>2.7</v>
      </c>
      <c r="I97" s="30" t="n">
        <v>902558</v>
      </c>
      <c r="J97" s="30" t="inlineStr">
        <is>
          <t>500483</t>
        </is>
      </c>
    </row>
    <row r="98">
      <c r="A98" s="30" t="inlineStr">
        <is>
          <t>SPECTRUM</t>
        </is>
      </c>
      <c r="B98" s="30" t="inlineStr">
        <is>
          <t>Spectrum Electrical Industries Ltd</t>
        </is>
      </c>
      <c r="C98" s="30" t="inlineStr">
        <is>
          <t>industrials</t>
        </is>
      </c>
      <c r="D98" s="30" t="inlineStr">
        <is>
          <t>electric equipment</t>
        </is>
      </c>
      <c r="E98" s="30" t="inlineStr">
        <is>
          <t>smallcap</t>
        </is>
      </c>
      <c r="F98" s="30" t="n">
        <v>2547.37</v>
      </c>
      <c r="G98" s="30" t="n">
        <v>1664.8</v>
      </c>
      <c r="H98" s="30" t="n">
        <v>2.7</v>
      </c>
      <c r="I98" s="30" t="n">
        <v>81126</v>
      </c>
      <c r="J98" s="30" t="inlineStr">
        <is>
          <t>535112</t>
        </is>
      </c>
    </row>
    <row r="99">
      <c r="A99" s="30" t="inlineStr">
        <is>
          <t>PAISALO</t>
        </is>
      </c>
      <c r="B99" s="30" t="inlineStr">
        <is>
          <t>Paisalo Digital Ltd</t>
        </is>
      </c>
      <c r="C99" s="30" t="inlineStr">
        <is>
          <t>financials</t>
        </is>
      </c>
      <c r="D99" s="30" t="inlineStr">
        <is>
          <t>finance &amp; investments</t>
        </is>
      </c>
      <c r="E99" s="30" t="inlineStr">
        <is>
          <t>smallcap</t>
        </is>
      </c>
      <c r="F99" s="30" t="n">
        <v>4904.14</v>
      </c>
      <c r="G99" s="30" t="n">
        <v>55.37</v>
      </c>
      <c r="H99" s="30" t="n">
        <v>2.69</v>
      </c>
      <c r="I99" s="30" t="n">
        <v>10904882</v>
      </c>
      <c r="J99" s="30" t="inlineStr">
        <is>
          <t>532900</t>
        </is>
      </c>
    </row>
    <row r="100">
      <c r="A100" s="30" t="inlineStr">
        <is>
          <t>PGIL</t>
        </is>
      </c>
      <c r="B100" s="30" t="inlineStr">
        <is>
          <t>Pearl Global Industries Limited</t>
        </is>
      </c>
      <c r="C100" s="30" t="inlineStr">
        <is>
          <t>consumer discretionary</t>
        </is>
      </c>
      <c r="D100" s="30" t="inlineStr">
        <is>
          <t>textiles - products</t>
        </is>
      </c>
      <c r="E100" s="30" t="inlineStr">
        <is>
          <t>midcap</t>
        </is>
      </c>
      <c r="F100" s="30" t="n">
        <v>7546.26</v>
      </c>
      <c r="G100" s="30" t="n">
        <v>1678.7</v>
      </c>
      <c r="H100" s="30" t="n">
        <v>2.65</v>
      </c>
      <c r="I100" s="30" t="n">
        <v>64434</v>
      </c>
      <c r="J100" s="30" t="inlineStr">
        <is>
          <t>532808</t>
        </is>
      </c>
    </row>
    <row r="101">
      <c r="A101" s="30" t="inlineStr">
        <is>
          <t>GRWRHITECH</t>
        </is>
      </c>
      <c r="B101" s="30" t="inlineStr">
        <is>
          <t>Garware Hi Tech Films Ltd</t>
        </is>
      </c>
      <c r="C101" s="30" t="inlineStr">
        <is>
          <t>industrials</t>
        </is>
      </c>
      <c r="D101" s="30" t="inlineStr">
        <is>
          <t>packaging</t>
        </is>
      </c>
      <c r="E101" s="30" t="inlineStr">
        <is>
          <t>midcap</t>
        </is>
      </c>
      <c r="F101" s="30" t="n">
        <v>13273.83</v>
      </c>
      <c r="G101" s="30" t="n">
        <v>5863.5</v>
      </c>
      <c r="H101" s="30" t="n">
        <v>2.63</v>
      </c>
      <c r="I101" s="30" t="n">
        <v>51551</v>
      </c>
      <c r="J101" s="30" t="inlineStr">
        <is>
          <t>500655</t>
        </is>
      </c>
    </row>
    <row r="102">
      <c r="A102" s="30" t="inlineStr">
        <is>
          <t>EMCURE</t>
        </is>
      </c>
      <c r="B102" s="30" t="inlineStr">
        <is>
          <t>Emcure Pharmaceuticals Ltd</t>
        </is>
      </c>
      <c r="C102" s="30" t="inlineStr">
        <is>
          <t>healthcare</t>
        </is>
      </c>
      <c r="D102" s="30" t="inlineStr">
        <is>
          <t>pharmaceuticals - indian - bulk drugs &amp; formln</t>
        </is>
      </c>
      <c r="E102" s="30" t="inlineStr">
        <is>
          <t>largecap</t>
        </is>
      </c>
      <c r="F102" s="30" t="n">
        <v>32243.49</v>
      </c>
      <c r="G102" s="30" t="n">
        <v>1745.2</v>
      </c>
      <c r="H102" s="30" t="n">
        <v>2.62</v>
      </c>
      <c r="I102" s="30" t="n">
        <v>173206</v>
      </c>
      <c r="J102" s="30" t="inlineStr">
        <is>
          <t>544210</t>
        </is>
      </c>
    </row>
    <row r="103">
      <c r="A103" s="30" t="inlineStr">
        <is>
          <t>MEDANTA</t>
        </is>
      </c>
      <c r="B103" s="30" t="inlineStr">
        <is>
          <t>Global Health Ltd</t>
        </is>
      </c>
      <c r="C103" s="30" t="inlineStr">
        <is>
          <t>healthcare</t>
        </is>
      </c>
      <c r="D103" s="30" t="inlineStr">
        <is>
          <t>healthcare</t>
        </is>
      </c>
      <c r="E103" s="30" t="inlineStr">
        <is>
          <t>largecap</t>
        </is>
      </c>
      <c r="F103" s="30" t="n">
        <v>32289.79</v>
      </c>
      <c r="G103" s="30" t="n">
        <v>1231.8</v>
      </c>
      <c r="H103" s="30" t="n">
        <v>2.54</v>
      </c>
      <c r="I103" s="30" t="n">
        <v>140246</v>
      </c>
      <c r="J103" s="30" t="inlineStr">
        <is>
          <t>543654</t>
        </is>
      </c>
    </row>
    <row r="104">
      <c r="A104" s="30" t="inlineStr">
        <is>
          <t>CUPID</t>
        </is>
      </c>
      <c r="B104" s="30" t="inlineStr">
        <is>
          <t>Cupid Limited</t>
        </is>
      </c>
      <c r="C104" s="30" t="inlineStr">
        <is>
          <t>fmcg</t>
        </is>
      </c>
      <c r="D104" s="30" t="inlineStr">
        <is>
          <t>personal care - indian</t>
        </is>
      </c>
      <c r="E104" s="30" t="inlineStr">
        <is>
          <t>midcap</t>
        </is>
      </c>
      <c r="F104" s="30" t="n">
        <v>17453.7</v>
      </c>
      <c r="G104" s="30" t="n">
        <v>133.09</v>
      </c>
      <c r="H104" s="30" t="n">
        <v>2.53</v>
      </c>
      <c r="I104" s="30" t="n">
        <v>15465563</v>
      </c>
      <c r="J104" s="30" t="inlineStr">
        <is>
          <t>530843</t>
        </is>
      </c>
    </row>
    <row r="105">
      <c r="A105" s="30" t="inlineStr">
        <is>
          <t>ASHAPURMIN</t>
        </is>
      </c>
      <c r="B105" s="30" t="inlineStr">
        <is>
          <t>Ashapura Minechem Limited</t>
        </is>
      </c>
      <c r="C105" s="30" t="inlineStr">
        <is>
          <t>metals &amp; mining</t>
        </is>
      </c>
      <c r="D105" s="30" t="inlineStr">
        <is>
          <t>mining / minerals / metals</t>
        </is>
      </c>
      <c r="E105" s="30" t="inlineStr">
        <is>
          <t>midcap</t>
        </is>
      </c>
      <c r="F105" s="30" t="n">
        <v>6901.76</v>
      </c>
      <c r="G105" s="30" t="n">
        <v>740.6</v>
      </c>
      <c r="H105" s="30" t="n">
        <v>2.51</v>
      </c>
      <c r="I105" s="30" t="n">
        <v>865242</v>
      </c>
      <c r="J105" s="30" t="inlineStr">
        <is>
          <t>527001</t>
        </is>
      </c>
    </row>
    <row r="106">
      <c r="A106" s="30" t="inlineStr">
        <is>
          <t>DEEPINDS</t>
        </is>
      </c>
      <c r="B106" s="30" t="inlineStr">
        <is>
          <t>Deep Industries Ltd</t>
        </is>
      </c>
      <c r="C106" s="30" t="inlineStr">
        <is>
          <t>energy</t>
        </is>
      </c>
      <c r="D106" s="30" t="inlineStr">
        <is>
          <t>oil drilling / allied services</t>
        </is>
      </c>
      <c r="E106" s="30" t="inlineStr">
        <is>
          <t>smallcap</t>
        </is>
      </c>
      <c r="F106" s="30" t="n">
        <v>3280</v>
      </c>
      <c r="G106" s="30" t="n">
        <v>525.25</v>
      </c>
      <c r="H106" s="30" t="n">
        <v>2.49</v>
      </c>
      <c r="I106" s="30" t="n">
        <v>358251</v>
      </c>
      <c r="J106" s="30" t="inlineStr">
        <is>
          <t>543288</t>
        </is>
      </c>
    </row>
    <row r="107">
      <c r="A107" s="30" t="inlineStr">
        <is>
          <t>TVSSRICHAK</t>
        </is>
      </c>
      <c r="B107" s="30" t="inlineStr">
        <is>
          <t>Tvs Srichakra Limited</t>
        </is>
      </c>
      <c r="C107" s="30" t="inlineStr">
        <is>
          <t>auto</t>
        </is>
      </c>
      <c r="D107" s="30" t="inlineStr">
        <is>
          <t>tyres</t>
        </is>
      </c>
      <c r="E107" s="30" t="inlineStr">
        <is>
          <t>smallcap</t>
        </is>
      </c>
      <c r="F107" s="30" t="n">
        <v>3039.01</v>
      </c>
      <c r="G107" s="30" t="n">
        <v>4066.8</v>
      </c>
      <c r="H107" s="30" t="n">
        <v>2.47</v>
      </c>
      <c r="I107" s="30" t="n">
        <v>9538</v>
      </c>
      <c r="J107" s="30" t="inlineStr">
        <is>
          <t>509243</t>
        </is>
      </c>
    </row>
    <row r="108">
      <c r="A108" s="30" t="inlineStr">
        <is>
          <t>GVT&amp;D</t>
        </is>
      </c>
      <c r="B108" s="30" t="inlineStr">
        <is>
          <t>GE Vernova T&amp;D India Ltd</t>
        </is>
      </c>
      <c r="C108" s="30" t="inlineStr">
        <is>
          <t>industrials</t>
        </is>
      </c>
      <c r="D108" s="30" t="inlineStr">
        <is>
          <t>electric equipment</t>
        </is>
      </c>
      <c r="E108" s="30" t="inlineStr">
        <is>
          <t>largecap</t>
        </is>
      </c>
      <c r="F108" s="30" t="n">
        <v>127114.3</v>
      </c>
      <c r="G108" s="30" t="n">
        <v>5086.5</v>
      </c>
      <c r="H108" s="30" t="n">
        <v>2.46</v>
      </c>
      <c r="I108" s="30" t="n">
        <v>999168</v>
      </c>
      <c r="J108" s="30" t="inlineStr">
        <is>
          <t>522275</t>
        </is>
      </c>
    </row>
    <row r="109">
      <c r="A109" s="30" t="inlineStr">
        <is>
          <t>GUJTHEM</t>
        </is>
      </c>
      <c r="B109" s="30" t="inlineStr">
        <is>
          <t>Gujarat Themis Biosyn Ltd</t>
        </is>
      </c>
      <c r="C109" s="30" t="inlineStr">
        <is>
          <t>healthcare</t>
        </is>
      </c>
      <c r="D109" s="30" t="inlineStr">
        <is>
          <t>pharmaceuticals - indian - bulk drugs</t>
        </is>
      </c>
      <c r="E109" s="30" t="inlineStr">
        <is>
          <t>smallcap</t>
        </is>
      </c>
      <c r="F109" s="30" t="n">
        <v>4378.22</v>
      </c>
      <c r="G109" s="30" t="n">
        <v>411.65</v>
      </c>
      <c r="H109" s="30" t="n">
        <v>2.45</v>
      </c>
      <c r="I109" s="30" t="n">
        <v>236235</v>
      </c>
      <c r="J109" s="30" t="inlineStr">
        <is>
          <t>506879</t>
        </is>
      </c>
    </row>
    <row r="110">
      <c r="A110" s="30" t="inlineStr">
        <is>
          <t>KENNAMET</t>
        </is>
      </c>
      <c r="B110" s="30" t="inlineStr">
        <is>
          <t>Kennametal India Ltd</t>
        </is>
      </c>
      <c r="C110" s="30" t="inlineStr">
        <is>
          <t>industrials</t>
        </is>
      </c>
      <c r="D110" s="30" t="inlineStr">
        <is>
          <t>castings &amp; forgings</t>
        </is>
      </c>
      <c r="E110" s="30" t="inlineStr">
        <is>
          <t>midcap</t>
        </is>
      </c>
      <c r="F110" s="30" t="n">
        <v>6319.18</v>
      </c>
      <c r="G110" s="30" t="n">
        <v>2944.4</v>
      </c>
      <c r="H110" s="30" t="n">
        <v>2.41</v>
      </c>
      <c r="I110" s="30" t="n">
        <v>8614</v>
      </c>
      <c r="J110" s="30" t="inlineStr">
        <is>
          <t>505890</t>
        </is>
      </c>
    </row>
    <row r="111">
      <c r="A111" s="30" t="inlineStr">
        <is>
          <t>CAPLIPOINT</t>
        </is>
      </c>
      <c r="B111" s="30" t="inlineStr">
        <is>
          <t>Caplin Point Laboratories Limited</t>
        </is>
      </c>
      <c r="C111" s="30" t="inlineStr">
        <is>
          <t>healthcare</t>
        </is>
      </c>
      <c r="D111" s="30" t="inlineStr">
        <is>
          <t>pharmaceuticals - indian - formulations</t>
        </is>
      </c>
      <c r="E111" s="30" t="inlineStr">
        <is>
          <t>midcap</t>
        </is>
      </c>
      <c r="F111" s="30" t="n">
        <v>14996.35</v>
      </c>
      <c r="G111" s="30" t="n">
        <v>2019.7</v>
      </c>
      <c r="H111" s="30" t="n">
        <v>2.37</v>
      </c>
      <c r="I111" s="30" t="n">
        <v>97390</v>
      </c>
      <c r="J111" s="30" t="inlineStr">
        <is>
          <t>524742</t>
        </is>
      </c>
    </row>
    <row r="112">
      <c r="A112" s="30" t="inlineStr">
        <is>
          <t>TATATECH</t>
        </is>
      </c>
      <c r="B112" s="30" t="inlineStr">
        <is>
          <t>Tata Technologies Ltd</t>
        </is>
      </c>
      <c r="C112" s="30" t="inlineStr">
        <is>
          <t>i.t</t>
        </is>
      </c>
      <c r="D112" s="30" t="inlineStr">
        <is>
          <t>computers - software - medium / small</t>
        </is>
      </c>
      <c r="E112" s="30" t="inlineStr">
        <is>
          <t>largecap</t>
        </is>
      </c>
      <c r="F112" s="30" t="n">
        <v>29679.12</v>
      </c>
      <c r="G112" s="30" t="n">
        <v>748.35</v>
      </c>
      <c r="H112" s="30" t="n">
        <v>2.37</v>
      </c>
      <c r="I112" s="30" t="n">
        <v>1787739</v>
      </c>
      <c r="J112" s="30" t="inlineStr">
        <is>
          <t>544028</t>
        </is>
      </c>
    </row>
    <row r="113">
      <c r="A113" s="30" t="inlineStr">
        <is>
          <t>LAURUSLABS</t>
        </is>
      </c>
      <c r="B113" s="30" t="inlineStr">
        <is>
          <t>Laurus Labs Limited</t>
        </is>
      </c>
      <c r="C113" s="30" t="inlineStr">
        <is>
          <t>healthcare</t>
        </is>
      </c>
      <c r="D113" s="30" t="inlineStr">
        <is>
          <t>pharmaceuticals - indian - bulk drugs &amp; formln</t>
        </is>
      </c>
      <c r="E113" s="30" t="inlineStr">
        <is>
          <t>largecap</t>
        </is>
      </c>
      <c r="F113" s="30" t="n">
        <v>75272.2</v>
      </c>
      <c r="G113" s="30" t="n">
        <v>1427.2</v>
      </c>
      <c r="H113" s="30" t="n">
        <v>2.36</v>
      </c>
      <c r="I113" s="30" t="n">
        <v>1983191</v>
      </c>
      <c r="J113" s="30" t="inlineStr">
        <is>
          <t>540222</t>
        </is>
      </c>
    </row>
    <row r="114">
      <c r="A114" s="30" t="inlineStr">
        <is>
          <t>SOUTHBANK</t>
        </is>
      </c>
      <c r="B114" s="30" t="inlineStr">
        <is>
          <t>The South Indian Bank Limited</t>
        </is>
      </c>
      <c r="C114" s="30" t="inlineStr">
        <is>
          <t>bank</t>
        </is>
      </c>
      <c r="D114" s="30" t="inlineStr">
        <is>
          <t>banks - private sector</t>
        </is>
      </c>
      <c r="E114" s="30" t="inlineStr">
        <is>
          <t>midcap</t>
        </is>
      </c>
      <c r="F114" s="30" t="n">
        <v>11412.6</v>
      </c>
      <c r="G114" s="30" t="n">
        <v>44.61</v>
      </c>
      <c r="H114" s="30" t="n">
        <v>2.32</v>
      </c>
      <c r="I114" s="30" t="n">
        <v>26453430</v>
      </c>
      <c r="J114" s="30" t="inlineStr">
        <is>
          <t>532218</t>
        </is>
      </c>
    </row>
    <row r="115">
      <c r="A115" s="30" t="inlineStr">
        <is>
          <t>RSWM</t>
        </is>
      </c>
      <c r="B115" s="30" t="inlineStr">
        <is>
          <t>Rswm Limited</t>
        </is>
      </c>
      <c r="C115" s="30" t="inlineStr">
        <is>
          <t>textiles</t>
        </is>
      </c>
      <c r="D115" s="30" t="inlineStr">
        <is>
          <t>textiles - cotton/blended</t>
        </is>
      </c>
      <c r="E115" s="30" t="inlineStr">
        <is>
          <t>smallcap</t>
        </is>
      </c>
      <c r="F115" s="30" t="n">
        <v>815.99</v>
      </c>
      <c r="G115" s="30" t="n">
        <v>177.22</v>
      </c>
      <c r="H115" s="30" t="n">
        <v>2.3</v>
      </c>
      <c r="I115" s="30" t="n">
        <v>106925</v>
      </c>
      <c r="J115" s="30" t="inlineStr">
        <is>
          <t>500350</t>
        </is>
      </c>
    </row>
    <row r="116">
      <c r="A116" s="30" t="inlineStr">
        <is>
          <t>IMFA</t>
        </is>
      </c>
      <c r="B116" s="30" t="inlineStr">
        <is>
          <t>Indian Metals &amp; Ferro Alloys Limited</t>
        </is>
      </c>
      <c r="C116" s="30" t="inlineStr">
        <is>
          <t>metals &amp; mining</t>
        </is>
      </c>
      <c r="D116" s="30" t="inlineStr">
        <is>
          <t>mining / minerals / metals</t>
        </is>
      </c>
      <c r="E116" s="30" t="inlineStr">
        <is>
          <t>midcap</t>
        </is>
      </c>
      <c r="F116" s="30" t="n">
        <v>8103.37</v>
      </c>
      <c r="G116" s="30" t="n">
        <v>1536.3</v>
      </c>
      <c r="H116" s="30" t="n">
        <v>2.29</v>
      </c>
      <c r="I116" s="30" t="n">
        <v>260476</v>
      </c>
      <c r="J116" s="30" t="inlineStr">
        <is>
          <t>533047</t>
        </is>
      </c>
    </row>
    <row r="117">
      <c r="A117" s="30" t="inlineStr">
        <is>
          <t>NOVARTIND</t>
        </is>
      </c>
      <c r="B117" s="30" t="inlineStr">
        <is>
          <t>Novartis India Ltd</t>
        </is>
      </c>
      <c r="C117" s="30" t="inlineStr">
        <is>
          <t>healthcare</t>
        </is>
      </c>
      <c r="D117" s="30" t="inlineStr">
        <is>
          <t>pharmaceuticals - multinational</t>
        </is>
      </c>
      <c r="E117" s="30" t="inlineStr">
        <is>
          <t>smallcap</t>
        </is>
      </c>
      <c r="F117" s="30" t="n">
        <v>3266.84</v>
      </c>
      <c r="G117" s="30" t="n">
        <v>1353</v>
      </c>
      <c r="H117" s="30" t="n">
        <v>2.26</v>
      </c>
      <c r="I117" s="30" t="n">
        <v>33136</v>
      </c>
      <c r="J117" s="30" t="inlineStr">
        <is>
          <t>500672</t>
        </is>
      </c>
    </row>
    <row r="118">
      <c r="A118" s="30" t="inlineStr">
        <is>
          <t>GAIL</t>
        </is>
      </c>
      <c r="B118" s="30" t="inlineStr">
        <is>
          <t>Gail (india) Limited</t>
        </is>
      </c>
      <c r="C118" s="30" t="inlineStr">
        <is>
          <t>energy</t>
        </is>
      </c>
      <c r="D118" s="30" t="inlineStr">
        <is>
          <t>miscellaneous</t>
        </is>
      </c>
      <c r="E118" s="30" t="inlineStr">
        <is>
          <t>largecap</t>
        </is>
      </c>
      <c r="F118" s="30" t="n">
        <v>107739.58</v>
      </c>
      <c r="G118" s="30" t="n">
        <v>167.55</v>
      </c>
      <c r="H118" s="30" t="n">
        <v>2.25</v>
      </c>
      <c r="I118" s="30" t="n">
        <v>11510123</v>
      </c>
      <c r="J118" s="30" t="inlineStr">
        <is>
          <t>532155</t>
        </is>
      </c>
    </row>
    <row r="119">
      <c r="A119" s="30" t="inlineStr">
        <is>
          <t>SHYAMMETL</t>
        </is>
      </c>
      <c r="B119" s="30" t="inlineStr">
        <is>
          <t>Shyam Metalics &amp; Energy Ltd</t>
        </is>
      </c>
      <c r="C119" s="30" t="inlineStr">
        <is>
          <t>metals &amp; mining</t>
        </is>
      </c>
      <c r="D119" s="30" t="inlineStr">
        <is>
          <t>steel - large</t>
        </is>
      </c>
      <c r="E119" s="30" t="inlineStr">
        <is>
          <t>largecap</t>
        </is>
      </c>
      <c r="F119" s="30" t="n">
        <v>27353.53</v>
      </c>
      <c r="G119" s="30" t="n">
        <v>1002</v>
      </c>
      <c r="H119" s="30" t="n">
        <v>2.25</v>
      </c>
      <c r="I119" s="30" t="n">
        <v>1083978</v>
      </c>
      <c r="J119" s="30" t="inlineStr">
        <is>
          <t>543299</t>
        </is>
      </c>
    </row>
    <row r="120">
      <c r="A120" s="30" t="inlineStr">
        <is>
          <t>SYRMA</t>
        </is>
      </c>
      <c r="B120" s="30" t="inlineStr">
        <is>
          <t>Syrma SGS Technology Ltd</t>
        </is>
      </c>
      <c r="C120" s="30" t="inlineStr">
        <is>
          <t>consumer discretionary</t>
        </is>
      </c>
      <c r="D120" s="30" t="inlineStr">
        <is>
          <t>electronics - components</t>
        </is>
      </c>
      <c r="E120" s="30" t="inlineStr">
        <is>
          <t>largecap</t>
        </is>
      </c>
      <c r="F120" s="30" t="n">
        <v>23049.03</v>
      </c>
      <c r="G120" s="30" t="n">
        <v>1221.6</v>
      </c>
      <c r="H120" s="30" t="n">
        <v>2.2</v>
      </c>
      <c r="I120" s="30" t="n">
        <v>1378327</v>
      </c>
      <c r="J120" s="30" t="inlineStr">
        <is>
          <t>543573</t>
        </is>
      </c>
    </row>
    <row r="121">
      <c r="A121" s="30" t="inlineStr">
        <is>
          <t>SPARC</t>
        </is>
      </c>
      <c r="B121" s="30" t="inlineStr">
        <is>
          <t>Sun Pharma Advanced Research Company Limited</t>
        </is>
      </c>
      <c r="C121" s="30" t="inlineStr">
        <is>
          <t>healthcare</t>
        </is>
      </c>
      <c r="D121" s="30" t="inlineStr">
        <is>
          <t>miscellaneous</t>
        </is>
      </c>
      <c r="E121" s="30" t="inlineStr">
        <is>
          <t>midcap</t>
        </is>
      </c>
      <c r="F121" s="30" t="n">
        <v>6766.28</v>
      </c>
      <c r="G121" s="30" t="n">
        <v>212.97</v>
      </c>
      <c r="H121" s="30" t="n">
        <v>2.14</v>
      </c>
      <c r="I121" s="30" t="n">
        <v>3231644</v>
      </c>
      <c r="J121" s="30" t="inlineStr">
        <is>
          <t>532872</t>
        </is>
      </c>
    </row>
    <row r="122">
      <c r="A122" s="30" t="inlineStr">
        <is>
          <t>DIACABS</t>
        </is>
      </c>
      <c r="B122" s="30" t="inlineStr">
        <is>
          <t>Diamond Power Infrastructure Ltd</t>
        </is>
      </c>
      <c r="C122" s="30" t="inlineStr">
        <is>
          <t>industrials</t>
        </is>
      </c>
      <c r="D122" s="30" t="inlineStr">
        <is>
          <t>cables - power</t>
        </is>
      </c>
      <c r="E122" s="30" t="inlineStr">
        <is>
          <t>midcap</t>
        </is>
      </c>
      <c r="F122" s="30" t="n">
        <v>9942.889999999999</v>
      </c>
      <c r="G122" s="30" t="n">
        <v>192.69</v>
      </c>
      <c r="H122" s="30" t="n">
        <v>2.13</v>
      </c>
      <c r="I122" s="30" t="n">
        <v>3803681</v>
      </c>
      <c r="J122" s="30" t="inlineStr">
        <is>
          <t>522163</t>
        </is>
      </c>
    </row>
    <row r="123">
      <c r="A123" s="30" t="inlineStr">
        <is>
          <t>VSSL</t>
        </is>
      </c>
      <c r="B123" s="30" t="inlineStr">
        <is>
          <t>Vardhman Special Steels Limited</t>
        </is>
      </c>
      <c r="C123" s="30" t="inlineStr">
        <is>
          <t>metals &amp; mining</t>
        </is>
      </c>
      <c r="D123" s="30" t="inlineStr">
        <is>
          <t>steel - medium / small</t>
        </is>
      </c>
      <c r="E123" s="30" t="inlineStr">
        <is>
          <t>smallcap</t>
        </is>
      </c>
      <c r="F123" s="30" t="n">
        <v>2624.05</v>
      </c>
      <c r="G123" s="30" t="n">
        <v>277.1</v>
      </c>
      <c r="H123" s="30" t="n">
        <v>2.1</v>
      </c>
      <c r="I123" s="30" t="n">
        <v>75316</v>
      </c>
      <c r="J123" s="30" t="inlineStr">
        <is>
          <t>534392</t>
        </is>
      </c>
    </row>
    <row r="124">
      <c r="A124" s="30" t="inlineStr">
        <is>
          <t>WHEELS</t>
        </is>
      </c>
      <c r="B124" s="30" t="inlineStr">
        <is>
          <t>Wheels India Limited</t>
        </is>
      </c>
      <c r="C124" s="30" t="inlineStr">
        <is>
          <t>auto</t>
        </is>
      </c>
      <c r="D124" s="30" t="inlineStr">
        <is>
          <t>auto ancillaries</t>
        </is>
      </c>
      <c r="E124" s="30" t="inlineStr">
        <is>
          <t>smallcap</t>
        </is>
      </c>
      <c r="F124" s="30" t="n">
        <v>3659.33</v>
      </c>
      <c r="G124" s="30" t="n">
        <v>1528.7</v>
      </c>
      <c r="H124" s="30" t="n">
        <v>2.07</v>
      </c>
      <c r="I124" s="30" t="n">
        <v>84286</v>
      </c>
      <c r="J124" s="30" t="inlineStr">
        <is>
          <t>590073</t>
        </is>
      </c>
    </row>
    <row r="125">
      <c r="A125" s="30" t="inlineStr">
        <is>
          <t>SBC</t>
        </is>
      </c>
      <c r="B125" s="30" t="inlineStr">
        <is>
          <t>SBC Exports Ltd</t>
        </is>
      </c>
      <c r="C125" s="30" t="inlineStr">
        <is>
          <t>textiles</t>
        </is>
      </c>
      <c r="D125" s="30" t="inlineStr">
        <is>
          <t>textiles - products</t>
        </is>
      </c>
      <c r="E125" s="30" t="inlineStr">
        <is>
          <t>smallcap</t>
        </is>
      </c>
      <c r="F125" s="30" t="n">
        <v>1749.52</v>
      </c>
      <c r="G125" s="30" t="n">
        <v>37.5</v>
      </c>
      <c r="H125" s="30" t="n">
        <v>2.07</v>
      </c>
      <c r="I125" s="30" t="n">
        <v>12843650</v>
      </c>
      <c r="J125" s="30" t="inlineStr">
        <is>
          <t>542725</t>
        </is>
      </c>
    </row>
    <row r="126">
      <c r="A126" s="30" t="inlineStr">
        <is>
          <t>SANGHVIMOV</t>
        </is>
      </c>
      <c r="B126" s="30" t="inlineStr">
        <is>
          <t>Sanghvi Movers Limited</t>
        </is>
      </c>
      <c r="C126" s="30" t="inlineStr">
        <is>
          <t>miscellaneous</t>
        </is>
      </c>
      <c r="D126" s="30" t="inlineStr">
        <is>
          <t>miscellaneous</t>
        </is>
      </c>
      <c r="E126" s="30" t="inlineStr">
        <is>
          <t>smallcap</t>
        </is>
      </c>
      <c r="F126" s="30" t="n">
        <v>3110.68</v>
      </c>
      <c r="G126" s="30" t="n">
        <v>366.75</v>
      </c>
      <c r="H126" s="30" t="n">
        <v>2.07</v>
      </c>
      <c r="I126" s="30" t="n">
        <v>273598</v>
      </c>
      <c r="J126" s="30" t="inlineStr">
        <is>
          <t>530073</t>
        </is>
      </c>
    </row>
    <row r="127">
      <c r="A127" s="30" t="inlineStr">
        <is>
          <t>BBOX</t>
        </is>
      </c>
      <c r="B127" s="30" t="inlineStr">
        <is>
          <t>Black Box Ltd</t>
        </is>
      </c>
      <c r="C127" s="30" t="inlineStr">
        <is>
          <t>i.t</t>
        </is>
      </c>
      <c r="D127" s="30" t="inlineStr">
        <is>
          <t>computers - software - medium / small</t>
        </is>
      </c>
      <c r="E127" s="30" t="inlineStr">
        <is>
          <t>midcap</t>
        </is>
      </c>
      <c r="F127" s="30" t="n">
        <v>18748.82</v>
      </c>
      <c r="G127" s="30" t="n">
        <v>1078.2</v>
      </c>
      <c r="H127" s="30" t="n">
        <v>2.07</v>
      </c>
      <c r="I127" s="30" t="n">
        <v>689171</v>
      </c>
      <c r="J127" s="30" t="inlineStr">
        <is>
          <t>500463</t>
        </is>
      </c>
    </row>
    <row r="128">
      <c r="A128" s="30" t="inlineStr">
        <is>
          <t>SHILPAMED</t>
        </is>
      </c>
      <c r="B128" s="30" t="inlineStr">
        <is>
          <t>Shilpa Medicare Limited</t>
        </is>
      </c>
      <c r="C128" s="30" t="inlineStr">
        <is>
          <t>healthcare</t>
        </is>
      </c>
      <c r="D128" s="30" t="inlineStr">
        <is>
          <t>pharmaceuticals - indian - formulations</t>
        </is>
      </c>
      <c r="E128" s="30" t="inlineStr">
        <is>
          <t>midcap</t>
        </is>
      </c>
      <c r="F128" s="30" t="n">
        <v>10080.29</v>
      </c>
      <c r="G128" s="30" t="n">
        <v>525.8</v>
      </c>
      <c r="H128" s="30" t="n">
        <v>2.02</v>
      </c>
      <c r="I128" s="30" t="n">
        <v>1316326</v>
      </c>
      <c r="J128" s="30" t="inlineStr">
        <is>
          <t>530549</t>
        </is>
      </c>
    </row>
    <row r="129">
      <c r="A129" s="30" t="inlineStr">
        <is>
          <t>IMPAL</t>
        </is>
      </c>
      <c r="B129" s="30" t="inlineStr">
        <is>
          <t>India Motor Parts And Accessories Limited</t>
        </is>
      </c>
      <c r="C129" s="30" t="inlineStr">
        <is>
          <t>auto</t>
        </is>
      </c>
      <c r="D129" s="30" t="inlineStr">
        <is>
          <t>auto ancillaries</t>
        </is>
      </c>
      <c r="E129" s="30" t="inlineStr">
        <is>
          <t>smallcap</t>
        </is>
      </c>
      <c r="F129" s="30" t="n">
        <v>1333.86</v>
      </c>
      <c r="G129" s="30" t="n">
        <v>1090.2</v>
      </c>
      <c r="H129" s="30" t="n">
        <v>2</v>
      </c>
      <c r="I129" s="30" t="n">
        <v>2620</v>
      </c>
      <c r="J129" s="30" t="inlineStr">
        <is>
          <t>590065</t>
        </is>
      </c>
    </row>
    <row r="130">
      <c r="A130" s="30" t="inlineStr">
        <is>
          <t>COALINDIA</t>
        </is>
      </c>
      <c r="B130" s="30" t="inlineStr">
        <is>
          <t>Coal India Limited</t>
        </is>
      </c>
      <c r="C130" s="30" t="inlineStr">
        <is>
          <t>metals &amp; mining</t>
        </is>
      </c>
      <c r="D130" s="30" t="inlineStr">
        <is>
          <t>mining / minerals / metals</t>
        </is>
      </c>
      <c r="E130" s="30" t="inlineStr">
        <is>
          <t>largecap</t>
        </is>
      </c>
      <c r="F130" s="30" t="n">
        <v>291065.66</v>
      </c>
      <c r="G130" s="30" t="n">
        <v>481.65</v>
      </c>
      <c r="H130" s="30" t="n">
        <v>1.98</v>
      </c>
      <c r="I130" s="30" t="n">
        <v>16059802</v>
      </c>
      <c r="J130" s="30" t="inlineStr">
        <is>
          <t>533278</t>
        </is>
      </c>
    </row>
    <row r="131">
      <c r="A131" s="30" t="inlineStr">
        <is>
          <t>EQUITASBNK</t>
        </is>
      </c>
      <c r="B131" s="30" t="inlineStr">
        <is>
          <t>Equitas Small Finance Bank Ltd</t>
        </is>
      </c>
      <c r="C131" s="30" t="inlineStr">
        <is>
          <t>bank</t>
        </is>
      </c>
      <c r="D131" s="30" t="inlineStr">
        <is>
          <t>banks - private sector</t>
        </is>
      </c>
      <c r="E131" s="30" t="inlineStr">
        <is>
          <t>midcap</t>
        </is>
      </c>
      <c r="F131" s="30" t="n">
        <v>8090</v>
      </c>
      <c r="G131" s="30" t="n">
        <v>72.3</v>
      </c>
      <c r="H131" s="30" t="n">
        <v>1.97</v>
      </c>
      <c r="I131" s="30" t="n">
        <v>8173933</v>
      </c>
      <c r="J131" s="30" t="inlineStr">
        <is>
          <t>543243</t>
        </is>
      </c>
    </row>
    <row r="132">
      <c r="A132" s="30" t="inlineStr">
        <is>
          <t>VERANDA</t>
        </is>
      </c>
      <c r="B132" s="30" t="inlineStr">
        <is>
          <t>Veranda Learning Solutions Ltd</t>
        </is>
      </c>
      <c r="C132" s="30" t="inlineStr">
        <is>
          <t>services</t>
        </is>
      </c>
      <c r="D132" s="30" t="inlineStr">
        <is>
          <t>miscellaneous</t>
        </is>
      </c>
      <c r="E132" s="30" t="inlineStr">
        <is>
          <t>smallcap</t>
        </is>
      </c>
      <c r="F132" s="30" t="n">
        <v>2240.66</v>
      </c>
      <c r="G132" s="30" t="n">
        <v>237.55</v>
      </c>
      <c r="H132" s="30" t="n">
        <v>1.96</v>
      </c>
      <c r="I132" s="30" t="n">
        <v>299265</v>
      </c>
      <c r="J132" s="30" t="inlineStr">
        <is>
          <t>543514</t>
        </is>
      </c>
    </row>
    <row r="133">
      <c r="A133" s="30" t="inlineStr">
        <is>
          <t>IFCI</t>
        </is>
      </c>
      <c r="B133" s="30" t="inlineStr">
        <is>
          <t>Ifci Limited</t>
        </is>
      </c>
      <c r="C133" s="30" t="inlineStr">
        <is>
          <t>financials</t>
        </is>
      </c>
      <c r="D133" s="30" t="inlineStr">
        <is>
          <t>finance - term-lending institutions</t>
        </is>
      </c>
      <c r="E133" s="30" t="inlineStr">
        <is>
          <t>largecap</t>
        </is>
      </c>
      <c r="F133" s="30" t="n">
        <v>21667.68</v>
      </c>
      <c r="G133" s="30" t="n">
        <v>81.98</v>
      </c>
      <c r="H133" s="30" t="n">
        <v>1.94</v>
      </c>
      <c r="I133" s="30" t="n">
        <v>202071793</v>
      </c>
      <c r="J133" s="30" t="inlineStr">
        <is>
          <t>500106</t>
        </is>
      </c>
    </row>
    <row r="134">
      <c r="A134" s="30" t="inlineStr">
        <is>
          <t>INOXINDIA</t>
        </is>
      </c>
      <c r="B134" s="30" t="inlineStr">
        <is>
          <t>Inox India Ltd</t>
        </is>
      </c>
      <c r="C134" s="30" t="inlineStr">
        <is>
          <t>industrials</t>
        </is>
      </c>
      <c r="D134" s="30" t="inlineStr">
        <is>
          <t>packaging</t>
        </is>
      </c>
      <c r="E134" s="30" t="inlineStr">
        <is>
          <t>midcap</t>
        </is>
      </c>
      <c r="F134" s="30" t="n">
        <v>13402.14</v>
      </c>
      <c r="G134" s="30" t="n">
        <v>1505</v>
      </c>
      <c r="H134" s="30" t="n">
        <v>1.92</v>
      </c>
      <c r="I134" s="30" t="n">
        <v>198069</v>
      </c>
      <c r="J134" s="30" t="inlineStr">
        <is>
          <t>544046</t>
        </is>
      </c>
    </row>
    <row r="135">
      <c r="A135" s="30" t="inlineStr">
        <is>
          <t>THERMAX</t>
        </is>
      </c>
      <c r="B135" s="30" t="inlineStr">
        <is>
          <t>Thermax Limited</t>
        </is>
      </c>
      <c r="C135" s="30" t="inlineStr">
        <is>
          <t>industrials</t>
        </is>
      </c>
      <c r="D135" s="30" t="inlineStr">
        <is>
          <t>electric equipment</t>
        </is>
      </c>
      <c r="E135" s="30" t="inlineStr">
        <is>
          <t>largecap</t>
        </is>
      </c>
      <c r="F135" s="30" t="n">
        <v>57010.33</v>
      </c>
      <c r="G135" s="30" t="n">
        <v>4875.9</v>
      </c>
      <c r="H135" s="30" t="n">
        <v>1.91</v>
      </c>
      <c r="I135" s="30" t="n">
        <v>363756</v>
      </c>
      <c r="J135" s="30" t="inlineStr">
        <is>
          <t>500411</t>
        </is>
      </c>
    </row>
    <row r="136">
      <c r="A136" s="30" t="inlineStr">
        <is>
          <t>SAILIFE</t>
        </is>
      </c>
      <c r="B136" s="30" t="inlineStr">
        <is>
          <t>Sai Life Sciences Ltd</t>
        </is>
      </c>
      <c r="C136" s="30" t="inlineStr">
        <is>
          <t>healthcare</t>
        </is>
      </c>
      <c r="D136" s="30" t="inlineStr">
        <is>
          <t>pharmaceuticals - indian - bulk drugs &amp; formln</t>
        </is>
      </c>
      <c r="E136" s="30" t="inlineStr">
        <is>
          <t>largecap</t>
        </is>
      </c>
      <c r="F136" s="30" t="n">
        <v>24094.12</v>
      </c>
      <c r="G136" s="30" t="n">
        <v>1159.3</v>
      </c>
      <c r="H136" s="30" t="n">
        <v>1.9</v>
      </c>
      <c r="I136" s="30" t="n">
        <v>435285</v>
      </c>
      <c r="J136" s="30" t="inlineStr">
        <is>
          <t>544306</t>
        </is>
      </c>
    </row>
    <row r="137">
      <c r="A137" s="30" t="inlineStr">
        <is>
          <t>TIPSMUSIC</t>
        </is>
      </c>
      <c r="B137" s="30" t="inlineStr">
        <is>
          <t>Tips Music Ltd</t>
        </is>
      </c>
      <c r="C137" s="30" t="inlineStr">
        <is>
          <t>media</t>
        </is>
      </c>
      <c r="D137" s="30" t="inlineStr">
        <is>
          <t>entertainment / electronic media software</t>
        </is>
      </c>
      <c r="E137" s="30" t="inlineStr">
        <is>
          <t>midcap</t>
        </is>
      </c>
      <c r="F137" s="30" t="n">
        <v>8434.969999999999</v>
      </c>
      <c r="G137" s="30" t="n">
        <v>672.1</v>
      </c>
      <c r="H137" s="30" t="n">
        <v>1.86</v>
      </c>
      <c r="I137" s="30" t="n">
        <v>70229</v>
      </c>
      <c r="J137" s="30" t="inlineStr">
        <is>
          <t>532375</t>
        </is>
      </c>
    </row>
    <row r="138">
      <c r="A138" s="30" t="inlineStr">
        <is>
          <t>CYIENTDLM</t>
        </is>
      </c>
      <c r="B138" s="30" t="inlineStr">
        <is>
          <t>Cyient DLM Ltd</t>
        </is>
      </c>
      <c r="C138" s="30" t="inlineStr">
        <is>
          <t>consumer discretionary</t>
        </is>
      </c>
      <c r="D138" s="30" t="inlineStr">
        <is>
          <t>electronics - components</t>
        </is>
      </c>
      <c r="E138" s="30" t="inlineStr">
        <is>
          <t>smallcap</t>
        </is>
      </c>
      <c r="F138" s="30" t="n">
        <v>3567.03</v>
      </c>
      <c r="G138" s="30" t="n">
        <v>457.8</v>
      </c>
      <c r="H138" s="30" t="n">
        <v>1.86</v>
      </c>
      <c r="I138" s="30" t="n">
        <v>222999</v>
      </c>
      <c r="J138" s="30" t="inlineStr">
        <is>
          <t>543933</t>
        </is>
      </c>
    </row>
    <row r="139">
      <c r="A139" s="30" t="inlineStr">
        <is>
          <t>VTL</t>
        </is>
      </c>
      <c r="B139" s="30" t="inlineStr">
        <is>
          <t>Vardhman Textiles Limited</t>
        </is>
      </c>
      <c r="C139" s="30" t="inlineStr">
        <is>
          <t>textiles</t>
        </is>
      </c>
      <c r="D139" s="30" t="inlineStr">
        <is>
          <t>textiles - cotton/blended</t>
        </is>
      </c>
      <c r="E139" s="30" t="inlineStr">
        <is>
          <t>midcap</t>
        </is>
      </c>
      <c r="F139" s="30" t="n">
        <v>17939.81</v>
      </c>
      <c r="G139" s="30" t="n">
        <v>631.6</v>
      </c>
      <c r="H139" s="30" t="n">
        <v>1.85</v>
      </c>
      <c r="I139" s="30" t="n">
        <v>460424</v>
      </c>
      <c r="J139" s="30" t="inlineStr">
        <is>
          <t>502986</t>
        </is>
      </c>
    </row>
    <row r="140">
      <c r="A140" s="30" t="inlineStr">
        <is>
          <t>VADILALIND</t>
        </is>
      </c>
      <c r="B140" s="30" t="inlineStr">
        <is>
          <t>Vadilal Industries Limited</t>
        </is>
      </c>
      <c r="C140" s="30" t="inlineStr">
        <is>
          <t>fmcg</t>
        </is>
      </c>
      <c r="D140" s="30" t="inlineStr">
        <is>
          <t>food - processing - indian</t>
        </is>
      </c>
      <c r="E140" s="30" t="inlineStr">
        <is>
          <t>smallcap</t>
        </is>
      </c>
      <c r="F140" s="30" t="n">
        <v>3877.04</v>
      </c>
      <c r="G140" s="30" t="n">
        <v>5493</v>
      </c>
      <c r="H140" s="30" t="n">
        <v>1.84</v>
      </c>
      <c r="I140" s="30" t="n">
        <v>43478</v>
      </c>
      <c r="J140" s="30" t="inlineStr">
        <is>
          <t>519156</t>
        </is>
      </c>
    </row>
    <row r="141">
      <c r="A141" s="30" t="inlineStr">
        <is>
          <t>KINGFA</t>
        </is>
      </c>
      <c r="B141" s="30" t="inlineStr">
        <is>
          <t>Kingfa Science &amp; Technology (india) Limited</t>
        </is>
      </c>
      <c r="C141" s="30" t="inlineStr">
        <is>
          <t>plastic products</t>
        </is>
      </c>
      <c r="D141" s="30" t="inlineStr">
        <is>
          <t>plastics products</t>
        </is>
      </c>
      <c r="E141" s="30" t="inlineStr">
        <is>
          <t>midcap</t>
        </is>
      </c>
      <c r="F141" s="30" t="n">
        <v>7147</v>
      </c>
      <c r="G141" s="30" t="n">
        <v>5370</v>
      </c>
      <c r="H141" s="30" t="n">
        <v>1.82</v>
      </c>
      <c r="I141" s="30" t="n">
        <v>5312</v>
      </c>
      <c r="J141" s="30" t="inlineStr">
        <is>
          <t>524019</t>
        </is>
      </c>
    </row>
    <row r="142">
      <c r="A142" s="30" t="inlineStr">
        <is>
          <t>INNOVACAP</t>
        </is>
      </c>
      <c r="B142" s="30" t="inlineStr">
        <is>
          <t>Innova Captab Ltd</t>
        </is>
      </c>
      <c r="C142" s="30" t="inlineStr">
        <is>
          <t>healthcare</t>
        </is>
      </c>
      <c r="D142" s="30" t="inlineStr">
        <is>
          <t>pharmaceuticals - indian - bulk drugs &amp; formln</t>
        </is>
      </c>
      <c r="E142" s="30" t="inlineStr">
        <is>
          <t>smallcap</t>
        </is>
      </c>
      <c r="F142" s="30" t="n">
        <v>4904.18</v>
      </c>
      <c r="G142" s="30" t="n">
        <v>872.55</v>
      </c>
      <c r="H142" s="30" t="n">
        <v>1.81</v>
      </c>
      <c r="I142" s="30" t="n">
        <v>21379</v>
      </c>
      <c r="J142" s="30" t="inlineStr">
        <is>
          <t>544067</t>
        </is>
      </c>
    </row>
    <row r="143">
      <c r="A143" s="30" t="inlineStr">
        <is>
          <t>ADANIENSOL</t>
        </is>
      </c>
      <c r="B143" s="30" t="inlineStr">
        <is>
          <t>Adani Energy Solutions Ltd</t>
        </is>
      </c>
      <c r="C143" s="30" t="inlineStr">
        <is>
          <t>power &amp; utilities</t>
        </is>
      </c>
      <c r="D143" s="30" t="inlineStr">
        <is>
          <t>power generation and supply</t>
        </is>
      </c>
      <c r="E143" s="30" t="inlineStr">
        <is>
          <t>largecap</t>
        </is>
      </c>
      <c r="F143" s="30" t="n">
        <v>179363.51</v>
      </c>
      <c r="G143" s="30" t="n">
        <v>1520</v>
      </c>
      <c r="H143" s="30" t="n">
        <v>1.8</v>
      </c>
      <c r="I143" s="30" t="n">
        <v>2706265</v>
      </c>
      <c r="J143" s="30" t="inlineStr">
        <is>
          <t>539254</t>
        </is>
      </c>
    </row>
    <row r="144">
      <c r="A144" s="30" t="inlineStr">
        <is>
          <t>TEXINFRA</t>
        </is>
      </c>
      <c r="B144" s="30" t="inlineStr">
        <is>
          <t>Texmaco Infrastructure &amp; Holdings Limited</t>
        </is>
      </c>
      <c r="C144" s="30" t="inlineStr">
        <is>
          <t>realty</t>
        </is>
      </c>
      <c r="D144" s="30" t="inlineStr">
        <is>
          <t>construction</t>
        </is>
      </c>
      <c r="E144" s="30" t="inlineStr">
        <is>
          <t>smallcap</t>
        </is>
      </c>
      <c r="F144" s="30" t="n">
        <v>1258.85</v>
      </c>
      <c r="G144" s="30" t="n">
        <v>100.55</v>
      </c>
      <c r="H144" s="30" t="n">
        <v>1.78</v>
      </c>
      <c r="I144" s="30" t="n">
        <v>243490</v>
      </c>
      <c r="J144" s="30" t="inlineStr">
        <is>
          <t>505400</t>
        </is>
      </c>
    </row>
    <row r="145">
      <c r="A145" s="30" t="inlineStr">
        <is>
          <t>RPEL</t>
        </is>
      </c>
      <c r="B145" s="30" t="inlineStr">
        <is>
          <t>Raghav Productivity Enhancers Ltd</t>
        </is>
      </c>
      <c r="C145" s="30" t="inlineStr">
        <is>
          <t>building materials</t>
        </is>
      </c>
      <c r="D145" s="30" t="inlineStr">
        <is>
          <t>refractories / intermediates</t>
        </is>
      </c>
      <c r="E145" s="30" t="inlineStr">
        <is>
          <t>smallcap</t>
        </is>
      </c>
      <c r="F145" s="30" t="n">
        <v>4557.68</v>
      </c>
      <c r="G145" s="30" t="n">
        <v>1010.2</v>
      </c>
      <c r="H145" s="30" t="n">
        <v>1.76</v>
      </c>
      <c r="I145" s="30" t="n">
        <v>75750</v>
      </c>
      <c r="J145" s="30" t="inlineStr">
        <is>
          <t>539837</t>
        </is>
      </c>
    </row>
    <row r="146">
      <c r="A146" s="30" t="inlineStr">
        <is>
          <t>DLINKINDIA</t>
        </is>
      </c>
      <c r="B146" s="30" t="inlineStr">
        <is>
          <t>D-link (india) Limited</t>
        </is>
      </c>
      <c r="C146" s="30" t="inlineStr">
        <is>
          <t>services</t>
        </is>
      </c>
      <c r="D146" s="30" t="inlineStr">
        <is>
          <t>trading</t>
        </is>
      </c>
      <c r="E146" s="30" t="inlineStr">
        <is>
          <t>smallcap</t>
        </is>
      </c>
      <c r="F146" s="30" t="n">
        <v>1674.76</v>
      </c>
      <c r="G146" s="30" t="n">
        <v>479.95</v>
      </c>
      <c r="H146" s="30" t="n">
        <v>1.75</v>
      </c>
      <c r="I146" s="30" t="n">
        <v>138166</v>
      </c>
      <c r="J146" s="30" t="inlineStr">
        <is>
          <t>533146</t>
        </is>
      </c>
    </row>
    <row r="147">
      <c r="A147" s="30" t="inlineStr">
        <is>
          <t>HIRECT</t>
        </is>
      </c>
      <c r="B147" s="30" t="inlineStr">
        <is>
          <t>Hind Rectifiers Limited</t>
        </is>
      </c>
      <c r="C147" s="30" t="inlineStr">
        <is>
          <t>consumer discretionary</t>
        </is>
      </c>
      <c r="D147" s="30" t="inlineStr">
        <is>
          <t>electronics - components</t>
        </is>
      </c>
      <c r="E147" s="30" t="inlineStr">
        <is>
          <t>smallcap</t>
        </is>
      </c>
      <c r="F147" s="30" t="n">
        <v>3843.33</v>
      </c>
      <c r="G147" s="30" t="n">
        <v>1137.8</v>
      </c>
      <c r="H147" s="30" t="n">
        <v>1.74</v>
      </c>
      <c r="I147" s="30" t="n">
        <v>252967</v>
      </c>
      <c r="J147" s="30" t="inlineStr">
        <is>
          <t>504036</t>
        </is>
      </c>
    </row>
    <row r="148">
      <c r="A148" s="30" t="inlineStr">
        <is>
          <t>INDNIPPON</t>
        </is>
      </c>
      <c r="B148" s="30" t="inlineStr">
        <is>
          <t>India Nippon Electricals Limited</t>
        </is>
      </c>
      <c r="C148" s="30" t="inlineStr">
        <is>
          <t>auto</t>
        </is>
      </c>
      <c r="D148" s="30" t="inlineStr">
        <is>
          <t>auto ancillaries</t>
        </is>
      </c>
      <c r="E148" s="30" t="inlineStr">
        <is>
          <t>smallcap</t>
        </is>
      </c>
      <c r="F148" s="30" t="n">
        <v>2037.06</v>
      </c>
      <c r="G148" s="30" t="n">
        <v>915.95</v>
      </c>
      <c r="H148" s="30" t="n">
        <v>1.72</v>
      </c>
      <c r="I148" s="30" t="n">
        <v>52899</v>
      </c>
      <c r="J148" s="30" t="inlineStr">
        <is>
          <t>532240</t>
        </is>
      </c>
    </row>
    <row r="149">
      <c r="A149" s="30" t="inlineStr">
        <is>
          <t>CIPLA</t>
        </is>
      </c>
      <c r="B149" s="30" t="inlineStr">
        <is>
          <t>Cipla Limited</t>
        </is>
      </c>
      <c r="C149" s="30" t="inlineStr">
        <is>
          <t>healthcare</t>
        </is>
      </c>
      <c r="D149" s="30" t="inlineStr">
        <is>
          <t>pharmaceuticals - indian - bulk drugs &amp; formln</t>
        </is>
      </c>
      <c r="E149" s="30" t="inlineStr">
        <is>
          <t>largecap</t>
        </is>
      </c>
      <c r="F149" s="30" t="n">
        <v>111086.27</v>
      </c>
      <c r="G149" s="30" t="n">
        <v>1398.7</v>
      </c>
      <c r="H149" s="30" t="n">
        <v>1.71</v>
      </c>
      <c r="I149" s="30" t="n">
        <v>1548692</v>
      </c>
      <c r="J149" s="30" t="inlineStr">
        <is>
          <t>500087</t>
        </is>
      </c>
    </row>
    <row r="150">
      <c r="A150" s="30" t="inlineStr">
        <is>
          <t>BSE</t>
        </is>
      </c>
      <c r="B150" s="30" t="inlineStr">
        <is>
          <t>BSE (Bombay stock exchange) Ltd</t>
        </is>
      </c>
      <c r="C150" s="30" t="inlineStr">
        <is>
          <t>financials</t>
        </is>
      </c>
      <c r="D150" s="30" t="inlineStr">
        <is>
          <t>miscellaneous</t>
        </is>
      </c>
      <c r="E150" s="30" t="inlineStr">
        <is>
          <t>largecap</t>
        </is>
      </c>
      <c r="F150" s="30" t="n">
        <v>161770.9</v>
      </c>
      <c r="G150" s="30" t="n">
        <v>4033.4</v>
      </c>
      <c r="H150" s="30" t="n">
        <v>1.7</v>
      </c>
      <c r="I150" s="30" t="n">
        <v>4245472</v>
      </c>
      <c r="J150" s="30" t="inlineStr">
        <is>
          <t>20</t>
        </is>
      </c>
    </row>
    <row r="151">
      <c r="A151" s="30" t="inlineStr">
        <is>
          <t>JSWENERGY</t>
        </is>
      </c>
      <c r="B151" s="30" t="inlineStr">
        <is>
          <t>Jsw Energy Limited</t>
        </is>
      </c>
      <c r="C151" s="30" t="inlineStr">
        <is>
          <t>power &amp; utilities</t>
        </is>
      </c>
      <c r="D151" s="30" t="inlineStr">
        <is>
          <t>power generation and supply</t>
        </is>
      </c>
      <c r="E151" s="30" t="inlineStr">
        <is>
          <t>largecap</t>
        </is>
      </c>
      <c r="F151" s="30" t="n">
        <v>101958.1</v>
      </c>
      <c r="G151" s="30" t="n">
        <v>590.05</v>
      </c>
      <c r="H151" s="30" t="n">
        <v>1.7</v>
      </c>
      <c r="I151" s="30" t="n">
        <v>2592199</v>
      </c>
      <c r="J151" s="30" t="inlineStr">
        <is>
          <t>533148</t>
        </is>
      </c>
    </row>
    <row r="152">
      <c r="A152" s="30" t="inlineStr">
        <is>
          <t>BFINVEST</t>
        </is>
      </c>
      <c r="B152" s="30" t="inlineStr">
        <is>
          <t>Bf Investment Limited</t>
        </is>
      </c>
      <c r="C152" s="30" t="inlineStr">
        <is>
          <t>financials</t>
        </is>
      </c>
      <c r="D152" s="30" t="inlineStr">
        <is>
          <t>finance &amp; investments</t>
        </is>
      </c>
      <c r="E152" s="30" t="inlineStr">
        <is>
          <t>smallcap</t>
        </is>
      </c>
      <c r="F152" s="30" t="n">
        <v>1660.39</v>
      </c>
      <c r="G152" s="30" t="n">
        <v>448.25</v>
      </c>
      <c r="H152" s="30" t="n">
        <v>1.69</v>
      </c>
      <c r="I152" s="30" t="n">
        <v>119074</v>
      </c>
      <c r="J152" s="30" t="inlineStr">
        <is>
          <t>533303</t>
        </is>
      </c>
    </row>
    <row r="153">
      <c r="A153" s="30" t="inlineStr">
        <is>
          <t>CARBORUNIV</t>
        </is>
      </c>
      <c r="B153" s="30" t="inlineStr">
        <is>
          <t>Carborundum Universal Limited</t>
        </is>
      </c>
      <c r="C153" s="30" t="inlineStr">
        <is>
          <t>industrials</t>
        </is>
      </c>
      <c r="D153" s="30" t="inlineStr">
        <is>
          <t>abrasives and grinding wheels</t>
        </is>
      </c>
      <c r="E153" s="30" t="inlineStr">
        <is>
          <t>midcap</t>
        </is>
      </c>
      <c r="F153" s="30" t="n">
        <v>19272.13</v>
      </c>
      <c r="G153" s="30" t="n">
        <v>1028.6</v>
      </c>
      <c r="H153" s="30" t="n">
        <v>1.67</v>
      </c>
      <c r="I153" s="30" t="n">
        <v>113027</v>
      </c>
      <c r="J153" s="30" t="inlineStr">
        <is>
          <t>513375</t>
        </is>
      </c>
    </row>
    <row r="154">
      <c r="A154" s="30" t="inlineStr">
        <is>
          <t>CUMMINSIND</t>
        </is>
      </c>
      <c r="B154" s="30" t="inlineStr">
        <is>
          <t>Cummins India Limited</t>
        </is>
      </c>
      <c r="C154" s="30" t="inlineStr">
        <is>
          <t>industrials</t>
        </is>
      </c>
      <c r="D154" s="30" t="inlineStr">
        <is>
          <t>engines</t>
        </is>
      </c>
      <c r="E154" s="30" t="inlineStr">
        <is>
          <t>largecap</t>
        </is>
      </c>
      <c r="F154" s="30" t="n">
        <v>157796.1</v>
      </c>
      <c r="G154" s="30" t="n">
        <v>5787.5</v>
      </c>
      <c r="H154" s="30" t="n">
        <v>1.67</v>
      </c>
      <c r="I154" s="30" t="n">
        <v>502845</v>
      </c>
      <c r="J154" s="30" t="inlineStr">
        <is>
          <t>500480</t>
        </is>
      </c>
    </row>
    <row r="155">
      <c r="A155" s="30" t="inlineStr">
        <is>
          <t>AIAENG</t>
        </is>
      </c>
      <c r="B155" s="30" t="inlineStr">
        <is>
          <t>Aia Engineering Limited</t>
        </is>
      </c>
      <c r="C155" s="30" t="inlineStr">
        <is>
          <t>industrials</t>
        </is>
      </c>
      <c r="D155" s="30" t="inlineStr">
        <is>
          <t>castings &amp; forgings</t>
        </is>
      </c>
      <c r="E155" s="30" t="inlineStr">
        <is>
          <t>largecap</t>
        </is>
      </c>
      <c r="F155" s="30" t="n">
        <v>42192.94</v>
      </c>
      <c r="G155" s="30" t="n">
        <v>4596.5</v>
      </c>
      <c r="H155" s="30" t="n">
        <v>1.66</v>
      </c>
      <c r="I155" s="30" t="n">
        <v>96853</v>
      </c>
      <c r="J155" s="30" t="inlineStr">
        <is>
          <t>532683</t>
        </is>
      </c>
    </row>
    <row r="156">
      <c r="A156" s="30" t="inlineStr">
        <is>
          <t>ADANIENT</t>
        </is>
      </c>
      <c r="B156" s="30" t="inlineStr">
        <is>
          <t>Adani Enterprises Limited</t>
        </is>
      </c>
      <c r="C156" s="30" t="inlineStr">
        <is>
          <t>services</t>
        </is>
      </c>
      <c r="D156" s="30" t="inlineStr">
        <is>
          <t>trading</t>
        </is>
      </c>
      <c r="E156" s="30" t="inlineStr">
        <is>
          <t>largecap</t>
        </is>
      </c>
      <c r="F156" s="30" t="n">
        <v>378187.17</v>
      </c>
      <c r="G156" s="30" t="n">
        <v>2972.8</v>
      </c>
      <c r="H156" s="30" t="n">
        <v>1.61</v>
      </c>
      <c r="I156" s="30" t="n">
        <v>1722991</v>
      </c>
      <c r="J156" s="30" t="inlineStr">
        <is>
          <t>512599</t>
        </is>
      </c>
    </row>
    <row r="157">
      <c r="A157" s="30" t="inlineStr">
        <is>
          <t>KPRMILL</t>
        </is>
      </c>
      <c r="B157" s="30" t="inlineStr">
        <is>
          <t>K.p.r. Mill Limited</t>
        </is>
      </c>
      <c r="C157" s="30" t="inlineStr">
        <is>
          <t>consumer discretionary</t>
        </is>
      </c>
      <c r="D157" s="30" t="inlineStr">
        <is>
          <t>textiles - products</t>
        </is>
      </c>
      <c r="E157" s="30" t="inlineStr">
        <is>
          <t>largecap</t>
        </is>
      </c>
      <c r="F157" s="30" t="n">
        <v>37114.16</v>
      </c>
      <c r="G157" s="30" t="n">
        <v>1103.2</v>
      </c>
      <c r="H157" s="30" t="n">
        <v>1.6</v>
      </c>
      <c r="I157" s="30" t="n">
        <v>825713</v>
      </c>
      <c r="J157" s="30" t="inlineStr">
        <is>
          <t>532889</t>
        </is>
      </c>
    </row>
    <row r="158">
      <c r="A158" s="30" t="inlineStr">
        <is>
          <t>RBLBANK</t>
        </is>
      </c>
      <c r="B158" s="30" t="inlineStr">
        <is>
          <t>Rbl Bank Limited</t>
        </is>
      </c>
      <c r="C158" s="30" t="inlineStr">
        <is>
          <t>bank</t>
        </is>
      </c>
      <c r="D158" s="30" t="inlineStr">
        <is>
          <t>banks - private sector</t>
        </is>
      </c>
      <c r="E158" s="30" t="inlineStr">
        <is>
          <t>largecap</t>
        </is>
      </c>
      <c r="F158" s="30" t="n">
        <v>21522.64</v>
      </c>
      <c r="G158" s="30" t="n">
        <v>353.75</v>
      </c>
      <c r="H158" s="30" t="n">
        <v>1.59</v>
      </c>
      <c r="I158" s="30" t="n">
        <v>5254858</v>
      </c>
      <c r="J158" s="30" t="inlineStr">
        <is>
          <t>540065</t>
        </is>
      </c>
    </row>
    <row r="159">
      <c r="A159" s="30" t="inlineStr">
        <is>
          <t>STYLAMIND</t>
        </is>
      </c>
      <c r="B159" s="30" t="inlineStr">
        <is>
          <t>Stylam Industries Ltd</t>
        </is>
      </c>
      <c r="C159" s="30" t="inlineStr">
        <is>
          <t>building materials</t>
        </is>
      </c>
      <c r="D159" s="30" t="inlineStr">
        <is>
          <t>miscellaneous</t>
        </is>
      </c>
      <c r="E159" s="30" t="inlineStr">
        <is>
          <t>midcap</t>
        </is>
      </c>
      <c r="F159" s="30" t="n">
        <v>5067.13</v>
      </c>
      <c r="G159" s="30" t="n">
        <v>3037</v>
      </c>
      <c r="H159" s="30" t="n">
        <v>1.58</v>
      </c>
      <c r="I159" s="30" t="n">
        <v>49477</v>
      </c>
      <c r="J159" s="30" t="inlineStr">
        <is>
          <t>526951</t>
        </is>
      </c>
    </row>
    <row r="160">
      <c r="A160" s="30" t="inlineStr">
        <is>
          <t>POLYCAB</t>
        </is>
      </c>
      <c r="B160" s="30" t="inlineStr">
        <is>
          <t>Polycab India Ltd</t>
        </is>
      </c>
      <c r="C160" s="30" t="inlineStr">
        <is>
          <t>industrials</t>
        </is>
      </c>
      <c r="D160" s="30" t="inlineStr">
        <is>
          <t>cables - power</t>
        </is>
      </c>
      <c r="E160" s="30" t="inlineStr">
        <is>
          <t>largecap</t>
        </is>
      </c>
      <c r="F160" s="30" t="n">
        <v>144099.42</v>
      </c>
      <c r="G160" s="30" t="n">
        <v>9717.5</v>
      </c>
      <c r="H160" s="30" t="n">
        <v>1.53</v>
      </c>
      <c r="I160" s="30" t="n">
        <v>259390</v>
      </c>
      <c r="J160" s="30" t="inlineStr">
        <is>
          <t>542652</t>
        </is>
      </c>
    </row>
    <row r="161">
      <c r="A161" s="30" t="inlineStr">
        <is>
          <t>MIRCELECTR</t>
        </is>
      </c>
      <c r="B161" s="30" t="inlineStr">
        <is>
          <t>Mirc Electronics Limited</t>
        </is>
      </c>
      <c r="C161" s="30" t="inlineStr">
        <is>
          <t>consumer discretionary</t>
        </is>
      </c>
      <c r="D161" s="30" t="inlineStr">
        <is>
          <t>electronics - consumer</t>
        </is>
      </c>
      <c r="E161" s="30" t="inlineStr">
        <is>
          <t>smallcap</t>
        </is>
      </c>
      <c r="F161" s="30" t="n">
        <v>1504.17</v>
      </c>
      <c r="G161" s="30" t="n">
        <v>41.34</v>
      </c>
      <c r="H161" s="30" t="n">
        <v>1.52</v>
      </c>
      <c r="I161" s="30" t="n">
        <v>399821</v>
      </c>
      <c r="J161" s="30" t="inlineStr">
        <is>
          <t>500279</t>
        </is>
      </c>
    </row>
    <row r="162">
      <c r="A162" s="30" t="inlineStr">
        <is>
          <t>PGHL</t>
        </is>
      </c>
      <c r="B162" s="30" t="inlineStr">
        <is>
          <t>Procter &amp; Gamble Health Ltd</t>
        </is>
      </c>
      <c r="C162" s="30" t="inlineStr">
        <is>
          <t>healthcare</t>
        </is>
      </c>
      <c r="D162" s="30" t="inlineStr">
        <is>
          <t>pharmaceuticals - multinational</t>
        </is>
      </c>
      <c r="E162" s="30" t="inlineStr">
        <is>
          <t>midcap</t>
        </is>
      </c>
      <c r="F162" s="30" t="n">
        <v>10139.73</v>
      </c>
      <c r="G162" s="30" t="n">
        <v>6201</v>
      </c>
      <c r="H162" s="30" t="n">
        <v>1.51</v>
      </c>
      <c r="I162" s="30" t="n">
        <v>31326</v>
      </c>
      <c r="J162" s="30" t="inlineStr">
        <is>
          <t>500126</t>
        </is>
      </c>
    </row>
    <row r="163">
      <c r="A163" s="30" t="inlineStr">
        <is>
          <t>ONESOURCE</t>
        </is>
      </c>
      <c r="B163" s="30" t="inlineStr">
        <is>
          <t>OneSource Specialty Pharma Ltd</t>
        </is>
      </c>
      <c r="C163" s="30" t="inlineStr">
        <is>
          <t>healthcare</t>
        </is>
      </c>
      <c r="D163" s="30" t="inlineStr">
        <is>
          <t>pharmaceuticals - indian - bulk drugs &amp; formln</t>
        </is>
      </c>
      <c r="E163" s="30" t="inlineStr">
        <is>
          <t>largecap</t>
        </is>
      </c>
      <c r="F163" s="30" t="n">
        <v>20752.17</v>
      </c>
      <c r="G163" s="30" t="n">
        <v>1837.9</v>
      </c>
      <c r="H163" s="30" t="n">
        <v>1.51</v>
      </c>
      <c r="I163" s="30" t="n">
        <v>258567</v>
      </c>
      <c r="J163" s="30" t="inlineStr">
        <is>
          <t>544292</t>
        </is>
      </c>
    </row>
    <row r="164">
      <c r="A164" s="30" t="inlineStr">
        <is>
          <t>METROPOLIS</t>
        </is>
      </c>
      <c r="B164" s="30" t="inlineStr">
        <is>
          <t>Metropolis Healthcare Ltd</t>
        </is>
      </c>
      <c r="C164" s="30" t="inlineStr">
        <is>
          <t>healthcare</t>
        </is>
      </c>
      <c r="D164" s="30" t="inlineStr">
        <is>
          <t>healthcare</t>
        </is>
      </c>
      <c r="E164" s="30" t="inlineStr">
        <is>
          <t>midcap</t>
        </is>
      </c>
      <c r="F164" s="30" t="n">
        <v>11115.88</v>
      </c>
      <c r="G164" s="30" t="n">
        <v>544.15</v>
      </c>
      <c r="H164" s="30" t="n">
        <v>1.49</v>
      </c>
      <c r="I164" s="30" t="n">
        <v>212806</v>
      </c>
      <c r="J164" s="30" t="inlineStr">
        <is>
          <t>542650</t>
        </is>
      </c>
    </row>
    <row r="165">
      <c r="A165" s="30" t="inlineStr">
        <is>
          <t>GEECEE</t>
        </is>
      </c>
      <c r="B165" s="30" t="inlineStr">
        <is>
          <t>Geecee Ventures Limited</t>
        </is>
      </c>
      <c r="C165" s="30" t="inlineStr">
        <is>
          <t>financials</t>
        </is>
      </c>
      <c r="D165" s="30" t="inlineStr">
        <is>
          <t>finance &amp; investments</t>
        </is>
      </c>
      <c r="E165" s="30" t="inlineStr">
        <is>
          <t>smallcap</t>
        </is>
      </c>
      <c r="F165" s="30" t="n">
        <v>680.5700000000001</v>
      </c>
      <c r="G165" s="30" t="n">
        <v>330.2</v>
      </c>
      <c r="H165" s="30" t="n">
        <v>1.46</v>
      </c>
      <c r="I165" s="30" t="n">
        <v>8700</v>
      </c>
      <c r="J165" s="30" t="inlineStr">
        <is>
          <t>532764</t>
        </is>
      </c>
    </row>
    <row r="166">
      <c r="A166" s="30" t="inlineStr">
        <is>
          <t>SKYGOLD</t>
        </is>
      </c>
      <c r="B166" s="30" t="inlineStr">
        <is>
          <t>Sky Gold Ltd</t>
        </is>
      </c>
      <c r="C166" s="30" t="inlineStr">
        <is>
          <t>consumer discretionary</t>
        </is>
      </c>
      <c r="D166" s="30" t="inlineStr">
        <is>
          <t>diamond cutting / jewellery</t>
        </is>
      </c>
      <c r="E166" s="30" t="inlineStr">
        <is>
          <t>midcap</t>
        </is>
      </c>
      <c r="F166" s="30" t="n">
        <v>8723.27</v>
      </c>
      <c r="G166" s="30" t="n">
        <v>571.4</v>
      </c>
      <c r="H166" s="30" t="n">
        <v>1.45</v>
      </c>
      <c r="I166" s="30" t="n">
        <v>2292666</v>
      </c>
      <c r="J166" s="30" t="inlineStr">
        <is>
          <t>541967</t>
        </is>
      </c>
    </row>
    <row r="167">
      <c r="A167" s="30" t="inlineStr">
        <is>
          <t>ITI</t>
        </is>
      </c>
      <c r="B167" s="30" t="inlineStr">
        <is>
          <t>Iti Limited</t>
        </is>
      </c>
      <c r="C167" s="30" t="inlineStr">
        <is>
          <t>aerospace &amp; defence</t>
        </is>
      </c>
      <c r="D167" s="30" t="inlineStr">
        <is>
          <t>telecommunications - equipment</t>
        </is>
      </c>
      <c r="E167" s="30" t="inlineStr">
        <is>
          <t>largecap</t>
        </is>
      </c>
      <c r="F167" s="30" t="n">
        <v>28649.66</v>
      </c>
      <c r="G167" s="30" t="n">
        <v>301.8</v>
      </c>
      <c r="H167" s="30" t="n">
        <v>1.43</v>
      </c>
      <c r="I167" s="30" t="n">
        <v>1206671</v>
      </c>
      <c r="J167" s="30" t="inlineStr">
        <is>
          <t>523610</t>
        </is>
      </c>
    </row>
    <row r="168">
      <c r="A168" s="30" t="inlineStr">
        <is>
          <t>KEI</t>
        </is>
      </c>
      <c r="B168" s="30" t="inlineStr">
        <is>
          <t>Kei Industries Limited</t>
        </is>
      </c>
      <c r="C168" s="30" t="inlineStr">
        <is>
          <t>industrials</t>
        </is>
      </c>
      <c r="D168" s="30" t="inlineStr">
        <is>
          <t>cables - power</t>
        </is>
      </c>
      <c r="E168" s="30" t="inlineStr">
        <is>
          <t>largecap</t>
        </is>
      </c>
      <c r="F168" s="30" t="n">
        <v>49922.63</v>
      </c>
      <c r="G168" s="30" t="n">
        <v>5296</v>
      </c>
      <c r="H168" s="30" t="n">
        <v>1.42</v>
      </c>
      <c r="I168" s="30" t="n">
        <v>201738</v>
      </c>
      <c r="J168" s="30" t="inlineStr">
        <is>
          <t>517569</t>
        </is>
      </c>
    </row>
    <row r="169">
      <c r="A169" s="30" t="inlineStr">
        <is>
          <t>VARROC</t>
        </is>
      </c>
      <c r="B169" s="30" t="inlineStr">
        <is>
          <t>Varroc Engineering Ltd</t>
        </is>
      </c>
      <c r="C169" s="30" t="inlineStr">
        <is>
          <t>auto</t>
        </is>
      </c>
      <c r="D169" s="30" t="inlineStr">
        <is>
          <t>auto ancillaries</t>
        </is>
      </c>
      <c r="E169" s="30" t="inlineStr">
        <is>
          <t>midcap</t>
        </is>
      </c>
      <c r="F169" s="30" t="n">
        <v>9069.4</v>
      </c>
      <c r="G169" s="30" t="n">
        <v>601.6</v>
      </c>
      <c r="H169" s="30" t="n">
        <v>1.35</v>
      </c>
      <c r="I169" s="30" t="n">
        <v>193736</v>
      </c>
      <c r="J169" s="30" t="inlineStr">
        <is>
          <t>541578</t>
        </is>
      </c>
    </row>
    <row r="170">
      <c r="A170" s="30" t="inlineStr">
        <is>
          <t>APARINDS</t>
        </is>
      </c>
      <c r="B170" s="30" t="inlineStr">
        <is>
          <t>Apar Industries Limited</t>
        </is>
      </c>
      <c r="C170" s="30" t="inlineStr">
        <is>
          <t>industrials</t>
        </is>
      </c>
      <c r="D170" s="30" t="inlineStr">
        <is>
          <t>electric equipment</t>
        </is>
      </c>
      <c r="E170" s="30" t="inlineStr">
        <is>
          <t>largecap</t>
        </is>
      </c>
      <c r="F170" s="30" t="n">
        <v>54379.86</v>
      </c>
      <c r="G170" s="30" t="n">
        <v>13709</v>
      </c>
      <c r="H170" s="30" t="n">
        <v>1.26</v>
      </c>
      <c r="I170" s="30" t="n">
        <v>159520</v>
      </c>
      <c r="J170" s="30" t="inlineStr">
        <is>
          <t>532259</t>
        </is>
      </c>
    </row>
    <row r="171">
      <c r="A171" s="30" t="inlineStr">
        <is>
          <t>TITAGARH</t>
        </is>
      </c>
      <c r="B171" s="30" t="inlineStr">
        <is>
          <t>Titagarh Rail Systems Ltd</t>
        </is>
      </c>
      <c r="C171" s="30" t="inlineStr">
        <is>
          <t>industrials</t>
        </is>
      </c>
      <c r="D171" s="30" t="inlineStr">
        <is>
          <t>engineering</t>
        </is>
      </c>
      <c r="E171" s="30" t="inlineStr">
        <is>
          <t>midcap</t>
        </is>
      </c>
      <c r="F171" s="30" t="n">
        <v>11492.39</v>
      </c>
      <c r="G171" s="30" t="n">
        <v>864</v>
      </c>
      <c r="H171" s="30" t="n">
        <v>1.25</v>
      </c>
      <c r="I171" s="30" t="n">
        <v>1593786</v>
      </c>
      <c r="J171" s="30" t="inlineStr">
        <is>
          <t>532966</t>
        </is>
      </c>
    </row>
    <row r="172">
      <c r="A172" s="30" t="inlineStr">
        <is>
          <t>GLOSTERLTD</t>
        </is>
      </c>
      <c r="B172" s="30" t="inlineStr">
        <is>
          <t>Gloster Ltd</t>
        </is>
      </c>
      <c r="C172" s="30" t="inlineStr">
        <is>
          <t>textiles</t>
        </is>
      </c>
      <c r="D172" s="30" t="inlineStr">
        <is>
          <t>textiles - jute - yarn / products</t>
        </is>
      </c>
      <c r="E172" s="30" t="inlineStr">
        <is>
          <t>smallcap</t>
        </is>
      </c>
      <c r="F172" s="30" t="n">
        <v>726.14</v>
      </c>
      <c r="G172" s="30" t="n">
        <v>671.65</v>
      </c>
      <c r="H172" s="30" t="n">
        <v>1.22</v>
      </c>
      <c r="I172" s="30" t="n">
        <v>820</v>
      </c>
      <c r="J172" s="30" t="inlineStr">
        <is>
          <t>542351</t>
        </is>
      </c>
    </row>
    <row r="173">
      <c r="A173" s="30" t="inlineStr">
        <is>
          <t>PASUPTAC</t>
        </is>
      </c>
      <c r="B173" s="30" t="inlineStr">
        <is>
          <t>Pasupati Acrylon Ltd</t>
        </is>
      </c>
      <c r="C173" s="30" t="inlineStr">
        <is>
          <t>textiles</t>
        </is>
      </c>
      <c r="D173" s="30" t="inlineStr">
        <is>
          <t>textiles - manmade</t>
        </is>
      </c>
      <c r="E173" s="30" t="inlineStr">
        <is>
          <t>smallcap</t>
        </is>
      </c>
      <c r="F173" s="30" t="n">
        <v>599.78</v>
      </c>
      <c r="G173" s="30" t="n">
        <v>68.11</v>
      </c>
      <c r="H173" s="30" t="n">
        <v>1.22</v>
      </c>
      <c r="I173" s="30" t="n">
        <v>342026</v>
      </c>
      <c r="J173" s="30" t="inlineStr">
        <is>
          <t>500456</t>
        </is>
      </c>
    </row>
    <row r="174">
      <c r="A174" s="30" t="inlineStr">
        <is>
          <t>SALSTEEL</t>
        </is>
      </c>
      <c r="B174" s="30" t="inlineStr">
        <is>
          <t>SAL Steel</t>
        </is>
      </c>
      <c r="C174" s="30" t="inlineStr">
        <is>
          <t>metals &amp; mining</t>
        </is>
      </c>
      <c r="D174" s="30" t="inlineStr">
        <is>
          <t>steel - sponge iron</t>
        </is>
      </c>
      <c r="E174" s="30" t="inlineStr">
        <is>
          <t>smallcap</t>
        </is>
      </c>
      <c r="F174" s="30" t="n">
        <v>899.4400000000001</v>
      </c>
      <c r="G174" s="30" t="n">
        <v>62.88</v>
      </c>
      <c r="H174" s="30" t="n">
        <v>1.21</v>
      </c>
      <c r="I174" s="30" t="n">
        <v>137000</v>
      </c>
      <c r="J174" s="30" t="inlineStr">
        <is>
          <t>532604</t>
        </is>
      </c>
    </row>
    <row r="175">
      <c r="A175" s="30" t="inlineStr">
        <is>
          <t>KIRLPNU</t>
        </is>
      </c>
      <c r="B175" s="30" t="inlineStr">
        <is>
          <t>Kirloskar Pneumatic Company Ltd</t>
        </is>
      </c>
      <c r="C175" s="30" t="inlineStr">
        <is>
          <t>industrials</t>
        </is>
      </c>
      <c r="D175" s="30" t="inlineStr">
        <is>
          <t>compressors / drilling equipment</t>
        </is>
      </c>
      <c r="E175" s="30" t="inlineStr">
        <is>
          <t>midcap</t>
        </is>
      </c>
      <c r="F175" s="30" t="n">
        <v>10260.15</v>
      </c>
      <c r="G175" s="30" t="n">
        <v>1598.2</v>
      </c>
      <c r="H175" s="30" t="n">
        <v>1.18</v>
      </c>
      <c r="I175" s="30" t="n">
        <v>94741</v>
      </c>
      <c r="J175" s="30" t="inlineStr">
        <is>
          <t>505283</t>
        </is>
      </c>
    </row>
    <row r="176">
      <c r="A176" s="30" t="inlineStr">
        <is>
          <t>AEROFLEX</t>
        </is>
      </c>
      <c r="B176" s="30" t="inlineStr">
        <is>
          <t>Aeroflex Industries Ltd</t>
        </is>
      </c>
      <c r="C176" s="30" t="inlineStr">
        <is>
          <t>metals &amp; mining</t>
        </is>
      </c>
      <c r="D176" s="30" t="inlineStr">
        <is>
          <t>steel - medium / small</t>
        </is>
      </c>
      <c r="E176" s="30" t="inlineStr">
        <is>
          <t>midcap</t>
        </is>
      </c>
      <c r="F176" s="30" t="n">
        <v>5748.45</v>
      </c>
      <c r="G176" s="30" t="n">
        <v>439.4</v>
      </c>
      <c r="H176" s="30" t="n">
        <v>1.15</v>
      </c>
      <c r="I176" s="30" t="n">
        <v>1781431</v>
      </c>
      <c r="J176" s="30" t="inlineStr">
        <is>
          <t>543972</t>
        </is>
      </c>
    </row>
    <row r="177">
      <c r="A177" s="30" t="inlineStr">
        <is>
          <t>SUPRAJIT</t>
        </is>
      </c>
      <c r="B177" s="30" t="inlineStr">
        <is>
          <t>Suprajit Engineering Limited</t>
        </is>
      </c>
      <c r="C177" s="30" t="inlineStr">
        <is>
          <t>auto</t>
        </is>
      </c>
      <c r="D177" s="30" t="inlineStr">
        <is>
          <t>auto ancillaries</t>
        </is>
      </c>
      <c r="E177" s="30" t="inlineStr">
        <is>
          <t>midcap</t>
        </is>
      </c>
      <c r="F177" s="30" t="n">
        <v>6384.63</v>
      </c>
      <c r="G177" s="30" t="n">
        <v>470.7</v>
      </c>
      <c r="H177" s="30" t="n">
        <v>1.13</v>
      </c>
      <c r="I177" s="30" t="n">
        <v>148100</v>
      </c>
      <c r="J177" s="30" t="inlineStr">
        <is>
          <t>532509</t>
        </is>
      </c>
    </row>
    <row r="178">
      <c r="A178" s="30" t="inlineStr">
        <is>
          <t>EXIDEIND</t>
        </is>
      </c>
      <c r="B178" s="30" t="inlineStr">
        <is>
          <t>Exide Industries Limited</t>
        </is>
      </c>
      <c r="C178" s="30" t="inlineStr">
        <is>
          <t>auto</t>
        </is>
      </c>
      <c r="D178" s="30" t="inlineStr">
        <is>
          <t>auto ancillaries</t>
        </is>
      </c>
      <c r="E178" s="30" t="inlineStr">
        <is>
          <t>largecap</t>
        </is>
      </c>
      <c r="F178" s="30" t="n">
        <v>33910.75</v>
      </c>
      <c r="G178" s="30" t="n">
        <v>403.4</v>
      </c>
      <c r="H178" s="30" t="n">
        <v>1.12</v>
      </c>
      <c r="I178" s="30" t="n">
        <v>4920795</v>
      </c>
      <c r="J178" s="30" t="inlineStr">
        <is>
          <t>500086</t>
        </is>
      </c>
    </row>
    <row r="179">
      <c r="A179" s="30" t="inlineStr">
        <is>
          <t>RADICO</t>
        </is>
      </c>
      <c r="B179" s="30" t="inlineStr">
        <is>
          <t>Radico Khaitan Limited</t>
        </is>
      </c>
      <c r="C179" s="30" t="inlineStr">
        <is>
          <t>fmcg</t>
        </is>
      </c>
      <c r="D179" s="30" t="inlineStr">
        <is>
          <t>breweries &amp; distilleries</t>
        </is>
      </c>
      <c r="E179" s="30" t="inlineStr">
        <is>
          <t>largecap</t>
        </is>
      </c>
      <c r="F179" s="30" t="n">
        <v>46383.58</v>
      </c>
      <c r="G179" s="30" t="n">
        <v>3502.4</v>
      </c>
      <c r="H179" s="30" t="n">
        <v>1.11</v>
      </c>
      <c r="I179" s="30" t="n">
        <v>247899</v>
      </c>
      <c r="J179" s="30" t="inlineStr">
        <is>
          <t>532497</t>
        </is>
      </c>
    </row>
    <row r="180">
      <c r="A180" s="30" t="inlineStr">
        <is>
          <t>SIS</t>
        </is>
      </c>
      <c r="B180" s="30" t="inlineStr">
        <is>
          <t>Security &amp; Intelligence Services India</t>
        </is>
      </c>
      <c r="C180" s="30" t="inlineStr">
        <is>
          <t>miscellaneous</t>
        </is>
      </c>
      <c r="D180" s="30" t="inlineStr">
        <is>
          <t>miscellaneous</t>
        </is>
      </c>
      <c r="E180" s="30" t="inlineStr">
        <is>
          <t>midcap</t>
        </is>
      </c>
      <c r="F180" s="30" t="n">
        <v>5924.95</v>
      </c>
      <c r="G180" s="30" t="n">
        <v>424</v>
      </c>
      <c r="H180" s="30" t="n">
        <v>1.1</v>
      </c>
      <c r="I180" s="30" t="n">
        <v>279699</v>
      </c>
      <c r="J180" s="30" t="inlineStr">
        <is>
          <t>540673</t>
        </is>
      </c>
    </row>
    <row r="181">
      <c r="A181" s="30" t="inlineStr">
        <is>
          <t>SEAMECLTD</t>
        </is>
      </c>
      <c r="B181" s="30" t="inlineStr">
        <is>
          <t>Seamec Limited</t>
        </is>
      </c>
      <c r="C181" s="30" t="inlineStr">
        <is>
          <t>miscellaneous</t>
        </is>
      </c>
      <c r="D181" s="30" t="inlineStr">
        <is>
          <t>miscellaneous</t>
        </is>
      </c>
      <c r="E181" s="30" t="inlineStr">
        <is>
          <t>smallcap</t>
        </is>
      </c>
      <c r="F181" s="30" t="n">
        <v>4111.99</v>
      </c>
      <c r="G181" s="30" t="n">
        <v>1634.2</v>
      </c>
      <c r="H181" s="30" t="n">
        <v>1.04</v>
      </c>
      <c r="I181" s="30" t="n">
        <v>40195</v>
      </c>
      <c r="J181" s="30" t="inlineStr">
        <is>
          <t>526807</t>
        </is>
      </c>
    </row>
    <row r="182">
      <c r="A182" s="30" t="inlineStr">
        <is>
          <t>TMB</t>
        </is>
      </c>
      <c r="B182" s="30" t="inlineStr">
        <is>
          <t>Tamilnad Mercantile Bank Ltd</t>
        </is>
      </c>
      <c r="C182" s="30" t="inlineStr">
        <is>
          <t>bank</t>
        </is>
      </c>
      <c r="D182" s="30" t="inlineStr">
        <is>
          <t>banks - private sector</t>
        </is>
      </c>
      <c r="E182" s="30" t="inlineStr">
        <is>
          <t>midcap</t>
        </is>
      </c>
      <c r="F182" s="30" t="n">
        <v>11725.13</v>
      </c>
      <c r="G182" s="30" t="n">
        <v>748.1</v>
      </c>
      <c r="H182" s="30" t="n">
        <v>1.03</v>
      </c>
      <c r="I182" s="30" t="n">
        <v>232194</v>
      </c>
      <c r="J182" s="30" t="inlineStr">
        <is>
          <t>543596</t>
        </is>
      </c>
    </row>
    <row r="183">
      <c r="A183" s="30" t="inlineStr">
        <is>
          <t>VINCOFE</t>
        </is>
      </c>
      <c r="B183" s="30" t="inlineStr">
        <is>
          <t>Vintage Coffee &amp; Beverages Ltd</t>
        </is>
      </c>
      <c r="C183" s="30" t="inlineStr">
        <is>
          <t>consumer discretionary</t>
        </is>
      </c>
      <c r="D183" s="30" t="inlineStr">
        <is>
          <t>trading</t>
        </is>
      </c>
      <c r="E183" s="30" t="inlineStr">
        <is>
          <t>smallcap</t>
        </is>
      </c>
      <c r="F183" s="30" t="n">
        <v>2167.99</v>
      </c>
      <c r="G183" s="30" t="n">
        <v>150.33</v>
      </c>
      <c r="H183" s="30" t="n">
        <v>1.02</v>
      </c>
      <c r="I183" s="30" t="n">
        <v>1113678</v>
      </c>
      <c r="J183" s="30" t="inlineStr">
        <is>
          <t>538920</t>
        </is>
      </c>
    </row>
    <row r="184">
      <c r="A184" s="30" t="inlineStr">
        <is>
          <t>OFSS</t>
        </is>
      </c>
      <c r="B184" s="30" t="inlineStr">
        <is>
          <t>Oracle Financial Services Software Limited</t>
        </is>
      </c>
      <c r="C184" s="30" t="inlineStr">
        <is>
          <t>i.t</t>
        </is>
      </c>
      <c r="D184" s="30" t="inlineStr">
        <is>
          <t>computers - software - large</t>
        </is>
      </c>
      <c r="E184" s="30" t="inlineStr">
        <is>
          <t>largecap</t>
        </is>
      </c>
      <c r="F184" s="30" t="n">
        <v>87013.37</v>
      </c>
      <c r="G184" s="30" t="n">
        <v>10098</v>
      </c>
      <c r="H184" s="30" t="n">
        <v>1.01</v>
      </c>
      <c r="I184" s="30" t="n">
        <v>277226</v>
      </c>
      <c r="J184" s="30" t="inlineStr">
        <is>
          <t>532466</t>
        </is>
      </c>
    </row>
    <row r="185">
      <c r="A185" s="30" t="inlineStr">
        <is>
          <t>SURYODAY</t>
        </is>
      </c>
      <c r="B185" s="30" t="inlineStr">
        <is>
          <t>Suryoday Small Finance Bank Ltd</t>
        </is>
      </c>
      <c r="C185" s="30" t="inlineStr">
        <is>
          <t>bank</t>
        </is>
      </c>
      <c r="D185" s="30" t="inlineStr">
        <is>
          <t>banks - private sector</t>
        </is>
      </c>
      <c r="E185" s="30" t="inlineStr">
        <is>
          <t>smallcap</t>
        </is>
      </c>
      <c r="F185" s="30" t="n">
        <v>1803.42</v>
      </c>
      <c r="G185" s="30" t="n">
        <v>171.39</v>
      </c>
      <c r="H185" s="30" t="n">
        <v>1.01</v>
      </c>
      <c r="I185" s="30" t="n">
        <v>393247</v>
      </c>
      <c r="J185" s="30" t="inlineStr">
        <is>
          <t>543279</t>
        </is>
      </c>
    </row>
    <row r="186">
      <c r="A186" s="30" t="inlineStr">
        <is>
          <t>JAGRAN</t>
        </is>
      </c>
      <c r="B186" s="30" t="inlineStr">
        <is>
          <t>Jagran Prakashan Limited</t>
        </is>
      </c>
      <c r="C186" s="30" t="inlineStr">
        <is>
          <t>media</t>
        </is>
      </c>
      <c r="D186" s="30" t="inlineStr">
        <is>
          <t>entertainment / electronic media software</t>
        </is>
      </c>
      <c r="E186" s="30" t="inlineStr">
        <is>
          <t>smallcap</t>
        </is>
      </c>
      <c r="F186" s="30" t="n">
        <v>1685.51</v>
      </c>
      <c r="G186" s="30" t="n">
        <v>78.2</v>
      </c>
      <c r="H186" s="30" t="n">
        <v>0.98</v>
      </c>
      <c r="I186" s="30" t="n">
        <v>3512063</v>
      </c>
      <c r="J186" s="30" t="inlineStr">
        <is>
          <t>532705</t>
        </is>
      </c>
    </row>
    <row r="187">
      <c r="A187" s="30" t="inlineStr">
        <is>
          <t>SJS</t>
        </is>
      </c>
      <c r="B187" s="30" t="inlineStr">
        <is>
          <t>S J S Enterprises Ltd</t>
        </is>
      </c>
      <c r="C187" s="30" t="inlineStr">
        <is>
          <t>auto</t>
        </is>
      </c>
      <c r="D187" s="30" t="inlineStr">
        <is>
          <t>plastics products</t>
        </is>
      </c>
      <c r="E187" s="30" t="inlineStr">
        <is>
          <t>midcap</t>
        </is>
      </c>
      <c r="F187" s="30" t="n">
        <v>6305.29</v>
      </c>
      <c r="G187" s="30" t="n">
        <v>1989.8</v>
      </c>
      <c r="H187" s="30" t="n">
        <v>0.97</v>
      </c>
      <c r="I187" s="30" t="n">
        <v>55389</v>
      </c>
      <c r="J187" s="30" t="inlineStr">
        <is>
          <t>543387</t>
        </is>
      </c>
    </row>
    <row r="188">
      <c r="A188" s="30" t="inlineStr">
        <is>
          <t>ACUTAAS</t>
        </is>
      </c>
      <c r="B188" s="30" t="inlineStr">
        <is>
          <t>Acutaas Chemicals Ltd</t>
        </is>
      </c>
      <c r="C188" s="30" t="inlineStr">
        <is>
          <t>healthcare</t>
        </is>
      </c>
      <c r="D188" s="30" t="inlineStr">
        <is>
          <t>pharmaceuticals - indian - bulk drugs</t>
        </is>
      </c>
      <c r="E188" s="30" t="inlineStr">
        <is>
          <t>largecap</t>
        </is>
      </c>
      <c r="F188" s="30" t="n">
        <v>25672.33</v>
      </c>
      <c r="G188" s="30" t="n">
        <v>3164.7</v>
      </c>
      <c r="H188" s="30" t="n">
        <v>0.92</v>
      </c>
      <c r="I188" s="30" t="n">
        <v>250577</v>
      </c>
      <c r="J188" s="30" t="inlineStr">
        <is>
          <t>543349</t>
        </is>
      </c>
    </row>
    <row r="189">
      <c r="A189" s="30" t="inlineStr">
        <is>
          <t>TIINDIA</t>
        </is>
      </c>
      <c r="B189" s="30" t="inlineStr">
        <is>
          <t>Tube Investments of India Ltd</t>
        </is>
      </c>
      <c r="C189" s="30" t="inlineStr">
        <is>
          <t>industrials</t>
        </is>
      </c>
      <c r="D189" s="30" t="inlineStr">
        <is>
          <t>steel - large</t>
        </is>
      </c>
      <c r="E189" s="30" t="inlineStr">
        <is>
          <t>largecap</t>
        </is>
      </c>
      <c r="F189" s="30" t="n">
        <v>59424.6</v>
      </c>
      <c r="G189" s="30" t="n">
        <v>3098.4</v>
      </c>
      <c r="H189" s="30" t="n">
        <v>0.92</v>
      </c>
      <c r="I189" s="30" t="n">
        <v>207106</v>
      </c>
      <c r="J189" s="30" t="inlineStr">
        <is>
          <t>540762</t>
        </is>
      </c>
    </row>
    <row r="190">
      <c r="A190" s="30" t="inlineStr">
        <is>
          <t>ANGELONE</t>
        </is>
      </c>
      <c r="B190" s="30" t="inlineStr">
        <is>
          <t>Angel One Ltd</t>
        </is>
      </c>
      <c r="C190" s="30" t="inlineStr">
        <is>
          <t>financials</t>
        </is>
      </c>
      <c r="D190" s="30" t="inlineStr">
        <is>
          <t>finance &amp; investments</t>
        </is>
      </c>
      <c r="E190" s="30" t="inlineStr">
        <is>
          <t>largecap</t>
        </is>
      </c>
      <c r="F190" s="30" t="n">
        <v>30491.01</v>
      </c>
      <c r="G190" s="30" t="n">
        <v>337.7</v>
      </c>
      <c r="H190" s="30" t="n">
        <v>0.88</v>
      </c>
      <c r="I190" s="30" t="n">
        <v>6699518</v>
      </c>
      <c r="J190" s="30" t="n"/>
    </row>
    <row r="191">
      <c r="A191" s="30" t="inlineStr">
        <is>
          <t>BIOCON</t>
        </is>
      </c>
      <c r="B191" s="30" t="inlineStr">
        <is>
          <t>Biocon Limited</t>
        </is>
      </c>
      <c r="C191" s="30" t="inlineStr">
        <is>
          <t>healthcare</t>
        </is>
      </c>
      <c r="D191" s="30" t="inlineStr">
        <is>
          <t>pharmaceuticals - indian - bulk drugs &amp; formln</t>
        </is>
      </c>
      <c r="E191" s="30" t="inlineStr">
        <is>
          <t>largecap</t>
        </is>
      </c>
      <c r="F191" s="30" t="n">
        <v>66854.34</v>
      </c>
      <c r="G191" s="30" t="n">
        <v>416.05</v>
      </c>
      <c r="H191" s="30" t="n">
        <v>0.87</v>
      </c>
      <c r="I191" s="30" t="n">
        <v>2493074</v>
      </c>
      <c r="J191" s="30" t="inlineStr">
        <is>
          <t>532523</t>
        </is>
      </c>
    </row>
    <row r="192">
      <c r="A192" s="30" t="inlineStr">
        <is>
          <t>LLOYDSENGG</t>
        </is>
      </c>
      <c r="B192" s="30" t="inlineStr">
        <is>
          <t>Lloyds Engineering Works Ltd</t>
        </is>
      </c>
      <c r="C192" s="30" t="inlineStr">
        <is>
          <t>industrials</t>
        </is>
      </c>
      <c r="D192" s="30" t="inlineStr">
        <is>
          <t>engineering</t>
        </is>
      </c>
      <c r="E192" s="30" t="inlineStr">
        <is>
          <t>midcap</t>
        </is>
      </c>
      <c r="F192" s="30" t="n">
        <v>10495.26</v>
      </c>
      <c r="G192" s="30" t="n">
        <v>71.51000000000001</v>
      </c>
      <c r="H192" s="30" t="n">
        <v>0.85</v>
      </c>
      <c r="I192" s="30" t="n">
        <v>7197429</v>
      </c>
      <c r="J192" s="30" t="inlineStr">
        <is>
          <t>539992</t>
        </is>
      </c>
    </row>
    <row r="193">
      <c r="A193" s="30" t="inlineStr">
        <is>
          <t>RML</t>
        </is>
      </c>
      <c r="B193" s="30" t="inlineStr">
        <is>
          <t>Rane (madras) Limited</t>
        </is>
      </c>
      <c r="C193" s="30" t="inlineStr">
        <is>
          <t>auto</t>
        </is>
      </c>
      <c r="D193" s="30" t="inlineStr">
        <is>
          <t>auto ancillaries</t>
        </is>
      </c>
      <c r="E193" s="30" t="inlineStr">
        <is>
          <t>smallcap</t>
        </is>
      </c>
      <c r="F193" s="30" t="n">
        <v>2503.23</v>
      </c>
      <c r="G193" s="30" t="n">
        <v>913.35</v>
      </c>
      <c r="H193" s="30" t="n">
        <v>0.84</v>
      </c>
      <c r="I193" s="30" t="n">
        <v>13588</v>
      </c>
      <c r="J193" s="30" t="inlineStr">
        <is>
          <t>532661</t>
        </is>
      </c>
    </row>
    <row r="194">
      <c r="A194" s="30" t="inlineStr">
        <is>
          <t>NAVINFLUOR</t>
        </is>
      </c>
      <c r="B194" s="30" t="inlineStr">
        <is>
          <t>Navin Fluorine International Limited</t>
        </is>
      </c>
      <c r="C194" s="30" t="inlineStr">
        <is>
          <t>chemicals</t>
        </is>
      </c>
      <c r="D194" s="30" t="inlineStr">
        <is>
          <t>chemicals</t>
        </is>
      </c>
      <c r="E194" s="30" t="inlineStr">
        <is>
          <t>largecap</t>
        </is>
      </c>
      <c r="F194" s="30" t="n">
        <v>36055.93</v>
      </c>
      <c r="G194" s="30" t="n">
        <v>7090.5</v>
      </c>
      <c r="H194" s="30" t="n">
        <v>0.78</v>
      </c>
      <c r="I194" s="30" t="n">
        <v>77756</v>
      </c>
      <c r="J194" s="30" t="inlineStr">
        <is>
          <t>532504</t>
        </is>
      </c>
    </row>
    <row r="195">
      <c r="A195" s="30" t="inlineStr">
        <is>
          <t>RATEGAIN</t>
        </is>
      </c>
      <c r="B195" s="30" t="inlineStr">
        <is>
          <t>Rategain Travel Technologies Ltd</t>
        </is>
      </c>
      <c r="C195" s="30" t="inlineStr">
        <is>
          <t>i.t</t>
        </is>
      </c>
      <c r="D195" s="30" t="inlineStr">
        <is>
          <t>computers - software - medium / small</t>
        </is>
      </c>
      <c r="E195" s="30" t="inlineStr">
        <is>
          <t>midcap</t>
        </is>
      </c>
      <c r="F195" s="30" t="n">
        <v>9042.610000000001</v>
      </c>
      <c r="G195" s="30" t="n">
        <v>771</v>
      </c>
      <c r="H195" s="30" t="n">
        <v>0.75</v>
      </c>
      <c r="I195" s="30" t="n">
        <v>451261</v>
      </c>
      <c r="J195" s="30" t="inlineStr">
        <is>
          <t>543417</t>
        </is>
      </c>
    </row>
    <row r="196">
      <c r="A196" s="30" t="inlineStr">
        <is>
          <t>ZYDUSLIFE</t>
        </is>
      </c>
      <c r="B196" s="30" t="inlineStr">
        <is>
          <t>Zydus Lifesciences Ltd</t>
        </is>
      </c>
      <c r="C196" s="30" t="inlineStr">
        <is>
          <t>healthcare</t>
        </is>
      </c>
      <c r="D196" s="30" t="inlineStr">
        <is>
          <t>pharmaceuticals - indian - bulk drugs &amp; formln</t>
        </is>
      </c>
      <c r="E196" s="30" t="inlineStr">
        <is>
          <t>largecap</t>
        </is>
      </c>
      <c r="F196" s="30" t="n">
        <v>108331.15</v>
      </c>
      <c r="G196" s="30" t="n">
        <v>1084.6</v>
      </c>
      <c r="H196" s="30" t="n">
        <v>0.74</v>
      </c>
      <c r="I196" s="30" t="n">
        <v>1016000</v>
      </c>
      <c r="J196" s="30" t="inlineStr">
        <is>
          <t>532321</t>
        </is>
      </c>
    </row>
    <row r="197">
      <c r="A197" s="30" t="inlineStr">
        <is>
          <t>SKIPPER</t>
        </is>
      </c>
      <c r="B197" s="30" t="inlineStr">
        <is>
          <t>Skipper Limited</t>
        </is>
      </c>
      <c r="C197" s="30" t="inlineStr">
        <is>
          <t>industrials</t>
        </is>
      </c>
      <c r="D197" s="30" t="inlineStr">
        <is>
          <t>engineering</t>
        </is>
      </c>
      <c r="E197" s="30" t="inlineStr">
        <is>
          <t>midcap</t>
        </is>
      </c>
      <c r="F197" s="30" t="n">
        <v>6441.18</v>
      </c>
      <c r="G197" s="30" t="n">
        <v>574.65</v>
      </c>
      <c r="H197" s="30" t="n">
        <v>0.73</v>
      </c>
      <c r="I197" s="30" t="n">
        <v>2598018</v>
      </c>
      <c r="J197" s="30" t="inlineStr">
        <is>
          <t>538562</t>
        </is>
      </c>
    </row>
    <row r="198">
      <c r="A198" s="30" t="inlineStr">
        <is>
          <t>AJAXENGG</t>
        </is>
      </c>
      <c r="B198" s="30" t="inlineStr">
        <is>
          <t>Ajax Engineering Ltd</t>
        </is>
      </c>
      <c r="C198" s="30" t="inlineStr">
        <is>
          <t>industrials</t>
        </is>
      </c>
      <c r="D198" s="30" t="inlineStr">
        <is>
          <t>engineering</t>
        </is>
      </c>
      <c r="E198" s="30" t="inlineStr">
        <is>
          <t>midcap</t>
        </is>
      </c>
      <c r="F198" s="30" t="n">
        <v>6824.37</v>
      </c>
      <c r="G198" s="30" t="n">
        <v>600.85</v>
      </c>
      <c r="H198" s="30" t="n">
        <v>0.73</v>
      </c>
      <c r="I198" s="30" t="n">
        <v>50936</v>
      </c>
      <c r="J198" s="30" t="inlineStr">
        <is>
          <t>544356</t>
        </is>
      </c>
    </row>
    <row r="199">
      <c r="A199" s="30" t="inlineStr">
        <is>
          <t>SOUTHWEST</t>
        </is>
      </c>
      <c r="B199" s="30" t="inlineStr">
        <is>
          <t>South West Pinnacle Exploration Ltd</t>
        </is>
      </c>
      <c r="C199" s="30" t="inlineStr">
        <is>
          <t>metals &amp; mining</t>
        </is>
      </c>
      <c r="D199" s="30" t="inlineStr">
        <is>
          <t>mining / minerals / metals</t>
        </is>
      </c>
      <c r="E199" s="30" t="inlineStr">
        <is>
          <t>smallcap</t>
        </is>
      </c>
      <c r="F199" s="30" t="n">
        <v>783.04</v>
      </c>
      <c r="G199" s="30" t="n">
        <v>264.25</v>
      </c>
      <c r="H199" s="30" t="n">
        <v>0.67</v>
      </c>
      <c r="I199" s="30" t="n">
        <v>458761</v>
      </c>
      <c r="J199" s="30" t="inlineStr">
        <is>
          <t>535049</t>
        </is>
      </c>
    </row>
    <row r="200">
      <c r="A200" s="30" t="inlineStr">
        <is>
          <t>GPTHEALTH</t>
        </is>
      </c>
      <c r="B200" s="30" t="inlineStr">
        <is>
          <t>GPT Healthcare Ltd</t>
        </is>
      </c>
      <c r="C200" s="30" t="inlineStr">
        <is>
          <t>healthcare</t>
        </is>
      </c>
      <c r="D200" s="30" t="inlineStr">
        <is>
          <t>healthcare</t>
        </is>
      </c>
      <c r="E200" s="30" t="inlineStr">
        <is>
          <t>smallcap</t>
        </is>
      </c>
      <c r="F200" s="30" t="n">
        <v>1242.64</v>
      </c>
      <c r="G200" s="30" t="n">
        <v>152.43</v>
      </c>
      <c r="H200" s="30" t="n">
        <v>0.65</v>
      </c>
      <c r="I200" s="30" t="n">
        <v>184805</v>
      </c>
      <c r="J200" s="30" t="inlineStr">
        <is>
          <t>544131</t>
        </is>
      </c>
    </row>
    <row r="201">
      <c r="A201" s="30" t="inlineStr">
        <is>
          <t>KERNEX</t>
        </is>
      </c>
      <c r="B201" s="30" t="inlineStr">
        <is>
          <t>Kernex Microsystems (india) Limited</t>
        </is>
      </c>
      <c r="C201" s="30" t="inlineStr">
        <is>
          <t>consumer discretionary</t>
        </is>
      </c>
      <c r="D201" s="30" t="inlineStr">
        <is>
          <t>electronics - components</t>
        </is>
      </c>
      <c r="E201" s="30" t="inlineStr">
        <is>
          <t>smallcap</t>
        </is>
      </c>
      <c r="F201" s="30" t="n">
        <v>3155.33</v>
      </c>
      <c r="G201" s="30" t="n">
        <v>1890.1</v>
      </c>
      <c r="H201" s="30" t="n">
        <v>0.65</v>
      </c>
      <c r="I201" s="30" t="n">
        <v>257159</v>
      </c>
      <c r="J201" s="30" t="inlineStr">
        <is>
          <t>532686</t>
        </is>
      </c>
    </row>
    <row r="202">
      <c r="A202" s="30" t="inlineStr">
        <is>
          <t>BAJAJCON</t>
        </is>
      </c>
      <c r="B202" s="30" t="inlineStr">
        <is>
          <t>Bajaj Consumer Care Ltd</t>
        </is>
      </c>
      <c r="C202" s="30" t="inlineStr">
        <is>
          <t>fmcg</t>
        </is>
      </c>
      <c r="D202" s="30" t="inlineStr">
        <is>
          <t>personal care - indian</t>
        </is>
      </c>
      <c r="E202" s="30" t="inlineStr">
        <is>
          <t>midcap</t>
        </is>
      </c>
      <c r="F202" s="30" t="n">
        <v>7254.54</v>
      </c>
      <c r="G202" s="30" t="n">
        <v>558.8</v>
      </c>
      <c r="H202" s="30" t="n">
        <v>0.61</v>
      </c>
      <c r="I202" s="30" t="n">
        <v>312589</v>
      </c>
      <c r="J202" s="30" t="inlineStr">
        <is>
          <t>533229</t>
        </is>
      </c>
    </row>
    <row r="203">
      <c r="A203" s="30" t="inlineStr">
        <is>
          <t>CGCL</t>
        </is>
      </c>
      <c r="B203" s="30" t="inlineStr">
        <is>
          <t>Capri Global Capital Limited</t>
        </is>
      </c>
      <c r="C203" s="30" t="inlineStr">
        <is>
          <t>financials</t>
        </is>
      </c>
      <c r="D203" s="30" t="inlineStr">
        <is>
          <t>finance &amp; investments</t>
        </is>
      </c>
      <c r="E203" s="30" t="inlineStr">
        <is>
          <t>midcap</t>
        </is>
      </c>
      <c r="F203" s="30" t="n">
        <v>19373.93</v>
      </c>
      <c r="G203" s="30" t="n">
        <v>202.53</v>
      </c>
      <c r="H203" s="30" t="n">
        <v>0.58</v>
      </c>
      <c r="I203" s="30" t="n">
        <v>3552907</v>
      </c>
      <c r="J203" s="30" t="inlineStr">
        <is>
          <t>531595</t>
        </is>
      </c>
    </row>
    <row r="204">
      <c r="A204" s="30" t="inlineStr">
        <is>
          <t>GOCLCORP</t>
        </is>
      </c>
      <c r="B204" s="30" t="inlineStr">
        <is>
          <t>Gocl Corporation Limited</t>
        </is>
      </c>
      <c r="C204" s="30" t="inlineStr">
        <is>
          <t>miscellaneous</t>
        </is>
      </c>
      <c r="D204" s="30" t="inlineStr">
        <is>
          <t>diversified - medium / small</t>
        </is>
      </c>
      <c r="E204" s="30" t="inlineStr">
        <is>
          <t>smallcap</t>
        </is>
      </c>
      <c r="F204" s="30" t="n">
        <v>2072.63</v>
      </c>
      <c r="G204" s="30" t="n">
        <v>420.45</v>
      </c>
      <c r="H204" s="30" t="n">
        <v>0.5600000000000001</v>
      </c>
      <c r="I204" s="30" t="n">
        <v>343269</v>
      </c>
      <c r="J204" s="30" t="inlineStr">
        <is>
          <t>506480</t>
        </is>
      </c>
    </row>
    <row r="205">
      <c r="A205" s="30" t="inlineStr">
        <is>
          <t>NUVAMA</t>
        </is>
      </c>
      <c r="B205" s="30" t="inlineStr">
        <is>
          <t>Nuvama Wealth Management Ltd</t>
        </is>
      </c>
      <c r="C205" s="30" t="inlineStr">
        <is>
          <t>financials</t>
        </is>
      </c>
      <c r="D205" s="30" t="inlineStr">
        <is>
          <t>finance &amp; investments</t>
        </is>
      </c>
      <c r="E205" s="30" t="inlineStr">
        <is>
          <t>largecap</t>
        </is>
      </c>
      <c r="F205" s="30" t="n">
        <v>28363.89</v>
      </c>
      <c r="G205" s="30" t="n">
        <v>1566.6</v>
      </c>
      <c r="H205" s="30" t="n">
        <v>0.55</v>
      </c>
      <c r="I205" s="30" t="n">
        <v>260107</v>
      </c>
      <c r="J205" s="30" t="inlineStr">
        <is>
          <t>543988</t>
        </is>
      </c>
    </row>
    <row r="206">
      <c r="A206" s="30" t="inlineStr">
        <is>
          <t>SBCL</t>
        </is>
      </c>
      <c r="B206" s="30" t="inlineStr">
        <is>
          <t>Shivalik Bimetal Controls Ltd</t>
        </is>
      </c>
      <c r="C206" s="30" t="inlineStr">
        <is>
          <t>metals &amp; mining</t>
        </is>
      </c>
      <c r="D206" s="30" t="inlineStr">
        <is>
          <t>mining / minerals / metals</t>
        </is>
      </c>
      <c r="E206" s="30" t="inlineStr">
        <is>
          <t>smallcap</t>
        </is>
      </c>
      <c r="F206" s="30" t="n">
        <v>4169.97</v>
      </c>
      <c r="G206" s="30" t="n">
        <v>727.8</v>
      </c>
      <c r="H206" s="30" t="n">
        <v>0.54</v>
      </c>
      <c r="I206" s="30" t="n">
        <v>349605</v>
      </c>
      <c r="J206" s="30" t="inlineStr">
        <is>
          <t>513097</t>
        </is>
      </c>
    </row>
    <row r="207">
      <c r="A207" s="30" t="inlineStr">
        <is>
          <t>IDEA</t>
        </is>
      </c>
      <c r="B207" s="30" t="inlineStr">
        <is>
          <t>Vodafone Idea Ltd</t>
        </is>
      </c>
      <c r="C207" s="30" t="inlineStr">
        <is>
          <t>telecom-service</t>
        </is>
      </c>
      <c r="D207" s="30" t="inlineStr">
        <is>
          <t>telecommunications - service provider</t>
        </is>
      </c>
      <c r="E207" s="30" t="inlineStr">
        <is>
          <t>largecap</t>
        </is>
      </c>
      <c r="F207" s="30" t="n">
        <v>160889.41</v>
      </c>
      <c r="G207" s="30" t="n">
        <v>14.93</v>
      </c>
      <c r="H207" s="30" t="n">
        <v>0.54</v>
      </c>
      <c r="I207" s="30" t="n">
        <v>860152052</v>
      </c>
      <c r="J207" s="30" t="inlineStr">
        <is>
          <t>532822</t>
        </is>
      </c>
    </row>
    <row r="208">
      <c r="A208" s="30" t="inlineStr">
        <is>
          <t>JINDRILL</t>
        </is>
      </c>
      <c r="B208" s="30" t="inlineStr">
        <is>
          <t>Jindal Drilling And Industries Limited</t>
        </is>
      </c>
      <c r="C208" s="30" t="inlineStr">
        <is>
          <t>energy</t>
        </is>
      </c>
      <c r="D208" s="30" t="inlineStr">
        <is>
          <t>oil drilling / allied services</t>
        </is>
      </c>
      <c r="E208" s="30" t="inlineStr">
        <is>
          <t>smallcap</t>
        </is>
      </c>
      <c r="F208" s="30" t="n">
        <v>1820.3</v>
      </c>
      <c r="G208" s="30" t="n">
        <v>631.1</v>
      </c>
      <c r="H208" s="30" t="n">
        <v>0.48</v>
      </c>
      <c r="I208" s="30" t="n">
        <v>378128</v>
      </c>
      <c r="J208" s="30" t="inlineStr">
        <is>
          <t>511034</t>
        </is>
      </c>
    </row>
    <row r="209">
      <c r="A209" s="30" t="inlineStr">
        <is>
          <t>GHCLTEXTIL</t>
        </is>
      </c>
      <c r="B209" s="30" t="inlineStr">
        <is>
          <t>GHCL Textiles Ltd</t>
        </is>
      </c>
      <c r="C209" s="30" t="inlineStr">
        <is>
          <t>textiles</t>
        </is>
      </c>
      <c r="D209" s="30" t="inlineStr">
        <is>
          <t>textiles - spinning - synthetic / blended</t>
        </is>
      </c>
      <c r="E209" s="30" t="inlineStr">
        <is>
          <t>smallcap</t>
        </is>
      </c>
      <c r="F209" s="30" t="n">
        <v>917.15</v>
      </c>
      <c r="G209" s="30" t="n">
        <v>96.40000000000001</v>
      </c>
      <c r="H209" s="30" t="n">
        <v>0.47</v>
      </c>
      <c r="I209" s="30" t="n">
        <v>789395</v>
      </c>
      <c r="J209" s="30" t="inlineStr">
        <is>
          <t>543918</t>
        </is>
      </c>
    </row>
    <row r="210">
      <c r="A210" s="30" t="inlineStr">
        <is>
          <t>VIYASH</t>
        </is>
      </c>
      <c r="B210" s="30" t="inlineStr">
        <is>
          <t>Viyash Scientific Ltd</t>
        </is>
      </c>
      <c r="C210" s="30" t="inlineStr">
        <is>
          <t>healthcare</t>
        </is>
      </c>
      <c r="D210" s="30" t="inlineStr">
        <is>
          <t>pharmaceuticals - indian - bulk drugs &amp; formln</t>
        </is>
      </c>
      <c r="E210" s="30" t="inlineStr">
        <is>
          <t>midcap</t>
        </is>
      </c>
      <c r="F210" s="30" t="n">
        <v>10833.9</v>
      </c>
      <c r="G210" s="30" t="n">
        <v>249.15</v>
      </c>
      <c r="H210" s="30" t="n">
        <v>0.46</v>
      </c>
      <c r="I210" s="30" t="n">
        <v>2483055</v>
      </c>
      <c r="J210" s="30" t="inlineStr">
        <is>
          <t>512529</t>
        </is>
      </c>
    </row>
    <row r="211">
      <c r="A211" s="30" t="inlineStr">
        <is>
          <t>HARDWYN</t>
        </is>
      </c>
      <c r="B211" s="30" t="inlineStr">
        <is>
          <t>Hardwyn India Ltd</t>
        </is>
      </c>
      <c r="C211" s="30" t="inlineStr">
        <is>
          <t>services</t>
        </is>
      </c>
      <c r="D211" s="30" t="inlineStr">
        <is>
          <t>trading</t>
        </is>
      </c>
      <c r="E211" s="30" t="inlineStr">
        <is>
          <t>smallcap</t>
        </is>
      </c>
      <c r="F211" s="30" t="n">
        <v>1236.23</v>
      </c>
      <c r="G211" s="30" t="n">
        <v>25.42</v>
      </c>
      <c r="H211" s="30" t="n">
        <v>0.43</v>
      </c>
      <c r="I211" s="30" t="n">
        <v>3516504</v>
      </c>
      <c r="J211" s="30" t="inlineStr">
        <is>
          <t>541276</t>
        </is>
      </c>
    </row>
    <row r="212">
      <c r="A212" s="30" t="inlineStr">
        <is>
          <t>TMPV</t>
        </is>
      </c>
      <c r="B212" s="30" t="inlineStr">
        <is>
          <t>Tata Motors Passenger Vehicles Ltd</t>
        </is>
      </c>
      <c r="C212" s="30" t="inlineStr">
        <is>
          <t>auto</t>
        </is>
      </c>
      <c r="D212" s="30" t="inlineStr">
        <is>
          <t>automobiles - passenger cars</t>
        </is>
      </c>
      <c r="E212" s="30" t="inlineStr">
        <is>
          <t>largecap</t>
        </is>
      </c>
      <c r="F212" s="30" t="n">
        <v>146613.86</v>
      </c>
      <c r="G212" s="30" t="n">
        <v>399.7</v>
      </c>
      <c r="H212" s="30" t="n">
        <v>0.39</v>
      </c>
      <c r="I212" s="30" t="n">
        <v>12067304</v>
      </c>
      <c r="J212" s="30" t="inlineStr">
        <is>
          <t>500570</t>
        </is>
      </c>
    </row>
    <row r="213">
      <c r="A213" s="30" t="inlineStr">
        <is>
          <t>TALBROAUTO</t>
        </is>
      </c>
      <c r="B213" s="30" t="inlineStr">
        <is>
          <t>Talbros Automotive Components Limited</t>
        </is>
      </c>
      <c r="C213" s="30" t="inlineStr">
        <is>
          <t>auto</t>
        </is>
      </c>
      <c r="D213" s="30" t="inlineStr">
        <is>
          <t>auto ancillaries</t>
        </is>
      </c>
      <c r="E213" s="30" t="inlineStr">
        <is>
          <t>smallcap</t>
        </is>
      </c>
      <c r="F213" s="30" t="n">
        <v>2178.7</v>
      </c>
      <c r="G213" s="30" t="n">
        <v>354.3</v>
      </c>
      <c r="H213" s="30" t="n">
        <v>0.38</v>
      </c>
      <c r="I213" s="30" t="n">
        <v>156435</v>
      </c>
      <c r="J213" s="30" t="inlineStr">
        <is>
          <t>505160</t>
        </is>
      </c>
    </row>
    <row r="214">
      <c r="A214" s="30" t="inlineStr">
        <is>
          <t>SANSERA</t>
        </is>
      </c>
      <c r="B214" s="30" t="inlineStr">
        <is>
          <t>Sansera Engineering Ltd</t>
        </is>
      </c>
      <c r="C214" s="30" t="inlineStr">
        <is>
          <t>auto</t>
        </is>
      </c>
      <c r="D214" s="30" t="inlineStr">
        <is>
          <t>auto ancillaries</t>
        </is>
      </c>
      <c r="E214" s="30" t="inlineStr">
        <is>
          <t>midcap</t>
        </is>
      </c>
      <c r="F214" s="30" t="n">
        <v>18168.55</v>
      </c>
      <c r="G214" s="30" t="n">
        <v>2925.8</v>
      </c>
      <c r="H214" s="30" t="n">
        <v>0.38</v>
      </c>
      <c r="I214" s="30" t="n">
        <v>158992</v>
      </c>
      <c r="J214" s="30" t="inlineStr">
        <is>
          <t>543358</t>
        </is>
      </c>
    </row>
    <row r="215">
      <c r="A215" s="30" t="inlineStr">
        <is>
          <t>KOVAI</t>
        </is>
      </c>
      <c r="B215" s="30" t="inlineStr">
        <is>
          <t>Kovai Medical Center &amp; Hospital Ltd</t>
        </is>
      </c>
      <c r="C215" s="30" t="inlineStr">
        <is>
          <t>healthcare</t>
        </is>
      </c>
      <c r="D215" s="30" t="inlineStr">
        <is>
          <t>healthcare</t>
        </is>
      </c>
      <c r="E215" s="30" t="inlineStr">
        <is>
          <t>midcap</t>
        </is>
      </c>
      <c r="F215" s="30" t="n">
        <v>5874.9</v>
      </c>
      <c r="G215" s="30" t="n">
        <v>5389</v>
      </c>
      <c r="H215" s="30" t="n">
        <v>0.37</v>
      </c>
      <c r="I215" s="30" t="n">
        <v>1081</v>
      </c>
      <c r="J215" s="30" t="inlineStr">
        <is>
          <t>523323</t>
        </is>
      </c>
    </row>
    <row r="216">
      <c r="A216" s="30" t="inlineStr">
        <is>
          <t>NAHARSPING</t>
        </is>
      </c>
      <c r="B216" s="30" t="inlineStr">
        <is>
          <t>Nahar Spinning Mills Limited</t>
        </is>
      </c>
      <c r="C216" s="30" t="inlineStr">
        <is>
          <t>textiles</t>
        </is>
      </c>
      <c r="D216" s="30" t="inlineStr">
        <is>
          <t>textiles - cotton/blended</t>
        </is>
      </c>
      <c r="E216" s="30" t="inlineStr">
        <is>
          <t>smallcap</t>
        </is>
      </c>
      <c r="F216" s="30" t="n">
        <v>1002.62</v>
      </c>
      <c r="G216" s="30" t="n">
        <v>279</v>
      </c>
      <c r="H216" s="30" t="n">
        <v>0.36</v>
      </c>
      <c r="I216" s="30" t="n">
        <v>13704</v>
      </c>
      <c r="J216" s="30" t="inlineStr">
        <is>
          <t>500296</t>
        </is>
      </c>
    </row>
    <row r="217">
      <c r="A217" s="30" t="inlineStr">
        <is>
          <t>HEALTHX</t>
        </is>
      </c>
      <c r="B217" s="30" t="inlineStr">
        <is>
          <t>Health X Platform Ltd</t>
        </is>
      </c>
      <c r="C217" s="30" t="inlineStr">
        <is>
          <t>financials</t>
        </is>
      </c>
      <c r="D217" s="30" t="inlineStr">
        <is>
          <t>finance &amp; investments</t>
        </is>
      </c>
      <c r="E217" s="30" t="inlineStr">
        <is>
          <t>smallcap</t>
        </is>
      </c>
      <c r="F217" s="30" t="n">
        <v>961</v>
      </c>
      <c r="G217" s="30" t="n">
        <v>303</v>
      </c>
      <c r="H217" s="30" t="n">
        <v>0.3</v>
      </c>
      <c r="I217" s="30" t="n">
        <v>5084</v>
      </c>
      <c r="J217" s="30" t="inlineStr">
        <is>
          <t>533259</t>
        </is>
      </c>
    </row>
    <row r="218">
      <c r="A218" s="30" t="inlineStr">
        <is>
          <t>KRISHANA</t>
        </is>
      </c>
      <c r="B218" s="30" t="inlineStr">
        <is>
          <t>Krishana Phoschem Ltd</t>
        </is>
      </c>
      <c r="C218" s="30" t="inlineStr">
        <is>
          <t>chemicals</t>
        </is>
      </c>
      <c r="D218" s="30" t="inlineStr">
        <is>
          <t>fertilizers</t>
        </is>
      </c>
      <c r="E218" s="30" t="inlineStr">
        <is>
          <t>smallcap</t>
        </is>
      </c>
      <c r="F218" s="30" t="n">
        <v>4220.66</v>
      </c>
      <c r="G218" s="30" t="n">
        <v>684.55</v>
      </c>
      <c r="H218" s="30" t="n">
        <v>0.28</v>
      </c>
      <c r="I218" s="30" t="n">
        <v>198629</v>
      </c>
      <c r="J218" s="30" t="inlineStr">
        <is>
          <t>538405</t>
        </is>
      </c>
    </row>
    <row r="219">
      <c r="A219" s="30" t="inlineStr">
        <is>
          <t>KPIL</t>
        </is>
      </c>
      <c r="B219" s="30" t="inlineStr">
        <is>
          <t>Kalpataru Projects International Ltd</t>
        </is>
      </c>
      <c r="C219" s="30" t="inlineStr">
        <is>
          <t>realty</t>
        </is>
      </c>
      <c r="D219" s="30" t="inlineStr">
        <is>
          <t>transmisson line towers / equipment</t>
        </is>
      </c>
      <c r="E219" s="30" t="inlineStr">
        <is>
          <t>largecap</t>
        </is>
      </c>
      <c r="F219" s="30" t="n">
        <v>21992.09</v>
      </c>
      <c r="G219" s="30" t="n">
        <v>1291.2</v>
      </c>
      <c r="H219" s="30" t="n">
        <v>0.26</v>
      </c>
      <c r="I219" s="30" t="n">
        <v>225682</v>
      </c>
      <c r="J219" s="30" t="inlineStr">
        <is>
          <t>522287</t>
        </is>
      </c>
    </row>
    <row r="220">
      <c r="A220" s="30" t="inlineStr">
        <is>
          <t>SAKAR</t>
        </is>
      </c>
      <c r="B220" s="30" t="inlineStr">
        <is>
          <t>Sakar Healthcare Ltd</t>
        </is>
      </c>
      <c r="C220" s="30" t="inlineStr">
        <is>
          <t>healthcare</t>
        </is>
      </c>
      <c r="D220" s="30" t="inlineStr">
        <is>
          <t>pharmaceuticals - indian - bulk drugs &amp; formln</t>
        </is>
      </c>
      <c r="E220" s="30" t="inlineStr">
        <is>
          <t>smallcap</t>
        </is>
      </c>
      <c r="F220" s="30" t="n">
        <v>1808.58</v>
      </c>
      <c r="G220" s="30" t="n">
        <v>814.85</v>
      </c>
      <c r="H220" s="30" t="n">
        <v>0.25</v>
      </c>
      <c r="I220" s="30" t="n">
        <v>45791</v>
      </c>
      <c r="J220" s="30" t="inlineStr">
        <is>
          <t>538377</t>
        </is>
      </c>
    </row>
    <row r="221">
      <c r="A221" s="30" t="inlineStr">
        <is>
          <t>AVANTEL</t>
        </is>
      </c>
      <c r="B221" s="30" t="inlineStr">
        <is>
          <t>Avantel Ltd</t>
        </is>
      </c>
      <c r="C221" s="30" t="inlineStr">
        <is>
          <t>aerospace &amp; defence</t>
        </is>
      </c>
      <c r="D221" s="30" t="inlineStr">
        <is>
          <t>telecommunications - equipment</t>
        </is>
      </c>
      <c r="E221" s="30" t="inlineStr">
        <is>
          <t>smallcap</t>
        </is>
      </c>
      <c r="F221" s="30" t="n">
        <v>4668.54</v>
      </c>
      <c r="G221" s="30" t="n">
        <v>176</v>
      </c>
      <c r="H221" s="30" t="n">
        <v>0.17</v>
      </c>
      <c r="I221" s="30" t="n">
        <v>1990127</v>
      </c>
      <c r="J221" s="30" t="inlineStr">
        <is>
          <t>532406</t>
        </is>
      </c>
    </row>
    <row r="222">
      <c r="A222" s="30" t="inlineStr">
        <is>
          <t>WABAG</t>
        </is>
      </c>
      <c r="B222" s="30" t="inlineStr">
        <is>
          <t>Va Tech Wabag Limited</t>
        </is>
      </c>
      <c r="C222" s="30" t="inlineStr">
        <is>
          <t>realty</t>
        </is>
      </c>
      <c r="D222" s="30" t="inlineStr">
        <is>
          <t>engineering - turnkey services</t>
        </is>
      </c>
      <c r="E222" s="30" t="inlineStr">
        <is>
          <t>midcap</t>
        </is>
      </c>
      <c r="F222" s="30" t="n">
        <v>9707.209999999999</v>
      </c>
      <c r="G222" s="30" t="n">
        <v>1560.6</v>
      </c>
      <c r="H222" s="30" t="n">
        <v>0.17</v>
      </c>
      <c r="I222" s="30" t="n">
        <v>219016</v>
      </c>
      <c r="J222" s="30" t="inlineStr">
        <is>
          <t>533269</t>
        </is>
      </c>
    </row>
    <row r="223">
      <c r="A223" s="30" t="inlineStr">
        <is>
          <t>PIDILITIND</t>
        </is>
      </c>
      <c r="B223" s="30" t="inlineStr">
        <is>
          <t>Pidilite Industries Limited</t>
        </is>
      </c>
      <c r="C223" s="30" t="inlineStr">
        <is>
          <t>chemicals</t>
        </is>
      </c>
      <c r="D223" s="30" t="inlineStr">
        <is>
          <t>chemicals</t>
        </is>
      </c>
      <c r="E223" s="30" t="inlineStr">
        <is>
          <t>largecap</t>
        </is>
      </c>
      <c r="F223" s="30" t="n">
        <v>149530.22</v>
      </c>
      <c r="G223" s="30" t="n">
        <v>1471.1</v>
      </c>
      <c r="H223" s="30" t="n">
        <v>0.13</v>
      </c>
      <c r="I223" s="30" t="n">
        <v>646986</v>
      </c>
      <c r="J223" s="30" t="inlineStr">
        <is>
          <t>500331</t>
        </is>
      </c>
    </row>
    <row r="224">
      <c r="A224" s="30" t="inlineStr">
        <is>
          <t>CONFIPET</t>
        </is>
      </c>
      <c r="B224" s="30" t="inlineStr">
        <is>
          <t>Confidence Petroleum India Ltd</t>
        </is>
      </c>
      <c r="C224" s="30" t="inlineStr">
        <is>
          <t>miscellaneous</t>
        </is>
      </c>
      <c r="D224" s="30" t="inlineStr">
        <is>
          <t>miscellaneous</t>
        </is>
      </c>
      <c r="E224" s="30" t="inlineStr">
        <is>
          <t>smallcap</t>
        </is>
      </c>
      <c r="F224" s="30" t="n">
        <v>2551.28</v>
      </c>
      <c r="G224" s="30" t="n">
        <v>76.89</v>
      </c>
      <c r="H224" s="30" t="n">
        <v>0.13</v>
      </c>
      <c r="I224" s="30" t="n">
        <v>7910840</v>
      </c>
      <c r="J224" s="30" t="inlineStr">
        <is>
          <t>526829</t>
        </is>
      </c>
    </row>
    <row r="225">
      <c r="A225" s="30" t="inlineStr">
        <is>
          <t>PTL</t>
        </is>
      </c>
      <c r="B225" s="30" t="inlineStr">
        <is>
          <t>Ptl Enterprises Limited</t>
        </is>
      </c>
      <c r="C225" s="30" t="inlineStr">
        <is>
          <t>miscellaneous</t>
        </is>
      </c>
      <c r="D225" s="30" t="inlineStr">
        <is>
          <t>miscellaneous</t>
        </is>
      </c>
      <c r="E225" s="30" t="inlineStr">
        <is>
          <t>smallcap</t>
        </is>
      </c>
      <c r="F225" s="30" t="n">
        <v>527.26</v>
      </c>
      <c r="G225" s="30" t="n">
        <v>39.88</v>
      </c>
      <c r="H225" s="30" t="n">
        <v>0.13</v>
      </c>
      <c r="I225" s="30" t="n">
        <v>27728</v>
      </c>
      <c r="J225" s="30" t="inlineStr">
        <is>
          <t>509220</t>
        </is>
      </c>
    </row>
    <row r="226">
      <c r="A226" s="30" t="inlineStr">
        <is>
          <t>MONARCH</t>
        </is>
      </c>
      <c r="B226" s="30" t="inlineStr">
        <is>
          <t>Monarch Networth Capital Ltd</t>
        </is>
      </c>
      <c r="C226" s="30" t="inlineStr">
        <is>
          <t>financials</t>
        </is>
      </c>
      <c r="D226" s="30" t="inlineStr">
        <is>
          <t>finance &amp; investments</t>
        </is>
      </c>
      <c r="E226" s="30" t="inlineStr">
        <is>
          <t>smallcap</t>
        </is>
      </c>
      <c r="F226" s="30" t="n">
        <v>2685.61</v>
      </c>
      <c r="G226" s="30" t="n">
        <v>339.15</v>
      </c>
      <c r="H226" s="30" t="n">
        <v>0.1</v>
      </c>
      <c r="I226" s="30" t="n">
        <v>160036</v>
      </c>
      <c r="J226" s="30" t="inlineStr">
        <is>
          <t>511551</t>
        </is>
      </c>
    </row>
    <row r="227">
      <c r="A227" s="30" t="inlineStr">
        <is>
          <t>CHENNPETRO</t>
        </is>
      </c>
      <c r="B227" s="30" t="inlineStr">
        <is>
          <t>Chennai Petroleum Corporation Limited</t>
        </is>
      </c>
      <c r="C227" s="30" t="inlineStr">
        <is>
          <t>energy</t>
        </is>
      </c>
      <c r="D227" s="30" t="inlineStr">
        <is>
          <t>refineries</t>
        </is>
      </c>
      <c r="E227" s="30" t="inlineStr">
        <is>
          <t>midcap</t>
        </is>
      </c>
      <c r="F227" s="30" t="n">
        <v>17717.48</v>
      </c>
      <c r="G227" s="30" t="n">
        <v>1190.6</v>
      </c>
      <c r="H227" s="30" t="n">
        <v>0.07000000000000001</v>
      </c>
      <c r="I227" s="30" t="n">
        <v>1024632</v>
      </c>
      <c r="J227" s="30" t="inlineStr">
        <is>
          <t>500110</t>
        </is>
      </c>
    </row>
    <row r="228">
      <c r="A228" s="30" t="inlineStr">
        <is>
          <t>BLSE</t>
        </is>
      </c>
      <c r="B228" s="30" t="inlineStr">
        <is>
          <t>BLS E-Services Ltd</t>
        </is>
      </c>
      <c r="C228" s="30" t="inlineStr">
        <is>
          <t>i.t</t>
        </is>
      </c>
      <c r="D228" s="30" t="inlineStr">
        <is>
          <t>computers - software - medium / small</t>
        </is>
      </c>
      <c r="E228" s="30" t="inlineStr">
        <is>
          <t>smallcap</t>
        </is>
      </c>
      <c r="F228" s="30" t="n">
        <v>2044.45</v>
      </c>
      <c r="G228" s="30" t="n">
        <v>225.17</v>
      </c>
      <c r="H228" s="30" t="n">
        <v>0.07000000000000001</v>
      </c>
      <c r="I228" s="30" t="n">
        <v>440647</v>
      </c>
      <c r="J228" s="30" t="inlineStr">
        <is>
          <t>544107</t>
        </is>
      </c>
    </row>
    <row r="229">
      <c r="A229" s="30" t="inlineStr">
        <is>
          <t>GRASIM</t>
        </is>
      </c>
      <c r="B229" s="30" t="inlineStr">
        <is>
          <t>Grasim Industries Limited</t>
        </is>
      </c>
      <c r="C229" s="30" t="inlineStr">
        <is>
          <t>textiles</t>
        </is>
      </c>
      <c r="D229" s="30" t="inlineStr">
        <is>
          <t>textiles - manmade</t>
        </is>
      </c>
      <c r="E229" s="30" t="inlineStr">
        <is>
          <t>largecap</t>
        </is>
      </c>
      <c r="F229" s="30" t="n">
        <v>211088.87</v>
      </c>
      <c r="G229" s="30" t="n">
        <v>3103.5</v>
      </c>
      <c r="H229" s="30" t="n">
        <v>0.06</v>
      </c>
      <c r="I229" s="30" t="n">
        <v>957529</v>
      </c>
      <c r="J229" s="30" t="inlineStr">
        <is>
          <t>500300</t>
        </is>
      </c>
    </row>
    <row r="230">
      <c r="A230" s="30" t="inlineStr">
        <is>
          <t>BHARATFORG</t>
        </is>
      </c>
      <c r="B230" s="30" t="inlineStr">
        <is>
          <t>Bharat Forge Limited</t>
        </is>
      </c>
      <c r="C230" s="30" t="inlineStr">
        <is>
          <t>industrials</t>
        </is>
      </c>
      <c r="D230" s="30" t="inlineStr">
        <is>
          <t>castings &amp; forgings</t>
        </is>
      </c>
      <c r="E230" s="30" t="inlineStr">
        <is>
          <t>largecap</t>
        </is>
      </c>
      <c r="F230" s="30" t="n">
        <v>92581.86</v>
      </c>
      <c r="G230" s="30" t="n">
        <v>1937.5</v>
      </c>
      <c r="H230" s="30" t="n">
        <v>0.05</v>
      </c>
      <c r="I230" s="30" t="n">
        <v>1347808</v>
      </c>
      <c r="J230" s="30" t="inlineStr">
        <is>
          <t>500493</t>
        </is>
      </c>
    </row>
    <row r="231">
      <c r="A231" s="30" t="inlineStr">
        <is>
          <t>HNDFDS</t>
        </is>
      </c>
      <c r="B231" s="30" t="inlineStr">
        <is>
          <t>Hindustan Foods Ltd</t>
        </is>
      </c>
      <c r="C231" s="30" t="inlineStr">
        <is>
          <t>fmcg</t>
        </is>
      </c>
      <c r="D231" s="30" t="inlineStr">
        <is>
          <t>diversified - large</t>
        </is>
      </c>
      <c r="E231" s="30" t="inlineStr">
        <is>
          <t>midcap</t>
        </is>
      </c>
      <c r="F231" s="30" t="n">
        <v>6412.59</v>
      </c>
      <c r="G231" s="30" t="n">
        <v>536.7</v>
      </c>
      <c r="H231" s="30" t="n">
        <v>0</v>
      </c>
      <c r="I231" s="30" t="n">
        <v>72186</v>
      </c>
      <c r="J231" s="30" t="inlineStr">
        <is>
          <t>519126</t>
        </is>
      </c>
    </row>
    <row r="232">
      <c r="A232" s="30" t="inlineStr">
        <is>
          <t>ASIANPAINT</t>
        </is>
      </c>
      <c r="B232" s="30" t="inlineStr">
        <is>
          <t>Asian Paints Limited</t>
        </is>
      </c>
      <c r="C232" s="30" t="inlineStr">
        <is>
          <t>building materials</t>
        </is>
      </c>
      <c r="D232" s="30" t="inlineStr">
        <is>
          <t>paints / varnishes</t>
        </is>
      </c>
      <c r="E232" s="30" t="inlineStr">
        <is>
          <t>largecap</t>
        </is>
      </c>
      <c r="F232" s="30" t="n">
        <v>255376.82</v>
      </c>
      <c r="G232" s="30" t="n">
        <v>2661.6</v>
      </c>
      <c r="H232" s="30" t="n">
        <v>-0.03</v>
      </c>
      <c r="I232" s="30" t="n">
        <v>1840743</v>
      </c>
      <c r="J232" s="30" t="inlineStr">
        <is>
          <t>500820</t>
        </is>
      </c>
    </row>
    <row r="233">
      <c r="A233" s="30" t="inlineStr">
        <is>
          <t>WOCKPHARMA</t>
        </is>
      </c>
      <c r="B233" s="30" t="inlineStr">
        <is>
          <t>Wockhardt Limited</t>
        </is>
      </c>
      <c r="C233" s="30" t="inlineStr">
        <is>
          <t>healthcare</t>
        </is>
      </c>
      <c r="D233" s="30" t="inlineStr">
        <is>
          <t>pharmaceuticals - indian - bulk drugs &amp; formln</t>
        </is>
      </c>
      <c r="E233" s="30" t="inlineStr">
        <is>
          <t>largecap</t>
        </is>
      </c>
      <c r="F233" s="30" t="n">
        <v>33699.25</v>
      </c>
      <c r="G233" s="30" t="n">
        <v>2072.9</v>
      </c>
      <c r="H233" s="30" t="n">
        <v>-0.05</v>
      </c>
      <c r="I233" s="30" t="n">
        <v>3856902</v>
      </c>
      <c r="J233" s="30" t="inlineStr">
        <is>
          <t>532300</t>
        </is>
      </c>
    </row>
    <row r="234">
      <c r="A234" s="30" t="inlineStr">
        <is>
          <t>ABDL</t>
        </is>
      </c>
      <c r="B234" s="30" t="inlineStr">
        <is>
          <t>Allied Blenders &amp; Distillers Ltd</t>
        </is>
      </c>
      <c r="C234" s="30" t="inlineStr">
        <is>
          <t>fmcg</t>
        </is>
      </c>
      <c r="D234" s="30" t="inlineStr">
        <is>
          <t>breweries &amp; distilleries</t>
        </is>
      </c>
      <c r="E234" s="30" t="inlineStr">
        <is>
          <t>midcap</t>
        </is>
      </c>
      <c r="F234" s="30" t="n">
        <v>16005.01</v>
      </c>
      <c r="G234" s="30" t="n">
        <v>571.85</v>
      </c>
      <c r="H234" s="30" t="n">
        <v>-0.06</v>
      </c>
      <c r="I234" s="30" t="n">
        <v>377233</v>
      </c>
      <c r="J234" s="30" t="inlineStr">
        <is>
          <t>544203</t>
        </is>
      </c>
    </row>
    <row r="235">
      <c r="A235" s="30" t="inlineStr">
        <is>
          <t>UNIPARTS</t>
        </is>
      </c>
      <c r="B235" s="30" t="inlineStr">
        <is>
          <t>Uniparts India Ltd</t>
        </is>
      </c>
      <c r="C235" s="30" t="inlineStr">
        <is>
          <t>industrials</t>
        </is>
      </c>
      <c r="D235" s="30" t="inlineStr">
        <is>
          <t>engineering</t>
        </is>
      </c>
      <c r="E235" s="30" t="inlineStr">
        <is>
          <t>smallcap</t>
        </is>
      </c>
      <c r="F235" s="30" t="n">
        <v>2824.38</v>
      </c>
      <c r="G235" s="30" t="n">
        <v>625.2</v>
      </c>
      <c r="H235" s="30" t="n">
        <v>-0.07000000000000001</v>
      </c>
      <c r="I235" s="30" t="n">
        <v>290201</v>
      </c>
      <c r="J235" s="30" t="inlineStr">
        <is>
          <t>543689</t>
        </is>
      </c>
    </row>
    <row r="236">
      <c r="A236" s="30" t="inlineStr">
        <is>
          <t>MAYURUNIQ</t>
        </is>
      </c>
      <c r="B236" s="30" t="inlineStr">
        <is>
          <t>Mayur Uniquoters Ltd</t>
        </is>
      </c>
      <c r="C236" s="30" t="inlineStr">
        <is>
          <t>consumer discretionary</t>
        </is>
      </c>
      <c r="D236" s="30" t="inlineStr">
        <is>
          <t>leather / leather products</t>
        </is>
      </c>
      <c r="E236" s="30" t="inlineStr">
        <is>
          <t>smallcap</t>
        </is>
      </c>
      <c r="F236" s="30" t="n">
        <v>3193.98</v>
      </c>
      <c r="G236" s="30" t="n">
        <v>734.4</v>
      </c>
      <c r="H236" s="30" t="n">
        <v>-0.09</v>
      </c>
      <c r="I236" s="30" t="n">
        <v>105535</v>
      </c>
      <c r="J236" s="30" t="inlineStr">
        <is>
          <t>522249</t>
        </is>
      </c>
    </row>
    <row r="237">
      <c r="A237" s="30" t="inlineStr">
        <is>
          <t>SHAILY</t>
        </is>
      </c>
      <c r="B237" s="30" t="inlineStr">
        <is>
          <t>Shaily Engineering Plastics Ltd</t>
        </is>
      </c>
      <c r="C237" s="30" t="inlineStr">
        <is>
          <t>plastic products</t>
        </is>
      </c>
      <c r="D237" s="30" t="inlineStr">
        <is>
          <t>plastics products</t>
        </is>
      </c>
      <c r="E237" s="30" t="inlineStr">
        <is>
          <t>midcap</t>
        </is>
      </c>
      <c r="F237" s="30" t="n">
        <v>14111.43</v>
      </c>
      <c r="G237" s="30" t="n">
        <v>3067.4</v>
      </c>
      <c r="H237" s="30" t="n">
        <v>-0.11</v>
      </c>
      <c r="I237" s="30" t="n">
        <v>262426</v>
      </c>
      <c r="J237" s="30" t="inlineStr">
        <is>
          <t>501423</t>
        </is>
      </c>
    </row>
    <row r="238">
      <c r="A238" s="30" t="inlineStr">
        <is>
          <t>REDTAPE</t>
        </is>
      </c>
      <c r="B238" s="30" t="inlineStr">
        <is>
          <t>Redtape Ltd</t>
        </is>
      </c>
      <c r="C238" s="30" t="inlineStr">
        <is>
          <t>consumer discretionary</t>
        </is>
      </c>
      <c r="D238" s="30" t="inlineStr">
        <is>
          <t>trading</t>
        </is>
      </c>
      <c r="E238" s="30" t="inlineStr">
        <is>
          <t>midcap</t>
        </is>
      </c>
      <c r="F238" s="30" t="n">
        <v>7575.12</v>
      </c>
      <c r="G238" s="30" t="n">
        <v>136.88</v>
      </c>
      <c r="H238" s="30" t="n">
        <v>-0.11</v>
      </c>
      <c r="I238" s="30" t="n">
        <v>693929</v>
      </c>
      <c r="J238" s="30" t="inlineStr">
        <is>
          <t>543957</t>
        </is>
      </c>
    </row>
    <row r="239">
      <c r="A239" s="30" t="inlineStr">
        <is>
          <t>OMAXAUTO</t>
        </is>
      </c>
      <c r="B239" s="30" t="inlineStr">
        <is>
          <t>Omax Autos Limited</t>
        </is>
      </c>
      <c r="C239" s="30" t="inlineStr">
        <is>
          <t>auto</t>
        </is>
      </c>
      <c r="D239" s="30" t="inlineStr">
        <is>
          <t>auto ancillaries</t>
        </is>
      </c>
      <c r="E239" s="30" t="inlineStr">
        <is>
          <t>smallcap</t>
        </is>
      </c>
      <c r="F239" s="30" t="n">
        <v>507.54</v>
      </c>
      <c r="G239" s="30" t="n">
        <v>236.98</v>
      </c>
      <c r="H239" s="30" t="n">
        <v>-0.13</v>
      </c>
      <c r="I239" s="30" t="n">
        <v>63118</v>
      </c>
      <c r="J239" s="30" t="inlineStr">
        <is>
          <t>520021</t>
        </is>
      </c>
    </row>
    <row r="240">
      <c r="A240" s="30" t="inlineStr">
        <is>
          <t>VEDL</t>
        </is>
      </c>
      <c r="B240" s="30" t="inlineStr">
        <is>
          <t>Vedanta Limited</t>
        </is>
      </c>
      <c r="C240" s="30" t="inlineStr">
        <is>
          <t>metals &amp; mining</t>
        </is>
      </c>
      <c r="D240" s="30" t="inlineStr">
        <is>
          <t>mining / minerals / metals</t>
        </is>
      </c>
      <c r="E240" s="30" t="inlineStr">
        <is>
          <t>largecap</t>
        </is>
      </c>
      <c r="F240" s="30" t="n">
        <v>128338.94</v>
      </c>
      <c r="G240" s="30" t="n">
        <v>327.5</v>
      </c>
      <c r="H240" s="30" t="n">
        <v>-0.21</v>
      </c>
      <c r="I240" s="30" t="n">
        <v>13730888</v>
      </c>
      <c r="J240" s="30" t="inlineStr">
        <is>
          <t>500295</t>
        </is>
      </c>
    </row>
    <row r="241">
      <c r="A241" s="30" t="inlineStr">
        <is>
          <t>ORCHPHARMA</t>
        </is>
      </c>
      <c r="B241" s="30" t="inlineStr">
        <is>
          <t>Orchid Pharma Ltd</t>
        </is>
      </c>
      <c r="C241" s="30" t="inlineStr">
        <is>
          <t>healthcare</t>
        </is>
      </c>
      <c r="D241" s="30" t="inlineStr">
        <is>
          <t>pharmaceuticals - indian - bulk drugs &amp; formln</t>
        </is>
      </c>
      <c r="E241" s="30" t="inlineStr">
        <is>
          <t>smallcap</t>
        </is>
      </c>
      <c r="F241" s="30" t="n">
        <v>4244.43</v>
      </c>
      <c r="G241" s="30" t="n">
        <v>834.85</v>
      </c>
      <c r="H241" s="30" t="n">
        <v>-0.24</v>
      </c>
      <c r="I241" s="30" t="n">
        <v>103210</v>
      </c>
      <c r="J241" s="30" t="inlineStr">
        <is>
          <t>524372</t>
        </is>
      </c>
    </row>
    <row r="242">
      <c r="A242" s="30" t="inlineStr">
        <is>
          <t>ZIMLAB</t>
        </is>
      </c>
      <c r="B242" s="30" t="inlineStr">
        <is>
          <t>Zim Laboratories Ltd</t>
        </is>
      </c>
      <c r="C242" s="30" t="inlineStr">
        <is>
          <t>healthcare</t>
        </is>
      </c>
      <c r="D242" s="30" t="inlineStr">
        <is>
          <t>pharmaceuticals - indian - bulk drugs &amp; formln</t>
        </is>
      </c>
      <c r="E242" s="30" t="inlineStr">
        <is>
          <t>smallcap</t>
        </is>
      </c>
      <c r="F242" s="30" t="n">
        <v>577.21</v>
      </c>
      <c r="G242" s="30" t="n">
        <v>107.61</v>
      </c>
      <c r="H242" s="30" t="n">
        <v>-0.26</v>
      </c>
      <c r="I242" s="30" t="n">
        <v>43853</v>
      </c>
      <c r="J242" s="30" t="inlineStr">
        <is>
          <t>541400</t>
        </is>
      </c>
    </row>
    <row r="243">
      <c r="A243" s="30" t="inlineStr">
        <is>
          <t>INDSWFTLAB</t>
        </is>
      </c>
      <c r="B243" s="30" t="inlineStr">
        <is>
          <t>Ind-swift Laboratories Limited</t>
        </is>
      </c>
      <c r="C243" s="30" t="inlineStr">
        <is>
          <t>healthcare</t>
        </is>
      </c>
      <c r="D243" s="30" t="inlineStr">
        <is>
          <t>pharmaceuticals - indian - bulk drugs &amp; formln</t>
        </is>
      </c>
      <c r="E243" s="30" t="inlineStr">
        <is>
          <t>smallcap</t>
        </is>
      </c>
      <c r="F243" s="30" t="n">
        <v>1364.29</v>
      </c>
      <c r="G243" s="30" t="n">
        <v>156.69</v>
      </c>
      <c r="H243" s="30" t="n">
        <v>-0.27</v>
      </c>
      <c r="I243" s="30" t="n">
        <v>1021074</v>
      </c>
      <c r="J243" s="30" t="inlineStr">
        <is>
          <t>532305</t>
        </is>
      </c>
    </row>
    <row r="244">
      <c r="A244" s="30" t="inlineStr">
        <is>
          <t>ADANIGREEN</t>
        </is>
      </c>
      <c r="B244" s="30" t="inlineStr">
        <is>
          <t>Adani Green Energy Ltd</t>
        </is>
      </c>
      <c r="C244" s="30" t="inlineStr">
        <is>
          <t>power &amp; utilities</t>
        </is>
      </c>
      <c r="D244" s="30" t="inlineStr">
        <is>
          <t>power generation and supply</t>
        </is>
      </c>
      <c r="E244" s="30" t="inlineStr">
        <is>
          <t>largecap</t>
        </is>
      </c>
      <c r="F244" s="30" t="n">
        <v>235134.4</v>
      </c>
      <c r="G244" s="30" t="n">
        <v>1423.3</v>
      </c>
      <c r="H244" s="30" t="n">
        <v>-0.29</v>
      </c>
      <c r="I244" s="30" t="n">
        <v>2248728</v>
      </c>
      <c r="J244" s="30" t="inlineStr">
        <is>
          <t>541450</t>
        </is>
      </c>
    </row>
    <row r="245">
      <c r="A245" s="30" t="inlineStr">
        <is>
          <t>GRANULES</t>
        </is>
      </c>
      <c r="B245" s="30" t="inlineStr">
        <is>
          <t>Granules India Limited</t>
        </is>
      </c>
      <c r="C245" s="30" t="inlineStr">
        <is>
          <t>healthcare</t>
        </is>
      </c>
      <c r="D245" s="30" t="inlineStr">
        <is>
          <t>pharmaceuticals - indian - bulk drugs &amp; formln</t>
        </is>
      </c>
      <c r="E245" s="30" t="inlineStr">
        <is>
          <t>midcap</t>
        </is>
      </c>
      <c r="F245" s="30" t="n">
        <v>19670.12</v>
      </c>
      <c r="G245" s="30" t="n">
        <v>791.35</v>
      </c>
      <c r="H245" s="30" t="n">
        <v>-0.31</v>
      </c>
      <c r="I245" s="30" t="n">
        <v>504165</v>
      </c>
      <c r="J245" s="30" t="inlineStr">
        <is>
          <t>532482</t>
        </is>
      </c>
    </row>
    <row r="246">
      <c r="A246" s="30" t="inlineStr">
        <is>
          <t>FEDERALBNK</t>
        </is>
      </c>
      <c r="B246" s="30" t="inlineStr">
        <is>
          <t>The Federal Bank  Limited</t>
        </is>
      </c>
      <c r="C246" s="30" t="inlineStr">
        <is>
          <t>bank</t>
        </is>
      </c>
      <c r="D246" s="30" t="inlineStr">
        <is>
          <t>banks - private sector</t>
        </is>
      </c>
      <c r="E246" s="30" t="inlineStr">
        <is>
          <t>largecap</t>
        </is>
      </c>
      <c r="F246" s="30" t="n">
        <v>74187.22</v>
      </c>
      <c r="G246" s="30" t="n">
        <v>300.1</v>
      </c>
      <c r="H246" s="30" t="n">
        <v>-0.32</v>
      </c>
      <c r="I246" s="30" t="n">
        <v>11947303</v>
      </c>
      <c r="J246" s="30" t="inlineStr">
        <is>
          <t>500469</t>
        </is>
      </c>
    </row>
    <row r="247">
      <c r="A247" s="30" t="inlineStr">
        <is>
          <t>AGIIL</t>
        </is>
      </c>
      <c r="B247" s="30" t="inlineStr">
        <is>
          <t>AGI Infra Ltd</t>
        </is>
      </c>
      <c r="C247" s="30" t="inlineStr">
        <is>
          <t>realty</t>
        </is>
      </c>
      <c r="D247" s="30" t="inlineStr">
        <is>
          <t>construction</t>
        </is>
      </c>
      <c r="E247" s="30" t="inlineStr">
        <is>
          <t>smallcap</t>
        </is>
      </c>
      <c r="F247" s="30" t="n">
        <v>4838.65</v>
      </c>
      <c r="G247" s="30" t="n">
        <v>385.85</v>
      </c>
      <c r="H247" s="30" t="n">
        <v>-0.32</v>
      </c>
      <c r="I247" s="30" t="n">
        <v>625032</v>
      </c>
      <c r="J247" s="30" t="inlineStr">
        <is>
          <t>539042</t>
        </is>
      </c>
    </row>
    <row r="248">
      <c r="A248" s="30" t="inlineStr">
        <is>
          <t>MUFIN</t>
        </is>
      </c>
      <c r="B248" s="30" t="inlineStr">
        <is>
          <t>Mufin Green Finance Ltd</t>
        </is>
      </c>
      <c r="C248" s="30" t="inlineStr">
        <is>
          <t>financials</t>
        </is>
      </c>
      <c r="D248" s="30" t="inlineStr">
        <is>
          <t>finance &amp; investments</t>
        </is>
      </c>
      <c r="E248" s="30" t="inlineStr">
        <is>
          <t>smallcap</t>
        </is>
      </c>
      <c r="F248" s="30" t="n">
        <v>2427.09</v>
      </c>
      <c r="G248" s="30" t="n">
        <v>122.05</v>
      </c>
      <c r="H248" s="30" t="n">
        <v>-0.35</v>
      </c>
      <c r="I248" s="30" t="n">
        <v>1183401</v>
      </c>
      <c r="J248" s="30" t="inlineStr">
        <is>
          <t>542774</t>
        </is>
      </c>
    </row>
    <row r="249">
      <c r="A249" s="30" t="inlineStr">
        <is>
          <t>DHANBANK</t>
        </is>
      </c>
      <c r="B249" s="30" t="inlineStr">
        <is>
          <t>Dhanlaxmi Bank Limited</t>
        </is>
      </c>
      <c r="C249" s="30" t="inlineStr">
        <is>
          <t>bank</t>
        </is>
      </c>
      <c r="D249" s="30" t="inlineStr">
        <is>
          <t>banks - private sector</t>
        </is>
      </c>
      <c r="E249" s="30" t="inlineStr">
        <is>
          <t>smallcap</t>
        </is>
      </c>
      <c r="F249" s="30" t="n">
        <v>1341.58</v>
      </c>
      <c r="G249" s="30" t="n">
        <v>33.87</v>
      </c>
      <c r="H249" s="30" t="n">
        <v>-0.35</v>
      </c>
      <c r="I249" s="30" t="n">
        <v>1367599</v>
      </c>
      <c r="J249" s="30" t="inlineStr">
        <is>
          <t>532180</t>
        </is>
      </c>
    </row>
    <row r="250">
      <c r="A250" s="30" t="inlineStr">
        <is>
          <t>SONACOMS</t>
        </is>
      </c>
      <c r="B250" s="30" t="inlineStr">
        <is>
          <t>Sona BLW Precision Forgings Ltd</t>
        </is>
      </c>
      <c r="C250" s="30" t="inlineStr">
        <is>
          <t>auto</t>
        </is>
      </c>
      <c r="D250" s="30" t="inlineStr">
        <is>
          <t>auto ancillaries</t>
        </is>
      </c>
      <c r="E250" s="30" t="inlineStr">
        <is>
          <t>largecap</t>
        </is>
      </c>
      <c r="F250" s="30" t="n">
        <v>37525.35</v>
      </c>
      <c r="G250" s="30" t="n">
        <v>601.15</v>
      </c>
      <c r="H250" s="30" t="n">
        <v>-0.38</v>
      </c>
      <c r="I250" s="30" t="n">
        <v>1684599</v>
      </c>
      <c r="J250" s="30" t="inlineStr">
        <is>
          <t>543300</t>
        </is>
      </c>
    </row>
    <row r="251">
      <c r="A251" s="30" t="inlineStr">
        <is>
          <t>MAHASTEEL</t>
        </is>
      </c>
      <c r="B251" s="30" t="inlineStr">
        <is>
          <t>Mahamaya Steel Industries Limited</t>
        </is>
      </c>
      <c r="C251" s="30" t="inlineStr">
        <is>
          <t>metals &amp; mining</t>
        </is>
      </c>
      <c r="D251" s="30" t="inlineStr">
        <is>
          <t>steel - medium / small</t>
        </is>
      </c>
      <c r="E251" s="30" t="inlineStr">
        <is>
          <t>smallcap</t>
        </is>
      </c>
      <c r="F251" s="30" t="n">
        <v>1554.2</v>
      </c>
      <c r="G251" s="30" t="n">
        <v>941.05</v>
      </c>
      <c r="H251" s="30" t="n">
        <v>-0.49</v>
      </c>
      <c r="I251" s="30" t="n">
        <v>2110</v>
      </c>
      <c r="J251" s="30" t="inlineStr">
        <is>
          <t>513554</t>
        </is>
      </c>
    </row>
    <row r="252">
      <c r="A252" s="30" t="inlineStr">
        <is>
          <t>APOLLOHOSP</t>
        </is>
      </c>
      <c r="B252" s="30" t="inlineStr">
        <is>
          <t>Apollo Hospitals Enterprise Limited</t>
        </is>
      </c>
      <c r="C252" s="30" t="inlineStr">
        <is>
          <t>healthcare</t>
        </is>
      </c>
      <c r="D252" s="30" t="inlineStr">
        <is>
          <t>healthcare</t>
        </is>
      </c>
      <c r="E252" s="30" t="inlineStr">
        <is>
          <t>largecap</t>
        </is>
      </c>
      <c r="F252" s="30" t="n">
        <v>119204.67</v>
      </c>
      <c r="G252" s="30" t="n">
        <v>8249</v>
      </c>
      <c r="H252" s="30" t="n">
        <v>-0.5</v>
      </c>
      <c r="I252" s="30" t="n">
        <v>345278</v>
      </c>
      <c r="J252" s="30" t="inlineStr">
        <is>
          <t>508869</t>
        </is>
      </c>
    </row>
    <row r="253">
      <c r="A253" s="30" t="inlineStr">
        <is>
          <t>MSPL</t>
        </is>
      </c>
      <c r="B253" s="30" t="inlineStr">
        <is>
          <t>Msp Steel &amp; Power Limited</t>
        </is>
      </c>
      <c r="C253" s="30" t="inlineStr">
        <is>
          <t>metals &amp; mining</t>
        </is>
      </c>
      <c r="D253" s="30" t="inlineStr">
        <is>
          <t>steel - medium / small</t>
        </is>
      </c>
      <c r="E253" s="30" t="inlineStr">
        <is>
          <t>smallcap</t>
        </is>
      </c>
      <c r="F253" s="30" t="n">
        <v>2332.37</v>
      </c>
      <c r="G253" s="30" t="n">
        <v>40.94</v>
      </c>
      <c r="H253" s="30" t="n">
        <v>-0.51</v>
      </c>
      <c r="I253" s="30" t="n">
        <v>3730841</v>
      </c>
      <c r="J253" s="30" t="inlineStr">
        <is>
          <t>532650</t>
        </is>
      </c>
    </row>
    <row r="254">
      <c r="A254" s="30" t="inlineStr">
        <is>
          <t>ADFFOODS</t>
        </is>
      </c>
      <c r="B254" s="30" t="inlineStr">
        <is>
          <t>Adf Foods Limited</t>
        </is>
      </c>
      <c r="C254" s="30" t="inlineStr">
        <is>
          <t>fmcg</t>
        </is>
      </c>
      <c r="D254" s="30" t="inlineStr">
        <is>
          <t>food - processing - indian</t>
        </is>
      </c>
      <c r="E254" s="30" t="inlineStr">
        <is>
          <t>smallcap</t>
        </is>
      </c>
      <c r="F254" s="30" t="n">
        <v>3189.34</v>
      </c>
      <c r="G254" s="30" t="n">
        <v>288.8</v>
      </c>
      <c r="H254" s="30" t="n">
        <v>-0.52</v>
      </c>
      <c r="I254" s="30" t="n">
        <v>298991</v>
      </c>
      <c r="J254" s="30" t="inlineStr">
        <is>
          <t>519183</t>
        </is>
      </c>
    </row>
    <row r="255">
      <c r="A255" s="30" t="inlineStr">
        <is>
          <t>RAINBOW</t>
        </is>
      </c>
      <c r="B255" s="30" t="inlineStr">
        <is>
          <t>Rainbow Childrens Medicare Ltd</t>
        </is>
      </c>
      <c r="C255" s="30" t="inlineStr">
        <is>
          <t>healthcare</t>
        </is>
      </c>
      <c r="D255" s="30" t="inlineStr">
        <is>
          <t>healthcare</t>
        </is>
      </c>
      <c r="E255" s="30" t="inlineStr">
        <is>
          <t>midcap</t>
        </is>
      </c>
      <c r="F255" s="30" t="n">
        <v>13753.14</v>
      </c>
      <c r="G255" s="30" t="n">
        <v>1347</v>
      </c>
      <c r="H255" s="30" t="n">
        <v>-0.53</v>
      </c>
      <c r="I255" s="30" t="n">
        <v>102088</v>
      </c>
      <c r="J255" s="30" t="inlineStr">
        <is>
          <t>543524</t>
        </is>
      </c>
    </row>
    <row r="256">
      <c r="A256" s="30" t="inlineStr">
        <is>
          <t>RPTECH</t>
        </is>
      </c>
      <c r="B256" s="30" t="inlineStr">
        <is>
          <t>Rashi Peripherals Ltd</t>
        </is>
      </c>
      <c r="C256" s="30" t="inlineStr">
        <is>
          <t>services</t>
        </is>
      </c>
      <c r="D256" s="30" t="inlineStr">
        <is>
          <t>trading</t>
        </is>
      </c>
      <c r="E256" s="30" t="inlineStr">
        <is>
          <t>smallcap</t>
        </is>
      </c>
      <c r="F256" s="30" t="n">
        <v>3573.41</v>
      </c>
      <c r="G256" s="30" t="n">
        <v>539.25</v>
      </c>
      <c r="H256" s="30" t="n">
        <v>-0.55</v>
      </c>
      <c r="I256" s="30" t="n">
        <v>159059</v>
      </c>
      <c r="J256" s="30" t="n"/>
    </row>
    <row r="257">
      <c r="A257" s="30" t="inlineStr">
        <is>
          <t>ABB</t>
        </is>
      </c>
      <c r="B257" s="30" t="inlineStr">
        <is>
          <t>Abb India Limited</t>
        </is>
      </c>
      <c r="C257" s="30" t="inlineStr">
        <is>
          <t>industrials</t>
        </is>
      </c>
      <c r="D257" s="30" t="inlineStr">
        <is>
          <t>electric equipment</t>
        </is>
      </c>
      <c r="E257" s="30" t="inlineStr">
        <is>
          <t>largecap</t>
        </is>
      </c>
      <c r="F257" s="30" t="n">
        <v>152489.27</v>
      </c>
      <c r="G257" s="30" t="n">
        <v>7156</v>
      </c>
      <c r="H257" s="30" t="n">
        <v>-0.5600000000000001</v>
      </c>
      <c r="I257" s="30" t="n">
        <v>298566</v>
      </c>
      <c r="J257" s="30" t="inlineStr">
        <is>
          <t>500002</t>
        </is>
      </c>
    </row>
    <row r="258">
      <c r="A258" s="30" t="inlineStr">
        <is>
          <t>FIEMIND</t>
        </is>
      </c>
      <c r="B258" s="30" t="inlineStr">
        <is>
          <t>Fiem Industries Limited</t>
        </is>
      </c>
      <c r="C258" s="30" t="inlineStr">
        <is>
          <t>auto</t>
        </is>
      </c>
      <c r="D258" s="30" t="inlineStr">
        <is>
          <t>auto ancillaries</t>
        </is>
      </c>
      <c r="E258" s="30" t="inlineStr">
        <is>
          <t>midcap</t>
        </is>
      </c>
      <c r="F258" s="30" t="n">
        <v>6177.22</v>
      </c>
      <c r="G258" s="30" t="n">
        <v>2333.8</v>
      </c>
      <c r="H258" s="30" t="n">
        <v>-0.5600000000000001</v>
      </c>
      <c r="I258" s="30" t="n">
        <v>58528</v>
      </c>
      <c r="J258" s="30" t="inlineStr">
        <is>
          <t>532768</t>
        </is>
      </c>
    </row>
    <row r="259">
      <c r="A259" s="30" t="inlineStr">
        <is>
          <t>GLAND</t>
        </is>
      </c>
      <c r="B259" s="30" t="inlineStr">
        <is>
          <t>Gland Pharma Ltd</t>
        </is>
      </c>
      <c r="C259" s="30" t="inlineStr">
        <is>
          <t>healthcare</t>
        </is>
      </c>
      <c r="D259" s="30" t="inlineStr">
        <is>
          <t>pharmaceuticals - indian - formulations</t>
        </is>
      </c>
      <c r="E259" s="30" t="inlineStr">
        <is>
          <t>largecap</t>
        </is>
      </c>
      <c r="F259" s="30" t="n">
        <v>36778.58</v>
      </c>
      <c r="G259" s="30" t="n">
        <v>2219.5</v>
      </c>
      <c r="H259" s="30" t="n">
        <v>-0.57</v>
      </c>
      <c r="I259" s="30" t="n">
        <v>204659</v>
      </c>
      <c r="J259" s="30" t="inlineStr">
        <is>
          <t>543245</t>
        </is>
      </c>
    </row>
    <row r="260">
      <c r="A260" s="30" t="inlineStr">
        <is>
          <t>CEIGALL</t>
        </is>
      </c>
      <c r="B260" s="30" t="inlineStr">
        <is>
          <t>Ceigall India Ltd</t>
        </is>
      </c>
      <c r="C260" s="30" t="inlineStr">
        <is>
          <t>realty</t>
        </is>
      </c>
      <c r="D260" s="30" t="inlineStr">
        <is>
          <t>construction</t>
        </is>
      </c>
      <c r="E260" s="30" t="inlineStr">
        <is>
          <t>midcap</t>
        </is>
      </c>
      <c r="F260" s="30" t="n">
        <v>6281.83</v>
      </c>
      <c r="G260" s="30" t="n">
        <v>358.5</v>
      </c>
      <c r="H260" s="30" t="n">
        <v>-0.58</v>
      </c>
      <c r="I260" s="30" t="n">
        <v>805250</v>
      </c>
      <c r="J260" s="30" t="inlineStr">
        <is>
          <t>544223</t>
        </is>
      </c>
    </row>
    <row r="261">
      <c r="A261" s="30" t="inlineStr">
        <is>
          <t>AEGISLOG</t>
        </is>
      </c>
      <c r="B261" s="30" t="inlineStr">
        <is>
          <t>Aegis Logistics Ltd</t>
        </is>
      </c>
      <c r="C261" s="30" t="inlineStr">
        <is>
          <t>services</t>
        </is>
      </c>
      <c r="D261" s="30" t="inlineStr">
        <is>
          <t>trading</t>
        </is>
      </c>
      <c r="E261" s="30" t="inlineStr">
        <is>
          <t>largecap</t>
        </is>
      </c>
      <c r="F261" s="30" t="n">
        <v>26693.55</v>
      </c>
      <c r="G261" s="30" t="n">
        <v>755.8</v>
      </c>
      <c r="H261" s="30" t="n">
        <v>-0.62</v>
      </c>
      <c r="I261" s="30" t="n">
        <v>199411</v>
      </c>
      <c r="J261" s="30" t="inlineStr">
        <is>
          <t>500003</t>
        </is>
      </c>
    </row>
    <row r="262">
      <c r="A262" s="30" t="inlineStr">
        <is>
          <t>LMW</t>
        </is>
      </c>
      <c r="B262" s="30" t="inlineStr">
        <is>
          <t>LMW Ltd</t>
        </is>
      </c>
      <c r="C262" s="30" t="inlineStr">
        <is>
          <t>industrials</t>
        </is>
      </c>
      <c r="D262" s="30" t="inlineStr">
        <is>
          <t>textile machinery</t>
        </is>
      </c>
      <c r="E262" s="30" t="inlineStr">
        <is>
          <t>midcap</t>
        </is>
      </c>
      <c r="F262" s="30" t="n">
        <v>16984.9</v>
      </c>
      <c r="G262" s="30" t="n">
        <v>15799</v>
      </c>
      <c r="H262" s="30" t="n">
        <v>-0.63</v>
      </c>
      <c r="I262" s="30" t="n">
        <v>2683</v>
      </c>
      <c r="J262" s="30" t="inlineStr">
        <is>
          <t>500252</t>
        </is>
      </c>
    </row>
    <row r="263">
      <c r="A263" s="30" t="inlineStr">
        <is>
          <t>J&amp;KBANK</t>
        </is>
      </c>
      <c r="B263" s="30" t="inlineStr">
        <is>
          <t>The Jammu &amp; Kashmir Bank Limited</t>
        </is>
      </c>
      <c r="C263" s="30" t="inlineStr">
        <is>
          <t>bank</t>
        </is>
      </c>
      <c r="D263" s="30" t="inlineStr">
        <is>
          <t>banks - private sector</t>
        </is>
      </c>
      <c r="E263" s="30" t="inlineStr">
        <is>
          <t>midcap</t>
        </is>
      </c>
      <c r="F263" s="30" t="n">
        <v>16369.08</v>
      </c>
      <c r="G263" s="30" t="n">
        <v>147.68</v>
      </c>
      <c r="H263" s="30" t="n">
        <v>-0.65</v>
      </c>
      <c r="I263" s="30" t="n">
        <v>4046091</v>
      </c>
      <c r="J263" s="30" t="inlineStr">
        <is>
          <t>532209</t>
        </is>
      </c>
    </row>
    <row r="264">
      <c r="A264" s="30" t="inlineStr">
        <is>
          <t>YESBANK</t>
        </is>
      </c>
      <c r="B264" s="30" t="inlineStr">
        <is>
          <t>Yes Bank Limited</t>
        </is>
      </c>
      <c r="C264" s="30" t="inlineStr">
        <is>
          <t>bank</t>
        </is>
      </c>
      <c r="D264" s="30" t="inlineStr">
        <is>
          <t>banks - private sector</t>
        </is>
      </c>
      <c r="E264" s="30" t="inlineStr">
        <is>
          <t>largecap</t>
        </is>
      </c>
      <c r="F264" s="30" t="n">
        <v>71950.77</v>
      </c>
      <c r="G264" s="30" t="n">
        <v>22.77</v>
      </c>
      <c r="H264" s="30" t="n">
        <v>-0.7</v>
      </c>
      <c r="I264" s="30" t="n">
        <v>77191326</v>
      </c>
      <c r="J264" s="30" t="inlineStr">
        <is>
          <t>532648</t>
        </is>
      </c>
    </row>
    <row r="265">
      <c r="A265" s="30" t="inlineStr">
        <is>
          <t>STARHEALTH</t>
        </is>
      </c>
      <c r="B265" s="30" t="inlineStr">
        <is>
          <t>Star Health &amp; Allied Insurance Company Ltd</t>
        </is>
      </c>
      <c r="C265" s="30" t="inlineStr">
        <is>
          <t>financials</t>
        </is>
      </c>
      <c r="D265" s="30" t="inlineStr">
        <is>
          <t>finance &amp; investments</t>
        </is>
      </c>
      <c r="E265" s="30" t="inlineStr">
        <is>
          <t>largecap</t>
        </is>
      </c>
      <c r="F265" s="30" t="n">
        <v>31188.33</v>
      </c>
      <c r="G265" s="30" t="n">
        <v>526.25</v>
      </c>
      <c r="H265" s="30" t="n">
        <v>-0.72</v>
      </c>
      <c r="I265" s="30" t="n">
        <v>222957</v>
      </c>
      <c r="J265" s="30" t="inlineStr">
        <is>
          <t>543412</t>
        </is>
      </c>
    </row>
    <row r="266">
      <c r="A266" s="30" t="inlineStr">
        <is>
          <t>ADANIPORTS</t>
        </is>
      </c>
      <c r="B266" s="30" t="inlineStr">
        <is>
          <t>Adani Ports And Special Economic Zone Limited</t>
        </is>
      </c>
      <c r="C266" s="30" t="inlineStr">
        <is>
          <t>transportation</t>
        </is>
      </c>
      <c r="D266" s="30" t="inlineStr">
        <is>
          <t>miscellaneous</t>
        </is>
      </c>
      <c r="E266" s="30" t="inlineStr">
        <is>
          <t>largecap</t>
        </is>
      </c>
      <c r="F266" s="30" t="n">
        <v>415588.14</v>
      </c>
      <c r="G266" s="30" t="n">
        <v>1790.9</v>
      </c>
      <c r="H266" s="30" t="n">
        <v>-0.72</v>
      </c>
      <c r="I266" s="30" t="n">
        <v>1369988</v>
      </c>
      <c r="J266" s="30" t="inlineStr">
        <is>
          <t>532921</t>
        </is>
      </c>
    </row>
    <row r="267">
      <c r="A267" s="30" t="inlineStr">
        <is>
          <t>HONAUT</t>
        </is>
      </c>
      <c r="B267" s="30" t="inlineStr">
        <is>
          <t>Honeywell Automation India Limited</t>
        </is>
      </c>
      <c r="C267" s="30" t="inlineStr">
        <is>
          <t>consumer discretionary</t>
        </is>
      </c>
      <c r="D267" s="30" t="inlineStr">
        <is>
          <t>electronics - components</t>
        </is>
      </c>
      <c r="E267" s="30" t="inlineStr">
        <is>
          <t>largecap</t>
        </is>
      </c>
      <c r="F267" s="30" t="n">
        <v>30724.29</v>
      </c>
      <c r="G267" s="30" t="n">
        <v>34485</v>
      </c>
      <c r="H267" s="30" t="n">
        <v>-0.76</v>
      </c>
      <c r="I267" s="30" t="n">
        <v>3125</v>
      </c>
      <c r="J267" s="30" t="inlineStr">
        <is>
          <t>517174</t>
        </is>
      </c>
    </row>
    <row r="268">
      <c r="A268" s="30" t="inlineStr">
        <is>
          <t>WELCORP</t>
        </is>
      </c>
      <c r="B268" s="30" t="inlineStr">
        <is>
          <t>Welspun Corp Limited</t>
        </is>
      </c>
      <c r="C268" s="30" t="inlineStr">
        <is>
          <t>industrials</t>
        </is>
      </c>
      <c r="D268" s="30" t="inlineStr">
        <is>
          <t>steel - large</t>
        </is>
      </c>
      <c r="E268" s="30" t="inlineStr">
        <is>
          <t>largecap</t>
        </is>
      </c>
      <c r="F268" s="30" t="n">
        <v>37289.45</v>
      </c>
      <c r="G268" s="30" t="n">
        <v>1402.7</v>
      </c>
      <c r="H268" s="30" t="n">
        <v>-0.77</v>
      </c>
      <c r="I268" s="30" t="n">
        <v>622728</v>
      </c>
      <c r="J268" s="30" t="inlineStr">
        <is>
          <t>532144</t>
        </is>
      </c>
    </row>
    <row r="269">
      <c r="A269" s="30" t="inlineStr">
        <is>
          <t>NEULANDLAB</t>
        </is>
      </c>
      <c r="B269" s="30" t="inlineStr">
        <is>
          <t>Neuland Laboratories Limited</t>
        </is>
      </c>
      <c r="C269" s="30" t="inlineStr">
        <is>
          <t>healthcare</t>
        </is>
      </c>
      <c r="D269" s="30" t="inlineStr">
        <is>
          <t>pharmaceuticals - indian - bulk drugs</t>
        </is>
      </c>
      <c r="E269" s="30" t="inlineStr">
        <is>
          <t>largecap</t>
        </is>
      </c>
      <c r="F269" s="30" t="n">
        <v>21800.55</v>
      </c>
      <c r="G269" s="30" t="n">
        <v>16860</v>
      </c>
      <c r="H269" s="30" t="n">
        <v>-0.78</v>
      </c>
      <c r="I269" s="30" t="n">
        <v>30574</v>
      </c>
      <c r="J269" s="30" t="inlineStr">
        <is>
          <t>524558</t>
        </is>
      </c>
    </row>
    <row r="270">
      <c r="A270" s="30" t="inlineStr">
        <is>
          <t>RITCO</t>
        </is>
      </c>
      <c r="B270" s="30" t="inlineStr">
        <is>
          <t>Ritco Logistics Ltd</t>
        </is>
      </c>
      <c r="C270" s="30" t="inlineStr">
        <is>
          <t>transportation</t>
        </is>
      </c>
      <c r="D270" s="30" t="inlineStr">
        <is>
          <t>miscellaneous</t>
        </is>
      </c>
      <c r="E270" s="30" t="inlineStr">
        <is>
          <t>smallcap</t>
        </is>
      </c>
      <c r="F270" s="30" t="n">
        <v>747.48</v>
      </c>
      <c r="G270" s="30" t="n">
        <v>259.05</v>
      </c>
      <c r="H270" s="30" t="n">
        <v>-0.8</v>
      </c>
      <c r="I270" s="30" t="n">
        <v>37974</v>
      </c>
      <c r="J270" s="30" t="inlineStr">
        <is>
          <t>542383</t>
        </is>
      </c>
    </row>
    <row r="271">
      <c r="A271" s="30" t="inlineStr">
        <is>
          <t>UNIDT</t>
        </is>
      </c>
      <c r="B271" s="30" t="inlineStr">
        <is>
          <t>United Drilling Tools Ltd</t>
        </is>
      </c>
      <c r="C271" s="30" t="inlineStr">
        <is>
          <t>industrials</t>
        </is>
      </c>
      <c r="D271" s="30" t="inlineStr">
        <is>
          <t>engineering</t>
        </is>
      </c>
      <c r="E271" s="30" t="inlineStr">
        <is>
          <t>smallcap</t>
        </is>
      </c>
      <c r="F271" s="30" t="n">
        <v>508.02</v>
      </c>
      <c r="G271" s="30" t="n">
        <v>248.2</v>
      </c>
      <c r="H271" s="30" t="n">
        <v>-0.8100000000000001</v>
      </c>
      <c r="I271" s="30" t="n">
        <v>18579</v>
      </c>
      <c r="J271" s="30" t="inlineStr">
        <is>
          <t>522014</t>
        </is>
      </c>
    </row>
    <row r="272">
      <c r="A272" s="30" t="inlineStr">
        <is>
          <t>GOLDIAM</t>
        </is>
      </c>
      <c r="B272" s="30" t="inlineStr">
        <is>
          <t>Goldiam International Limited</t>
        </is>
      </c>
      <c r="C272" s="30" t="inlineStr">
        <is>
          <t>consumer discretionary</t>
        </is>
      </c>
      <c r="D272" s="30" t="inlineStr">
        <is>
          <t>diamond cutting / jewellery</t>
        </is>
      </c>
      <c r="E272" s="30" t="inlineStr">
        <is>
          <t>smallcap</t>
        </is>
      </c>
      <c r="F272" s="30" t="n">
        <v>4915.31</v>
      </c>
      <c r="G272" s="30" t="n">
        <v>431.75</v>
      </c>
      <c r="H272" s="30" t="n">
        <v>-0.82</v>
      </c>
      <c r="I272" s="30" t="n">
        <v>907886</v>
      </c>
      <c r="J272" s="30" t="inlineStr">
        <is>
          <t>526729</t>
        </is>
      </c>
    </row>
    <row r="273">
      <c r="A273" s="30" t="inlineStr">
        <is>
          <t>THYROCARE</t>
        </is>
      </c>
      <c r="B273" s="30" t="inlineStr">
        <is>
          <t>Thyrocare Technologies Limited</t>
        </is>
      </c>
      <c r="C273" s="30" t="inlineStr">
        <is>
          <t>healthcare</t>
        </is>
      </c>
      <c r="D273" s="30" t="inlineStr">
        <is>
          <t>healthcare</t>
        </is>
      </c>
      <c r="E273" s="30" t="inlineStr">
        <is>
          <t>midcap</t>
        </is>
      </c>
      <c r="F273" s="30" t="n">
        <v>8359.360000000001</v>
      </c>
      <c r="G273" s="30" t="n">
        <v>520.75</v>
      </c>
      <c r="H273" s="30" t="n">
        <v>-0.85</v>
      </c>
      <c r="I273" s="30" t="n">
        <v>283959</v>
      </c>
      <c r="J273" s="30" t="inlineStr">
        <is>
          <t>539871</t>
        </is>
      </c>
    </row>
    <row r="274">
      <c r="A274" s="30" t="inlineStr">
        <is>
          <t>JAYBARMARU</t>
        </is>
      </c>
      <c r="B274" s="30" t="inlineStr">
        <is>
          <t>Jay Bharat Maruti Limited</t>
        </is>
      </c>
      <c r="C274" s="30" t="inlineStr">
        <is>
          <t>auto</t>
        </is>
      </c>
      <c r="D274" s="30" t="inlineStr">
        <is>
          <t>auto ancillaries</t>
        </is>
      </c>
      <c r="E274" s="30" t="inlineStr">
        <is>
          <t>smallcap</t>
        </is>
      </c>
      <c r="F274" s="30" t="n">
        <v>1382.46</v>
      </c>
      <c r="G274" s="30" t="n">
        <v>126.6</v>
      </c>
      <c r="H274" s="30" t="n">
        <v>-0.87</v>
      </c>
      <c r="I274" s="30" t="n">
        <v>1347632</v>
      </c>
      <c r="J274" s="30" t="inlineStr">
        <is>
          <t>520066</t>
        </is>
      </c>
    </row>
    <row r="275">
      <c r="A275" s="30" t="inlineStr">
        <is>
          <t>SANGAMIND</t>
        </is>
      </c>
      <c r="B275" s="30" t="inlineStr">
        <is>
          <t>Sangam (india) Limited</t>
        </is>
      </c>
      <c r="C275" s="30" t="inlineStr">
        <is>
          <t>textiles</t>
        </is>
      </c>
      <c r="D275" s="30" t="inlineStr">
        <is>
          <t>textiles - spinning - synthetic / blended</t>
        </is>
      </c>
      <c r="E275" s="30" t="inlineStr">
        <is>
          <t>smallcap</t>
        </is>
      </c>
      <c r="F275" s="30" t="n">
        <v>2673.37</v>
      </c>
      <c r="G275" s="30" t="n">
        <v>527.35</v>
      </c>
      <c r="H275" s="30" t="n">
        <v>-0.88</v>
      </c>
      <c r="I275" s="30" t="n">
        <v>23633</v>
      </c>
      <c r="J275" s="30" t="inlineStr">
        <is>
          <t>514234</t>
        </is>
      </c>
    </row>
    <row r="276">
      <c r="A276" s="30" t="inlineStr">
        <is>
          <t>WELSPUNLIV</t>
        </is>
      </c>
      <c r="B276" s="30" t="inlineStr">
        <is>
          <t>Welspun Living Ltd</t>
        </is>
      </c>
      <c r="C276" s="30" t="inlineStr">
        <is>
          <t>textiles</t>
        </is>
      </c>
      <c r="D276" s="30" t="inlineStr">
        <is>
          <t>textiles - products</t>
        </is>
      </c>
      <c r="E276" s="30" t="inlineStr">
        <is>
          <t>midcap</t>
        </is>
      </c>
      <c r="F276" s="30" t="n">
        <v>13962.38</v>
      </c>
      <c r="G276" s="30" t="n">
        <v>144.28</v>
      </c>
      <c r="H276" s="30" t="n">
        <v>-0.89</v>
      </c>
      <c r="I276" s="30" t="n">
        <v>721582</v>
      </c>
      <c r="J276" s="30" t="inlineStr">
        <is>
          <t>514162</t>
        </is>
      </c>
    </row>
    <row r="277">
      <c r="A277" s="30" t="inlineStr">
        <is>
          <t>MOTHERSON</t>
        </is>
      </c>
      <c r="B277" s="30" t="inlineStr">
        <is>
          <t>Samvardhana Motherson International Ltd</t>
        </is>
      </c>
      <c r="C277" s="30" t="inlineStr">
        <is>
          <t>auto</t>
        </is>
      </c>
      <c r="D277" s="30" t="inlineStr">
        <is>
          <t>auto ancillaries</t>
        </is>
      </c>
      <c r="E277" s="30" t="inlineStr">
        <is>
          <t>largecap</t>
        </is>
      </c>
      <c r="F277" s="30" t="n">
        <v>153683.24</v>
      </c>
      <c r="G277" s="30" t="n">
        <v>144.31</v>
      </c>
      <c r="H277" s="30" t="n">
        <v>-0.89</v>
      </c>
      <c r="I277" s="30" t="n">
        <v>17953489</v>
      </c>
      <c r="J277" s="30" t="inlineStr">
        <is>
          <t>517334</t>
        </is>
      </c>
    </row>
    <row r="278">
      <c r="A278" s="30" t="inlineStr">
        <is>
          <t>JSWSTEEL</t>
        </is>
      </c>
      <c r="B278" s="30" t="inlineStr">
        <is>
          <t>Jsw Steel Limited</t>
        </is>
      </c>
      <c r="C278" s="30" t="inlineStr">
        <is>
          <t>metals &amp; mining</t>
        </is>
      </c>
      <c r="D278" s="30" t="inlineStr">
        <is>
          <t>steel - large</t>
        </is>
      </c>
      <c r="E278" s="30" t="inlineStr">
        <is>
          <t>largecap</t>
        </is>
      </c>
      <c r="F278" s="30" t="n">
        <v>321063.65</v>
      </c>
      <c r="G278" s="30" t="n">
        <v>1301.1</v>
      </c>
      <c r="H278" s="30" t="n">
        <v>-0.9</v>
      </c>
      <c r="I278" s="30" t="n">
        <v>958385</v>
      </c>
      <c r="J278" s="30" t="inlineStr">
        <is>
          <t>500228</t>
        </is>
      </c>
    </row>
    <row r="279">
      <c r="A279" s="30" t="inlineStr">
        <is>
          <t>IKS</t>
        </is>
      </c>
      <c r="B279" s="30" t="inlineStr">
        <is>
          <t>Inventurus Knowledge Solutions Ltd</t>
        </is>
      </c>
      <c r="C279" s="30" t="inlineStr">
        <is>
          <t>i.t</t>
        </is>
      </c>
      <c r="D279" s="30" t="inlineStr">
        <is>
          <t>computers - software - medium / small</t>
        </is>
      </c>
      <c r="E279" s="30" t="inlineStr">
        <is>
          <t>largecap</t>
        </is>
      </c>
      <c r="F279" s="30" t="n">
        <v>29270.38</v>
      </c>
      <c r="G279" s="30" t="n">
        <v>1690.7</v>
      </c>
      <c r="H279" s="30" t="n">
        <v>-0.9</v>
      </c>
      <c r="I279" s="30" t="n">
        <v>187774</v>
      </c>
      <c r="J279" s="30" t="inlineStr">
        <is>
          <t>544309</t>
        </is>
      </c>
    </row>
    <row r="280">
      <c r="A280" s="30" t="inlineStr">
        <is>
          <t>MARINE</t>
        </is>
      </c>
      <c r="B280" s="30" t="inlineStr">
        <is>
          <t>Marine Electricals (India) Ltd</t>
        </is>
      </c>
      <c r="C280" s="30" t="inlineStr">
        <is>
          <t>industrials</t>
        </is>
      </c>
      <c r="D280" s="30" t="inlineStr">
        <is>
          <t>electric equipment</t>
        </is>
      </c>
      <c r="E280" s="30" t="inlineStr">
        <is>
          <t>smallcap</t>
        </is>
      </c>
      <c r="F280" s="30" t="n">
        <v>619.34</v>
      </c>
      <c r="G280" s="30" t="n">
        <v>250.15</v>
      </c>
      <c r="H280" s="30" t="n">
        <v>-0.91</v>
      </c>
      <c r="I280" s="30" t="n">
        <v>700406</v>
      </c>
      <c r="J280" s="30" t="inlineStr">
        <is>
          <t>535119</t>
        </is>
      </c>
    </row>
    <row r="281">
      <c r="A281" s="30" t="inlineStr">
        <is>
          <t>SANDHAR</t>
        </is>
      </c>
      <c r="B281" s="30" t="inlineStr">
        <is>
          <t>Sandhar Technologies Limited</t>
        </is>
      </c>
      <c r="C281" s="30" t="inlineStr">
        <is>
          <t>auto</t>
        </is>
      </c>
      <c r="D281" s="30" t="inlineStr">
        <is>
          <t>auto ancillaries</t>
        </is>
      </c>
      <c r="E281" s="30" t="inlineStr">
        <is>
          <t>smallcap</t>
        </is>
      </c>
      <c r="F281" s="30" t="n">
        <v>4323.2</v>
      </c>
      <c r="G281" s="30" t="n">
        <v>711.75</v>
      </c>
      <c r="H281" s="30" t="n">
        <v>-0.91</v>
      </c>
      <c r="I281" s="30" t="n">
        <v>1117000</v>
      </c>
      <c r="J281" s="30" t="inlineStr">
        <is>
          <t>541163</t>
        </is>
      </c>
    </row>
    <row r="282">
      <c r="A282" s="30" t="inlineStr">
        <is>
          <t>NORTHARC</t>
        </is>
      </c>
      <c r="B282" s="30" t="inlineStr">
        <is>
          <t>Northern ARC Capital Ltd</t>
        </is>
      </c>
      <c r="C282" s="30" t="inlineStr">
        <is>
          <t>financials</t>
        </is>
      </c>
      <c r="D282" s="30" t="inlineStr">
        <is>
          <t>finance &amp; investments</t>
        </is>
      </c>
      <c r="E282" s="30" t="inlineStr">
        <is>
          <t>smallcap</t>
        </is>
      </c>
      <c r="F282" s="30" t="n">
        <v>4734.86</v>
      </c>
      <c r="G282" s="30" t="n">
        <v>290.3</v>
      </c>
      <c r="H282" s="30" t="n">
        <v>-0.9399999999999999</v>
      </c>
      <c r="I282" s="30" t="n">
        <v>1051408</v>
      </c>
      <c r="J282" s="30" t="n"/>
    </row>
    <row r="283">
      <c r="A283" s="30" t="inlineStr">
        <is>
          <t>VBL</t>
        </is>
      </c>
      <c r="B283" s="30" t="inlineStr">
        <is>
          <t>Varun Beverages Limited</t>
        </is>
      </c>
      <c r="C283" s="30" t="inlineStr">
        <is>
          <t>fmcg</t>
        </is>
      </c>
      <c r="D283" s="30" t="inlineStr">
        <is>
          <t>food - processing - indian</t>
        </is>
      </c>
      <c r="E283" s="30" t="inlineStr">
        <is>
          <t>largecap</t>
        </is>
      </c>
      <c r="F283" s="30" t="n">
        <v>180400.92</v>
      </c>
      <c r="G283" s="30" t="n">
        <v>528.4</v>
      </c>
      <c r="H283" s="30" t="n">
        <v>-0.9399999999999999</v>
      </c>
      <c r="I283" s="30" t="n">
        <v>2968198</v>
      </c>
      <c r="J283" s="30" t="inlineStr">
        <is>
          <t>540180</t>
        </is>
      </c>
    </row>
    <row r="284">
      <c r="A284" s="30" t="inlineStr">
        <is>
          <t>VISHNU</t>
        </is>
      </c>
      <c r="B284" s="30" t="inlineStr">
        <is>
          <t>Vishnu Chemicals Limited</t>
        </is>
      </c>
      <c r="C284" s="30" t="inlineStr">
        <is>
          <t>chemicals</t>
        </is>
      </c>
      <c r="D284" s="30" t="inlineStr">
        <is>
          <t>chemicals</t>
        </is>
      </c>
      <c r="E284" s="30" t="inlineStr">
        <is>
          <t>smallcap</t>
        </is>
      </c>
      <c r="F284" s="30" t="n">
        <v>4141.91</v>
      </c>
      <c r="G284" s="30" t="n">
        <v>609.45</v>
      </c>
      <c r="H284" s="30" t="n">
        <v>-0.95</v>
      </c>
      <c r="I284" s="30" t="n">
        <v>153226</v>
      </c>
      <c r="J284" s="30" t="inlineStr">
        <is>
          <t>516072</t>
        </is>
      </c>
    </row>
    <row r="285">
      <c r="A285" s="30" t="inlineStr">
        <is>
          <t>NEOGEN</t>
        </is>
      </c>
      <c r="B285" s="30" t="inlineStr">
        <is>
          <t>Neogen Chemicals Ltd</t>
        </is>
      </c>
      <c r="C285" s="30" t="inlineStr">
        <is>
          <t>chemicals</t>
        </is>
      </c>
      <c r="D285" s="30" t="inlineStr">
        <is>
          <t>chemicals</t>
        </is>
      </c>
      <c r="E285" s="30" t="inlineStr">
        <is>
          <t>midcap</t>
        </is>
      </c>
      <c r="F285" s="30" t="n">
        <v>5205.8</v>
      </c>
      <c r="G285" s="30" t="n">
        <v>1882.9</v>
      </c>
      <c r="H285" s="30" t="n">
        <v>-0.96</v>
      </c>
      <c r="I285" s="30" t="n">
        <v>84433</v>
      </c>
      <c r="J285" s="30" t="inlineStr">
        <is>
          <t>542665</t>
        </is>
      </c>
    </row>
    <row r="286">
      <c r="A286" s="30" t="inlineStr">
        <is>
          <t>LLOYDSME</t>
        </is>
      </c>
      <c r="B286" s="30" t="inlineStr">
        <is>
          <t>Lloyds Metals &amp; Energy Ltd</t>
        </is>
      </c>
      <c r="C286" s="30" t="inlineStr">
        <is>
          <t>metals &amp; mining</t>
        </is>
      </c>
      <c r="D286" s="30" t="inlineStr">
        <is>
          <t>mining / minerals / metals</t>
        </is>
      </c>
      <c r="E286" s="30" t="inlineStr">
        <is>
          <t>largecap</t>
        </is>
      </c>
      <c r="F286" s="30" t="n">
        <v>100896.11</v>
      </c>
      <c r="G286" s="30" t="n">
        <v>1775.5</v>
      </c>
      <c r="H286" s="30" t="n">
        <v>-0.97</v>
      </c>
      <c r="I286" s="30" t="n">
        <v>472979</v>
      </c>
      <c r="J286" s="30" t="inlineStr">
        <is>
          <t>512455</t>
        </is>
      </c>
    </row>
    <row r="287">
      <c r="A287" s="30" t="inlineStr">
        <is>
          <t>ADVENZYMES</t>
        </is>
      </c>
      <c r="B287" s="30" t="inlineStr">
        <is>
          <t>Advanced Enzyme Technologies Limited</t>
        </is>
      </c>
      <c r="C287" s="30" t="inlineStr">
        <is>
          <t>healthcare</t>
        </is>
      </c>
      <c r="D287" s="30" t="inlineStr">
        <is>
          <t>pharmaceuticals - indian - bulk drugs &amp; formln</t>
        </is>
      </c>
      <c r="E287" s="30" t="inlineStr">
        <is>
          <t>smallcap</t>
        </is>
      </c>
      <c r="F287" s="30" t="n">
        <v>4256.02</v>
      </c>
      <c r="G287" s="30" t="n">
        <v>376.5</v>
      </c>
      <c r="H287" s="30" t="n">
        <v>-0.99</v>
      </c>
      <c r="I287" s="30" t="n">
        <v>84860</v>
      </c>
      <c r="J287" s="30" t="inlineStr">
        <is>
          <t>540025</t>
        </is>
      </c>
    </row>
    <row r="288">
      <c r="A288" s="30" t="inlineStr">
        <is>
          <t>NINSYS</t>
        </is>
      </c>
      <c r="B288" s="30" t="inlineStr">
        <is>
          <t>NINtec Systems Ltd</t>
        </is>
      </c>
      <c r="C288" s="30" t="inlineStr">
        <is>
          <t>i.t</t>
        </is>
      </c>
      <c r="D288" s="30" t="inlineStr">
        <is>
          <t>computers - software - medium / small</t>
        </is>
      </c>
      <c r="E288" s="30" t="inlineStr">
        <is>
          <t>smallcap</t>
        </is>
      </c>
      <c r="F288" s="30" t="n">
        <v>1342.86</v>
      </c>
      <c r="G288" s="30" t="n">
        <v>715.55</v>
      </c>
      <c r="H288" s="30" t="n">
        <v>-1.02</v>
      </c>
      <c r="I288" s="30" t="n">
        <v>6835</v>
      </c>
      <c r="J288" s="30" t="inlineStr">
        <is>
          <t>539843</t>
        </is>
      </c>
    </row>
    <row r="289">
      <c r="A289" s="30" t="inlineStr">
        <is>
          <t>INDOTECH</t>
        </is>
      </c>
      <c r="B289" s="30" t="inlineStr">
        <is>
          <t>Indo Tech Transformers Limited</t>
        </is>
      </c>
      <c r="C289" s="30" t="inlineStr">
        <is>
          <t>industrials</t>
        </is>
      </c>
      <c r="D289" s="30" t="inlineStr">
        <is>
          <t>electric equipment</t>
        </is>
      </c>
      <c r="E289" s="30" t="inlineStr">
        <is>
          <t>smallcap</t>
        </is>
      </c>
      <c r="F289" s="30" t="n">
        <v>2986.03</v>
      </c>
      <c r="G289" s="30" t="n">
        <v>2782.8</v>
      </c>
      <c r="H289" s="30" t="n">
        <v>-1.03</v>
      </c>
      <c r="I289" s="30" t="n">
        <v>18184</v>
      </c>
      <c r="J289" s="30" t="inlineStr">
        <is>
          <t>532717</t>
        </is>
      </c>
    </row>
    <row r="290">
      <c r="A290" s="30" t="inlineStr">
        <is>
          <t>PREMIERENE</t>
        </is>
      </c>
      <c r="B290" s="30" t="inlineStr">
        <is>
          <t>Premier Energies Ltd</t>
        </is>
      </c>
      <c r="C290" s="30" t="inlineStr">
        <is>
          <t>services</t>
        </is>
      </c>
      <c r="D290" s="30" t="inlineStr">
        <is>
          <t>trading</t>
        </is>
      </c>
      <c r="E290" s="30" t="inlineStr">
        <is>
          <t>largecap</t>
        </is>
      </c>
      <c r="F290" s="30" t="n">
        <v>49331.09</v>
      </c>
      <c r="G290" s="30" t="n">
        <v>1077.8</v>
      </c>
      <c r="H290" s="30" t="n">
        <v>-1.03</v>
      </c>
      <c r="I290" s="30" t="n">
        <v>1366622</v>
      </c>
      <c r="J290" s="30" t="n"/>
    </row>
    <row r="291">
      <c r="A291" s="30" t="inlineStr">
        <is>
          <t>BANDHANBNK</t>
        </is>
      </c>
      <c r="B291" s="30" t="inlineStr">
        <is>
          <t>Bandhan Bank Ltd</t>
        </is>
      </c>
      <c r="C291" s="30" t="inlineStr">
        <is>
          <t>bank</t>
        </is>
      </c>
      <c r="D291" s="30" t="inlineStr">
        <is>
          <t>banks - private sector</t>
        </is>
      </c>
      <c r="E291" s="30" t="inlineStr">
        <is>
          <t>largecap</t>
        </is>
      </c>
      <c r="F291" s="30" t="n">
        <v>33447.01</v>
      </c>
      <c r="G291" s="30" t="n">
        <v>205.44</v>
      </c>
      <c r="H291" s="30" t="n">
        <v>-1.05</v>
      </c>
      <c r="I291" s="30" t="n">
        <v>4284782</v>
      </c>
      <c r="J291" s="30" t="inlineStr">
        <is>
          <t>541153</t>
        </is>
      </c>
    </row>
    <row r="292">
      <c r="A292" s="30" t="inlineStr">
        <is>
          <t>BALAMINES</t>
        </is>
      </c>
      <c r="B292" s="30" t="inlineStr">
        <is>
          <t>Balaji Amines Limited</t>
        </is>
      </c>
      <c r="C292" s="30" t="inlineStr">
        <is>
          <t>chemicals</t>
        </is>
      </c>
      <c r="D292" s="30" t="inlineStr">
        <is>
          <t>chemicals</t>
        </is>
      </c>
      <c r="E292" s="30" t="inlineStr">
        <is>
          <t>midcap</t>
        </is>
      </c>
      <c r="F292" s="30" t="n">
        <v>6876.14</v>
      </c>
      <c r="G292" s="30" t="n">
        <v>2099.9</v>
      </c>
      <c r="H292" s="30" t="n">
        <v>-1.05</v>
      </c>
      <c r="I292" s="30" t="n">
        <v>487135</v>
      </c>
      <c r="J292" s="30" t="inlineStr">
        <is>
          <t>530999</t>
        </is>
      </c>
    </row>
    <row r="293">
      <c r="A293" s="30" t="inlineStr">
        <is>
          <t>ADANIPOWER</t>
        </is>
      </c>
      <c r="B293" s="30" t="inlineStr">
        <is>
          <t>Adani Power Limited</t>
        </is>
      </c>
      <c r="C293" s="30" t="inlineStr">
        <is>
          <t>power &amp; utilities</t>
        </is>
      </c>
      <c r="D293" s="30" t="inlineStr">
        <is>
          <t>power generation and supply</t>
        </is>
      </c>
      <c r="E293" s="30" t="inlineStr">
        <is>
          <t>largecap</t>
        </is>
      </c>
      <c r="F293" s="30" t="n">
        <v>448407.72</v>
      </c>
      <c r="G293" s="30" t="n">
        <v>230.03</v>
      </c>
      <c r="H293" s="30" t="n">
        <v>-1.07</v>
      </c>
      <c r="I293" s="30" t="n">
        <v>23485301</v>
      </c>
      <c r="J293" s="30" t="inlineStr">
        <is>
          <t>533096</t>
        </is>
      </c>
    </row>
    <row r="294">
      <c r="A294" s="30" t="inlineStr">
        <is>
          <t>TBZ</t>
        </is>
      </c>
      <c r="B294" s="30" t="inlineStr">
        <is>
          <t>Tribhovandas Bhimji Zaveri Limited</t>
        </is>
      </c>
      <c r="C294" s="30" t="inlineStr">
        <is>
          <t>consumer discretionary</t>
        </is>
      </c>
      <c r="D294" s="30" t="inlineStr">
        <is>
          <t>diamond cutting / jewellery</t>
        </is>
      </c>
      <c r="E294" s="30" t="inlineStr">
        <is>
          <t>smallcap</t>
        </is>
      </c>
      <c r="F294" s="30" t="n">
        <v>1184.4</v>
      </c>
      <c r="G294" s="30" t="n">
        <v>175.51</v>
      </c>
      <c r="H294" s="30" t="n">
        <v>-1.12</v>
      </c>
      <c r="I294" s="30" t="n">
        <v>370294</v>
      </c>
      <c r="J294" s="30" t="inlineStr">
        <is>
          <t>534369</t>
        </is>
      </c>
    </row>
    <row r="295">
      <c r="A295" s="30" t="inlineStr">
        <is>
          <t>HINDALCO</t>
        </is>
      </c>
      <c r="B295" s="30" t="inlineStr">
        <is>
          <t>Hindalco Industries Limited</t>
        </is>
      </c>
      <c r="C295" s="30" t="inlineStr">
        <is>
          <t>metals &amp; mining</t>
        </is>
      </c>
      <c r="D295" s="30" t="inlineStr">
        <is>
          <t>aluminium and aluminium products</t>
        </is>
      </c>
      <c r="E295" s="30" t="inlineStr">
        <is>
          <t>largecap</t>
        </is>
      </c>
      <c r="F295" s="30" t="n">
        <v>255936.63</v>
      </c>
      <c r="G295" s="30" t="n">
        <v>1125.6</v>
      </c>
      <c r="H295" s="30" t="n">
        <v>-1.17</v>
      </c>
      <c r="I295" s="30" t="n">
        <v>3868557</v>
      </c>
      <c r="J295" s="30" t="inlineStr">
        <is>
          <t>500440</t>
        </is>
      </c>
    </row>
    <row r="296">
      <c r="A296" s="30" t="inlineStr">
        <is>
          <t>SILVERTUC</t>
        </is>
      </c>
      <c r="B296" s="30" t="inlineStr">
        <is>
          <t>Silver Touch Technologies Ltd</t>
        </is>
      </c>
      <c r="C296" s="30" t="inlineStr">
        <is>
          <t>i.t</t>
        </is>
      </c>
      <c r="D296" s="30" t="inlineStr">
        <is>
          <t>computers - software - medium / small</t>
        </is>
      </c>
      <c r="E296" s="30" t="inlineStr">
        <is>
          <t>smallcap</t>
        </is>
      </c>
      <c r="F296" s="30" t="n">
        <v>2220.82</v>
      </c>
      <c r="G296" s="30" t="n">
        <v>173.08</v>
      </c>
      <c r="H296" s="30" t="n">
        <v>-1.17</v>
      </c>
      <c r="I296" s="30" t="n">
        <v>428381</v>
      </c>
      <c r="J296" s="30" t="inlineStr">
        <is>
          <t>535031</t>
        </is>
      </c>
    </row>
    <row r="297">
      <c r="A297" s="30" t="inlineStr">
        <is>
          <t>HFCL</t>
        </is>
      </c>
      <c r="B297" s="30" t="inlineStr">
        <is>
          <t>HFCL Ltd</t>
        </is>
      </c>
      <c r="C297" s="30" t="inlineStr">
        <is>
          <t>telecom</t>
        </is>
      </c>
      <c r="D297" s="30" t="inlineStr">
        <is>
          <t>cables - telephone</t>
        </is>
      </c>
      <c r="E297" s="30" t="inlineStr">
        <is>
          <t>largecap</t>
        </is>
      </c>
      <c r="F297" s="30" t="n">
        <v>30521.74</v>
      </c>
      <c r="G297" s="30" t="n">
        <v>197.08</v>
      </c>
      <c r="H297" s="30" t="n">
        <v>-1.17</v>
      </c>
      <c r="I297" s="30" t="n">
        <v>78777077</v>
      </c>
      <c r="J297" s="30" t="inlineStr">
        <is>
          <t>500183</t>
        </is>
      </c>
    </row>
    <row r="298">
      <c r="A298" s="30" t="inlineStr">
        <is>
          <t>SPORTKING</t>
        </is>
      </c>
      <c r="B298" s="30" t="inlineStr">
        <is>
          <t>Sportking India Ltd</t>
        </is>
      </c>
      <c r="C298" s="30" t="inlineStr">
        <is>
          <t>textiles</t>
        </is>
      </c>
      <c r="D298" s="30" t="inlineStr">
        <is>
          <t>textiles - spinning - synthetic / blended</t>
        </is>
      </c>
      <c r="E298" s="30" t="inlineStr">
        <is>
          <t>smallcap</t>
        </is>
      </c>
      <c r="F298" s="30" t="n">
        <v>2318.17</v>
      </c>
      <c r="G298" s="30" t="n">
        <v>180.27</v>
      </c>
      <c r="H298" s="30" t="n">
        <v>-1.18</v>
      </c>
      <c r="I298" s="30" t="n">
        <v>442089</v>
      </c>
      <c r="J298" s="30" t="inlineStr">
        <is>
          <t>539221</t>
        </is>
      </c>
    </row>
    <row r="299">
      <c r="A299" s="30" t="inlineStr">
        <is>
          <t>PRECWIRE</t>
        </is>
      </c>
      <c r="B299" s="30" t="inlineStr">
        <is>
          <t>Precision Wires India Limited</t>
        </is>
      </c>
      <c r="C299" s="30" t="inlineStr">
        <is>
          <t>metals &amp; mining</t>
        </is>
      </c>
      <c r="D299" s="30" t="inlineStr">
        <is>
          <t>mining / minerals / metals</t>
        </is>
      </c>
      <c r="E299" s="30" t="inlineStr">
        <is>
          <t>midcap</t>
        </is>
      </c>
      <c r="F299" s="30" t="n">
        <v>7983.22</v>
      </c>
      <c r="G299" s="30" t="n">
        <v>431.4</v>
      </c>
      <c r="H299" s="30" t="n">
        <v>-1.21</v>
      </c>
      <c r="I299" s="30" t="n">
        <v>722600</v>
      </c>
      <c r="J299" s="30" t="inlineStr">
        <is>
          <t>523539</t>
        </is>
      </c>
    </row>
    <row r="300">
      <c r="A300" s="30" t="inlineStr">
        <is>
          <t>PTCIL</t>
        </is>
      </c>
      <c r="B300" s="30" t="inlineStr">
        <is>
          <t>PTC Industries Ltd</t>
        </is>
      </c>
      <c r="C300" s="30" t="inlineStr">
        <is>
          <t>industrials</t>
        </is>
      </c>
      <c r="D300" s="30" t="inlineStr">
        <is>
          <t>castings &amp; forgings</t>
        </is>
      </c>
      <c r="E300" s="30" t="inlineStr">
        <is>
          <t>largecap</t>
        </is>
      </c>
      <c r="F300" s="30" t="n">
        <v>28364.4</v>
      </c>
      <c r="G300" s="30" t="n">
        <v>18688</v>
      </c>
      <c r="H300" s="30" t="n">
        <v>-1.22</v>
      </c>
      <c r="I300" s="30" t="n">
        <v>24471</v>
      </c>
      <c r="J300" s="30" t="inlineStr">
        <is>
          <t>539006</t>
        </is>
      </c>
    </row>
    <row r="301">
      <c r="A301" s="30" t="inlineStr">
        <is>
          <t>KOPRAN</t>
        </is>
      </c>
      <c r="B301" s="30" t="inlineStr">
        <is>
          <t>Kopran Limited</t>
        </is>
      </c>
      <c r="C301" s="30" t="inlineStr">
        <is>
          <t>healthcare</t>
        </is>
      </c>
      <c r="D301" s="30" t="inlineStr">
        <is>
          <t>pharmaceuticals - indian - bulk drugs &amp; formln</t>
        </is>
      </c>
      <c r="E301" s="30" t="inlineStr">
        <is>
          <t>smallcap</t>
        </is>
      </c>
      <c r="F301" s="30" t="n">
        <v>900.1900000000001</v>
      </c>
      <c r="G301" s="30" t="n">
        <v>184.08</v>
      </c>
      <c r="H301" s="30" t="n">
        <v>-1.26</v>
      </c>
      <c r="I301" s="30" t="n">
        <v>133592</v>
      </c>
      <c r="J301" s="30" t="inlineStr">
        <is>
          <t>524280</t>
        </is>
      </c>
    </row>
    <row r="302">
      <c r="A302" s="30" t="inlineStr">
        <is>
          <t>ARVINDFASN</t>
        </is>
      </c>
      <c r="B302" s="30" t="inlineStr">
        <is>
          <t>Arvind Fashions Ltd</t>
        </is>
      </c>
      <c r="C302" s="30" t="inlineStr">
        <is>
          <t>consumer discretionary</t>
        </is>
      </c>
      <c r="D302" s="30" t="inlineStr">
        <is>
          <t>trading</t>
        </is>
      </c>
      <c r="E302" s="30" t="inlineStr">
        <is>
          <t>midcap</t>
        </is>
      </c>
      <c r="F302" s="30" t="n">
        <v>6378.02</v>
      </c>
      <c r="G302" s="30" t="n">
        <v>471.1</v>
      </c>
      <c r="H302" s="30" t="n">
        <v>-1.28</v>
      </c>
      <c r="I302" s="30" t="n">
        <v>117793</v>
      </c>
      <c r="J302" s="30" t="inlineStr">
        <is>
          <t>542484</t>
        </is>
      </c>
    </row>
    <row r="303">
      <c r="A303" s="30" t="inlineStr">
        <is>
          <t>MARKSANS</t>
        </is>
      </c>
      <c r="B303" s="30" t="inlineStr">
        <is>
          <t>Marksans Pharma Limited</t>
        </is>
      </c>
      <c r="C303" s="30" t="inlineStr">
        <is>
          <t>healthcare</t>
        </is>
      </c>
      <c r="D303" s="30" t="inlineStr">
        <is>
          <t>pharmaceuticals - indian - formulations</t>
        </is>
      </c>
      <c r="E303" s="30" t="inlineStr">
        <is>
          <t>midcap</t>
        </is>
      </c>
      <c r="F303" s="30" t="n">
        <v>10983.33</v>
      </c>
      <c r="G303" s="30" t="n">
        <v>239.14</v>
      </c>
      <c r="H303" s="30" t="n">
        <v>-1.33</v>
      </c>
      <c r="I303" s="30" t="n">
        <v>1535140</v>
      </c>
      <c r="J303" s="30" t="inlineStr">
        <is>
          <t>524404</t>
        </is>
      </c>
    </row>
    <row r="304">
      <c r="A304" s="30" t="inlineStr">
        <is>
          <t>ASAHIINDIA</t>
        </is>
      </c>
      <c r="B304" s="30" t="inlineStr">
        <is>
          <t>Asahi India Glass Limited</t>
        </is>
      </c>
      <c r="C304" s="30" t="inlineStr">
        <is>
          <t>building materials</t>
        </is>
      </c>
      <c r="D304" s="30" t="inlineStr">
        <is>
          <t>glass &amp; glass products</t>
        </is>
      </c>
      <c r="E304" s="30" t="inlineStr">
        <is>
          <t>largecap</t>
        </is>
      </c>
      <c r="F304" s="30" t="n">
        <v>23032.67</v>
      </c>
      <c r="G304" s="30" t="n">
        <v>891.4</v>
      </c>
      <c r="H304" s="30" t="n">
        <v>-1.34</v>
      </c>
      <c r="I304" s="30" t="n">
        <v>56363</v>
      </c>
      <c r="J304" s="30" t="inlineStr">
        <is>
          <t>515030</t>
        </is>
      </c>
    </row>
    <row r="305">
      <c r="A305" s="30" t="inlineStr">
        <is>
          <t>NMDC</t>
        </is>
      </c>
      <c r="B305" s="30" t="inlineStr">
        <is>
          <t>Nmdc Limited</t>
        </is>
      </c>
      <c r="C305" s="30" t="inlineStr">
        <is>
          <t>metals &amp; mining</t>
        </is>
      </c>
      <c r="D305" s="30" t="inlineStr">
        <is>
          <t>mining / minerals / metals</t>
        </is>
      </c>
      <c r="E305" s="30" t="inlineStr">
        <is>
          <t>largecap</t>
        </is>
      </c>
      <c r="F305" s="30" t="n">
        <v>84436.62</v>
      </c>
      <c r="G305" s="30" t="n">
        <v>94.7</v>
      </c>
      <c r="H305" s="30" t="n">
        <v>-1.4</v>
      </c>
      <c r="I305" s="30" t="n">
        <v>30790125</v>
      </c>
      <c r="J305" s="30" t="inlineStr">
        <is>
          <t>526371</t>
        </is>
      </c>
    </row>
    <row r="306">
      <c r="A306" s="30" t="inlineStr">
        <is>
          <t>SOLARINDS</t>
        </is>
      </c>
      <c r="B306" s="30" t="inlineStr">
        <is>
          <t>Solar Industries India Limited</t>
        </is>
      </c>
      <c r="C306" s="30" t="inlineStr">
        <is>
          <t>aerospace &amp; defence</t>
        </is>
      </c>
      <c r="D306" s="30" t="inlineStr">
        <is>
          <t>chemicals</t>
        </is>
      </c>
      <c r="E306" s="30" t="inlineStr">
        <is>
          <t>largecap</t>
        </is>
      </c>
      <c r="F306" s="30" t="n">
        <v>168103.38</v>
      </c>
      <c r="G306" s="30" t="n">
        <v>18293</v>
      </c>
      <c r="H306" s="30" t="n">
        <v>-1.53</v>
      </c>
      <c r="I306" s="30" t="n">
        <v>161517</v>
      </c>
      <c r="J306" s="30" t="inlineStr">
        <is>
          <t>532725</t>
        </is>
      </c>
    </row>
    <row r="307">
      <c r="A307" s="30" t="inlineStr">
        <is>
          <t>STEELXIND</t>
        </is>
      </c>
      <c r="B307" s="30" t="inlineStr">
        <is>
          <t>Steel Exchange India Ltd</t>
        </is>
      </c>
      <c r="C307" s="30" t="inlineStr">
        <is>
          <t>metals &amp; mining</t>
        </is>
      </c>
      <c r="D307" s="30" t="inlineStr">
        <is>
          <t>steel - medium / small</t>
        </is>
      </c>
      <c r="E307" s="30" t="inlineStr">
        <is>
          <t>smallcap</t>
        </is>
      </c>
      <c r="F307" s="30" t="n">
        <v>1572.71</v>
      </c>
      <c r="G307" s="30" t="n">
        <v>12.14</v>
      </c>
      <c r="H307" s="30" t="n">
        <v>-1.54</v>
      </c>
      <c r="I307" s="30" t="n">
        <v>4082904</v>
      </c>
      <c r="J307" s="30" t="inlineStr">
        <is>
          <t>534748</t>
        </is>
      </c>
    </row>
    <row r="308">
      <c r="A308" s="30" t="inlineStr">
        <is>
          <t>SPAL</t>
        </is>
      </c>
      <c r="B308" s="30" t="inlineStr">
        <is>
          <t>S. P. Apparels Limited</t>
        </is>
      </c>
      <c r="C308" s="30" t="inlineStr">
        <is>
          <t>textiles</t>
        </is>
      </c>
      <c r="D308" s="30" t="inlineStr">
        <is>
          <t>textiles - products</t>
        </is>
      </c>
      <c r="E308" s="30" t="inlineStr">
        <is>
          <t>smallcap</t>
        </is>
      </c>
      <c r="F308" s="30" t="n">
        <v>2121.47</v>
      </c>
      <c r="G308" s="30" t="n">
        <v>830.9</v>
      </c>
      <c r="H308" s="30" t="n">
        <v>-1.54</v>
      </c>
      <c r="I308" s="30" t="n">
        <v>31232</v>
      </c>
      <c r="J308" s="30" t="inlineStr">
        <is>
          <t>540048</t>
        </is>
      </c>
    </row>
    <row r="309">
      <c r="A309" s="30" t="inlineStr">
        <is>
          <t>CENTENKA</t>
        </is>
      </c>
      <c r="B309" s="30" t="inlineStr">
        <is>
          <t>Century Enka Limited</t>
        </is>
      </c>
      <c r="C309" s="30" t="inlineStr">
        <is>
          <t>textiles</t>
        </is>
      </c>
      <c r="D309" s="30" t="inlineStr">
        <is>
          <t>textiles - manmade</t>
        </is>
      </c>
      <c r="E309" s="30" t="inlineStr">
        <is>
          <t>smallcap</t>
        </is>
      </c>
      <c r="F309" s="30" t="n">
        <v>1097.88</v>
      </c>
      <c r="G309" s="30" t="n">
        <v>494.65</v>
      </c>
      <c r="H309" s="30" t="n">
        <v>-1.55</v>
      </c>
      <c r="I309" s="30" t="n">
        <v>18796</v>
      </c>
      <c r="J309" s="30" t="inlineStr">
        <is>
          <t>500280</t>
        </is>
      </c>
    </row>
    <row r="310">
      <c r="A310" s="30" t="inlineStr">
        <is>
          <t>NH</t>
        </is>
      </c>
      <c r="B310" s="30" t="inlineStr">
        <is>
          <t>Narayana Hrudayalaya Ltd.</t>
        </is>
      </c>
      <c r="C310" s="30" t="inlineStr">
        <is>
          <t>healthcare</t>
        </is>
      </c>
      <c r="D310" s="30" t="inlineStr">
        <is>
          <t>healthcare</t>
        </is>
      </c>
      <c r="E310" s="30" t="inlineStr">
        <is>
          <t>largecap</t>
        </is>
      </c>
      <c r="F310" s="30" t="n">
        <v>40475.7</v>
      </c>
      <c r="G310" s="30" t="n">
        <v>1949.2</v>
      </c>
      <c r="H310" s="30" t="n">
        <v>-1.59</v>
      </c>
      <c r="I310" s="30" t="n">
        <v>366512</v>
      </c>
      <c r="J310" s="30" t="inlineStr">
        <is>
          <t>539551</t>
        </is>
      </c>
    </row>
    <row r="311">
      <c r="A311" s="30" t="inlineStr">
        <is>
          <t>PIXTRANS</t>
        </is>
      </c>
      <c r="B311" s="30" t="inlineStr">
        <is>
          <t>Pix Transmission Ltd</t>
        </is>
      </c>
      <c r="C311" s="30" t="inlineStr">
        <is>
          <t>fmcg</t>
        </is>
      </c>
      <c r="D311" s="30" t="inlineStr">
        <is>
          <t>miscellaneous</t>
        </is>
      </c>
      <c r="E311" s="30" t="inlineStr">
        <is>
          <t>smallcap</t>
        </is>
      </c>
      <c r="F311" s="30" t="n">
        <v>2224.31</v>
      </c>
      <c r="G311" s="30" t="n">
        <v>1606.6</v>
      </c>
      <c r="H311" s="30" t="n">
        <v>-1.59</v>
      </c>
      <c r="I311" s="30" t="n">
        <v>11965</v>
      </c>
      <c r="J311" s="30" t="inlineStr">
        <is>
          <t>500333</t>
        </is>
      </c>
    </row>
    <row r="312">
      <c r="A312" s="30" t="inlineStr">
        <is>
          <t>RANEHOLDIN</t>
        </is>
      </c>
      <c r="B312" s="30" t="inlineStr">
        <is>
          <t>Rane Holdings Limited</t>
        </is>
      </c>
      <c r="C312" s="30" t="inlineStr">
        <is>
          <t>financials</t>
        </is>
      </c>
      <c r="D312" s="30" t="inlineStr">
        <is>
          <t>finance &amp; investments</t>
        </is>
      </c>
      <c r="E312" s="30" t="inlineStr">
        <is>
          <t>smallcap</t>
        </is>
      </c>
      <c r="F312" s="30" t="n">
        <v>2118.54</v>
      </c>
      <c r="G312" s="30" t="n">
        <v>1459.4</v>
      </c>
      <c r="H312" s="30" t="n">
        <v>-1.64</v>
      </c>
      <c r="I312" s="30" t="n">
        <v>40357</v>
      </c>
      <c r="J312" s="30" t="inlineStr">
        <is>
          <t>505800</t>
        </is>
      </c>
    </row>
    <row r="313">
      <c r="A313" s="30" t="inlineStr">
        <is>
          <t>SKMEGGPROD</t>
        </is>
      </c>
      <c r="B313" s="30" t="inlineStr">
        <is>
          <t>Skm Egg Products Export (india) Limited</t>
        </is>
      </c>
      <c r="C313" s="30" t="inlineStr">
        <is>
          <t>fmcg</t>
        </is>
      </c>
      <c r="D313" s="30" t="inlineStr">
        <is>
          <t>food - processing - indian</t>
        </is>
      </c>
      <c r="E313" s="30" t="inlineStr">
        <is>
          <t>smallcap</t>
        </is>
      </c>
      <c r="F313" s="30" t="n">
        <v>1282.32</v>
      </c>
      <c r="G313" s="30" t="n">
        <v>239.31</v>
      </c>
      <c r="H313" s="30" t="n">
        <v>-1.72</v>
      </c>
      <c r="I313" s="30" t="n">
        <v>1212354</v>
      </c>
      <c r="J313" s="30" t="inlineStr">
        <is>
          <t>532143</t>
        </is>
      </c>
    </row>
    <row r="314">
      <c r="A314" s="30" t="inlineStr">
        <is>
          <t>VINDHYATEL</t>
        </is>
      </c>
      <c r="B314" s="30" t="inlineStr">
        <is>
          <t>Vindhya Telelinks Limited</t>
        </is>
      </c>
      <c r="C314" s="30" t="inlineStr">
        <is>
          <t>realty</t>
        </is>
      </c>
      <c r="D314" s="30" t="inlineStr">
        <is>
          <t>construction</t>
        </is>
      </c>
      <c r="E314" s="30" t="inlineStr">
        <is>
          <t>smallcap</t>
        </is>
      </c>
      <c r="F314" s="30" t="n">
        <v>2607.19</v>
      </c>
      <c r="G314" s="30" t="n">
        <v>2162.1</v>
      </c>
      <c r="H314" s="30" t="n">
        <v>-1.72</v>
      </c>
      <c r="I314" s="30" t="n">
        <v>217712</v>
      </c>
      <c r="J314" s="30" t="inlineStr">
        <is>
          <t>517015</t>
        </is>
      </c>
    </row>
    <row r="315">
      <c r="A315" s="30" t="inlineStr">
        <is>
          <t>ROSSTECH</t>
        </is>
      </c>
      <c r="B315" s="30" t="inlineStr">
        <is>
          <t>Rossell Techsys Ltd</t>
        </is>
      </c>
      <c r="C315" s="30" t="inlineStr">
        <is>
          <t>aerospace &amp; defence</t>
        </is>
      </c>
      <c r="D315" s="30" t="inlineStr">
        <is>
          <t>engineering</t>
        </is>
      </c>
      <c r="E315" s="30" t="inlineStr">
        <is>
          <t>smallcap</t>
        </is>
      </c>
      <c r="F315" s="30" t="n">
        <v>4047.85</v>
      </c>
      <c r="G315" s="30" t="n">
        <v>1055.2</v>
      </c>
      <c r="H315" s="30" t="n">
        <v>-1.73</v>
      </c>
      <c r="I315" s="30" t="n">
        <v>79775</v>
      </c>
      <c r="J315" s="30" t="inlineStr">
        <is>
          <t>544294</t>
        </is>
      </c>
    </row>
    <row r="316">
      <c r="A316" s="30" t="inlineStr">
        <is>
          <t>DIAMONDYD</t>
        </is>
      </c>
      <c r="B316" s="30" t="inlineStr">
        <is>
          <t>Prataap Snacks Ltd</t>
        </is>
      </c>
      <c r="C316" s="30" t="inlineStr">
        <is>
          <t>fmcg</t>
        </is>
      </c>
      <c r="D316" s="30" t="inlineStr">
        <is>
          <t>food - processing - indian</t>
        </is>
      </c>
      <c r="E316" s="30" t="inlineStr">
        <is>
          <t>smallcap</t>
        </is>
      </c>
      <c r="F316" s="30" t="n">
        <v>2836.39</v>
      </c>
      <c r="G316" s="30" t="n">
        <v>1165.8</v>
      </c>
      <c r="H316" s="30" t="n">
        <v>-1.75</v>
      </c>
      <c r="I316" s="30" t="n">
        <v>58090</v>
      </c>
      <c r="J316" s="30" t="inlineStr">
        <is>
          <t>540724</t>
        </is>
      </c>
    </row>
    <row r="317">
      <c r="A317" s="30" t="inlineStr">
        <is>
          <t>HESTERBIO</t>
        </is>
      </c>
      <c r="B317" s="30" t="inlineStr">
        <is>
          <t>Hester Biosciences Limited</t>
        </is>
      </c>
      <c r="C317" s="30" t="inlineStr">
        <is>
          <t>healthcare</t>
        </is>
      </c>
      <c r="D317" s="30" t="inlineStr">
        <is>
          <t>pharmaceuticals - indian - formulations</t>
        </is>
      </c>
      <c r="E317" s="30" t="inlineStr">
        <is>
          <t>smallcap</t>
        </is>
      </c>
      <c r="F317" s="30" t="n">
        <v>1664.71</v>
      </c>
      <c r="G317" s="30" t="n">
        <v>1922.4</v>
      </c>
      <c r="H317" s="30" t="n">
        <v>-1.76</v>
      </c>
      <c r="I317" s="30" t="n">
        <v>3807</v>
      </c>
      <c r="J317" s="30" t="inlineStr">
        <is>
          <t>524669</t>
        </is>
      </c>
    </row>
    <row r="318">
      <c r="A318" s="30" t="inlineStr">
        <is>
          <t>CONSOFINVT</t>
        </is>
      </c>
      <c r="B318" s="30" t="inlineStr">
        <is>
          <t>Consolidated Finvest &amp; Holdings Limited</t>
        </is>
      </c>
      <c r="C318" s="30" t="inlineStr">
        <is>
          <t>financials</t>
        </is>
      </c>
      <c r="D318" s="30" t="inlineStr">
        <is>
          <t>finance &amp; investments</t>
        </is>
      </c>
      <c r="E318" s="30" t="inlineStr">
        <is>
          <t>smallcap</t>
        </is>
      </c>
      <c r="F318" s="30" t="n">
        <v>785.4299999999999</v>
      </c>
      <c r="G318" s="30" t="n">
        <v>238.68</v>
      </c>
      <c r="H318" s="30" t="n">
        <v>-1.77</v>
      </c>
      <c r="I318" s="30" t="n">
        <v>4986</v>
      </c>
      <c r="J318" s="30" t="inlineStr">
        <is>
          <t>500226</t>
        </is>
      </c>
    </row>
    <row r="319">
      <c r="A319" s="30" t="inlineStr">
        <is>
          <t>TIRUPATIFL</t>
        </is>
      </c>
      <c r="B319" s="30" t="inlineStr">
        <is>
          <t>Tirupati Forge Ltd</t>
        </is>
      </c>
      <c r="C319" s="30" t="inlineStr">
        <is>
          <t>industrials</t>
        </is>
      </c>
      <c r="D319" s="30" t="inlineStr">
        <is>
          <t>castings &amp; forgings</t>
        </is>
      </c>
      <c r="E319" s="30" t="inlineStr">
        <is>
          <t>smallcap</t>
        </is>
      </c>
      <c r="F319" s="30" t="n">
        <v>591.04</v>
      </c>
      <c r="G319" s="30" t="n">
        <v>44.93</v>
      </c>
      <c r="H319" s="30" t="n">
        <v>-1.79</v>
      </c>
      <c r="I319" s="30" t="n">
        <v>385211</v>
      </c>
      <c r="J319" s="30" t="inlineStr">
        <is>
          <t>535021</t>
        </is>
      </c>
    </row>
    <row r="320">
      <c r="A320" s="30" t="inlineStr">
        <is>
          <t>WSTCSTPAPR</t>
        </is>
      </c>
      <c r="B320" s="30" t="inlineStr">
        <is>
          <t>West Coast Paper Mills Limited</t>
        </is>
      </c>
      <c r="C320" s="30" t="inlineStr">
        <is>
          <t>building materials</t>
        </is>
      </c>
      <c r="D320" s="30" t="inlineStr">
        <is>
          <t>paper</t>
        </is>
      </c>
      <c r="E320" s="30" t="inlineStr">
        <is>
          <t>smallcap</t>
        </is>
      </c>
      <c r="F320" s="30" t="n">
        <v>3438.51</v>
      </c>
      <c r="G320" s="30" t="n">
        <v>511.3</v>
      </c>
      <c r="H320" s="30" t="n">
        <v>-1.79</v>
      </c>
      <c r="I320" s="30" t="n">
        <v>134495</v>
      </c>
      <c r="J320" s="30" t="inlineStr">
        <is>
          <t>500444</t>
        </is>
      </c>
    </row>
    <row r="321">
      <c r="A321" s="30" t="inlineStr">
        <is>
          <t>ADOR</t>
        </is>
      </c>
      <c r="B321" s="30" t="inlineStr">
        <is>
          <t>Ador Welding Ltd</t>
        </is>
      </c>
      <c r="C321" s="30" t="inlineStr">
        <is>
          <t>industrials</t>
        </is>
      </c>
      <c r="D321" s="30" t="inlineStr">
        <is>
          <t>electrodes - welding equipment</t>
        </is>
      </c>
      <c r="E321" s="30" t="inlineStr">
        <is>
          <t>smallcap</t>
        </is>
      </c>
      <c r="F321" s="30" t="n">
        <v>1985.84</v>
      </c>
      <c r="G321" s="30" t="n">
        <v>1119.9</v>
      </c>
      <c r="H321" s="30" t="n">
        <v>-1.86</v>
      </c>
      <c r="I321" s="30" t="n">
        <v>12187</v>
      </c>
      <c r="J321" s="30" t="inlineStr">
        <is>
          <t>517041</t>
        </is>
      </c>
    </row>
    <row r="322">
      <c r="A322" s="30" t="inlineStr">
        <is>
          <t>SOMANYCERA</t>
        </is>
      </c>
      <c r="B322" s="30" t="inlineStr">
        <is>
          <t>Somany Ceramics Limited</t>
        </is>
      </c>
      <c r="C322" s="30" t="inlineStr">
        <is>
          <t>building materials</t>
        </is>
      </c>
      <c r="D322" s="30" t="inlineStr">
        <is>
          <t>ceramics - tiles / sanitaryware</t>
        </is>
      </c>
      <c r="E322" s="30" t="inlineStr">
        <is>
          <t>smallcap</t>
        </is>
      </c>
      <c r="F322" s="30" t="n">
        <v>2123.44</v>
      </c>
      <c r="G322" s="30" t="n">
        <v>507.55</v>
      </c>
      <c r="H322" s="30" t="n">
        <v>-1.97</v>
      </c>
      <c r="I322" s="30" t="n">
        <v>77031</v>
      </c>
      <c r="J322" s="30" t="inlineStr">
        <is>
          <t>531548</t>
        </is>
      </c>
    </row>
    <row r="323">
      <c r="A323" s="30" t="inlineStr">
        <is>
          <t>MCLEODRUSS</t>
        </is>
      </c>
      <c r="B323" s="30" t="inlineStr">
        <is>
          <t>Mcleod Russel India Limited</t>
        </is>
      </c>
      <c r="C323" s="30" t="inlineStr">
        <is>
          <t>fmcg</t>
        </is>
      </c>
      <c r="D323" s="30" t="inlineStr">
        <is>
          <t>tea</t>
        </is>
      </c>
      <c r="E323" s="30" t="inlineStr">
        <is>
          <t>smallcap</t>
        </is>
      </c>
      <c r="F323" s="30" t="n">
        <v>771.09</v>
      </c>
      <c r="G323" s="30" t="n">
        <v>72.34999999999999</v>
      </c>
      <c r="H323" s="30" t="n">
        <v>-1.99</v>
      </c>
      <c r="I323" s="30" t="n">
        <v>156734</v>
      </c>
      <c r="J323" s="30" t="inlineStr">
        <is>
          <t>532654</t>
        </is>
      </c>
    </row>
    <row r="324">
      <c r="A324" s="30" t="inlineStr">
        <is>
          <t>SOFTTECH</t>
        </is>
      </c>
      <c r="B324" s="30" t="inlineStr">
        <is>
          <t>Softtech Engineers Ltd</t>
        </is>
      </c>
      <c r="C324" s="30" t="inlineStr">
        <is>
          <t>i.t</t>
        </is>
      </c>
      <c r="D324" s="30" t="inlineStr">
        <is>
          <t>computers - software - medium / small</t>
        </is>
      </c>
      <c r="E324" s="30" t="inlineStr">
        <is>
          <t>smallcap</t>
        </is>
      </c>
      <c r="F324" s="30" t="n">
        <v>631.2</v>
      </c>
      <c r="G324" s="30" t="n">
        <v>446.9</v>
      </c>
      <c r="H324" s="30" t="n">
        <v>-2</v>
      </c>
      <c r="I324" s="30" t="n">
        <v>1066</v>
      </c>
      <c r="J324" s="30" t="inlineStr">
        <is>
          <t>535078</t>
        </is>
      </c>
    </row>
    <row r="325">
      <c r="A325" s="30" t="inlineStr">
        <is>
          <t>DIVGIITTS</t>
        </is>
      </c>
      <c r="B325" s="30" t="inlineStr">
        <is>
          <t>Divgi Torqtransfer Systems Ltd</t>
        </is>
      </c>
      <c r="C325" s="30" t="inlineStr">
        <is>
          <t>auto</t>
        </is>
      </c>
      <c r="D325" s="30" t="inlineStr">
        <is>
          <t>auto ancillaries</t>
        </is>
      </c>
      <c r="E325" s="30" t="inlineStr">
        <is>
          <t>smallcap</t>
        </is>
      </c>
      <c r="F325" s="30" t="n">
        <v>2454.59</v>
      </c>
      <c r="G325" s="30" t="n">
        <v>786.3</v>
      </c>
      <c r="H325" s="30" t="n">
        <v>-2.03</v>
      </c>
      <c r="I325" s="30" t="n">
        <v>39980</v>
      </c>
      <c r="J325" s="30" t="inlineStr">
        <is>
          <t>543812</t>
        </is>
      </c>
    </row>
    <row r="326">
      <c r="A326" s="30" t="inlineStr">
        <is>
          <t>SASKEN</t>
        </is>
      </c>
      <c r="B326" s="30" t="inlineStr">
        <is>
          <t>Sasken Communication Technologies Limited</t>
        </is>
      </c>
      <c r="C326" s="30" t="inlineStr">
        <is>
          <t>i.t</t>
        </is>
      </c>
      <c r="D326" s="30" t="inlineStr">
        <is>
          <t>computers - software - medium / small</t>
        </is>
      </c>
      <c r="E326" s="30" t="inlineStr">
        <is>
          <t>smallcap</t>
        </is>
      </c>
      <c r="F326" s="30" t="n">
        <v>3351.65</v>
      </c>
      <c r="G326" s="30" t="n">
        <v>2161</v>
      </c>
      <c r="H326" s="30" t="n">
        <v>-2.08</v>
      </c>
      <c r="I326" s="30" t="n">
        <v>71778</v>
      </c>
      <c r="J326" s="30" t="inlineStr">
        <is>
          <t>532663</t>
        </is>
      </c>
    </row>
    <row r="327">
      <c r="A327" s="30" t="inlineStr">
        <is>
          <t>GUFICBIO</t>
        </is>
      </c>
      <c r="B327" s="30" t="inlineStr">
        <is>
          <t>Gufic Biosciences Limited</t>
        </is>
      </c>
      <c r="C327" s="30" t="inlineStr">
        <is>
          <t>healthcare</t>
        </is>
      </c>
      <c r="D327" s="30" t="inlineStr">
        <is>
          <t>pharmaceuticals - indian - bulk drugs &amp; formln</t>
        </is>
      </c>
      <c r="E327" s="30" t="inlineStr">
        <is>
          <t>smallcap</t>
        </is>
      </c>
      <c r="F327" s="30" t="n">
        <v>3629.73</v>
      </c>
      <c r="G327" s="30" t="n">
        <v>354.35</v>
      </c>
      <c r="H327" s="30" t="n">
        <v>-2.1</v>
      </c>
      <c r="I327" s="30" t="n">
        <v>68593</v>
      </c>
      <c r="J327" s="30" t="inlineStr">
        <is>
          <t>509079</t>
        </is>
      </c>
    </row>
    <row r="328">
      <c r="A328" s="30" t="inlineStr">
        <is>
          <t>JAYAGROGN</t>
        </is>
      </c>
      <c r="B328" s="30" t="inlineStr">
        <is>
          <t>Jayant Agro Organics Limited</t>
        </is>
      </c>
      <c r="C328" s="30" t="inlineStr">
        <is>
          <t>chemicals</t>
        </is>
      </c>
      <c r="D328" s="30" t="inlineStr">
        <is>
          <t>chemicals</t>
        </is>
      </c>
      <c r="E328" s="30" t="inlineStr">
        <is>
          <t>smallcap</t>
        </is>
      </c>
      <c r="F328" s="30" t="n">
        <v>689.13</v>
      </c>
      <c r="G328" s="30" t="n">
        <v>224.8</v>
      </c>
      <c r="H328" s="30" t="n">
        <v>-2.14</v>
      </c>
      <c r="I328" s="30" t="n">
        <v>6049</v>
      </c>
      <c r="J328" s="30" t="inlineStr">
        <is>
          <t>524330</t>
        </is>
      </c>
    </row>
    <row r="329">
      <c r="A329" s="30" t="inlineStr">
        <is>
          <t>AMBIKCO</t>
        </is>
      </c>
      <c r="B329" s="30" t="inlineStr">
        <is>
          <t>Ambika Cotton Mills Limited</t>
        </is>
      </c>
      <c r="C329" s="30" t="inlineStr">
        <is>
          <t>textiles</t>
        </is>
      </c>
      <c r="D329" s="30" t="inlineStr">
        <is>
          <t>textiles - cotton/blended</t>
        </is>
      </c>
      <c r="E329" s="30" t="inlineStr">
        <is>
          <t>smallcap</t>
        </is>
      </c>
      <c r="F329" s="30" t="n">
        <v>979.55</v>
      </c>
      <c r="G329" s="30" t="n">
        <v>1671.1</v>
      </c>
      <c r="H329" s="30" t="n">
        <v>-2.33</v>
      </c>
      <c r="I329" s="30" t="n">
        <v>8511</v>
      </c>
      <c r="J329" s="30" t="inlineStr">
        <is>
          <t>531978</t>
        </is>
      </c>
    </row>
    <row r="330">
      <c r="A330" s="30" t="inlineStr">
        <is>
          <t>DREDGECORP</t>
        </is>
      </c>
      <c r="B330" s="30" t="inlineStr">
        <is>
          <t>Dredging Corporation Of India Limited</t>
        </is>
      </c>
      <c r="C330" s="30" t="inlineStr">
        <is>
          <t>miscellaneous</t>
        </is>
      </c>
      <c r="D330" s="30" t="inlineStr">
        <is>
          <t>miscellaneous</t>
        </is>
      </c>
      <c r="E330" s="30" t="inlineStr">
        <is>
          <t>smallcap</t>
        </is>
      </c>
      <c r="F330" s="30" t="n">
        <v>3451</v>
      </c>
      <c r="G330" s="30" t="n">
        <v>1203.6</v>
      </c>
      <c r="H330" s="30" t="n">
        <v>-2.34</v>
      </c>
      <c r="I330" s="30" t="n">
        <v>839589</v>
      </c>
      <c r="J330" s="30" t="inlineStr">
        <is>
          <t>523618</t>
        </is>
      </c>
    </row>
    <row r="331">
      <c r="A331" s="30" t="inlineStr">
        <is>
          <t>RAIN</t>
        </is>
      </c>
      <c r="B331" s="30" t="inlineStr">
        <is>
          <t>Rain Industries Limited</t>
        </is>
      </c>
      <c r="C331" s="30" t="inlineStr">
        <is>
          <t>miscellaneous</t>
        </is>
      </c>
      <c r="D331" s="30" t="inlineStr">
        <is>
          <t>miscellaneous</t>
        </is>
      </c>
      <c r="E331" s="30" t="inlineStr">
        <is>
          <t>midcap</t>
        </is>
      </c>
      <c r="F331" s="30" t="n">
        <v>6742.72</v>
      </c>
      <c r="G331" s="30" t="n">
        <v>195.51</v>
      </c>
      <c r="H331" s="30" t="n">
        <v>-2.47</v>
      </c>
      <c r="I331" s="30" t="n">
        <v>6026877</v>
      </c>
      <c r="J331" s="30" t="inlineStr">
        <is>
          <t>500339</t>
        </is>
      </c>
    </row>
    <row r="332">
      <c r="A332" s="30" t="inlineStr">
        <is>
          <t>DEEDEV</t>
        </is>
      </c>
      <c r="B332" s="30" t="inlineStr">
        <is>
          <t>DEE Development Engineers Ltd</t>
        </is>
      </c>
      <c r="C332" s="30" t="inlineStr">
        <is>
          <t>metals &amp; mining</t>
        </is>
      </c>
      <c r="D332" s="30" t="inlineStr">
        <is>
          <t>steel - medium / small</t>
        </is>
      </c>
      <c r="E332" s="30" t="inlineStr">
        <is>
          <t>smallcap</t>
        </is>
      </c>
      <c r="F332" s="30" t="n">
        <v>4555.45</v>
      </c>
      <c r="G332" s="30" t="n">
        <v>639.2</v>
      </c>
      <c r="H332" s="30" t="n">
        <v>-2.81</v>
      </c>
      <c r="I332" s="30" t="n">
        <v>213363</v>
      </c>
      <c r="J332" s="30" t="n"/>
    </row>
    <row r="333">
      <c r="A333" s="30" t="inlineStr">
        <is>
          <t>SANSTAR</t>
        </is>
      </c>
      <c r="B333" s="30" t="inlineStr">
        <is>
          <t>Sanstar Ltd</t>
        </is>
      </c>
      <c r="C333" s="30" t="inlineStr">
        <is>
          <t>fmcg</t>
        </is>
      </c>
      <c r="D333" s="30" t="inlineStr">
        <is>
          <t>miscellaneous</t>
        </is>
      </c>
      <c r="E333" s="30" t="inlineStr">
        <is>
          <t>smallcap</t>
        </is>
      </c>
      <c r="F333" s="30" t="n">
        <v>2155.4</v>
      </c>
      <c r="G333" s="30" t="n">
        <v>114.76</v>
      </c>
      <c r="H333" s="30" t="n">
        <v>-2.97</v>
      </c>
      <c r="I333" s="30" t="n">
        <v>378671</v>
      </c>
      <c r="J333" s="30" t="inlineStr">
        <is>
          <t>544217</t>
        </is>
      </c>
    </row>
    <row r="334">
      <c r="A334" s="30" t="inlineStr">
        <is>
          <t>CENTUM</t>
        </is>
      </c>
      <c r="B334" s="30" t="inlineStr">
        <is>
          <t>Centum Electronics Limited</t>
        </is>
      </c>
      <c r="C334" s="30" t="inlineStr">
        <is>
          <t>consumer discretionary</t>
        </is>
      </c>
      <c r="D334" s="30" t="inlineStr">
        <is>
          <t>electronics - components</t>
        </is>
      </c>
      <c r="E334" s="30" t="inlineStr">
        <is>
          <t>midcap</t>
        </is>
      </c>
      <c r="F334" s="30" t="n">
        <v>5291.87</v>
      </c>
      <c r="G334" s="30" t="n">
        <v>3482.6</v>
      </c>
      <c r="H334" s="30" t="n">
        <v>-2.99</v>
      </c>
      <c r="I334" s="30" t="n">
        <v>79833</v>
      </c>
      <c r="J334" s="30" t="inlineStr">
        <is>
          <t>517544</t>
        </is>
      </c>
    </row>
    <row r="335">
      <c r="A335" s="30" t="inlineStr">
        <is>
          <t>IBULLSLTD</t>
        </is>
      </c>
      <c r="B335" s="30" t="inlineStr">
        <is>
          <t>Indiabulls Limited</t>
        </is>
      </c>
      <c r="C335" s="30" t="inlineStr">
        <is>
          <t>miscellaneous</t>
        </is>
      </c>
      <c r="D335" s="30" t="inlineStr">
        <is>
          <t>diversified - medium / small</t>
        </is>
      </c>
      <c r="E335" s="30" t="inlineStr">
        <is>
          <t>midcap</t>
        </is>
      </c>
      <c r="F335" s="30" t="n">
        <v>5655.22</v>
      </c>
      <c r="G335" s="30" t="n">
        <v>23.58</v>
      </c>
      <c r="H335" s="30" t="n">
        <v>-3.08</v>
      </c>
      <c r="I335" s="30" t="n">
        <v>11394938</v>
      </c>
      <c r="J335" s="30" t="inlineStr">
        <is>
          <t>533520</t>
        </is>
      </c>
    </row>
    <row r="336">
      <c r="A336" s="30" t="inlineStr">
        <is>
          <t>UFBL</t>
        </is>
      </c>
      <c r="B336" s="30" t="inlineStr">
        <is>
          <t>United Foodbrands Ltd</t>
        </is>
      </c>
      <c r="C336" s="30" t="inlineStr">
        <is>
          <t>consumer discretionary</t>
        </is>
      </c>
      <c r="D336" s="30" t="inlineStr">
        <is>
          <t>hotels</t>
        </is>
      </c>
      <c r="E336" s="30" t="inlineStr">
        <is>
          <t>smallcap</t>
        </is>
      </c>
      <c r="F336" s="30" t="n">
        <v>1856.02</v>
      </c>
      <c r="G336" s="30" t="n">
        <v>460</v>
      </c>
      <c r="H336" s="30" t="n">
        <v>-3.13</v>
      </c>
      <c r="I336" s="30" t="n">
        <v>124882</v>
      </c>
      <c r="J336" s="30" t="inlineStr">
        <is>
          <t>543283</t>
        </is>
      </c>
    </row>
    <row r="337">
      <c r="A337" s="30" t="inlineStr">
        <is>
          <t>MAITHANALL</t>
        </is>
      </c>
      <c r="B337" s="30" t="inlineStr">
        <is>
          <t>Maithan Alloys Limited</t>
        </is>
      </c>
      <c r="C337" s="30" t="inlineStr">
        <is>
          <t>metals &amp; mining</t>
        </is>
      </c>
      <c r="D337" s="30" t="inlineStr">
        <is>
          <t>mining / minerals / metals</t>
        </is>
      </c>
      <c r="E337" s="30" t="inlineStr">
        <is>
          <t>smallcap</t>
        </is>
      </c>
      <c r="F337" s="30" t="n">
        <v>3117.26</v>
      </c>
      <c r="G337" s="30" t="n">
        <v>1035.8</v>
      </c>
      <c r="H337" s="30" t="n">
        <v>-3.27</v>
      </c>
      <c r="I337" s="30" t="n">
        <v>52384</v>
      </c>
      <c r="J337" s="30" t="inlineStr">
        <is>
          <t>590078</t>
        </is>
      </c>
    </row>
    <row r="338">
      <c r="A338" s="30" t="inlineStr">
        <is>
          <t>SUVEN</t>
        </is>
      </c>
      <c r="B338" s="30" t="inlineStr">
        <is>
          <t>Suven Life Sciences Limited</t>
        </is>
      </c>
      <c r="C338" s="30" t="inlineStr">
        <is>
          <t>healthcare</t>
        </is>
      </c>
      <c r="D338" s="30" t="inlineStr">
        <is>
          <t>miscellaneous</t>
        </is>
      </c>
      <c r="E338" s="30" t="inlineStr">
        <is>
          <t>midcap</t>
        </is>
      </c>
      <c r="F338" s="30" t="n">
        <v>7261.55</v>
      </c>
      <c r="G338" s="30" t="n">
        <v>266.35</v>
      </c>
      <c r="H338" s="30" t="n">
        <v>-3.27</v>
      </c>
      <c r="I338" s="30" t="n">
        <v>2968995</v>
      </c>
      <c r="J338" s="30" t="inlineStr">
        <is>
          <t>530239</t>
        </is>
      </c>
    </row>
    <row r="339">
      <c r="A339" s="30" t="inlineStr">
        <is>
          <t>NSLNISP</t>
        </is>
      </c>
      <c r="B339" s="30" t="inlineStr">
        <is>
          <t>NMDC Steel Ltd</t>
        </is>
      </c>
      <c r="C339" s="30" t="inlineStr">
        <is>
          <t>metals &amp; mining</t>
        </is>
      </c>
      <c r="D339" s="30" t="inlineStr">
        <is>
          <t>steel - large</t>
        </is>
      </c>
      <c r="E339" s="30" t="inlineStr">
        <is>
          <t>midcap</t>
        </is>
      </c>
      <c r="F339" s="30" t="n">
        <v>15371.03</v>
      </c>
      <c r="G339" s="30" t="n">
        <v>50.72</v>
      </c>
      <c r="H339" s="30" t="n">
        <v>-3.3</v>
      </c>
      <c r="I339" s="30" t="n">
        <v>9943384</v>
      </c>
      <c r="J339" s="30" t="inlineStr">
        <is>
          <t>543768</t>
        </is>
      </c>
    </row>
    <row r="340">
      <c r="A340" s="30" t="inlineStr">
        <is>
          <t>ATHERENERG</t>
        </is>
      </c>
      <c r="B340" s="30" t="inlineStr">
        <is>
          <t>Ather Energy Ltd</t>
        </is>
      </c>
      <c r="C340" s="30" t="inlineStr">
        <is>
          <t>auto</t>
        </is>
      </c>
      <c r="D340" s="30" t="inlineStr">
        <is>
          <t>automobiles - scooters and 3 - wheelers</t>
        </is>
      </c>
      <c r="E340" s="30" t="inlineStr">
        <is>
          <t>largecap</t>
        </is>
      </c>
      <c r="F340" s="30" t="n">
        <v>39111.11</v>
      </c>
      <c r="G340" s="30" t="n">
        <v>988.15</v>
      </c>
      <c r="H340" s="30" t="n">
        <v>-3.32</v>
      </c>
      <c r="I340" s="30" t="n">
        <v>5992440</v>
      </c>
      <c r="J340" s="30" t="inlineStr">
        <is>
          <t>544397</t>
        </is>
      </c>
    </row>
    <row r="341">
      <c r="A341" s="30" t="inlineStr">
        <is>
          <t>ICIL</t>
        </is>
      </c>
      <c r="B341" s="30" t="inlineStr">
        <is>
          <t>Indo Count Industries Limited</t>
        </is>
      </c>
      <c r="C341" s="30" t="inlineStr">
        <is>
          <t>textiles</t>
        </is>
      </c>
      <c r="D341" s="30" t="inlineStr">
        <is>
          <t>textiles - cotton/blended</t>
        </is>
      </c>
      <c r="E341" s="30" t="inlineStr">
        <is>
          <t>midcap</t>
        </is>
      </c>
      <c r="F341" s="30" t="n">
        <v>6825.94</v>
      </c>
      <c r="G341" s="30" t="n">
        <v>333.1</v>
      </c>
      <c r="H341" s="30" t="n">
        <v>-3.35</v>
      </c>
      <c r="I341" s="30" t="n">
        <v>427920</v>
      </c>
      <c r="J341" s="30" t="inlineStr">
        <is>
          <t>521016</t>
        </is>
      </c>
    </row>
    <row r="342">
      <c r="A342" s="30" t="inlineStr">
        <is>
          <t>CARYSIL</t>
        </is>
      </c>
      <c r="B342" s="30" t="inlineStr">
        <is>
          <t>Carysil Ltd</t>
        </is>
      </c>
      <c r="C342" s="30" t="inlineStr">
        <is>
          <t>consumer discretionary</t>
        </is>
      </c>
      <c r="D342" s="30" t="inlineStr">
        <is>
          <t>domestic appliances</t>
        </is>
      </c>
      <c r="E342" s="30" t="inlineStr">
        <is>
          <t>smallcap</t>
        </is>
      </c>
      <c r="F342" s="30" t="n">
        <v>3236.77</v>
      </c>
      <c r="G342" s="30" t="n">
        <v>1095.2</v>
      </c>
      <c r="H342" s="30" t="n">
        <v>-3.76</v>
      </c>
      <c r="I342" s="30" t="n">
        <v>249308</v>
      </c>
      <c r="J342" s="30" t="inlineStr">
        <is>
          <t>524091</t>
        </is>
      </c>
    </row>
    <row r="343">
      <c r="A343" s="30" t="inlineStr">
        <is>
          <t>WELINV</t>
        </is>
      </c>
      <c r="B343" s="30" t="inlineStr">
        <is>
          <t>Welspun Investments And Commercials Limited</t>
        </is>
      </c>
      <c r="C343" s="30" t="inlineStr">
        <is>
          <t>financials</t>
        </is>
      </c>
      <c r="D343" s="30" t="inlineStr">
        <is>
          <t>finance &amp; investments</t>
        </is>
      </c>
      <c r="E343" s="30" t="inlineStr">
        <is>
          <t>smallcap</t>
        </is>
      </c>
      <c r="F343" s="30" t="n">
        <v>678.97</v>
      </c>
      <c r="G343" s="30" t="n">
        <v>1773.8</v>
      </c>
      <c r="H343" s="30" t="n">
        <v>-4.53</v>
      </c>
      <c r="I343" s="30" t="n">
        <v>33</v>
      </c>
      <c r="J343" s="30" t="inlineStr">
        <is>
          <t>533252</t>
        </is>
      </c>
    </row>
    <row r="344">
      <c r="A344" s="30" t="inlineStr">
        <is>
          <t>BHAGYANGR</t>
        </is>
      </c>
      <c r="B344" s="30" t="inlineStr">
        <is>
          <t>Bhagyanagar India</t>
        </is>
      </c>
      <c r="C344" s="30" t="inlineStr">
        <is>
          <t>power &amp; utilities</t>
        </is>
      </c>
      <c r="D344" s="30" t="inlineStr">
        <is>
          <t>power generation and supply</t>
        </is>
      </c>
      <c r="E344" s="30" t="inlineStr">
        <is>
          <t>smallcap</t>
        </is>
      </c>
      <c r="F344" s="30" t="n">
        <v>1085.75</v>
      </c>
      <c r="G344" s="30" t="n">
        <v>322.75</v>
      </c>
      <c r="H344" s="30" t="n">
        <v>-4.89</v>
      </c>
      <c r="I344" s="30" t="n">
        <v>210603</v>
      </c>
      <c r="J344" s="30" t="inlineStr">
        <is>
          <t>512296</t>
        </is>
      </c>
    </row>
    <row r="345">
      <c r="A345" s="30" t="inlineStr">
        <is>
          <t>FCL</t>
        </is>
      </c>
      <c r="B345" s="30" t="inlineStr">
        <is>
          <t>Fineotex Chemical Limited</t>
        </is>
      </c>
      <c r="C345" s="30" t="inlineStr">
        <is>
          <t>chemicals</t>
        </is>
      </c>
      <c r="D345" s="30" t="inlineStr">
        <is>
          <t>chemicals</t>
        </is>
      </c>
      <c r="E345" s="30" t="inlineStr">
        <is>
          <t>midcap</t>
        </is>
      </c>
      <c r="F345" s="30" t="n">
        <v>5070.24</v>
      </c>
      <c r="G345" s="30" t="n">
        <v>41.03</v>
      </c>
      <c r="H345" s="30" t="n">
        <v>-5.76</v>
      </c>
      <c r="I345" s="30" t="n">
        <v>20805048</v>
      </c>
      <c r="J345" s="30" t="inlineStr">
        <is>
          <t>533333</t>
        </is>
      </c>
    </row>
  </sheetData>
  <autoFilter ref="A1:J3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31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IF(B2=0,"",RANK(B2,$B$2:$B$314,0))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BAJAJCON</t>
        </is>
      </c>
      <c r="D2" s="30" t="inlineStr">
        <is>
          <t>Bajaj Consumer Care Ltd</t>
        </is>
      </c>
      <c r="E2" s="30" t="inlineStr">
        <is>
          <t>fmcg</t>
        </is>
      </c>
      <c r="F2" s="30" t="inlineStr">
        <is>
          <t>personal care - indian</t>
        </is>
      </c>
      <c r="G2" s="30" t="inlineStr">
        <is>
          <t>midcap</t>
        </is>
      </c>
      <c r="H2" s="31" t="n">
        <v>7254.54</v>
      </c>
      <c r="I2" s="31" t="n">
        <v>558.8</v>
      </c>
      <c r="J2" s="31" t="n">
        <v>0.61</v>
      </c>
      <c r="K2" s="31" t="n">
        <v>312589</v>
      </c>
      <c r="L2" s="30" t="n">
        <v>91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74.91</v>
      </c>
      <c r="P2" s="31" t="n">
        <v>51.77</v>
      </c>
      <c r="Q2" s="31" t="n">
        <v>441.56</v>
      </c>
      <c r="R2" s="30" t="inlineStr">
        <is>
          <t>Near 52W High Breakout</t>
        </is>
      </c>
      <c r="S2" s="30" t="inlineStr">
        <is>
          <t>Nifty FMCG</t>
        </is>
      </c>
      <c r="T2" s="31" t="n">
        <v>-13.6</v>
      </c>
      <c r="U2" s="31" t="n">
        <v>221.06</v>
      </c>
      <c r="V2" s="31" t="n">
        <v>271.57</v>
      </c>
      <c r="W2" s="31" t="n">
        <v>37.53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Above 2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IF(B3=0,"",RANK(B3,$B$2:$B$314,0))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OMAXAUTO</t>
        </is>
      </c>
      <c r="D3" s="30" t="inlineStr">
        <is>
          <t>Omax Autos Limited</t>
        </is>
      </c>
      <c r="E3" s="30" t="inlineStr">
        <is>
          <t>auto</t>
        </is>
      </c>
      <c r="F3" s="30" t="inlineStr">
        <is>
          <t>auto ancillaries</t>
        </is>
      </c>
      <c r="G3" s="30" t="inlineStr">
        <is>
          <t>smallcap</t>
        </is>
      </c>
      <c r="H3" s="31" t="n">
        <v>507.54</v>
      </c>
      <c r="I3" s="31" t="n">
        <v>236.98</v>
      </c>
      <c r="J3" s="31" t="n">
        <v>-0.13</v>
      </c>
      <c r="K3" s="31" t="n">
        <v>63118</v>
      </c>
      <c r="L3" s="30" t="n">
        <v>97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74.13</v>
      </c>
      <c r="P3" s="31" t="n">
        <v>35.13</v>
      </c>
      <c r="Q3" s="31" t="n">
        <v>176.72</v>
      </c>
      <c r="R3" s="30" t="inlineStr">
        <is>
          <t>Near 52W High Breakout</t>
        </is>
      </c>
      <c r="S3" s="30" t="inlineStr">
        <is>
          <t>Nifty Auto</t>
        </is>
      </c>
      <c r="T3" s="31" t="n">
        <v>10.49</v>
      </c>
      <c r="U3" s="31" t="n">
        <v>165.63</v>
      </c>
      <c r="V3" s="31" t="n">
        <v>140.4</v>
      </c>
      <c r="W3" s="31" t="n">
        <v>60.16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IF(B4=0,"",RANK(B4,$B$2:$B$314,0))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CONFIPET</t>
        </is>
      </c>
      <c r="D4" s="30" t="inlineStr">
        <is>
          <t>Confidence Petroleum India Ltd</t>
        </is>
      </c>
      <c r="E4" s="30" t="inlineStr">
        <is>
          <t>miscellaneous</t>
        </is>
      </c>
      <c r="F4" s="30" t="inlineStr">
        <is>
          <t>miscellaneous</t>
        </is>
      </c>
      <c r="G4" s="30" t="inlineStr">
        <is>
          <t>smallcap</t>
        </is>
      </c>
      <c r="H4" s="31" t="n">
        <v>2551.28</v>
      </c>
      <c r="I4" s="31" t="n">
        <v>76.89</v>
      </c>
      <c r="J4" s="31" t="n">
        <v>0.13</v>
      </c>
      <c r="K4" s="31" t="n">
        <v>7910840</v>
      </c>
      <c r="L4" s="30" t="n">
        <v>95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78.59999999999999</v>
      </c>
      <c r="P4" s="31" t="n">
        <v>46.05</v>
      </c>
      <c r="Q4" s="31" t="n">
        <v>52.09</v>
      </c>
      <c r="R4" s="30" t="inlineStr">
        <is>
          <t>Near 52W High Breakout</t>
        </is>
      </c>
      <c r="S4" s="30" t="inlineStr">
        <is>
          <t>Nifty 50</t>
        </is>
      </c>
      <c r="T4" s="31" t="n">
        <v>-6.35</v>
      </c>
      <c r="U4" s="31" t="n">
        <v>29.26</v>
      </c>
      <c r="V4" s="31" t="n">
        <v>38.02</v>
      </c>
      <c r="W4" s="31" t="n">
        <v>51.11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Close to 52 week high or retracement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IF(B5=0,"",RANK(B5,$B$2:$B$314,0))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IBULLSLTD</t>
        </is>
      </c>
      <c r="D5" s="30" t="inlineStr">
        <is>
          <t>Indiabulls Limited</t>
        </is>
      </c>
      <c r="E5" s="30" t="inlineStr">
        <is>
          <t>miscellaneous</t>
        </is>
      </c>
      <c r="F5" s="30" t="inlineStr">
        <is>
          <t>diversified - medium / small</t>
        </is>
      </c>
      <c r="G5" s="30" t="inlineStr">
        <is>
          <t>midcap</t>
        </is>
      </c>
      <c r="H5" s="31" t="n">
        <v>5655.22</v>
      </c>
      <c r="I5" s="31" t="n">
        <v>23.58</v>
      </c>
      <c r="J5" s="31" t="n">
        <v>-3.08</v>
      </c>
      <c r="K5" s="31" t="n">
        <v>11394938</v>
      </c>
      <c r="L5" s="30" t="n">
        <v>96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72.16</v>
      </c>
      <c r="P5" s="31" t="n">
        <v>35.91</v>
      </c>
      <c r="Q5" s="31" t="n">
        <v>16.54</v>
      </c>
      <c r="R5" s="30" t="inlineStr">
        <is>
          <t>Near 52W High Breakout</t>
        </is>
      </c>
      <c r="S5" s="30" t="inlineStr">
        <is>
          <t>Nifty 50</t>
        </is>
      </c>
      <c r="T5" s="31" t="n">
        <v>-6.35</v>
      </c>
      <c r="U5" s="31" t="n">
        <v>49.9</v>
      </c>
      <c r="V5" s="31" t="n">
        <v>60.06</v>
      </c>
      <c r="W5" s="31" t="n">
        <v>53.19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20 to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Between 50% to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IF(B6=0,"",RANK(B6,$B$2:$B$314,0))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GAYAPROJ</t>
        </is>
      </c>
      <c r="D6" s="30" t="inlineStr">
        <is>
          <t>Gayatri Projects Limited</t>
        </is>
      </c>
      <c r="E6" s="30" t="inlineStr">
        <is>
          <t>realty</t>
        </is>
      </c>
      <c r="F6" s="30" t="inlineStr">
        <is>
          <t>construction</t>
        </is>
      </c>
      <c r="G6" s="30" t="inlineStr">
        <is>
          <t>smallcap</t>
        </is>
      </c>
      <c r="H6" s="31" t="n">
        <v>595.36</v>
      </c>
      <c r="I6" s="31" t="n">
        <v>20.9</v>
      </c>
      <c r="J6" s="31" t="n">
        <v>3.98</v>
      </c>
      <c r="K6" s="31" t="n">
        <v>779784</v>
      </c>
      <c r="L6" s="30" t="n">
        <v>89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73.63</v>
      </c>
      <c r="P6" s="31" t="n">
        <v>62.92</v>
      </c>
      <c r="Q6" s="31" t="n">
        <v>16.78</v>
      </c>
      <c r="R6" s="30" t="inlineStr">
        <is>
          <t>Volume Spike &amp; Near 52W High Breakout</t>
        </is>
      </c>
      <c r="S6" s="30" t="inlineStr">
        <is>
          <t>Nifty Realty</t>
        </is>
      </c>
      <c r="T6" s="31" t="n">
        <v>-26.45</v>
      </c>
      <c r="U6" s="31" t="n">
        <v>144.73</v>
      </c>
      <c r="V6" s="31" t="n">
        <v>232.75</v>
      </c>
      <c r="W6" s="31" t="n">
        <v>34.94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IF(B7=0,"",RANK(B7,$B$2:$B$314,0))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VENUSREM</t>
        </is>
      </c>
      <c r="D7" s="30" t="inlineStr">
        <is>
          <t>Venus Remedies Limited</t>
        </is>
      </c>
      <c r="E7" s="30" t="inlineStr">
        <is>
          <t>healthcare</t>
        </is>
      </c>
      <c r="F7" s="30" t="inlineStr">
        <is>
          <t>pharmaceuticals - indian - formulations</t>
        </is>
      </c>
      <c r="G7" s="30" t="inlineStr">
        <is>
          <t>smallcap</t>
        </is>
      </c>
      <c r="H7" s="31" t="n">
        <v>1980.72</v>
      </c>
      <c r="I7" s="31" t="n">
        <v>1555.8</v>
      </c>
      <c r="J7" s="31" t="n">
        <v>4.99</v>
      </c>
      <c r="K7" s="31" t="n">
        <v>282923</v>
      </c>
      <c r="L7" s="30" t="n">
        <v>97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79.06</v>
      </c>
      <c r="P7" s="31" t="n">
        <v>45.62</v>
      </c>
      <c r="Q7" s="31" t="n">
        <v>1173.22</v>
      </c>
      <c r="R7" s="30" t="inlineStr">
        <is>
          <t>Volume Spike &amp; Near 52W High Breakout</t>
        </is>
      </c>
      <c r="S7" s="30" t="inlineStr">
        <is>
          <t>Nifty Pharma</t>
        </is>
      </c>
      <c r="T7" s="31" t="n">
        <v>11.5</v>
      </c>
      <c r="U7" s="31" t="n">
        <v>261.81</v>
      </c>
      <c r="V7" s="31" t="n">
        <v>224.5</v>
      </c>
      <c r="W7" s="31" t="n">
        <v>61.02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IF(B8=0,"",RANK(B8,$B$2:$B$314,0))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EMCURE</t>
        </is>
      </c>
      <c r="D8" s="30" t="inlineStr">
        <is>
          <t>Emcure Pharmaceuticals Ltd</t>
        </is>
      </c>
      <c r="E8" s="30" t="inlineStr">
        <is>
          <t>healthcare</t>
        </is>
      </c>
      <c r="F8" s="30" t="inlineStr">
        <is>
          <t>pharmaceuticals - indian - bulk drugs &amp; formln</t>
        </is>
      </c>
      <c r="G8" s="30" t="inlineStr">
        <is>
          <t>largecap</t>
        </is>
      </c>
      <c r="H8" s="31" t="n">
        <v>32243.49</v>
      </c>
      <c r="I8" s="31" t="n">
        <v>1745.2</v>
      </c>
      <c r="J8" s="31" t="n">
        <v>2.62</v>
      </c>
      <c r="K8" s="31" t="n">
        <v>173206</v>
      </c>
      <c r="L8" s="30" t="n">
        <v>39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65.05</v>
      </c>
      <c r="P8" s="31" t="n">
        <v>40.31</v>
      </c>
      <c r="Q8" s="31" t="n">
        <v>1367.39</v>
      </c>
      <c r="R8" s="30" t="inlineStr">
        <is>
          <t>Near 52W High Breakout</t>
        </is>
      </c>
      <c r="S8" s="30" t="inlineStr">
        <is>
          <t>Nifty Pharma</t>
        </is>
      </c>
      <c r="T8" s="31" t="n">
        <v>11.5</v>
      </c>
      <c r="U8" s="31" t="n">
        <v>31.75</v>
      </c>
      <c r="V8" s="31" t="n">
        <v>18.16</v>
      </c>
      <c r="W8" s="31" t="n">
        <v>10.65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Between 50% to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IF(B9=0,"",RANK(B9,$B$2:$B$314,0))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RADICO</t>
        </is>
      </c>
      <c r="D9" s="30" t="inlineStr">
        <is>
          <t>Radico Khaitan Limited</t>
        </is>
      </c>
      <c r="E9" s="30" t="inlineStr">
        <is>
          <t>fmcg</t>
        </is>
      </c>
      <c r="F9" s="30" t="inlineStr">
        <is>
          <t>breweries &amp; distilleries</t>
        </is>
      </c>
      <c r="G9" s="30" t="inlineStr">
        <is>
          <t>largecap</t>
        </is>
      </c>
      <c r="H9" s="31" t="n">
        <v>46383.58</v>
      </c>
      <c r="I9" s="31" t="n">
        <v>3502.4</v>
      </c>
      <c r="J9" s="31" t="n">
        <v>1.11</v>
      </c>
      <c r="K9" s="31" t="n">
        <v>247899</v>
      </c>
      <c r="L9" s="30" t="n">
        <v>45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67.70999999999999</v>
      </c>
      <c r="P9" s="31" t="n">
        <v>30.24</v>
      </c>
      <c r="Q9" s="31" t="n">
        <v>2879.89</v>
      </c>
      <c r="R9" s="30" t="inlineStr">
        <is>
          <t>Near 52W High Breakout</t>
        </is>
      </c>
      <c r="S9" s="30" t="inlineStr">
        <is>
          <t>Nifty FMCG</t>
        </is>
      </c>
      <c r="T9" s="31" t="n">
        <v>-13.6</v>
      </c>
      <c r="U9" s="31" t="n">
        <v>33.34</v>
      </c>
      <c r="V9" s="31" t="n">
        <v>54.33</v>
      </c>
      <c r="W9" s="31" t="n">
        <v>12.11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B2C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20 to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IF(B10=0,"",RANK(B10,$B$2:$B$314,0))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MTARTECH</t>
        </is>
      </c>
      <c r="D10" s="30" t="inlineStr">
        <is>
          <t>MTAR Technologies Ltd</t>
        </is>
      </c>
      <c r="E10" s="30" t="inlineStr">
        <is>
          <t>aerospace &amp; defence</t>
        </is>
      </c>
      <c r="F10" s="30" t="inlineStr">
        <is>
          <t>engineering</t>
        </is>
      </c>
      <c r="G10" s="30" t="inlineStr">
        <is>
          <t>largecap</t>
        </is>
      </c>
      <c r="H10" s="31" t="n">
        <v>22971.26</v>
      </c>
      <c r="I10" s="31" t="n">
        <v>7755.5</v>
      </c>
      <c r="J10" s="31" t="n">
        <v>3.85</v>
      </c>
      <c r="K10" s="31" t="n">
        <v>1275473</v>
      </c>
      <c r="L10" s="30" t="n">
        <v>98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85.84999999999999</v>
      </c>
      <c r="P10" s="31" t="n">
        <v>64.09999999999999</v>
      </c>
      <c r="Q10" s="31" t="n">
        <v>5930.54</v>
      </c>
      <c r="R10" s="30" t="inlineStr">
        <is>
          <t>Near 52W High Breakout</t>
        </is>
      </c>
      <c r="S10" s="30" t="inlineStr">
        <is>
          <t>Nifty 50</t>
        </is>
      </c>
      <c r="T10" s="31" t="n">
        <v>-6.35</v>
      </c>
      <c r="U10" s="31" t="n">
        <v>337.99</v>
      </c>
      <c r="V10" s="31" t="n">
        <v>367.67</v>
      </c>
      <c r="W10" s="31" t="n">
        <v>63.52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Above 2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IF(B11=0,"",RANK(B11,$B$2:$B$314,0))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INDOBORAX</t>
        </is>
      </c>
      <c r="D11" s="30" t="inlineStr">
        <is>
          <t>Indo Borax &amp; Chemicals Ltd</t>
        </is>
      </c>
      <c r="E11" s="30" t="inlineStr">
        <is>
          <t>chemicals</t>
        </is>
      </c>
      <c r="F11" s="30" t="inlineStr">
        <is>
          <t>chemicals</t>
        </is>
      </c>
      <c r="G11" s="30" t="inlineStr">
        <is>
          <t>smallcap</t>
        </is>
      </c>
      <c r="H11" s="31" t="n">
        <v>1110.63</v>
      </c>
      <c r="I11" s="31" t="n">
        <v>358.7</v>
      </c>
      <c r="J11" s="31" t="n">
        <v>3.64</v>
      </c>
      <c r="K11" s="31" t="n">
        <v>193416</v>
      </c>
      <c r="L11" s="30" t="n">
        <v>74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80.7</v>
      </c>
      <c r="P11" s="31" t="n">
        <v>45.78</v>
      </c>
      <c r="Q11" s="31" t="n">
        <v>283.7</v>
      </c>
      <c r="R11" s="30" t="inlineStr">
        <is>
          <t>Near 52W High Breakout</t>
        </is>
      </c>
      <c r="S11" s="30" t="inlineStr">
        <is>
          <t>Nifty 50</t>
        </is>
      </c>
      <c r="T11" s="31" t="n">
        <v>-6.35</v>
      </c>
      <c r="U11" s="31" t="n">
        <v>83.56</v>
      </c>
      <c r="V11" s="31" t="n">
        <v>96</v>
      </c>
      <c r="W11" s="31" t="n">
        <v>23.41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IF(B12=0,"",RANK(B12,$B$2:$B$314,0))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GVT&amp;D</t>
        </is>
      </c>
      <c r="D12" s="30" t="inlineStr">
        <is>
          <t>GE Vernova T&amp;D India Ltd</t>
        </is>
      </c>
      <c r="E12" s="30" t="inlineStr">
        <is>
          <t>industrials</t>
        </is>
      </c>
      <c r="F12" s="30" t="inlineStr">
        <is>
          <t>electric equipment</t>
        </is>
      </c>
      <c r="G12" s="30" t="inlineStr">
        <is>
          <t>largecap</t>
        </is>
      </c>
      <c r="H12" s="31" t="n">
        <v>127114.3</v>
      </c>
      <c r="I12" s="31" t="n">
        <v>5086.5</v>
      </c>
      <c r="J12" s="31" t="n">
        <v>2.46</v>
      </c>
      <c r="K12" s="31" t="n">
        <v>999168</v>
      </c>
      <c r="L12" s="30" t="n">
        <v>77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73.43000000000001</v>
      </c>
      <c r="P12" s="31" t="n">
        <v>49.15</v>
      </c>
      <c r="Q12" s="31" t="n">
        <v>3909.14</v>
      </c>
      <c r="R12" s="30" t="inlineStr">
        <is>
          <t>Near 52W High Breakout</t>
        </is>
      </c>
      <c r="S12" s="30" t="inlineStr">
        <is>
          <t>Nifty 50</t>
        </is>
      </c>
      <c r="T12" s="31" t="n">
        <v>-6.35</v>
      </c>
      <c r="U12" s="31" t="n">
        <v>120.06</v>
      </c>
      <c r="V12" s="31" t="n">
        <v>134.96</v>
      </c>
      <c r="W12" s="31" t="n">
        <v>24.46</v>
      </c>
      <c r="X12" s="30" t="inlineStr">
        <is>
          <t>Cyclical in an Upturn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IF(B13=0,"",RANK(B13,$B$2:$B$314,0))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STYLAMIND</t>
        </is>
      </c>
      <c r="D13" s="30" t="inlineStr">
        <is>
          <t>Stylam Industries Ltd</t>
        </is>
      </c>
      <c r="E13" s="30" t="inlineStr">
        <is>
          <t>building materials</t>
        </is>
      </c>
      <c r="F13" s="30" t="inlineStr">
        <is>
          <t>miscellaneous</t>
        </is>
      </c>
      <c r="G13" s="30" t="inlineStr">
        <is>
          <t>midcap</t>
        </is>
      </c>
      <c r="H13" s="31" t="n">
        <v>5067.13</v>
      </c>
      <c r="I13" s="31" t="n">
        <v>3037</v>
      </c>
      <c r="J13" s="31" t="n">
        <v>1.58</v>
      </c>
      <c r="K13" s="31" t="n">
        <v>49477</v>
      </c>
      <c r="L13" s="30" t="n">
        <v>70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88.73</v>
      </c>
      <c r="P13" s="31" t="n">
        <v>54.35</v>
      </c>
      <c r="Q13" s="31" t="n">
        <v>2582.7</v>
      </c>
      <c r="R13" s="30" t="inlineStr">
        <is>
          <t>Near 52W High Breakout</t>
        </is>
      </c>
      <c r="S13" s="30" t="inlineStr">
        <is>
          <t>Nifty Infra</t>
        </is>
      </c>
      <c r="T13" s="31" t="n">
        <v>1.41</v>
      </c>
      <c r="U13" s="31" t="n">
        <v>79.42</v>
      </c>
      <c r="V13" s="31" t="n">
        <v>76.92</v>
      </c>
      <c r="W13" s="31" t="n">
        <v>20.78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IF(B14=0,"",RANK(B14,$B$2:$B$314,0))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SEAMECLTD</t>
        </is>
      </c>
      <c r="D14" s="30" t="inlineStr">
        <is>
          <t>Seamec Limited</t>
        </is>
      </c>
      <c r="E14" s="30" t="inlineStr">
        <is>
          <t>miscellaneous</t>
        </is>
      </c>
      <c r="F14" s="30" t="inlineStr">
        <is>
          <t>miscellaneous</t>
        </is>
      </c>
      <c r="G14" s="30" t="inlineStr">
        <is>
          <t>smallcap</t>
        </is>
      </c>
      <c r="H14" s="31" t="n">
        <v>4111.99</v>
      </c>
      <c r="I14" s="31" t="n">
        <v>1634.2</v>
      </c>
      <c r="J14" s="31" t="n">
        <v>1.04</v>
      </c>
      <c r="K14" s="31" t="n">
        <v>40195</v>
      </c>
      <c r="L14" s="30" t="n">
        <v>64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74.01000000000001</v>
      </c>
      <c r="P14" s="31" t="n">
        <v>55.66</v>
      </c>
      <c r="Q14" s="31" t="n">
        <v>1267.06</v>
      </c>
      <c r="R14" s="30" t="inlineStr">
        <is>
          <t>Near 52W High Breakout</t>
        </is>
      </c>
      <c r="S14" s="30" t="inlineStr">
        <is>
          <t>Nifty 50</t>
        </is>
      </c>
      <c r="T14" s="31" t="n">
        <v>-6.35</v>
      </c>
      <c r="U14" s="31" t="n">
        <v>86.01000000000001</v>
      </c>
      <c r="V14" s="31" t="n">
        <v>98.61</v>
      </c>
      <c r="W14" s="31" t="n">
        <v>18.11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IF(B15=0,"",RANK(B15,$B$2:$B$314,0))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ATHERENERG</t>
        </is>
      </c>
      <c r="D15" s="30" t="inlineStr">
        <is>
          <t>Ather Energy Ltd</t>
        </is>
      </c>
      <c r="E15" s="30" t="inlineStr">
        <is>
          <t>auto</t>
        </is>
      </c>
      <c r="F15" s="30" t="inlineStr">
        <is>
          <t>automobiles - scooters and 3 - wheelers</t>
        </is>
      </c>
      <c r="G15" s="30" t="inlineStr">
        <is>
          <t>largecap</t>
        </is>
      </c>
      <c r="H15" s="31" t="n">
        <v>39111.11</v>
      </c>
      <c r="I15" s="31" t="n">
        <v>988.15</v>
      </c>
      <c r="J15" s="31" t="n">
        <v>-3.32</v>
      </c>
      <c r="K15" s="31" t="n">
        <v>5992440</v>
      </c>
      <c r="L15" s="30" t="n">
        <v>91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71.37</v>
      </c>
      <c r="P15" s="31" t="n">
        <v>45.08</v>
      </c>
      <c r="Q15" s="31" t="n">
        <v>735.21</v>
      </c>
      <c r="R15" s="30" t="inlineStr">
        <is>
          <t>Near 52W High Breakout</t>
        </is>
      </c>
      <c r="S15" s="30" t="inlineStr">
        <is>
          <t>Nifty Auto</t>
        </is>
      </c>
      <c r="T15" s="31" t="n">
        <v>10.49</v>
      </c>
      <c r="U15" s="31" t="n">
        <v>219.79</v>
      </c>
      <c r="V15" s="31" t="n">
        <v>189.42</v>
      </c>
      <c r="W15" s="31" t="n">
        <v>37.97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Negative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IF(B16=0,"",RANK(B16,$B$2:$B$314,0))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TINNARUBR</t>
        </is>
      </c>
      <c r="D16" s="30" t="inlineStr">
        <is>
          <t>Tinna Rubber &amp; Infrastructure Ltd</t>
        </is>
      </c>
      <c r="E16" s="30" t="inlineStr">
        <is>
          <t>fmcg</t>
        </is>
      </c>
      <c r="F16" s="30" t="inlineStr">
        <is>
          <t>miscellaneous</t>
        </is>
      </c>
      <c r="G16" s="30" t="inlineStr">
        <is>
          <t>smallcap</t>
        </is>
      </c>
      <c r="H16" s="31" t="n">
        <v>1499.9</v>
      </c>
      <c r="I16" s="31" t="n">
        <v>891.25</v>
      </c>
      <c r="J16" s="31" t="n">
        <v>7.05</v>
      </c>
      <c r="K16" s="31" t="n">
        <v>261798</v>
      </c>
      <c r="L16" s="30" t="n">
        <v>32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60.05</v>
      </c>
      <c r="P16" s="31" t="n">
        <v>20.43</v>
      </c>
      <c r="Q16" s="31" t="n">
        <v>628.09</v>
      </c>
      <c r="R16" s="30" t="inlineStr">
        <is>
          <t>Volume Spike / Accumulation</t>
        </is>
      </c>
      <c r="S16" s="30" t="inlineStr">
        <is>
          <t>Nifty FMCG</t>
        </is>
      </c>
      <c r="T16" s="31" t="n">
        <v>-13.6</v>
      </c>
      <c r="U16" s="31" t="n">
        <v>-6.27</v>
      </c>
      <c r="V16" s="31" t="n">
        <v>8.48</v>
      </c>
      <c r="W16" s="31" t="n">
        <v>8.31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B2C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20 to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Between 50% to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IF(B17=0,"",RANK(B17,$B$2:$B$314,0))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TIPSMUSIC</t>
        </is>
      </c>
      <c r="D17" s="30" t="inlineStr">
        <is>
          <t>Tips Music Ltd</t>
        </is>
      </c>
      <c r="E17" s="30" t="inlineStr">
        <is>
          <t>media</t>
        </is>
      </c>
      <c r="F17" s="30" t="inlineStr">
        <is>
          <t>entertainment / electronic media software</t>
        </is>
      </c>
      <c r="G17" s="30" t="inlineStr">
        <is>
          <t>midcap</t>
        </is>
      </c>
      <c r="H17" s="31" t="n">
        <v>8434.969999999999</v>
      </c>
      <c r="I17" s="31" t="n">
        <v>672.1</v>
      </c>
      <c r="J17" s="31" t="n">
        <v>1.86</v>
      </c>
      <c r="K17" s="31" t="n">
        <v>70229</v>
      </c>
      <c r="L17" s="30" t="n">
        <v>29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65.25</v>
      </c>
      <c r="P17" s="31" t="n">
        <v>23.07</v>
      </c>
      <c r="Q17" s="31" t="n">
        <v>532.4299999999999</v>
      </c>
      <c r="R17" s="30" t="inlineStr">
        <is>
          <t>Near 52W High Breakout</t>
        </is>
      </c>
      <c r="S17" s="30" t="inlineStr">
        <is>
          <t>Nifty IT</t>
        </is>
      </c>
      <c r="T17" s="31" t="n">
        <v>-21.44</v>
      </c>
      <c r="U17" s="31" t="n">
        <v>0.5</v>
      </c>
      <c r="V17" s="31" t="n">
        <v>27.92</v>
      </c>
      <c r="W17" s="31" t="n">
        <v>7.6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IF(B18=0,"",RANK(B18,$B$2:$B$314,0))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PGHL</t>
        </is>
      </c>
      <c r="D18" s="30" t="inlineStr">
        <is>
          <t>Procter &amp; Gamble Health Ltd</t>
        </is>
      </c>
      <c r="E18" s="30" t="inlineStr">
        <is>
          <t>healthcare</t>
        </is>
      </c>
      <c r="F18" s="30" t="inlineStr">
        <is>
          <t>pharmaceuticals - multinational</t>
        </is>
      </c>
      <c r="G18" s="30" t="inlineStr">
        <is>
          <t>midcap</t>
        </is>
      </c>
      <c r="H18" s="31" t="n">
        <v>10139.73</v>
      </c>
      <c r="I18" s="31" t="n">
        <v>6201</v>
      </c>
      <c r="J18" s="31" t="n">
        <v>1.51</v>
      </c>
      <c r="K18" s="31" t="n">
        <v>31326</v>
      </c>
      <c r="L18" s="30" t="n">
        <v>35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74.14</v>
      </c>
      <c r="P18" s="31" t="n">
        <v>29.9</v>
      </c>
      <c r="Q18" s="31" t="n">
        <v>5207.14</v>
      </c>
      <c r="R18" s="30" t="inlineStr">
        <is>
          <t>Near 52W High Breakout</t>
        </is>
      </c>
      <c r="S18" s="30" t="inlineStr">
        <is>
          <t>Nifty Pharma</t>
        </is>
      </c>
      <c r="T18" s="31" t="n">
        <v>11.5</v>
      </c>
      <c r="U18" s="31" t="n">
        <v>15.69</v>
      </c>
      <c r="V18" s="31" t="n">
        <v>3.76</v>
      </c>
      <c r="W18" s="31" t="n">
        <v>9.470000000000001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20 to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IF(B19=0,"",RANK(B19,$B$2:$B$314,0))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NETWEB</t>
        </is>
      </c>
      <c r="D19" s="30" t="inlineStr">
        <is>
          <t>Netweb Technologies India Ltd</t>
        </is>
      </c>
      <c r="E19" s="30" t="inlineStr">
        <is>
          <t>i.t</t>
        </is>
      </c>
      <c r="F19" s="30" t="inlineStr">
        <is>
          <t>computers - hardware</t>
        </is>
      </c>
      <c r="G19" s="30" t="inlineStr">
        <is>
          <t>largecap</t>
        </is>
      </c>
      <c r="H19" s="31" t="n">
        <v>26792.3</v>
      </c>
      <c r="I19" s="31" t="n">
        <v>4934.2</v>
      </c>
      <c r="J19" s="31" t="n">
        <v>4.86</v>
      </c>
      <c r="K19" s="31" t="n">
        <v>2758303</v>
      </c>
      <c r="L19" s="30" t="n">
        <v>88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68.63</v>
      </c>
      <c r="P19" s="31" t="n">
        <v>43.6</v>
      </c>
      <c r="Q19" s="31" t="n">
        <v>3523.58</v>
      </c>
      <c r="R19" s="30" t="inlineStr">
        <is>
          <t>Volume Spike &amp; Near 52W High Breakout</t>
        </is>
      </c>
      <c r="S19" s="30" t="inlineStr">
        <is>
          <t>Nifty IT</t>
        </is>
      </c>
      <c r="T19" s="31" t="n">
        <v>-21.44</v>
      </c>
      <c r="U19" s="31" t="n">
        <v>149.93</v>
      </c>
      <c r="V19" s="31" t="n">
        <v>218.12</v>
      </c>
      <c r="W19" s="31" t="n">
        <v>33.37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Between 50% to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IF(B20=0,"",RANK(B20,$B$2:$B$314,0))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PRECOT</t>
        </is>
      </c>
      <c r="D20" s="30" t="inlineStr">
        <is>
          <t>Precot Meridian Limited</t>
        </is>
      </c>
      <c r="E20" s="30" t="inlineStr">
        <is>
          <t>textiles</t>
        </is>
      </c>
      <c r="F20" s="30" t="inlineStr">
        <is>
          <t>textiles - cotton/blended</t>
        </is>
      </c>
      <c r="G20" s="30" t="inlineStr">
        <is>
          <t>smallcap</t>
        </is>
      </c>
      <c r="H20" s="31" t="n">
        <v>880.26</v>
      </c>
      <c r="I20" s="31" t="n">
        <v>765.65</v>
      </c>
      <c r="J20" s="31" t="n">
        <v>4.38</v>
      </c>
      <c r="K20" s="31" t="n">
        <v>4899</v>
      </c>
      <c r="L20" s="30" t="n">
        <v>80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71.88</v>
      </c>
      <c r="P20" s="31" t="n">
        <v>37.46</v>
      </c>
      <c r="Q20" s="31" t="n">
        <v>577.22</v>
      </c>
      <c r="R20" s="30" t="inlineStr">
        <is>
          <t>Near 52W High Breakout</t>
        </is>
      </c>
      <c r="S20" s="30" t="inlineStr">
        <is>
          <t>Nifty 50</t>
        </is>
      </c>
      <c r="T20" s="31" t="n">
        <v>-6.35</v>
      </c>
      <c r="U20" s="31" t="n">
        <v>38.37</v>
      </c>
      <c r="V20" s="31" t="n">
        <v>47.75</v>
      </c>
      <c r="W20" s="31" t="n">
        <v>25.69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20 to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Between 0.7 to 1.2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IF(B21=0,"",RANK(B21,$B$2:$B$314,0))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MAYURUNIQ</t>
        </is>
      </c>
      <c r="D21" s="30" t="inlineStr">
        <is>
          <t>Mayur Uniquoters Ltd</t>
        </is>
      </c>
      <c r="E21" s="30" t="inlineStr">
        <is>
          <t>consumer discretionary</t>
        </is>
      </c>
      <c r="F21" s="30" t="inlineStr">
        <is>
          <t>leather / leather products</t>
        </is>
      </c>
      <c r="G21" s="30" t="inlineStr">
        <is>
          <t>smallcap</t>
        </is>
      </c>
      <c r="H21" s="31" t="n">
        <v>3193.98</v>
      </c>
      <c r="I21" s="31" t="n">
        <v>734.4</v>
      </c>
      <c r="J21" s="31" t="n">
        <v>-0.09</v>
      </c>
      <c r="K21" s="31" t="n">
        <v>105535</v>
      </c>
      <c r="L21" s="30" t="n">
        <v>53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73.63</v>
      </c>
      <c r="P21" s="31" t="n">
        <v>31.28</v>
      </c>
      <c r="Q21" s="31" t="n">
        <v>591.3</v>
      </c>
      <c r="R21" s="30" t="inlineStr">
        <is>
          <t>Near 52W High Breakout</t>
        </is>
      </c>
      <c r="S21" s="30" t="inlineStr">
        <is>
          <t>Nifty 50</t>
        </is>
      </c>
      <c r="T21" s="31" t="n">
        <v>-6.35</v>
      </c>
      <c r="U21" s="31" t="n">
        <v>27.55</v>
      </c>
      <c r="V21" s="31" t="n">
        <v>36.19</v>
      </c>
      <c r="W21" s="31" t="n">
        <v>14.79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Between 50% to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IF(B22=0,"",RANK(B22,$B$2:$B$314,0))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AMBIKCO</t>
        </is>
      </c>
      <c r="D22" s="30" t="inlineStr">
        <is>
          <t>Ambika Cotton Mills Limited</t>
        </is>
      </c>
      <c r="E22" s="30" t="inlineStr">
        <is>
          <t>textiles</t>
        </is>
      </c>
      <c r="F22" s="30" t="inlineStr">
        <is>
          <t>textiles - cotton/blended</t>
        </is>
      </c>
      <c r="G22" s="30" t="inlineStr">
        <is>
          <t>smallcap</t>
        </is>
      </c>
      <c r="H22" s="31" t="n">
        <v>979.55</v>
      </c>
      <c r="I22" s="31" t="n">
        <v>1671.1</v>
      </c>
      <c r="J22" s="31" t="n">
        <v>-2.33</v>
      </c>
      <c r="K22" s="31" t="n">
        <v>8511</v>
      </c>
      <c r="L22" s="30" t="n">
        <v>18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68.65000000000001</v>
      </c>
      <c r="P22" s="31" t="n">
        <v>21.51</v>
      </c>
      <c r="Q22" s="31" t="n">
        <v>1326.01</v>
      </c>
      <c r="R22" s="30" t="inlineStr">
        <is>
          <t>Near 52W High Breakout</t>
        </is>
      </c>
      <c r="S22" s="30" t="inlineStr">
        <is>
          <t>Nifty 50</t>
        </is>
      </c>
      <c r="T22" s="31" t="n">
        <v>-6.35</v>
      </c>
      <c r="U22" s="31" t="n">
        <v>1.48</v>
      </c>
      <c r="V22" s="31" t="n">
        <v>8.359999999999999</v>
      </c>
      <c r="W22" s="31" t="n">
        <v>5.53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20 to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IF(B23=0,"",RANK(B23,$B$2:$B$314,0))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E2E</t>
        </is>
      </c>
      <c r="D23" s="30" t="inlineStr">
        <is>
          <t>E2E Networks Ltd</t>
        </is>
      </c>
      <c r="E23" s="30" t="inlineStr">
        <is>
          <t>i.t</t>
        </is>
      </c>
      <c r="F23" s="30" t="inlineStr">
        <is>
          <t>computers - software - medium / small</t>
        </is>
      </c>
      <c r="G23" s="30" t="inlineStr">
        <is>
          <t>midcap</t>
        </is>
      </c>
      <c r="H23" s="31" t="n">
        <v>8445.02</v>
      </c>
      <c r="I23" s="31" t="n">
        <v>4313.6</v>
      </c>
      <c r="J23" s="31" t="n">
        <v>5</v>
      </c>
      <c r="K23" s="31" t="n">
        <v>215019</v>
      </c>
      <c r="L23" s="30" t="n">
        <v>86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73.81</v>
      </c>
      <c r="P23" s="31" t="n">
        <v>30.26</v>
      </c>
      <c r="Q23" s="31" t="n">
        <v>3127.86</v>
      </c>
      <c r="R23" s="30" t="inlineStr">
        <is>
          <t>Volume Spike &amp; Near 52W High Breakout</t>
        </is>
      </c>
      <c r="S23" s="30" t="inlineStr">
        <is>
          <t>Nifty IT</t>
        </is>
      </c>
      <c r="T23" s="31" t="n">
        <v>-21.44</v>
      </c>
      <c r="U23" s="31" t="n">
        <v>57.95</v>
      </c>
      <c r="V23" s="31" t="n">
        <v>101.04</v>
      </c>
      <c r="W23" s="31" t="n">
        <v>32.33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Less than 12%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IF(B24=0,"",RANK(B24,$B$2:$B$314,0))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GVPIL</t>
        </is>
      </c>
      <c r="D24" s="30" t="inlineStr">
        <is>
          <t>GE Power India Ltd</t>
        </is>
      </c>
      <c r="E24" s="30" t="inlineStr">
        <is>
          <t>realty</t>
        </is>
      </c>
      <c r="F24" s="30" t="inlineStr">
        <is>
          <t>engineering - turnkey services</t>
        </is>
      </c>
      <c r="G24" s="30" t="inlineStr">
        <is>
          <t>midcap</t>
        </is>
      </c>
      <c r="H24" s="31" t="n">
        <v>5838.37</v>
      </c>
      <c r="I24" s="31" t="n">
        <v>907.55</v>
      </c>
      <c r="J24" s="31" t="n">
        <v>4.5</v>
      </c>
      <c r="K24" s="31" t="n">
        <v>687596</v>
      </c>
      <c r="L24" s="30" t="n">
        <v>95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87.66</v>
      </c>
      <c r="P24" s="31" t="n">
        <v>53.88</v>
      </c>
      <c r="Q24" s="31" t="n">
        <v>695.02</v>
      </c>
      <c r="R24" s="30" t="inlineStr">
        <is>
          <t>Volume Spike &amp; Near 52W High Breakout</t>
        </is>
      </c>
      <c r="S24" s="30" t="inlineStr">
        <is>
          <t>Nifty Realty</t>
        </is>
      </c>
      <c r="T24" s="31" t="n">
        <v>-26.45</v>
      </c>
      <c r="U24" s="31" t="n">
        <v>232.86</v>
      </c>
      <c r="V24" s="31" t="n">
        <v>352.58</v>
      </c>
      <c r="W24" s="31" t="n">
        <v>52.68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Duopoly That Cooperate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Shallow Cyclical (2 to 3 Years Growth)</t>
        </is>
      </c>
      <c r="AG24" s="30">
        <f>IF(AF24="Structural (10 Years Consistency)",10,IF(AF24="Shallow Cyclical (2 to 3 years growth)",5,0))</f>
        <v/>
      </c>
      <c r="AH24" s="30" t="inlineStr">
        <is>
          <t>Yes due to Product Mix change or Operating Leverage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Fully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only for next 1 to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Between 0.7 to 1.2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IF(B25=0,"",RANK(B25,$B$2:$B$314,0))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IOLCP</t>
        </is>
      </c>
      <c r="D25" s="30" t="inlineStr">
        <is>
          <t>Iol Chemicals And Pharmaceuticals Limited</t>
        </is>
      </c>
      <c r="E25" s="30" t="inlineStr">
        <is>
          <t>healthcare</t>
        </is>
      </c>
      <c r="F25" s="30" t="inlineStr">
        <is>
          <t>pharmaceuticals - indian - bulk drugs &amp; formln</t>
        </is>
      </c>
      <c r="G25" s="30" t="inlineStr">
        <is>
          <t>smallcap</t>
        </is>
      </c>
      <c r="H25" s="31" t="n">
        <v>3844.33</v>
      </c>
      <c r="I25" s="31" t="n">
        <v>136.16</v>
      </c>
      <c r="J25" s="31" t="n">
        <v>3.96</v>
      </c>
      <c r="K25" s="31" t="n">
        <v>5107418</v>
      </c>
      <c r="L25" s="30" t="n">
        <v>84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81.45</v>
      </c>
      <c r="P25" s="31" t="n">
        <v>35.4</v>
      </c>
      <c r="Q25" s="31" t="n">
        <v>103.32</v>
      </c>
      <c r="R25" s="30" t="inlineStr">
        <is>
          <t>Near 52W High Breakout</t>
        </is>
      </c>
      <c r="S25" s="30" t="inlineStr">
        <is>
          <t>Nifty Pharma</t>
        </is>
      </c>
      <c r="T25" s="31" t="n">
        <v>11.5</v>
      </c>
      <c r="U25" s="31" t="n">
        <v>55.52</v>
      </c>
      <c r="V25" s="31" t="n">
        <v>39.48</v>
      </c>
      <c r="W25" s="31" t="n">
        <v>30.65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IF(B26=0,"",RANK(B26,$B$2:$B$314,0))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BLISSGVS</t>
        </is>
      </c>
      <c r="D26" s="30" t="inlineStr">
        <is>
          <t>Bliss Gvs Pharma Limited</t>
        </is>
      </c>
      <c r="E26" s="30" t="inlineStr">
        <is>
          <t>healthcare</t>
        </is>
      </c>
      <c r="F26" s="30" t="inlineStr">
        <is>
          <t>pharmaceuticals - indian - formulations</t>
        </is>
      </c>
      <c r="G26" s="30" t="inlineStr">
        <is>
          <t>smallcap</t>
        </is>
      </c>
      <c r="H26" s="31" t="n">
        <v>4651.01</v>
      </c>
      <c r="I26" s="31" t="n">
        <v>456.2</v>
      </c>
      <c r="J26" s="31" t="n">
        <v>3.76</v>
      </c>
      <c r="K26" s="31" t="n">
        <v>1669756</v>
      </c>
      <c r="L26" s="30" t="n">
        <v>96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89.18000000000001</v>
      </c>
      <c r="P26" s="31" t="n">
        <v>57.32</v>
      </c>
      <c r="Q26" s="31" t="n">
        <v>352.07</v>
      </c>
      <c r="R26" s="30" t="inlineStr">
        <is>
          <t>Near 52W High Breakout</t>
        </is>
      </c>
      <c r="S26" s="30" t="inlineStr">
        <is>
          <t>Nifty Pharma</t>
        </is>
      </c>
      <c r="T26" s="31" t="n">
        <v>11.5</v>
      </c>
      <c r="U26" s="31" t="n">
        <v>236.06</v>
      </c>
      <c r="V26" s="31" t="n">
        <v>201.4</v>
      </c>
      <c r="W26" s="31" t="n">
        <v>55.24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Less than 12%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IF(B27=0,"",RANK(B27,$B$2:$B$314,0))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SAKAR</t>
        </is>
      </c>
      <c r="D27" s="30" t="inlineStr">
        <is>
          <t>Sakar Healthcare Ltd</t>
        </is>
      </c>
      <c r="E27" s="30" t="inlineStr">
        <is>
          <t>healthcare</t>
        </is>
      </c>
      <c r="F27" s="30" t="inlineStr">
        <is>
          <t>pharmaceuticals - indian - bulk drugs &amp; formln</t>
        </is>
      </c>
      <c r="G27" s="30" t="inlineStr">
        <is>
          <t>smallcap</t>
        </is>
      </c>
      <c r="H27" s="31" t="n">
        <v>1808.58</v>
      </c>
      <c r="I27" s="31" t="n">
        <v>814.85</v>
      </c>
      <c r="J27" s="31" t="n">
        <v>0.25</v>
      </c>
      <c r="K27" s="31" t="n">
        <v>45791</v>
      </c>
      <c r="L27" s="30" t="n">
        <v>87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78.45999999999999</v>
      </c>
      <c r="P27" s="31" t="n">
        <v>52.59</v>
      </c>
      <c r="Q27" s="31" t="n">
        <v>583.5</v>
      </c>
      <c r="R27" s="30" t="inlineStr">
        <is>
          <t>Near 52W High Breakout</t>
        </is>
      </c>
      <c r="S27" s="30" t="inlineStr">
        <is>
          <t>Nifty Pharma</t>
        </is>
      </c>
      <c r="T27" s="31" t="n">
        <v>11.5</v>
      </c>
      <c r="U27" s="31" t="n">
        <v>156</v>
      </c>
      <c r="V27" s="31" t="n">
        <v>129.6</v>
      </c>
      <c r="W27" s="31" t="n">
        <v>33.33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IF(B28=0,"",RANK(B28,$B$2:$B$314,0))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ADFFOODS</t>
        </is>
      </c>
      <c r="D28" s="30" t="inlineStr">
        <is>
          <t>Adf Foods Limited</t>
        </is>
      </c>
      <c r="E28" s="30" t="inlineStr">
        <is>
          <t>fmcg</t>
        </is>
      </c>
      <c r="F28" s="30" t="inlineStr">
        <is>
          <t>food - processing - indian</t>
        </is>
      </c>
      <c r="G28" s="30" t="inlineStr">
        <is>
          <t>smallcap</t>
        </is>
      </c>
      <c r="H28" s="31" t="n">
        <v>3189.34</v>
      </c>
      <c r="I28" s="31" t="n">
        <v>288.8</v>
      </c>
      <c r="J28" s="31" t="n">
        <v>-0.52</v>
      </c>
      <c r="K28" s="31" t="n">
        <v>298991</v>
      </c>
      <c r="L28" s="30" t="n">
        <v>56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65.18000000000001</v>
      </c>
      <c r="P28" s="31" t="n">
        <v>26.78</v>
      </c>
      <c r="Q28" s="31" t="n">
        <v>206.42</v>
      </c>
      <c r="R28" s="30" t="inlineStr">
        <is>
          <t>Near 52W High Breakout</t>
        </is>
      </c>
      <c r="S28" s="30" t="inlineStr">
        <is>
          <t>Nifty FMCG</t>
        </is>
      </c>
      <c r="T28" s="31" t="n">
        <v>-13.6</v>
      </c>
      <c r="U28" s="31" t="n">
        <v>12.76</v>
      </c>
      <c r="V28" s="31" t="n">
        <v>30.5</v>
      </c>
      <c r="W28" s="31" t="n">
        <v>15.34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B2C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Less than 50%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IF(B29=0,"",RANK(B29,$B$2:$B$314,0))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GLAND</t>
        </is>
      </c>
      <c r="D29" s="30" t="inlineStr">
        <is>
          <t>Gland Pharma Ltd</t>
        </is>
      </c>
      <c r="E29" s="30" t="inlineStr">
        <is>
          <t>healthcare</t>
        </is>
      </c>
      <c r="F29" s="30" t="inlineStr">
        <is>
          <t>pharmaceuticals - indian - formulations</t>
        </is>
      </c>
      <c r="G29" s="30" t="inlineStr">
        <is>
          <t>largecap</t>
        </is>
      </c>
      <c r="H29" s="31" t="n">
        <v>36778.58</v>
      </c>
      <c r="I29" s="31" t="n">
        <v>2219.5</v>
      </c>
      <c r="J29" s="31" t="n">
        <v>-0.57</v>
      </c>
      <c r="K29" s="31" t="n">
        <v>204659</v>
      </c>
      <c r="L29" s="30" t="n">
        <v>51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66.59</v>
      </c>
      <c r="P29" s="31" t="n">
        <v>25.97</v>
      </c>
      <c r="Q29" s="31" t="n">
        <v>1882.98</v>
      </c>
      <c r="R29" s="30" t="inlineStr">
        <is>
          <t>Near 52W High Breakout</t>
        </is>
      </c>
      <c r="S29" s="30" t="inlineStr">
        <is>
          <t>Nifty Pharma</t>
        </is>
      </c>
      <c r="T29" s="31" t="n">
        <v>11.5</v>
      </c>
      <c r="U29" s="31" t="n">
        <v>36.43</v>
      </c>
      <c r="V29" s="31" t="n">
        <v>22.36</v>
      </c>
      <c r="W29" s="31" t="n">
        <v>14.03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Between 50% to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IF(B30=0,"",RANK(B30,$B$2:$B$314,0))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NITINSPIN</t>
        </is>
      </c>
      <c r="D30" s="30" t="inlineStr">
        <is>
          <t>Nitin Spinners Limited</t>
        </is>
      </c>
      <c r="E30" s="30" t="inlineStr">
        <is>
          <t>textiles</t>
        </is>
      </c>
      <c r="F30" s="30" t="inlineStr">
        <is>
          <t>textiles - cotton/blended</t>
        </is>
      </c>
      <c r="G30" s="30" t="inlineStr">
        <is>
          <t>smallcap</t>
        </is>
      </c>
      <c r="H30" s="31" t="n">
        <v>2854.85</v>
      </c>
      <c r="I30" s="31" t="n">
        <v>541.55</v>
      </c>
      <c r="J30" s="31" t="n">
        <v>6.65</v>
      </c>
      <c r="K30" s="31" t="n">
        <v>485090</v>
      </c>
      <c r="L30" s="30" t="n">
        <v>62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79.56</v>
      </c>
      <c r="P30" s="31" t="n">
        <v>51.26</v>
      </c>
      <c r="Q30" s="31" t="n">
        <v>421.48</v>
      </c>
      <c r="R30" s="30" t="inlineStr">
        <is>
          <t>Near 52W High Breakout</t>
        </is>
      </c>
      <c r="S30" s="30" t="inlineStr">
        <is>
          <t>Nifty 50</t>
        </is>
      </c>
      <c r="T30" s="31" t="n">
        <v>-6.35</v>
      </c>
      <c r="U30" s="31" t="n">
        <v>37.4</v>
      </c>
      <c r="V30" s="31" t="n">
        <v>46.71</v>
      </c>
      <c r="W30" s="31" t="n">
        <v>17.51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Between 0.7 to 1.2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IF(B31=0,"",RANK(B31,$B$2:$B$314,0))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MODISONLTD</t>
        </is>
      </c>
      <c r="D31" s="30" t="inlineStr">
        <is>
          <t>Modison Ltd</t>
        </is>
      </c>
      <c r="E31" s="30" t="inlineStr">
        <is>
          <t>industrials</t>
        </is>
      </c>
      <c r="F31" s="30" t="inlineStr">
        <is>
          <t>electric equipment</t>
        </is>
      </c>
      <c r="G31" s="30" t="inlineStr">
        <is>
          <t>smallcap</t>
        </is>
      </c>
      <c r="H31" s="31" t="n">
        <v>1067.61</v>
      </c>
      <c r="I31" s="31" t="n">
        <v>345.45</v>
      </c>
      <c r="J31" s="31" t="n">
        <v>5</v>
      </c>
      <c r="K31" s="31" t="n">
        <v>247079</v>
      </c>
      <c r="L31" s="30" t="n">
        <v>98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86.51000000000001</v>
      </c>
      <c r="P31" s="31" t="n">
        <v>28.93</v>
      </c>
      <c r="Q31" s="31" t="n">
        <v>265.88</v>
      </c>
      <c r="R31" s="30" t="inlineStr">
        <is>
          <t>Near 52W High Breakout</t>
        </is>
      </c>
      <c r="S31" s="30" t="inlineStr">
        <is>
          <t>Nifty 50</t>
        </is>
      </c>
      <c r="T31" s="31" t="n">
        <v>-6.35</v>
      </c>
      <c r="U31" s="31" t="n">
        <v>118.85</v>
      </c>
      <c r="V31" s="31" t="n">
        <v>133.68</v>
      </c>
      <c r="W31" s="31" t="n">
        <v>62.19</v>
      </c>
      <c r="X31" s="30" t="inlineStr">
        <is>
          <t>Cyclical in an Upturn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IF(B32=0,"",RANK(B32,$B$2:$B$314,0))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NRBBEARING</t>
        </is>
      </c>
      <c r="D32" s="30" t="inlineStr">
        <is>
          <t>Nrb Bearing Limited</t>
        </is>
      </c>
      <c r="E32" s="30" t="inlineStr">
        <is>
          <t>industrials</t>
        </is>
      </c>
      <c r="F32" s="30" t="inlineStr">
        <is>
          <t>bearings</t>
        </is>
      </c>
      <c r="G32" s="30" t="inlineStr">
        <is>
          <t>smallcap</t>
        </is>
      </c>
      <c r="H32" s="31" t="n">
        <v>3463.53</v>
      </c>
      <c r="I32" s="31" t="n">
        <v>371.6</v>
      </c>
      <c r="J32" s="31" t="n">
        <v>3.99</v>
      </c>
      <c r="K32" s="31" t="n">
        <v>614883</v>
      </c>
      <c r="L32" s="30" t="n">
        <v>63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72.59999999999999</v>
      </c>
      <c r="P32" s="31" t="n">
        <v>25.61</v>
      </c>
      <c r="Q32" s="31" t="n">
        <v>290.31</v>
      </c>
      <c r="R32" s="30" t="inlineStr">
        <is>
          <t>Near 52W High Breakout</t>
        </is>
      </c>
      <c r="S32" s="30" t="inlineStr">
        <is>
          <t>Nifty 50</t>
        </is>
      </c>
      <c r="T32" s="31" t="n">
        <v>-6.35</v>
      </c>
      <c r="U32" s="31" t="n">
        <v>44.57</v>
      </c>
      <c r="V32" s="31" t="n">
        <v>54.36</v>
      </c>
      <c r="W32" s="31" t="n">
        <v>17.57</v>
      </c>
      <c r="X32" s="30" t="inlineStr">
        <is>
          <t>Cyclical in an Upturn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Between 1.5 to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IF(B33=0,"",RANK(B33,$B$2:$B$314,0))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POWERINDIA</t>
        </is>
      </c>
      <c r="D33" s="30" t="inlineStr">
        <is>
          <t>Hitachi Energy India Ltd</t>
        </is>
      </c>
      <c r="E33" s="30" t="inlineStr">
        <is>
          <t>industrials</t>
        </is>
      </c>
      <c r="F33" s="30" t="inlineStr">
        <is>
          <t>electric equipment</t>
        </is>
      </c>
      <c r="G33" s="30" t="inlineStr">
        <is>
          <t>largecap</t>
        </is>
      </c>
      <c r="H33" s="31" t="n">
        <v>156850.15</v>
      </c>
      <c r="I33" s="31" t="n">
        <v>36525</v>
      </c>
      <c r="J33" s="31" t="n">
        <v>3.79</v>
      </c>
      <c r="K33" s="31" t="n">
        <v>254549</v>
      </c>
      <c r="L33" s="30" t="n">
        <v>77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73.3</v>
      </c>
      <c r="P33" s="31" t="n">
        <v>59.34</v>
      </c>
      <c r="Q33" s="31" t="n">
        <v>30707.38</v>
      </c>
      <c r="R33" s="30" t="inlineStr">
        <is>
          <t>Near 52W High Breakout</t>
        </is>
      </c>
      <c r="S33" s="30" t="inlineStr">
        <is>
          <t>Nifty 50</t>
        </is>
      </c>
      <c r="T33" s="31" t="n">
        <v>-6.35</v>
      </c>
      <c r="U33" s="31" t="n">
        <v>100.71</v>
      </c>
      <c r="V33" s="31" t="n">
        <v>114.31</v>
      </c>
      <c r="W33" s="31" t="n">
        <v>24.49</v>
      </c>
      <c r="X33" s="30" t="inlineStr">
        <is>
          <t>Cyclical in an Upturn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IF(B34=0,"",RANK(B34,$B$2:$B$314,0))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SYRMA</t>
        </is>
      </c>
      <c r="D34" s="30" t="inlineStr">
        <is>
          <t>Syrma SGS Technology Ltd</t>
        </is>
      </c>
      <c r="E34" s="30" t="inlineStr">
        <is>
          <t>consumer discretionary</t>
        </is>
      </c>
      <c r="F34" s="30" t="inlineStr">
        <is>
          <t>electronics - components</t>
        </is>
      </c>
      <c r="G34" s="30" t="inlineStr">
        <is>
          <t>largecap</t>
        </is>
      </c>
      <c r="H34" s="31" t="n">
        <v>23049.03</v>
      </c>
      <c r="I34" s="31" t="n">
        <v>1221.6</v>
      </c>
      <c r="J34" s="31" t="n">
        <v>2.2</v>
      </c>
      <c r="K34" s="31" t="n">
        <v>1378327</v>
      </c>
      <c r="L34" s="30" t="n">
        <v>88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72.83</v>
      </c>
      <c r="P34" s="31" t="n">
        <v>29.35</v>
      </c>
      <c r="Q34" s="31" t="n">
        <v>937.22</v>
      </c>
      <c r="R34" s="30" t="inlineStr">
        <is>
          <t>Near 52W High Breakout</t>
        </is>
      </c>
      <c r="S34" s="30" t="inlineStr">
        <is>
          <t>Nifty 50</t>
        </is>
      </c>
      <c r="T34" s="31" t="n">
        <v>-6.35</v>
      </c>
      <c r="U34" s="31" t="n">
        <v>128.8</v>
      </c>
      <c r="V34" s="31" t="n">
        <v>144.3</v>
      </c>
      <c r="W34" s="31" t="n">
        <v>33.65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Between 1.5 to 2</t>
        </is>
      </c>
      <c r="BU34" s="30">
        <f>IF(BT34="Above 2",0,IF(BT34="Between 1.5 to 2",5,IF(BT34="Less than 1.5",10,0)))</f>
        <v/>
      </c>
      <c r="BV34" s="30" t="inlineStr">
        <is>
          <t>Between 50% to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IF(B35=0,"",RANK(B35,$B$2:$B$314,0))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VTL</t>
        </is>
      </c>
      <c r="D35" s="30" t="inlineStr">
        <is>
          <t>Vardhman Textiles Limited</t>
        </is>
      </c>
      <c r="E35" s="30" t="inlineStr">
        <is>
          <t>textiles</t>
        </is>
      </c>
      <c r="F35" s="30" t="inlineStr">
        <is>
          <t>textiles - cotton/blended</t>
        </is>
      </c>
      <c r="G35" s="30" t="inlineStr">
        <is>
          <t>midcap</t>
        </is>
      </c>
      <c r="H35" s="31" t="n">
        <v>17939.81</v>
      </c>
      <c r="I35" s="31" t="n">
        <v>631.6</v>
      </c>
      <c r="J35" s="31" t="n">
        <v>1.85</v>
      </c>
      <c r="K35" s="31" t="n">
        <v>460424</v>
      </c>
      <c r="L35" s="30" t="n">
        <v>36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68.34</v>
      </c>
      <c r="P35" s="31" t="n">
        <v>50.86</v>
      </c>
      <c r="Q35" s="31" t="n">
        <v>494.65</v>
      </c>
      <c r="R35" s="30" t="inlineStr">
        <is>
          <t>Near 52W High Breakout</t>
        </is>
      </c>
      <c r="S35" s="30" t="inlineStr">
        <is>
          <t>Nifty 50</t>
        </is>
      </c>
      <c r="T35" s="31" t="n">
        <v>-6.35</v>
      </c>
      <c r="U35" s="31" t="n">
        <v>31.63</v>
      </c>
      <c r="V35" s="31" t="n">
        <v>40.55</v>
      </c>
      <c r="W35" s="31" t="n">
        <v>10.07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Less than 12%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IF(B36=0,"",RANK(B36,$B$2:$B$314,0))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TALBROAUTO</t>
        </is>
      </c>
      <c r="D36" s="30" t="inlineStr">
        <is>
          <t>Talbros Automotive Components Limited</t>
        </is>
      </c>
      <c r="E36" s="30" t="inlineStr">
        <is>
          <t>auto</t>
        </is>
      </c>
      <c r="F36" s="30" t="inlineStr">
        <is>
          <t>auto ancillaries</t>
        </is>
      </c>
      <c r="G36" s="30" t="inlineStr">
        <is>
          <t>smallcap</t>
        </is>
      </c>
      <c r="H36" s="31" t="n">
        <v>2178.7</v>
      </c>
      <c r="I36" s="31" t="n">
        <v>354.3</v>
      </c>
      <c r="J36" s="31" t="n">
        <v>0.38</v>
      </c>
      <c r="K36" s="31" t="n">
        <v>156435</v>
      </c>
      <c r="L36" s="30" t="n">
        <v>57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67.70999999999999</v>
      </c>
      <c r="P36" s="31" t="n">
        <v>26.52</v>
      </c>
      <c r="Q36" s="31" t="n">
        <v>269.56</v>
      </c>
      <c r="R36" s="30" t="inlineStr">
        <is>
          <t>Near 52W High Breakout</t>
        </is>
      </c>
      <c r="S36" s="30" t="inlineStr">
        <is>
          <t>Nifty Auto</t>
        </is>
      </c>
      <c r="T36" s="31" t="n">
        <v>10.49</v>
      </c>
      <c r="U36" s="31" t="n">
        <v>24.42</v>
      </c>
      <c r="V36" s="31" t="n">
        <v>12.6</v>
      </c>
      <c r="W36" s="31" t="n">
        <v>15.76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Between 12 to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IF(B37=0,"",RANK(B37,$B$2:$B$314,0))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SHAILY</t>
        </is>
      </c>
      <c r="D37" s="30" t="inlineStr">
        <is>
          <t>Shaily Engineering Plastics Ltd</t>
        </is>
      </c>
      <c r="E37" s="30" t="inlineStr">
        <is>
          <t>plastic products</t>
        </is>
      </c>
      <c r="F37" s="30" t="inlineStr">
        <is>
          <t>plastics products</t>
        </is>
      </c>
      <c r="G37" s="30" t="inlineStr">
        <is>
          <t>midcap</t>
        </is>
      </c>
      <c r="H37" s="31" t="n">
        <v>14111.43</v>
      </c>
      <c r="I37" s="31" t="n">
        <v>3067.4</v>
      </c>
      <c r="J37" s="31" t="n">
        <v>-0.11</v>
      </c>
      <c r="K37" s="31" t="n">
        <v>262426</v>
      </c>
      <c r="L37" s="30" t="n">
        <v>82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69.47</v>
      </c>
      <c r="P37" s="31" t="n">
        <v>23.08</v>
      </c>
      <c r="Q37" s="31" t="n">
        <v>2181.53</v>
      </c>
      <c r="R37" s="30" t="inlineStr">
        <is>
          <t>Near 52W High Breakout</t>
        </is>
      </c>
      <c r="S37" s="30" t="inlineStr">
        <is>
          <t>Nifty 50</t>
        </is>
      </c>
      <c r="T37" s="31" t="n">
        <v>-6.35</v>
      </c>
      <c r="U37" s="31" t="n">
        <v>75.03</v>
      </c>
      <c r="V37" s="31" t="n">
        <v>86.89</v>
      </c>
      <c r="W37" s="31" t="n">
        <v>27.24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IF(B38=0,"",RANK(B38,$B$2:$B$314,0))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RPTECH</t>
        </is>
      </c>
      <c r="D38" s="30" t="inlineStr">
        <is>
          <t>Rashi Peripherals Ltd</t>
        </is>
      </c>
      <c r="E38" s="30" t="inlineStr">
        <is>
          <t>services</t>
        </is>
      </c>
      <c r="F38" s="30" t="inlineStr">
        <is>
          <t>trading</t>
        </is>
      </c>
      <c r="G38" s="30" t="inlineStr">
        <is>
          <t>smallcap</t>
        </is>
      </c>
      <c r="H38" s="31" t="n">
        <v>3573.41</v>
      </c>
      <c r="I38" s="31" t="n">
        <v>539.25</v>
      </c>
      <c r="J38" s="31" t="n">
        <v>-0.55</v>
      </c>
      <c r="K38" s="31" t="n">
        <v>159059</v>
      </c>
      <c r="L38" s="30" t="n">
        <v>75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75.78</v>
      </c>
      <c r="P38" s="31" t="n">
        <v>45.85</v>
      </c>
      <c r="Q38" s="31" t="n">
        <v>419.44</v>
      </c>
      <c r="R38" s="30" t="inlineStr">
        <is>
          <t>Near 52W High Breakout</t>
        </is>
      </c>
      <c r="S38" s="30" t="inlineStr">
        <is>
          <t>Nifty 50</t>
        </is>
      </c>
      <c r="T38" s="31" t="n">
        <v>-6.35</v>
      </c>
      <c r="U38" s="31" t="n">
        <v>71.79000000000001</v>
      </c>
      <c r="V38" s="31" t="n">
        <v>83.43000000000001</v>
      </c>
      <c r="W38" s="31" t="n">
        <v>23.81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Less than 50%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IF(B39=0,"",RANK(B39,$B$2:$B$314,0))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UNIDT</t>
        </is>
      </c>
      <c r="D39" s="30" t="inlineStr">
        <is>
          <t>United Drilling Tools Ltd</t>
        </is>
      </c>
      <c r="E39" s="30" t="inlineStr">
        <is>
          <t>industrials</t>
        </is>
      </c>
      <c r="F39" s="30" t="inlineStr">
        <is>
          <t>engineering</t>
        </is>
      </c>
      <c r="G39" s="30" t="inlineStr">
        <is>
          <t>smallcap</t>
        </is>
      </c>
      <c r="H39" s="31" t="n">
        <v>508.02</v>
      </c>
      <c r="I39" s="31" t="n">
        <v>248.2</v>
      </c>
      <c r="J39" s="31" t="n">
        <v>-0.8100000000000001</v>
      </c>
      <c r="K39" s="31" t="n">
        <v>18579</v>
      </c>
      <c r="L39" s="30" t="n">
        <v>52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70.83</v>
      </c>
      <c r="P39" s="31" t="n">
        <v>36.14</v>
      </c>
      <c r="Q39" s="31" t="n">
        <v>187.12</v>
      </c>
      <c r="R39" s="30" t="inlineStr">
        <is>
          <t>Near 52W High Breakout</t>
        </is>
      </c>
      <c r="S39" s="30" t="inlineStr">
        <is>
          <t>Nifty 50</t>
        </is>
      </c>
      <c r="T39" s="31" t="n">
        <v>-6.35</v>
      </c>
      <c r="U39" s="31" t="n">
        <v>32.64</v>
      </c>
      <c r="V39" s="31" t="n">
        <v>41.63</v>
      </c>
      <c r="W39" s="31" t="n">
        <v>14.54</v>
      </c>
      <c r="X39" s="30" t="inlineStr">
        <is>
          <t>Cyclical in an Upturn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IF(B40=0,"",RANK(B40,$B$2:$B$314,0))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ADANIPOWER</t>
        </is>
      </c>
      <c r="D40" s="30" t="inlineStr">
        <is>
          <t>Adani Power Limited</t>
        </is>
      </c>
      <c r="E40" s="30" t="inlineStr">
        <is>
          <t>power &amp; utilities</t>
        </is>
      </c>
      <c r="F40" s="30" t="inlineStr">
        <is>
          <t>power generation and supply</t>
        </is>
      </c>
      <c r="G40" s="30" t="inlineStr">
        <is>
          <t>largecap</t>
        </is>
      </c>
      <c r="H40" s="31" t="n">
        <v>448407.72</v>
      </c>
      <c r="I40" s="31" t="n">
        <v>230.03</v>
      </c>
      <c r="J40" s="31" t="n">
        <v>-1.07</v>
      </c>
      <c r="K40" s="31" t="n">
        <v>23485301</v>
      </c>
      <c r="L40" s="30" t="n">
        <v>84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72.86</v>
      </c>
      <c r="P40" s="31" t="n">
        <v>44.77</v>
      </c>
      <c r="Q40" s="31" t="n">
        <v>196.93</v>
      </c>
      <c r="R40" s="30" t="inlineStr">
        <is>
          <t>Earnings / Momentum Support</t>
        </is>
      </c>
      <c r="S40" s="30" t="inlineStr">
        <is>
          <t>Nifty IT</t>
        </is>
      </c>
      <c r="T40" s="31" t="n">
        <v>-21.44</v>
      </c>
      <c r="U40" s="31" t="n">
        <v>107.14</v>
      </c>
      <c r="V40" s="31" t="n">
        <v>163.66</v>
      </c>
      <c r="W40" s="31" t="n">
        <v>31.08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No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Between 0.7 to 1.2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IF(B41=0,"",RANK(B41,$B$2:$B$314,0))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BHAGYANGR</t>
        </is>
      </c>
      <c r="D41" s="30" t="inlineStr">
        <is>
          <t>Bhagyanagar India</t>
        </is>
      </c>
      <c r="E41" s="30" t="inlineStr">
        <is>
          <t>power &amp; utilities</t>
        </is>
      </c>
      <c r="F41" s="30" t="inlineStr">
        <is>
          <t>power generation and supply</t>
        </is>
      </c>
      <c r="G41" s="30" t="inlineStr">
        <is>
          <t>smallcap</t>
        </is>
      </c>
      <c r="H41" s="31" t="n">
        <v>1085.75</v>
      </c>
      <c r="I41" s="31" t="n">
        <v>322.75</v>
      </c>
      <c r="J41" s="31" t="n">
        <v>-4.89</v>
      </c>
      <c r="K41" s="31" t="n">
        <v>210603</v>
      </c>
      <c r="L41" s="30" t="n">
        <v>97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76.47</v>
      </c>
      <c r="P41" s="31" t="n">
        <v>56.6</v>
      </c>
      <c r="Q41" s="31" t="n">
        <v>225.85</v>
      </c>
      <c r="R41" s="30" t="inlineStr">
        <is>
          <t>Near 52W High Breakout</t>
        </is>
      </c>
      <c r="S41" s="30" t="inlineStr">
        <is>
          <t>Nifty IT</t>
        </is>
      </c>
      <c r="T41" s="31" t="n">
        <v>-21.44</v>
      </c>
      <c r="U41" s="31" t="n">
        <v>308.96</v>
      </c>
      <c r="V41" s="31" t="n">
        <v>420.54</v>
      </c>
      <c r="W41" s="31" t="n">
        <v>56.81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Between 0.7 to 1.2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IF(B42=0,"",RANK(B42,$B$2:$B$314,0))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RATEGAIN</t>
        </is>
      </c>
      <c r="D42" s="30" t="inlineStr">
        <is>
          <t>Rategain Travel Technologies Ltd</t>
        </is>
      </c>
      <c r="E42" s="30" t="inlineStr">
        <is>
          <t>i.t</t>
        </is>
      </c>
      <c r="F42" s="30" t="inlineStr">
        <is>
          <t>computers - software - medium / small</t>
        </is>
      </c>
      <c r="G42" s="30" t="inlineStr">
        <is>
          <t>midcap</t>
        </is>
      </c>
      <c r="H42" s="31" t="n">
        <v>9042.610000000001</v>
      </c>
      <c r="I42" s="31" t="n">
        <v>771</v>
      </c>
      <c r="J42" s="31" t="n">
        <v>0.75</v>
      </c>
      <c r="K42" s="31" t="n">
        <v>451261</v>
      </c>
      <c r="L42" s="30" t="n">
        <v>83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71.41</v>
      </c>
      <c r="P42" s="31" t="n">
        <v>25.5</v>
      </c>
      <c r="Q42" s="31" t="n">
        <v>587.89</v>
      </c>
      <c r="R42" s="30" t="inlineStr">
        <is>
          <t>Near 52W High Breakout</t>
        </is>
      </c>
      <c r="S42" s="30" t="inlineStr">
        <is>
          <t>Nifty IT</t>
        </is>
      </c>
      <c r="T42" s="31" t="n">
        <v>-21.44</v>
      </c>
      <c r="U42" s="31" t="n">
        <v>73.26000000000001</v>
      </c>
      <c r="V42" s="31" t="n">
        <v>120.53</v>
      </c>
      <c r="W42" s="31" t="n">
        <v>27.99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Between 1.5 to 2</t>
        </is>
      </c>
      <c r="BU42" s="30">
        <f>IF(BT42="Above 2",0,IF(BT42="Between 1.5 to 2",5,IF(BT42="Less than 1.5",10,0)))</f>
        <v/>
      </c>
      <c r="BV42" s="30" t="inlineStr">
        <is>
          <t>Between 50% to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IF(B43=0,"",RANK(B43,$B$2:$B$314,0))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ADVENZYMES</t>
        </is>
      </c>
      <c r="D43" s="30" t="inlineStr">
        <is>
          <t>Advanced Enzyme Technologies Limited</t>
        </is>
      </c>
      <c r="E43" s="30" t="inlineStr">
        <is>
          <t>healthcare</t>
        </is>
      </c>
      <c r="F43" s="30" t="inlineStr">
        <is>
          <t>pharmaceuticals - indian - bulk drugs &amp; formln</t>
        </is>
      </c>
      <c r="G43" s="30" t="inlineStr">
        <is>
          <t>smallcap</t>
        </is>
      </c>
      <c r="H43" s="31" t="n">
        <v>4256.02</v>
      </c>
      <c r="I43" s="31" t="n">
        <v>376.5</v>
      </c>
      <c r="J43" s="31" t="n">
        <v>-0.99</v>
      </c>
      <c r="K43" s="31" t="n">
        <v>84860</v>
      </c>
      <c r="L43" s="30" t="n">
        <v>38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67.08</v>
      </c>
      <c r="P43" s="31" t="n">
        <v>26.74</v>
      </c>
      <c r="Q43" s="31" t="n">
        <v>288.88</v>
      </c>
      <c r="R43" s="30" t="inlineStr">
        <is>
          <t>Near 52W High Breakout</t>
        </is>
      </c>
      <c r="S43" s="30" t="inlineStr">
        <is>
          <t>Nifty Pharma</t>
        </is>
      </c>
      <c r="T43" s="31" t="n">
        <v>11.5</v>
      </c>
      <c r="U43" s="31" t="n">
        <v>24.45</v>
      </c>
      <c r="V43" s="31" t="n">
        <v>11.62</v>
      </c>
      <c r="W43" s="31" t="n">
        <v>10.56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Annuity, Lower One Time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Between 50% to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IF(B44=0,"",RANK(B44,$B$2:$B$314,0))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NINSYS</t>
        </is>
      </c>
      <c r="D44" s="30" t="inlineStr">
        <is>
          <t>NINtec Systems Ltd</t>
        </is>
      </c>
      <c r="E44" s="30" t="inlineStr">
        <is>
          <t>i.t</t>
        </is>
      </c>
      <c r="F44" s="30" t="inlineStr">
        <is>
          <t>computers - software - medium / small</t>
        </is>
      </c>
      <c r="G44" s="30" t="inlineStr">
        <is>
          <t>smallcap</t>
        </is>
      </c>
      <c r="H44" s="31" t="n">
        <v>1342.86</v>
      </c>
      <c r="I44" s="31" t="n">
        <v>715.55</v>
      </c>
      <c r="J44" s="31" t="n">
        <v>-1.02</v>
      </c>
      <c r="K44" s="31" t="n">
        <v>6835</v>
      </c>
      <c r="L44" s="30" t="n">
        <v>94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85.8</v>
      </c>
      <c r="P44" s="31" t="n">
        <v>48.21</v>
      </c>
      <c r="Q44" s="31" t="n">
        <v>537.08</v>
      </c>
      <c r="R44" s="30" t="inlineStr">
        <is>
          <t>Near 52W High Breakout</t>
        </is>
      </c>
      <c r="S44" s="30" t="inlineStr">
        <is>
          <t>Nifty IT</t>
        </is>
      </c>
      <c r="T44" s="31" t="n">
        <v>-21.44</v>
      </c>
      <c r="U44" s="31" t="n">
        <v>60.04</v>
      </c>
      <c r="V44" s="31" t="n">
        <v>103.71</v>
      </c>
      <c r="W44" s="31" t="n">
        <v>47.02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Between 12 to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Between 50% to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IF(B45=0,"",RANK(B45,$B$2:$B$314,0))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SANSTAR</t>
        </is>
      </c>
      <c r="D45" s="30" t="inlineStr">
        <is>
          <t>Sanstar Ltd</t>
        </is>
      </c>
      <c r="E45" s="30" t="inlineStr">
        <is>
          <t>fmcg</t>
        </is>
      </c>
      <c r="F45" s="30" t="inlineStr">
        <is>
          <t>miscellaneous</t>
        </is>
      </c>
      <c r="G45" s="30" t="inlineStr">
        <is>
          <t>smallcap</t>
        </is>
      </c>
      <c r="H45" s="31" t="n">
        <v>2155.4</v>
      </c>
      <c r="I45" s="31" t="n">
        <v>114.76</v>
      </c>
      <c r="J45" s="31" t="n">
        <v>-2.97</v>
      </c>
      <c r="K45" s="31" t="n">
        <v>378671</v>
      </c>
      <c r="L45" s="30" t="n">
        <v>49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70.59</v>
      </c>
      <c r="P45" s="31" t="n">
        <v>26.66</v>
      </c>
      <c r="Q45" s="31" t="n">
        <v>92.61</v>
      </c>
      <c r="R45" s="30" t="inlineStr">
        <is>
          <t>Near 52W High Breakout</t>
        </is>
      </c>
      <c r="S45" s="30" t="inlineStr">
        <is>
          <t>Nifty FMCG</t>
        </is>
      </c>
      <c r="T45" s="31" t="n">
        <v>-13.6</v>
      </c>
      <c r="U45" s="31" t="n">
        <v>28.24</v>
      </c>
      <c r="V45" s="31" t="n">
        <v>48.42</v>
      </c>
      <c r="W45" s="31" t="n">
        <v>13.19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B2C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IF(B46=0,"",RANK(B46,$B$2:$B$314,0))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THANGAMAYL</t>
        </is>
      </c>
      <c r="D46" s="30" t="inlineStr">
        <is>
          <t>Thangamayil Jewellery Limited</t>
        </is>
      </c>
      <c r="E46" s="30" t="inlineStr">
        <is>
          <t>consumer discretionary</t>
        </is>
      </c>
      <c r="F46" s="30" t="inlineStr">
        <is>
          <t>diamond cutting / jewellery</t>
        </is>
      </c>
      <c r="G46" s="30" t="inlineStr">
        <is>
          <t>midcap</t>
        </is>
      </c>
      <c r="H46" s="31" t="n">
        <v>14903.83</v>
      </c>
      <c r="I46" s="31" t="n">
        <v>5520.6</v>
      </c>
      <c r="J46" s="31" t="n">
        <v>15.13</v>
      </c>
      <c r="K46" s="31" t="n">
        <v>1263774</v>
      </c>
      <c r="L46" s="30" t="n">
        <v>89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71.38</v>
      </c>
      <c r="P46" s="31" t="n">
        <v>39.59</v>
      </c>
      <c r="Q46" s="31" t="n">
        <v>4009.22</v>
      </c>
      <c r="R46" s="30" t="inlineStr">
        <is>
          <t>Volume Spike &amp; Near 52W High Breakout</t>
        </is>
      </c>
      <c r="S46" s="30" t="inlineStr">
        <is>
          <t>Nifty 50</t>
        </is>
      </c>
      <c r="T46" s="31" t="n">
        <v>-6.35</v>
      </c>
      <c r="U46" s="31" t="n">
        <v>190.35</v>
      </c>
      <c r="V46" s="31" t="n">
        <v>210.02</v>
      </c>
      <c r="W46" s="31" t="n">
        <v>35.14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Between 50% to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IF(B47=0,"",RANK(B47,$B$2:$B$314,0))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HITECHCORP</t>
        </is>
      </c>
      <c r="D47" s="30" t="inlineStr">
        <is>
          <t>Hitech Corporation</t>
        </is>
      </c>
      <c r="E47" s="30" t="inlineStr">
        <is>
          <t>industrials</t>
        </is>
      </c>
      <c r="F47" s="30" t="inlineStr">
        <is>
          <t>packaging</t>
        </is>
      </c>
      <c r="G47" s="30" t="inlineStr">
        <is>
          <t>smallcap</t>
        </is>
      </c>
      <c r="H47" s="31" t="n">
        <v>504.42</v>
      </c>
      <c r="I47" s="31" t="n">
        <v>308.36</v>
      </c>
      <c r="J47" s="31" t="n">
        <v>5</v>
      </c>
      <c r="K47" s="31" t="n">
        <v>15257</v>
      </c>
      <c r="L47" s="30" t="n">
        <v>95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81.58</v>
      </c>
      <c r="P47" s="31" t="n">
        <v>33.51</v>
      </c>
      <c r="Q47" s="31" t="n">
        <v>229.84</v>
      </c>
      <c r="R47" s="30" t="inlineStr">
        <is>
          <t>Near 52W High Breakout</t>
        </is>
      </c>
      <c r="S47" s="30" t="inlineStr">
        <is>
          <t>Nifty 50</t>
        </is>
      </c>
      <c r="T47" s="31" t="n">
        <v>-6.35</v>
      </c>
      <c r="U47" s="31" t="n">
        <v>61.04</v>
      </c>
      <c r="V47" s="31" t="n">
        <v>71.95</v>
      </c>
      <c r="W47" s="31" t="n">
        <v>50.74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Between 50% to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IF(B48=0,"",RANK(B48,$B$2:$B$314,0))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STLTECH</t>
        </is>
      </c>
      <c r="D48" s="30" t="inlineStr">
        <is>
          <t>Sterlite Technologies Limited</t>
        </is>
      </c>
      <c r="E48" s="30" t="inlineStr">
        <is>
          <t>industrials</t>
        </is>
      </c>
      <c r="F48" s="30" t="inlineStr">
        <is>
          <t>cables - telephone</t>
        </is>
      </c>
      <c r="G48" s="30" t="inlineStr">
        <is>
          <t>largecap</t>
        </is>
      </c>
      <c r="H48" s="31" t="n">
        <v>30293.51</v>
      </c>
      <c r="I48" s="31" t="n">
        <v>651.6</v>
      </c>
      <c r="J48" s="31" t="n">
        <v>5</v>
      </c>
      <c r="K48" s="31" t="n">
        <v>6119470</v>
      </c>
      <c r="L48" s="30" t="n">
        <v>99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96.36</v>
      </c>
      <c r="P48" s="31" t="n">
        <v>76.45999999999999</v>
      </c>
      <c r="Q48" s="31" t="n">
        <v>522.62</v>
      </c>
      <c r="R48" s="30" t="inlineStr">
        <is>
          <t>Near 52W High Breakout</t>
        </is>
      </c>
      <c r="S48" s="30" t="inlineStr">
        <is>
          <t>Nifty Infra</t>
        </is>
      </c>
      <c r="T48" s="31" t="n">
        <v>1.41</v>
      </c>
      <c r="U48" s="31" t="n">
        <v>759.63</v>
      </c>
      <c r="V48" s="31" t="n">
        <v>747.6799999999999</v>
      </c>
      <c r="W48" s="31" t="n">
        <v>127.42</v>
      </c>
      <c r="X48" s="30" t="inlineStr">
        <is>
          <t>Cyclical in an Upturn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Between 0.7 to 1.2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IF(B49=0,"",RANK(B49,$B$2:$B$314,0))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ASTRAMICRO</t>
        </is>
      </c>
      <c r="D49" s="30" t="inlineStr">
        <is>
          <t>Astra Microwave Products Limited</t>
        </is>
      </c>
      <c r="E49" s="30" t="inlineStr">
        <is>
          <t>aerospace &amp; defence</t>
        </is>
      </c>
      <c r="F49" s="30" t="inlineStr">
        <is>
          <t>telecommunications - equipment</t>
        </is>
      </c>
      <c r="G49" s="30" t="inlineStr">
        <is>
          <t>midcap</t>
        </is>
      </c>
      <c r="H49" s="31" t="n">
        <v>12567.87</v>
      </c>
      <c r="I49" s="31" t="n">
        <v>1377.7</v>
      </c>
      <c r="J49" s="31" t="n">
        <v>4.08</v>
      </c>
      <c r="K49" s="31" t="n">
        <v>1209521</v>
      </c>
      <c r="L49" s="30" t="n">
        <v>43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72.41</v>
      </c>
      <c r="P49" s="31" t="n">
        <v>26.7</v>
      </c>
      <c r="Q49" s="31" t="n">
        <v>1094.52</v>
      </c>
      <c r="R49" s="30" t="inlineStr">
        <is>
          <t>Near 52W High Breakout</t>
        </is>
      </c>
      <c r="S49" s="30" t="inlineStr">
        <is>
          <t>Nifty 50</t>
        </is>
      </c>
      <c r="T49" s="31" t="n">
        <v>-6.35</v>
      </c>
      <c r="U49" s="31" t="n">
        <v>21.96</v>
      </c>
      <c r="V49" s="31" t="n">
        <v>30.22</v>
      </c>
      <c r="W49" s="31" t="n">
        <v>11.81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Oligopoly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Between 1.5 to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IF(B50=0,"",RANK(B50,$B$2:$B$314,0))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PGIL</t>
        </is>
      </c>
      <c r="D50" s="30" t="inlineStr">
        <is>
          <t>Pearl Global Industries Limited</t>
        </is>
      </c>
      <c r="E50" s="30" t="inlineStr">
        <is>
          <t>consumer discretionary</t>
        </is>
      </c>
      <c r="F50" s="30" t="inlineStr">
        <is>
          <t>textiles - products</t>
        </is>
      </c>
      <c r="G50" s="30" t="inlineStr">
        <is>
          <t>midcap</t>
        </is>
      </c>
      <c r="H50" s="31" t="n">
        <v>7546.26</v>
      </c>
      <c r="I50" s="31" t="n">
        <v>1678.7</v>
      </c>
      <c r="J50" s="31" t="n">
        <v>2.65</v>
      </c>
      <c r="K50" s="31" t="n">
        <v>64434</v>
      </c>
      <c r="L50" s="30" t="n">
        <v>29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57.08</v>
      </c>
      <c r="P50" s="31" t="n">
        <v>28.77</v>
      </c>
      <c r="Q50" s="31" t="n">
        <v>1214.82</v>
      </c>
      <c r="R50" s="30" t="inlineStr">
        <is>
          <t>Earnings / Momentum Support</t>
        </is>
      </c>
      <c r="S50" s="30" t="inlineStr">
        <is>
          <t>Nifty 50</t>
        </is>
      </c>
      <c r="T50" s="31" t="n">
        <v>-6.35</v>
      </c>
      <c r="U50" s="31" t="n">
        <v>21.47</v>
      </c>
      <c r="V50" s="31" t="n">
        <v>29.7</v>
      </c>
      <c r="W50" s="31" t="n">
        <v>7.51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IF(B51=0,"",RANK(B51,$B$2:$B$314,0))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GRWRHITECH</t>
        </is>
      </c>
      <c r="D51" s="30" t="inlineStr">
        <is>
          <t>Garware Hi Tech Films Ltd</t>
        </is>
      </c>
      <c r="E51" s="30" t="inlineStr">
        <is>
          <t>industrials</t>
        </is>
      </c>
      <c r="F51" s="30" t="inlineStr">
        <is>
          <t>packaging</t>
        </is>
      </c>
      <c r="G51" s="30" t="inlineStr">
        <is>
          <t>midcap</t>
        </is>
      </c>
      <c r="H51" s="31" t="n">
        <v>13273.83</v>
      </c>
      <c r="I51" s="31" t="n">
        <v>5863.5</v>
      </c>
      <c r="J51" s="31" t="n">
        <v>2.63</v>
      </c>
      <c r="K51" s="31" t="n">
        <v>51551</v>
      </c>
      <c r="L51" s="30" t="n">
        <v>67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71.65000000000001</v>
      </c>
      <c r="P51" s="31" t="n">
        <v>25</v>
      </c>
      <c r="Q51" s="31" t="n">
        <v>4496.39</v>
      </c>
      <c r="R51" s="30" t="inlineStr">
        <is>
          <t>Near 52W High Breakout</t>
        </is>
      </c>
      <c r="S51" s="30" t="inlineStr">
        <is>
          <t>Nifty 50</t>
        </is>
      </c>
      <c r="T51" s="31" t="n">
        <v>-6.35</v>
      </c>
      <c r="U51" s="31" t="n">
        <v>31.46</v>
      </c>
      <c r="V51" s="31" t="n">
        <v>40.37</v>
      </c>
      <c r="W51" s="31" t="n">
        <v>18.72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Between 50% to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IF(B52=0,"",RANK(B52,$B$2:$B$314,0))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KERNEX</t>
        </is>
      </c>
      <c r="D52" s="30" t="inlineStr">
        <is>
          <t>Kernex Microsystems (india) Limited</t>
        </is>
      </c>
      <c r="E52" s="30" t="inlineStr">
        <is>
          <t>consumer discretionary</t>
        </is>
      </c>
      <c r="F52" s="30" t="inlineStr">
        <is>
          <t>electronics - components</t>
        </is>
      </c>
      <c r="G52" s="30" t="inlineStr">
        <is>
          <t>smallcap</t>
        </is>
      </c>
      <c r="H52" s="31" t="n">
        <v>3155.33</v>
      </c>
      <c r="I52" s="31" t="n">
        <v>1890.1</v>
      </c>
      <c r="J52" s="31" t="n">
        <v>0.65</v>
      </c>
      <c r="K52" s="31" t="n">
        <v>257159</v>
      </c>
      <c r="L52" s="30" t="n">
        <v>84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71.3</v>
      </c>
      <c r="P52" s="31" t="n">
        <v>27.28</v>
      </c>
      <c r="Q52" s="31" t="n">
        <v>1372.67</v>
      </c>
      <c r="R52" s="30" t="inlineStr">
        <is>
          <t>Volume Spike &amp; Near 52W High Breakout</t>
        </is>
      </c>
      <c r="S52" s="30" t="inlineStr">
        <is>
          <t>Nifty 50</t>
        </is>
      </c>
      <c r="T52" s="31" t="n">
        <v>-6.35</v>
      </c>
      <c r="U52" s="31" t="n">
        <v>53.49</v>
      </c>
      <c r="V52" s="31" t="n">
        <v>63.89</v>
      </c>
      <c r="W52" s="31" t="n">
        <v>29.69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Less than 12%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IF(B53=0,"",RANK(B53,$B$2:$B$314,0))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GOCLCORP</t>
        </is>
      </c>
      <c r="D53" s="30" t="inlineStr">
        <is>
          <t>Gocl Corporation Limited</t>
        </is>
      </c>
      <c r="E53" s="30" t="inlineStr">
        <is>
          <t>miscellaneous</t>
        </is>
      </c>
      <c r="F53" s="30" t="inlineStr">
        <is>
          <t>diversified - medium / small</t>
        </is>
      </c>
      <c r="G53" s="30" t="inlineStr">
        <is>
          <t>smallcap</t>
        </is>
      </c>
      <c r="H53" s="31" t="n">
        <v>2072.63</v>
      </c>
      <c r="I53" s="31" t="n">
        <v>420.45</v>
      </c>
      <c r="J53" s="31" t="n">
        <v>0.5600000000000001</v>
      </c>
      <c r="K53" s="31" t="n">
        <v>343269</v>
      </c>
      <c r="L53" s="30" t="n">
        <v>76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72.65000000000001</v>
      </c>
      <c r="P53" s="31" t="n">
        <v>25.3</v>
      </c>
      <c r="Q53" s="31" t="n">
        <v>309.83</v>
      </c>
      <c r="R53" s="30" t="inlineStr">
        <is>
          <t>Volume Spike &amp; Near 52W High Breakout</t>
        </is>
      </c>
      <c r="S53" s="30" t="inlineStr">
        <is>
          <t>Nifty 50</t>
        </is>
      </c>
      <c r="T53" s="31" t="n">
        <v>-6.35</v>
      </c>
      <c r="U53" s="31" t="n">
        <v>36.45</v>
      </c>
      <c r="V53" s="31" t="n">
        <v>45.69</v>
      </c>
      <c r="W53" s="31" t="n">
        <v>24.26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IF(B54=0,"",RANK(B54,$B$2:$B$314,0))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IDEA</t>
        </is>
      </c>
      <c r="D54" s="30" t="inlineStr">
        <is>
          <t>Vodafone Idea Ltd</t>
        </is>
      </c>
      <c r="E54" s="30" t="inlineStr">
        <is>
          <t>telecom-service</t>
        </is>
      </c>
      <c r="F54" s="30" t="inlineStr">
        <is>
          <t>telecommunications - service provider</t>
        </is>
      </c>
      <c r="G54" s="30" t="inlineStr">
        <is>
          <t>largecap</t>
        </is>
      </c>
      <c r="H54" s="31" t="n">
        <v>160889.41</v>
      </c>
      <c r="I54" s="31" t="n">
        <v>14.93</v>
      </c>
      <c r="J54" s="31" t="n">
        <v>0.54</v>
      </c>
      <c r="K54" s="31" t="n">
        <v>860152052</v>
      </c>
      <c r="L54" s="30" t="n">
        <v>83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75.18000000000001</v>
      </c>
      <c r="P54" s="31" t="n">
        <v>22.62</v>
      </c>
      <c r="Q54" s="31" t="n">
        <v>11.72</v>
      </c>
      <c r="R54" s="30" t="inlineStr">
        <is>
          <t>Near 52W High Breakout</t>
        </is>
      </c>
      <c r="S54" s="30" t="inlineStr">
        <is>
          <t>Nifty 50</t>
        </is>
      </c>
      <c r="T54" s="31" t="n">
        <v>-6.35</v>
      </c>
      <c r="U54" s="31" t="n">
        <v>115.75</v>
      </c>
      <c r="V54" s="31" t="n">
        <v>130.37</v>
      </c>
      <c r="W54" s="31" t="n">
        <v>28.76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Oligopoly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IF(B55=0,"",RANK(B55,$B$2:$B$314,0))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UNIPARTS</t>
        </is>
      </c>
      <c r="D55" s="30" t="inlineStr">
        <is>
          <t>Uniparts India Ltd</t>
        </is>
      </c>
      <c r="E55" s="30" t="inlineStr">
        <is>
          <t>industrials</t>
        </is>
      </c>
      <c r="F55" s="30" t="inlineStr">
        <is>
          <t>engineering</t>
        </is>
      </c>
      <c r="G55" s="30" t="inlineStr">
        <is>
          <t>smallcap</t>
        </is>
      </c>
      <c r="H55" s="31" t="n">
        <v>2824.38</v>
      </c>
      <c r="I55" s="31" t="n">
        <v>625.2</v>
      </c>
      <c r="J55" s="31" t="n">
        <v>-0.07000000000000001</v>
      </c>
      <c r="K55" s="31" t="n">
        <v>290201</v>
      </c>
      <c r="L55" s="30" t="n">
        <v>69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70.92</v>
      </c>
      <c r="P55" s="31" t="n">
        <v>30.78</v>
      </c>
      <c r="Q55" s="31" t="n">
        <v>477.55</v>
      </c>
      <c r="R55" s="30" t="inlineStr">
        <is>
          <t>Near 52W High Breakout</t>
        </is>
      </c>
      <c r="S55" s="30" t="inlineStr">
        <is>
          <t>Nifty 50</t>
        </is>
      </c>
      <c r="T55" s="31" t="n">
        <v>-6.35</v>
      </c>
      <c r="U55" s="31" t="n">
        <v>80.02</v>
      </c>
      <c r="V55" s="31" t="n">
        <v>92.20999999999999</v>
      </c>
      <c r="W55" s="31" t="n">
        <v>20.64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IF(B56=0,"",RANK(B56,$B$2:$B$314,0))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ABB</t>
        </is>
      </c>
      <c r="D56" s="30" t="inlineStr">
        <is>
          <t>Abb India Limited</t>
        </is>
      </c>
      <c r="E56" s="30" t="inlineStr">
        <is>
          <t>industrials</t>
        </is>
      </c>
      <c r="F56" s="30" t="inlineStr">
        <is>
          <t>electric equipment</t>
        </is>
      </c>
      <c r="G56" s="30" t="inlineStr">
        <is>
          <t>largecap</t>
        </is>
      </c>
      <c r="H56" s="31" t="n">
        <v>152489.27</v>
      </c>
      <c r="I56" s="31" t="n">
        <v>7156</v>
      </c>
      <c r="J56" s="31" t="n">
        <v>-0.5600000000000001</v>
      </c>
      <c r="K56" s="31" t="n">
        <v>298566</v>
      </c>
      <c r="L56" s="30" t="n">
        <v>30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63.95</v>
      </c>
      <c r="P56" s="31" t="n">
        <v>45.4</v>
      </c>
      <c r="Q56" s="31" t="n">
        <v>5946.67</v>
      </c>
      <c r="R56" s="30" t="inlineStr">
        <is>
          <t>Near 52W High Breakout</t>
        </is>
      </c>
      <c r="S56" s="30" t="inlineStr">
        <is>
          <t>Nifty 50</t>
        </is>
      </c>
      <c r="T56" s="31" t="n">
        <v>-6.35</v>
      </c>
      <c r="U56" s="31" t="n">
        <v>18.96</v>
      </c>
      <c r="V56" s="31" t="n">
        <v>27.02</v>
      </c>
      <c r="W56" s="31" t="n">
        <v>8.01</v>
      </c>
      <c r="X56" s="30" t="inlineStr">
        <is>
          <t>Cyclical in an Upturn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IF(B57=0,"",RANK(B57,$B$2:$B$314,0))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MOTHERSON</t>
        </is>
      </c>
      <c r="D57" s="30" t="inlineStr">
        <is>
          <t>Samvardhana Motherson International Ltd</t>
        </is>
      </c>
      <c r="E57" s="30" t="inlineStr">
        <is>
          <t>auto</t>
        </is>
      </c>
      <c r="F57" s="30" t="inlineStr">
        <is>
          <t>auto ancillaries</t>
        </is>
      </c>
      <c r="G57" s="30" t="inlineStr">
        <is>
          <t>largecap</t>
        </is>
      </c>
      <c r="H57" s="31" t="n">
        <v>153683.24</v>
      </c>
      <c r="I57" s="31" t="n">
        <v>144.31</v>
      </c>
      <c r="J57" s="31" t="n">
        <v>-0.89</v>
      </c>
      <c r="K57" s="31" t="n">
        <v>17953489</v>
      </c>
      <c r="L57" s="30" t="n">
        <v>40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66.73999999999999</v>
      </c>
      <c r="P57" s="31" t="n">
        <v>18.72</v>
      </c>
      <c r="Q57" s="31" t="n">
        <v>115.47</v>
      </c>
      <c r="R57" s="30" t="inlineStr">
        <is>
          <t>Near 52W High Breakout</t>
        </is>
      </c>
      <c r="S57" s="30" t="inlineStr">
        <is>
          <t>Nifty Auto</t>
        </is>
      </c>
      <c r="T57" s="31" t="n">
        <v>10.49</v>
      </c>
      <c r="U57" s="31" t="n">
        <v>38.2</v>
      </c>
      <c r="V57" s="31" t="n">
        <v>25.07</v>
      </c>
      <c r="W57" s="31" t="n">
        <v>10.95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0 to 20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IF(B58=0,"",RANK(B58,$B$2:$B$314,0))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PRECWIRE</t>
        </is>
      </c>
      <c r="D58" s="30" t="inlineStr">
        <is>
          <t>Precision Wires India Limited</t>
        </is>
      </c>
      <c r="E58" s="30" t="inlineStr">
        <is>
          <t>metals &amp; mining</t>
        </is>
      </c>
      <c r="F58" s="30" t="inlineStr">
        <is>
          <t>mining / minerals / metals</t>
        </is>
      </c>
      <c r="G58" s="30" t="inlineStr">
        <is>
          <t>midcap</t>
        </is>
      </c>
      <c r="H58" s="31" t="n">
        <v>7983.22</v>
      </c>
      <c r="I58" s="31" t="n">
        <v>431.4</v>
      </c>
      <c r="J58" s="31" t="n">
        <v>-1.21</v>
      </c>
      <c r="K58" s="31" t="n">
        <v>722600</v>
      </c>
      <c r="L58" s="30" t="n">
        <v>81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71.48999999999999</v>
      </c>
      <c r="P58" s="31" t="n">
        <v>70.11</v>
      </c>
      <c r="Q58" s="31" t="n">
        <v>311.95</v>
      </c>
      <c r="R58" s="30" t="inlineStr">
        <is>
          <t>Near 52W High Breakout</t>
        </is>
      </c>
      <c r="S58" s="30" t="inlineStr">
        <is>
          <t>Nifty Metal</t>
        </is>
      </c>
      <c r="T58" s="31" t="n">
        <v>42.84</v>
      </c>
      <c r="U58" s="31" t="n">
        <v>132.06</v>
      </c>
      <c r="V58" s="31" t="n">
        <v>62.46</v>
      </c>
      <c r="W58" s="31" t="n">
        <v>25.81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Cyclical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Volatile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IF(B59=0,"",RANK(B59,$B$2:$B$314,0))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SOLARINDS</t>
        </is>
      </c>
      <c r="D59" s="30" t="inlineStr">
        <is>
          <t>Solar Industries India Limited</t>
        </is>
      </c>
      <c r="E59" s="30" t="inlineStr">
        <is>
          <t>aerospace &amp; defence</t>
        </is>
      </c>
      <c r="F59" s="30" t="inlineStr">
        <is>
          <t>chemicals</t>
        </is>
      </c>
      <c r="G59" s="30" t="inlineStr">
        <is>
          <t>largecap</t>
        </is>
      </c>
      <c r="H59" s="31" t="n">
        <v>168103.38</v>
      </c>
      <c r="I59" s="31" t="n">
        <v>18293</v>
      </c>
      <c r="J59" s="31" t="n">
        <v>-1.53</v>
      </c>
      <c r="K59" s="31" t="n">
        <v>161517</v>
      </c>
      <c r="L59" s="30" t="n">
        <v>27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73.34</v>
      </c>
      <c r="P59" s="31" t="n">
        <v>30.89</v>
      </c>
      <c r="Q59" s="31" t="n">
        <v>14980.94</v>
      </c>
      <c r="R59" s="30" t="inlineStr">
        <is>
          <t>Near 52W High Breakout</t>
        </is>
      </c>
      <c r="S59" s="30" t="inlineStr">
        <is>
          <t>Nifty 50</t>
        </is>
      </c>
      <c r="T59" s="31" t="n">
        <v>-6.35</v>
      </c>
      <c r="U59" s="31" t="n">
        <v>10.78</v>
      </c>
      <c r="V59" s="31" t="n">
        <v>18.28</v>
      </c>
      <c r="W59" s="31" t="n">
        <v>7.21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Less than 50%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IF(B60=0,"",RANK(B60,$B$2:$B$314,0))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SOMANYCERA</t>
        </is>
      </c>
      <c r="D60" s="30" t="inlineStr">
        <is>
          <t>Somany Ceramics Limited</t>
        </is>
      </c>
      <c r="E60" s="30" t="inlineStr">
        <is>
          <t>building materials</t>
        </is>
      </c>
      <c r="F60" s="30" t="inlineStr">
        <is>
          <t>ceramics - tiles / sanitaryware</t>
        </is>
      </c>
      <c r="G60" s="30" t="inlineStr">
        <is>
          <t>smallcap</t>
        </is>
      </c>
      <c r="H60" s="31" t="n">
        <v>2123.44</v>
      </c>
      <c r="I60" s="31" t="n">
        <v>507.55</v>
      </c>
      <c r="J60" s="31" t="n">
        <v>-1.97</v>
      </c>
      <c r="K60" s="31" t="n">
        <v>77031</v>
      </c>
      <c r="L60" s="30" t="n">
        <v>38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62.02</v>
      </c>
      <c r="P60" s="31" t="n">
        <v>28.51</v>
      </c>
      <c r="Q60" s="31" t="n">
        <v>399.62</v>
      </c>
      <c r="R60" s="30" t="inlineStr">
        <is>
          <t>Earnings / Momentum Support</t>
        </is>
      </c>
      <c r="S60" s="30" t="inlineStr">
        <is>
          <t>Nifty Infra</t>
        </is>
      </c>
      <c r="T60" s="31" t="n">
        <v>1.41</v>
      </c>
      <c r="U60" s="31" t="n">
        <v>9.59</v>
      </c>
      <c r="V60" s="31" t="n">
        <v>8.06</v>
      </c>
      <c r="W60" s="31" t="n">
        <v>10.43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IF(B61=0,"",RANK(B61,$B$2:$B$314,0))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PANACEABIO</t>
        </is>
      </c>
      <c r="D61" s="30" t="inlineStr">
        <is>
          <t>Panacea Biotec Limited</t>
        </is>
      </c>
      <c r="E61" s="30" t="inlineStr">
        <is>
          <t>healthcare</t>
        </is>
      </c>
      <c r="F61" s="30" t="inlineStr">
        <is>
          <t>pharmaceuticals - indian - bulk drugs &amp; formln</t>
        </is>
      </c>
      <c r="G61" s="30" t="inlineStr">
        <is>
          <t>smallcap</t>
        </is>
      </c>
      <c r="H61" s="31" t="n">
        <v>2655.83</v>
      </c>
      <c r="I61" s="31" t="n">
        <v>520.3</v>
      </c>
      <c r="J61" s="31" t="n">
        <v>20</v>
      </c>
      <c r="K61" s="31" t="n">
        <v>3632208</v>
      </c>
      <c r="L61" s="30" t="n">
        <v>67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74.83</v>
      </c>
      <c r="P61" s="31" t="n">
        <v>20.05</v>
      </c>
      <c r="Q61" s="31" t="n">
        <v>379.41</v>
      </c>
      <c r="R61" s="30" t="inlineStr">
        <is>
          <t>Volume Spike &amp; Near 52W High Breakout</t>
        </is>
      </c>
      <c r="S61" s="30" t="inlineStr">
        <is>
          <t>Nifty Pharma</t>
        </is>
      </c>
      <c r="T61" s="31" t="n">
        <v>11.5</v>
      </c>
      <c r="U61" s="31" t="n">
        <v>16.27</v>
      </c>
      <c r="V61" s="31" t="n">
        <v>4.28</v>
      </c>
      <c r="W61" s="31" t="n">
        <v>18.67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Annuity, Lower One Time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Less than 12%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IF(B62=0,"",RANK(B62,$B$2:$B$314,0))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VIJAYA</t>
        </is>
      </c>
      <c r="D62" s="30" t="inlineStr">
        <is>
          <t>Vijaya Diagnostic Centre Ltd</t>
        </is>
      </c>
      <c r="E62" s="30" t="inlineStr">
        <is>
          <t>healthcare</t>
        </is>
      </c>
      <c r="F62" s="30" t="inlineStr">
        <is>
          <t>healthcare</t>
        </is>
      </c>
      <c r="G62" s="30" t="inlineStr">
        <is>
          <t>midcap</t>
        </is>
      </c>
      <c r="H62" s="31" t="n">
        <v>13164.61</v>
      </c>
      <c r="I62" s="31" t="n">
        <v>1359.4</v>
      </c>
      <c r="J62" s="31" t="n">
        <v>6.25</v>
      </c>
      <c r="K62" s="31" t="n">
        <v>840077</v>
      </c>
      <c r="L62" s="30" t="n">
        <v>59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70.70999999999999</v>
      </c>
      <c r="P62" s="31" t="n">
        <v>28.39</v>
      </c>
      <c r="Q62" s="31" t="n">
        <v>1085.45</v>
      </c>
      <c r="R62" s="30" t="inlineStr">
        <is>
          <t>Near 52W High Breakout</t>
        </is>
      </c>
      <c r="S62" s="30" t="inlineStr">
        <is>
          <t>Nifty Pharma</t>
        </is>
      </c>
      <c r="T62" s="31" t="n">
        <v>11.5</v>
      </c>
      <c r="U62" s="31" t="n">
        <v>39.71</v>
      </c>
      <c r="V62" s="31" t="n">
        <v>25.3</v>
      </c>
      <c r="W62" s="31" t="n">
        <v>16.79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IF(B63=0,"",RANK(B63,$B$2:$B$314,0))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SUPRIYA</t>
        </is>
      </c>
      <c r="D63" s="30" t="inlineStr">
        <is>
          <t>Supriya Lifescience Ltd</t>
        </is>
      </c>
      <c r="E63" s="30" t="inlineStr">
        <is>
          <t>healthcare</t>
        </is>
      </c>
      <c r="F63" s="30" t="inlineStr">
        <is>
          <t>pharmaceuticals - indian - bulk drugs &amp; formln</t>
        </is>
      </c>
      <c r="G63" s="30" t="inlineStr">
        <is>
          <t>midcap</t>
        </is>
      </c>
      <c r="H63" s="31" t="n">
        <v>7251.1</v>
      </c>
      <c r="I63" s="31" t="n">
        <v>952.1</v>
      </c>
      <c r="J63" s="31" t="n">
        <v>5.68</v>
      </c>
      <c r="K63" s="31" t="n">
        <v>898127</v>
      </c>
      <c r="L63" s="30" t="n">
        <v>68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76.28</v>
      </c>
      <c r="P63" s="31" t="n">
        <v>31.75</v>
      </c>
      <c r="Q63" s="31" t="n">
        <v>735.54</v>
      </c>
      <c r="R63" s="30" t="inlineStr">
        <is>
          <t>Volume Spike &amp; Near 52W High Breakout</t>
        </is>
      </c>
      <c r="S63" s="30" t="inlineStr">
        <is>
          <t>Nifty Pharma</t>
        </is>
      </c>
      <c r="T63" s="31" t="n">
        <v>11.5</v>
      </c>
      <c r="U63" s="31" t="n">
        <v>38.08</v>
      </c>
      <c r="V63" s="31" t="n">
        <v>23.84</v>
      </c>
      <c r="W63" s="31" t="n">
        <v>19.28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Annuity, Lower One Time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Between 50% to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IF(B64=0,"",RANK(B64,$B$2:$B$314,0))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SPARC</t>
        </is>
      </c>
      <c r="D64" s="30" t="inlineStr">
        <is>
          <t>Sun Pharma Advanced Research Company Limited</t>
        </is>
      </c>
      <c r="E64" s="30" t="inlineStr">
        <is>
          <t>healthcare</t>
        </is>
      </c>
      <c r="F64" s="30" t="inlineStr">
        <is>
          <t>miscellaneous</t>
        </is>
      </c>
      <c r="G64" s="30" t="inlineStr">
        <is>
          <t>midcap</t>
        </is>
      </c>
      <c r="H64" s="31" t="n">
        <v>6766.28</v>
      </c>
      <c r="I64" s="31" t="n">
        <v>212.97</v>
      </c>
      <c r="J64" s="31" t="n">
        <v>2.14</v>
      </c>
      <c r="K64" s="31" t="n">
        <v>3231644</v>
      </c>
      <c r="L64" s="30" t="n">
        <v>75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74.22</v>
      </c>
      <c r="P64" s="31" t="n">
        <v>43.38</v>
      </c>
      <c r="Q64" s="31" t="n">
        <v>146.95</v>
      </c>
      <c r="R64" s="30" t="inlineStr">
        <is>
          <t>Near 52W High Breakout</t>
        </is>
      </c>
      <c r="S64" s="30" t="inlineStr">
        <is>
          <t>Nifty Pharma</t>
        </is>
      </c>
      <c r="T64" s="31" t="n">
        <v>11.5</v>
      </c>
      <c r="U64" s="31" t="n">
        <v>28.64</v>
      </c>
      <c r="V64" s="31" t="n">
        <v>15.38</v>
      </c>
      <c r="W64" s="31" t="n">
        <v>23.55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Negative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IF(B65=0,"",RANK(B65,$B$2:$B$314,0))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KEI</t>
        </is>
      </c>
      <c r="D65" s="30" t="inlineStr">
        <is>
          <t>Kei Industries Limited</t>
        </is>
      </c>
      <c r="E65" s="30" t="inlineStr">
        <is>
          <t>industrials</t>
        </is>
      </c>
      <c r="F65" s="30" t="inlineStr">
        <is>
          <t>cables - power</t>
        </is>
      </c>
      <c r="G65" s="30" t="inlineStr">
        <is>
          <t>largecap</t>
        </is>
      </c>
      <c r="H65" s="31" t="n">
        <v>49922.63</v>
      </c>
      <c r="I65" s="31" t="n">
        <v>5296</v>
      </c>
      <c r="J65" s="31" t="n">
        <v>1.42</v>
      </c>
      <c r="K65" s="31" t="n">
        <v>201738</v>
      </c>
      <c r="L65" s="30" t="n">
        <v>33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66.2</v>
      </c>
      <c r="P65" s="31" t="n">
        <v>22.66</v>
      </c>
      <c r="Q65" s="31" t="n">
        <v>4213.25</v>
      </c>
      <c r="R65" s="30" t="inlineStr">
        <is>
          <t>Near 52W High Breakout</t>
        </is>
      </c>
      <c r="S65" s="30" t="inlineStr">
        <is>
          <t>Nifty Energy</t>
        </is>
      </c>
      <c r="T65" s="31" t="n">
        <v>12.59</v>
      </c>
      <c r="U65" s="31" t="n">
        <v>41.48</v>
      </c>
      <c r="V65" s="31" t="n">
        <v>25.66</v>
      </c>
      <c r="W65" s="31" t="n">
        <v>8.890000000000001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Fully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Yes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Yes, More Than 10%</t>
        </is>
      </c>
      <c r="CE65" s="30">
        <f>IF(CD65="Yes, more than 10%",-10,IF(CD65="No",10,0))</f>
        <v/>
      </c>
    </row>
    <row r="66">
      <c r="A66" s="30">
        <f>IF(B66=0,"",RANK(B66,$B$2:$B$314,0))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JAGRAN</t>
        </is>
      </c>
      <c r="D66" s="30" t="inlineStr">
        <is>
          <t>Jagran Prakashan Limited</t>
        </is>
      </c>
      <c r="E66" s="30" t="inlineStr">
        <is>
          <t>media</t>
        </is>
      </c>
      <c r="F66" s="30" t="inlineStr">
        <is>
          <t>entertainment / electronic media software</t>
        </is>
      </c>
      <c r="G66" s="30" t="inlineStr">
        <is>
          <t>smallcap</t>
        </is>
      </c>
      <c r="H66" s="31" t="n">
        <v>1685.51</v>
      </c>
      <c r="I66" s="31" t="n">
        <v>78.2</v>
      </c>
      <c r="J66" s="31" t="n">
        <v>0.98</v>
      </c>
      <c r="K66" s="31" t="n">
        <v>3512063</v>
      </c>
      <c r="L66" s="30" t="n">
        <v>24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73.92</v>
      </c>
      <c r="P66" s="31" t="n">
        <v>30.13</v>
      </c>
      <c r="Q66" s="31" t="n">
        <v>68.09</v>
      </c>
      <c r="R66" s="30" t="inlineStr">
        <is>
          <t>Volume Spike &amp; Near 52W High Breakout</t>
        </is>
      </c>
      <c r="S66" s="30" t="inlineStr">
        <is>
          <t>Nifty IT</t>
        </is>
      </c>
      <c r="T66" s="31" t="n">
        <v>-21.44</v>
      </c>
      <c r="U66" s="31" t="n">
        <v>6.99</v>
      </c>
      <c r="V66" s="31" t="n">
        <v>36.18</v>
      </c>
      <c r="W66" s="31" t="n">
        <v>6.61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Annuity, Lower One Time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Between 50% to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IF(B67=0,"",RANK(B67,$B$2:$B$314,0))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ACUTAAS</t>
        </is>
      </c>
      <c r="D67" s="30" t="inlineStr">
        <is>
          <t>Acutaas Chemicals Ltd</t>
        </is>
      </c>
      <c r="E67" s="30" t="inlineStr">
        <is>
          <t>healthcare</t>
        </is>
      </c>
      <c r="F67" s="30" t="inlineStr">
        <is>
          <t>pharmaceuticals - indian - bulk drugs</t>
        </is>
      </c>
      <c r="G67" s="30" t="inlineStr">
        <is>
          <t>largecap</t>
        </is>
      </c>
      <c r="H67" s="31" t="n">
        <v>25672.33</v>
      </c>
      <c r="I67" s="31" t="n">
        <v>3164.7</v>
      </c>
      <c r="J67" s="31" t="n">
        <v>0.92</v>
      </c>
      <c r="K67" s="31" t="n">
        <v>250577</v>
      </c>
      <c r="L67" s="30" t="n">
        <v>85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77.44</v>
      </c>
      <c r="P67" s="31" t="n">
        <v>64.17</v>
      </c>
      <c r="Q67" s="31" t="n">
        <v>2474.32</v>
      </c>
      <c r="R67" s="30" t="inlineStr">
        <is>
          <t>Near 52W High Breakout</t>
        </is>
      </c>
      <c r="S67" s="30" t="inlineStr">
        <is>
          <t>Nifty Pharma</t>
        </is>
      </c>
      <c r="T67" s="31" t="n">
        <v>11.5</v>
      </c>
      <c r="U67" s="31" t="n">
        <v>177.77</v>
      </c>
      <c r="V67" s="31" t="n">
        <v>149.12</v>
      </c>
      <c r="W67" s="31" t="n">
        <v>31.65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Annuity, Lower One Time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Between 50% to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IF(B68=0,"",RANK(B68,$B$2:$B$314,0))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GRANULES</t>
        </is>
      </c>
      <c r="D68" s="30" t="inlineStr">
        <is>
          <t>Granules India Limited</t>
        </is>
      </c>
      <c r="E68" s="30" t="inlineStr">
        <is>
          <t>healthcare</t>
        </is>
      </c>
      <c r="F68" s="30" t="inlineStr">
        <is>
          <t>pharmaceuticals - indian - bulk drugs &amp; formln</t>
        </is>
      </c>
      <c r="G68" s="30" t="inlineStr">
        <is>
          <t>midcap</t>
        </is>
      </c>
      <c r="H68" s="31" t="n">
        <v>19670.12</v>
      </c>
      <c r="I68" s="31" t="n">
        <v>791.35</v>
      </c>
      <c r="J68" s="31" t="n">
        <v>-0.31</v>
      </c>
      <c r="K68" s="31" t="n">
        <v>504165</v>
      </c>
      <c r="L68" s="30" t="n">
        <v>59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78.03</v>
      </c>
      <c r="P68" s="31" t="n">
        <v>32.31</v>
      </c>
      <c r="Q68" s="31" t="n">
        <v>663.61</v>
      </c>
      <c r="R68" s="30" t="inlineStr">
        <is>
          <t>Near 52W High Breakout</t>
        </is>
      </c>
      <c r="S68" s="30" t="inlineStr">
        <is>
          <t>Nifty Pharma</t>
        </is>
      </c>
      <c r="T68" s="31" t="n">
        <v>11.5</v>
      </c>
      <c r="U68" s="31" t="n">
        <v>49.78</v>
      </c>
      <c r="V68" s="31" t="n">
        <v>34.33</v>
      </c>
      <c r="W68" s="31" t="n">
        <v>16.72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Annuity, Lower One Time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Between 50% to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IF(B69=0,"",RANK(B69,$B$2:$B$314,0))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THYROCARE</t>
        </is>
      </c>
      <c r="D69" s="30" t="inlineStr">
        <is>
          <t>Thyrocare Technologies Limited</t>
        </is>
      </c>
      <c r="E69" s="30" t="inlineStr">
        <is>
          <t>healthcare</t>
        </is>
      </c>
      <c r="F69" s="30" t="inlineStr">
        <is>
          <t>healthcare</t>
        </is>
      </c>
      <c r="G69" s="30" t="inlineStr">
        <is>
          <t>midcap</t>
        </is>
      </c>
      <c r="H69" s="31" t="n">
        <v>8359.360000000001</v>
      </c>
      <c r="I69" s="31" t="n">
        <v>520.75</v>
      </c>
      <c r="J69" s="31" t="n">
        <v>-0.85</v>
      </c>
      <c r="K69" s="31" t="n">
        <v>283959</v>
      </c>
      <c r="L69" s="30" t="n">
        <v>71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68.01000000000001</v>
      </c>
      <c r="P69" s="31" t="n">
        <v>21.7</v>
      </c>
      <c r="Q69" s="31" t="n">
        <v>396.32</v>
      </c>
      <c r="R69" s="30" t="inlineStr">
        <is>
          <t>Near 52W High Breakout</t>
        </is>
      </c>
      <c r="S69" s="30" t="inlineStr">
        <is>
          <t>Nifty Pharma</t>
        </is>
      </c>
      <c r="T69" s="31" t="n">
        <v>11.5</v>
      </c>
      <c r="U69" s="31" t="n">
        <v>67.52</v>
      </c>
      <c r="V69" s="31" t="n">
        <v>50.24</v>
      </c>
      <c r="W69" s="31" t="n">
        <v>21.3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Annuity, Lower One Time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IF(B70=0,"",RANK(B70,$B$2:$B$314,0))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MCLEODRUSS</t>
        </is>
      </c>
      <c r="D70" s="30" t="inlineStr">
        <is>
          <t>Mcleod Russel India Limited</t>
        </is>
      </c>
      <c r="E70" s="30" t="inlineStr">
        <is>
          <t>fmcg</t>
        </is>
      </c>
      <c r="F70" s="30" t="inlineStr">
        <is>
          <t>tea</t>
        </is>
      </c>
      <c r="G70" s="30" t="inlineStr">
        <is>
          <t>smallcap</t>
        </is>
      </c>
      <c r="H70" s="31" t="n">
        <v>771.09</v>
      </c>
      <c r="I70" s="31" t="n">
        <v>72.34999999999999</v>
      </c>
      <c r="J70" s="31" t="n">
        <v>-1.99</v>
      </c>
      <c r="K70" s="31" t="n">
        <v>156734</v>
      </c>
      <c r="L70" s="30" t="n">
        <v>92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69.28</v>
      </c>
      <c r="P70" s="31" t="n">
        <v>26.76</v>
      </c>
      <c r="Q70" s="31" t="n">
        <v>58.5</v>
      </c>
      <c r="R70" s="30" t="inlineStr">
        <is>
          <t>Earnings / Momentum Support</t>
        </is>
      </c>
      <c r="S70" s="30" t="inlineStr">
        <is>
          <t>Nifty FMCG</t>
        </is>
      </c>
      <c r="T70" s="31" t="n">
        <v>-13.6</v>
      </c>
      <c r="U70" s="31" t="n">
        <v>105.36</v>
      </c>
      <c r="V70" s="31" t="n">
        <v>137.68</v>
      </c>
      <c r="W70" s="31" t="n">
        <v>38.44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B2C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Annuity, Lower One Time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More than 1.2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IF(B71=0,"",RANK(B71,$B$2:$B$314,0))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SOFTTECH</t>
        </is>
      </c>
      <c r="D71" s="30" t="inlineStr">
        <is>
          <t>Softtech Engineers Ltd</t>
        </is>
      </c>
      <c r="E71" s="30" t="inlineStr">
        <is>
          <t>i.t</t>
        </is>
      </c>
      <c r="F71" s="30" t="inlineStr">
        <is>
          <t>computers - software - medium / small</t>
        </is>
      </c>
      <c r="G71" s="30" t="inlineStr">
        <is>
          <t>smallcap</t>
        </is>
      </c>
      <c r="H71" s="31" t="n">
        <v>631.2</v>
      </c>
      <c r="I71" s="31" t="n">
        <v>446.9</v>
      </c>
      <c r="J71" s="31" t="n">
        <v>-2</v>
      </c>
      <c r="K71" s="31" t="n">
        <v>1066</v>
      </c>
      <c r="L71" s="30" t="n">
        <v>72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67.25</v>
      </c>
      <c r="P71" s="31" t="n">
        <v>33.14</v>
      </c>
      <c r="Q71" s="31" t="n">
        <v>332.79</v>
      </c>
      <c r="R71" s="30" t="inlineStr">
        <is>
          <t>Near 52W High Breakout</t>
        </is>
      </c>
      <c r="S71" s="30" t="inlineStr">
        <is>
          <t>Nifty IT</t>
        </is>
      </c>
      <c r="T71" s="31" t="n">
        <v>-21.44</v>
      </c>
      <c r="U71" s="31" t="n">
        <v>27.69</v>
      </c>
      <c r="V71" s="31" t="n">
        <v>62.52</v>
      </c>
      <c r="W71" s="31" t="n">
        <v>22.28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IF(B72=0,"",RANK(B72,$B$2:$B$314,0))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CEMPRO</t>
        </is>
      </c>
      <c r="D72" s="30" t="inlineStr">
        <is>
          <t>Cemindia Projects Ltd</t>
        </is>
      </c>
      <c r="E72" s="30" t="inlineStr">
        <is>
          <t>realty</t>
        </is>
      </c>
      <c r="F72" s="30" t="inlineStr">
        <is>
          <t>construction</t>
        </is>
      </c>
      <c r="G72" s="30" t="inlineStr">
        <is>
          <t>midcap</t>
        </is>
      </c>
      <c r="H72" s="31" t="n">
        <v>17606.51</v>
      </c>
      <c r="I72" s="31" t="n">
        <v>1127.3</v>
      </c>
      <c r="J72" s="31" t="n">
        <v>9.99</v>
      </c>
      <c r="K72" s="31" t="n">
        <v>1435282</v>
      </c>
      <c r="L72" s="30" t="n">
        <v>90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75.31999999999999</v>
      </c>
      <c r="P72" s="31" t="n">
        <v>35.28</v>
      </c>
      <c r="Q72" s="31" t="n">
        <v>860.77</v>
      </c>
      <c r="R72" s="30" t="inlineStr">
        <is>
          <t>Near 52W High Breakout</t>
        </is>
      </c>
      <c r="S72" s="30" t="inlineStr">
        <is>
          <t>Nifty Realty</t>
        </is>
      </c>
      <c r="T72" s="31" t="n">
        <v>-26.45</v>
      </c>
      <c r="U72" s="31" t="n">
        <v>51.12</v>
      </c>
      <c r="V72" s="31" t="n">
        <v>105.48</v>
      </c>
      <c r="W72" s="31" t="n">
        <v>35.59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Less than 50%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IF(B73=0,"",RANK(B73,$B$2:$B$314,0))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PSPPROJECT</t>
        </is>
      </c>
      <c r="D73" s="30" t="inlineStr">
        <is>
          <t>PSP Projects Ltd</t>
        </is>
      </c>
      <c r="E73" s="30" t="inlineStr">
        <is>
          <t>realty</t>
        </is>
      </c>
      <c r="F73" s="30" t="inlineStr">
        <is>
          <t>construction</t>
        </is>
      </c>
      <c r="G73" s="30" t="inlineStr">
        <is>
          <t>smallcap</t>
        </is>
      </c>
      <c r="H73" s="31" t="n">
        <v>3250.83</v>
      </c>
      <c r="I73" s="31" t="n">
        <v>898.65</v>
      </c>
      <c r="J73" s="31" t="n">
        <v>9.58</v>
      </c>
      <c r="K73" s="31" t="n">
        <v>793302</v>
      </c>
      <c r="L73" s="30" t="n">
        <v>53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62.14</v>
      </c>
      <c r="P73" s="31" t="n">
        <v>23.15</v>
      </c>
      <c r="Q73" s="31" t="n">
        <v>657.47</v>
      </c>
      <c r="R73" s="30" t="inlineStr">
        <is>
          <t>Volume Spike / Accumulation</t>
        </is>
      </c>
      <c r="S73" s="30" t="inlineStr">
        <is>
          <t>Nifty Realty</t>
        </is>
      </c>
      <c r="T73" s="31" t="n">
        <v>-26.45</v>
      </c>
      <c r="U73" s="31" t="n">
        <v>39.17</v>
      </c>
      <c r="V73" s="31" t="n">
        <v>89.23</v>
      </c>
      <c r="W73" s="31" t="n">
        <v>14.67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IF(B74=0,"",RANK(B74,$B$2:$B$314,0))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AVALON</t>
        </is>
      </c>
      <c r="D74" s="30" t="inlineStr">
        <is>
          <t>Avalon Technologies Ltd</t>
        </is>
      </c>
      <c r="E74" s="30" t="inlineStr">
        <is>
          <t>consumer discretionary</t>
        </is>
      </c>
      <c r="F74" s="30" t="inlineStr">
        <is>
          <t>electronics - components</t>
        </is>
      </c>
      <c r="G74" s="30" t="inlineStr">
        <is>
          <t>midcap</t>
        </is>
      </c>
      <c r="H74" s="31" t="n">
        <v>10120.42</v>
      </c>
      <c r="I74" s="31" t="n">
        <v>1637.7</v>
      </c>
      <c r="J74" s="31" t="n">
        <v>8.039999999999999</v>
      </c>
      <c r="K74" s="31" t="n">
        <v>781827</v>
      </c>
      <c r="L74" s="30" t="n">
        <v>85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75.12</v>
      </c>
      <c r="P74" s="31" t="n">
        <v>28.26</v>
      </c>
      <c r="Q74" s="31" t="n">
        <v>1191.18</v>
      </c>
      <c r="R74" s="30" t="inlineStr">
        <is>
          <t>Near 52W High Breakout</t>
        </is>
      </c>
      <c r="S74" s="30" t="inlineStr">
        <is>
          <t>Nifty 50</t>
        </is>
      </c>
      <c r="T74" s="31" t="n">
        <v>-6.35</v>
      </c>
      <c r="U74" s="31" t="n">
        <v>89.03</v>
      </c>
      <c r="V74" s="31" t="n">
        <v>101.84</v>
      </c>
      <c r="W74" s="31" t="n">
        <v>31.99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Less than 50%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IF(B75=0,"",RANK(B75,$B$2:$B$314,0))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HSCL</t>
        </is>
      </c>
      <c r="D75" s="30" t="inlineStr">
        <is>
          <t>Himadri Speciality Chemical Limited</t>
        </is>
      </c>
      <c r="E75" s="30" t="inlineStr">
        <is>
          <t>chemicals</t>
        </is>
      </c>
      <c r="F75" s="30" t="inlineStr">
        <is>
          <t>chemicals</t>
        </is>
      </c>
      <c r="G75" s="30" t="inlineStr">
        <is>
          <t>largecap</t>
        </is>
      </c>
      <c r="H75" s="31" t="n">
        <v>30375.93</v>
      </c>
      <c r="I75" s="31" t="n">
        <v>642</v>
      </c>
      <c r="J75" s="31" t="n">
        <v>6.64</v>
      </c>
      <c r="K75" s="31" t="n">
        <v>19227270</v>
      </c>
      <c r="L75" s="30" t="n">
        <v>55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70.45999999999999</v>
      </c>
      <c r="P75" s="31" t="n">
        <v>27.18</v>
      </c>
      <c r="Q75" s="31" t="n">
        <v>494.11</v>
      </c>
      <c r="R75" s="30" t="inlineStr">
        <is>
          <t>Near 52W High Breakout</t>
        </is>
      </c>
      <c r="S75" s="30" t="inlineStr">
        <is>
          <t>Nifty 50</t>
        </is>
      </c>
      <c r="T75" s="31" t="n">
        <v>-6.35</v>
      </c>
      <c r="U75" s="31" t="n">
        <v>29.51</v>
      </c>
      <c r="V75" s="31" t="n">
        <v>38.28</v>
      </c>
      <c r="W75" s="31" t="n">
        <v>15.2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Between 1.5 to 2</t>
        </is>
      </c>
      <c r="BU75" s="30">
        <f>IF(BT75="Above 2",0,IF(BT75="Between 1.5 to 2",5,IF(BT75="Less than 1.5",10,0)))</f>
        <v/>
      </c>
      <c r="BV75" s="30" t="inlineStr">
        <is>
          <t>Less than 50%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IF(B76=0,"",RANK(B76,$B$2:$B$314,0))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PARAS</t>
        </is>
      </c>
      <c r="D76" s="30" t="inlineStr">
        <is>
          <t>Paras Defence and Space Technologies Ltd</t>
        </is>
      </c>
      <c r="E76" s="30" t="inlineStr">
        <is>
          <t>aerospace &amp; defence</t>
        </is>
      </c>
      <c r="F76" s="30" t="inlineStr">
        <is>
          <t>engineering</t>
        </is>
      </c>
      <c r="G76" s="30" t="inlineStr">
        <is>
          <t>midcap</t>
        </is>
      </c>
      <c r="H76" s="31" t="n">
        <v>6764.1</v>
      </c>
      <c r="I76" s="31" t="n">
        <v>893.8</v>
      </c>
      <c r="J76" s="31" t="n">
        <v>6.49</v>
      </c>
      <c r="K76" s="31" t="n">
        <v>7313338</v>
      </c>
      <c r="L76" s="30" t="n">
        <v>22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63.68</v>
      </c>
      <c r="P76" s="31" t="n">
        <v>35.26</v>
      </c>
      <c r="Q76" s="31" t="n">
        <v>644.13</v>
      </c>
      <c r="R76" s="30" t="inlineStr">
        <is>
          <t>Near 52W High Breakout</t>
        </is>
      </c>
      <c r="S76" s="30" t="inlineStr">
        <is>
          <t>Nifty 50</t>
        </is>
      </c>
      <c r="T76" s="31" t="n">
        <v>-6.35</v>
      </c>
      <c r="U76" s="31" t="n">
        <v>8.609999999999999</v>
      </c>
      <c r="V76" s="31" t="n">
        <v>15.97</v>
      </c>
      <c r="W76" s="31" t="n">
        <v>6.37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Less than 50%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IF(B77=0,"",RANK(B77,$B$2:$B$314,0))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MBAPL</t>
        </is>
      </c>
      <c r="D77" s="30" t="inlineStr">
        <is>
          <t>Madhya Bharat Agro Products Ltd</t>
        </is>
      </c>
      <c r="E77" s="30" t="inlineStr">
        <is>
          <t>chemicals</t>
        </is>
      </c>
      <c r="F77" s="30" t="inlineStr">
        <is>
          <t>fertilizers</t>
        </is>
      </c>
      <c r="G77" s="30" t="inlineStr">
        <is>
          <t>smallcap</t>
        </is>
      </c>
      <c r="H77" s="31" t="n">
        <v>4729.66</v>
      </c>
      <c r="I77" s="31" t="n">
        <v>555.65</v>
      </c>
      <c r="J77" s="31" t="n">
        <v>2.95</v>
      </c>
      <c r="K77" s="31" t="n">
        <v>213446</v>
      </c>
      <c r="L77" s="30" t="n">
        <v>50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66.17</v>
      </c>
      <c r="P77" s="31" t="n">
        <v>44.59</v>
      </c>
      <c r="Q77" s="31" t="n">
        <v>459.84</v>
      </c>
      <c r="R77" s="30" t="inlineStr">
        <is>
          <t>Near 52W High Breakout</t>
        </is>
      </c>
      <c r="S77" s="30" t="inlineStr">
        <is>
          <t>Nifty 50</t>
        </is>
      </c>
      <c r="T77" s="31" t="n">
        <v>-6.35</v>
      </c>
      <c r="U77" s="31" t="n">
        <v>58.08</v>
      </c>
      <c r="V77" s="31" t="n">
        <v>68.79000000000001</v>
      </c>
      <c r="W77" s="31" t="n">
        <v>13.64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Negative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IF(B78=0,"",RANK(B78,$B$2:$B$314,0))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GRINDWELL</t>
        </is>
      </c>
      <c r="D78" s="30" t="inlineStr">
        <is>
          <t>Grindwell Norton Limited</t>
        </is>
      </c>
      <c r="E78" s="30" t="inlineStr">
        <is>
          <t>industrials</t>
        </is>
      </c>
      <c r="F78" s="30" t="inlineStr">
        <is>
          <t>abrasives and grinding wheels</t>
        </is>
      </c>
      <c r="G78" s="30" t="inlineStr">
        <is>
          <t>largecap</t>
        </is>
      </c>
      <c r="H78" s="31" t="n">
        <v>20671.42</v>
      </c>
      <c r="I78" s="31" t="n">
        <v>1921.4</v>
      </c>
      <c r="J78" s="31" t="n">
        <v>2.91</v>
      </c>
      <c r="K78" s="31" t="n">
        <v>83341</v>
      </c>
      <c r="L78" s="30" t="n">
        <v>22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65.3</v>
      </c>
      <c r="P78" s="31" t="n">
        <v>25.01</v>
      </c>
      <c r="Q78" s="31" t="n">
        <v>1577.43</v>
      </c>
      <c r="R78" s="30" t="inlineStr">
        <is>
          <t>Near 52W High Breakout</t>
        </is>
      </c>
      <c r="S78" s="30" t="inlineStr">
        <is>
          <t>Nifty Infra</t>
        </is>
      </c>
      <c r="T78" s="31" t="n">
        <v>1.41</v>
      </c>
      <c r="U78" s="31" t="n">
        <v>5.36</v>
      </c>
      <c r="V78" s="31" t="n">
        <v>3.9</v>
      </c>
      <c r="W78" s="31" t="n">
        <v>6.18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Between 1.5 to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IF(B79=0,"",RANK(B79,$B$2:$B$314,0))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WHEELS</t>
        </is>
      </c>
      <c r="D79" s="30" t="inlineStr">
        <is>
          <t>Wheels India Limited</t>
        </is>
      </c>
      <c r="E79" s="30" t="inlineStr">
        <is>
          <t>auto</t>
        </is>
      </c>
      <c r="F79" s="30" t="inlineStr">
        <is>
          <t>auto ancillaries</t>
        </is>
      </c>
      <c r="G79" s="30" t="inlineStr">
        <is>
          <t>smallcap</t>
        </is>
      </c>
      <c r="H79" s="31" t="n">
        <v>3659.33</v>
      </c>
      <c r="I79" s="31" t="n">
        <v>1528.7</v>
      </c>
      <c r="J79" s="31" t="n">
        <v>2.07</v>
      </c>
      <c r="K79" s="31" t="n">
        <v>84286</v>
      </c>
      <c r="L79" s="30" t="n">
        <v>87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72.26000000000001</v>
      </c>
      <c r="P79" s="31" t="n">
        <v>46.71</v>
      </c>
      <c r="Q79" s="31" t="n">
        <v>1303.61</v>
      </c>
      <c r="R79" s="30" t="inlineStr">
        <is>
          <t>Earnings / Momentum Support</t>
        </is>
      </c>
      <c r="S79" s="30" t="inlineStr">
        <is>
          <t>Nifty Auto</t>
        </is>
      </c>
      <c r="T79" s="31" t="n">
        <v>10.49</v>
      </c>
      <c r="U79" s="31" t="n">
        <v>108.27</v>
      </c>
      <c r="V79" s="31" t="n">
        <v>88.48999999999999</v>
      </c>
      <c r="W79" s="31" t="n">
        <v>33.31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No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Less than 12%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IF(B80=0,"",RANK(B80,$B$2:$B$314,0))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VERANDA</t>
        </is>
      </c>
      <c r="D80" s="30" t="inlineStr">
        <is>
          <t>Veranda Learning Solutions Ltd</t>
        </is>
      </c>
      <c r="E80" s="30" t="inlineStr">
        <is>
          <t>services</t>
        </is>
      </c>
      <c r="F80" s="30" t="inlineStr">
        <is>
          <t>miscellaneous</t>
        </is>
      </c>
      <c r="G80" s="30" t="inlineStr">
        <is>
          <t>smallcap</t>
        </is>
      </c>
      <c r="H80" s="31" t="n">
        <v>2240.66</v>
      </c>
      <c r="I80" s="31" t="n">
        <v>237.55</v>
      </c>
      <c r="J80" s="31" t="n">
        <v>1.96</v>
      </c>
      <c r="K80" s="31" t="n">
        <v>299265</v>
      </c>
      <c r="L80" s="30" t="n">
        <v>54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64.3</v>
      </c>
      <c r="P80" s="31" t="n">
        <v>31.62</v>
      </c>
      <c r="Q80" s="31" t="n">
        <v>170.78</v>
      </c>
      <c r="R80" s="30" t="inlineStr">
        <is>
          <t>Earnings / Momentum Support</t>
        </is>
      </c>
      <c r="S80" s="30" t="inlineStr">
        <is>
          <t>Nifty 50</t>
        </is>
      </c>
      <c r="T80" s="31" t="n">
        <v>-6.35</v>
      </c>
      <c r="U80" s="31" t="n">
        <v>19.96</v>
      </c>
      <c r="V80" s="31" t="n">
        <v>28.09</v>
      </c>
      <c r="W80" s="31" t="n">
        <v>15.04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Between 50% to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IF(B81=0,"",RANK(B81,$B$2:$B$314,0))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RPEL</t>
        </is>
      </c>
      <c r="D81" s="30" t="inlineStr">
        <is>
          <t>Raghav Productivity Enhancers Ltd</t>
        </is>
      </c>
      <c r="E81" s="30" t="inlineStr">
        <is>
          <t>building materials</t>
        </is>
      </c>
      <c r="F81" s="30" t="inlineStr">
        <is>
          <t>refractories / intermediates</t>
        </is>
      </c>
      <c r="G81" s="30" t="inlineStr">
        <is>
          <t>smallcap</t>
        </is>
      </c>
      <c r="H81" s="31" t="n">
        <v>4557.68</v>
      </c>
      <c r="I81" s="31" t="n">
        <v>1010.2</v>
      </c>
      <c r="J81" s="31" t="n">
        <v>1.76</v>
      </c>
      <c r="K81" s="31" t="n">
        <v>75750</v>
      </c>
      <c r="L81" s="30" t="n">
        <v>71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70.01000000000001</v>
      </c>
      <c r="P81" s="31" t="n">
        <v>28.2</v>
      </c>
      <c r="Q81" s="31" t="n">
        <v>755.27</v>
      </c>
      <c r="R81" s="30" t="inlineStr">
        <is>
          <t>Near 52W High Breakout</t>
        </is>
      </c>
      <c r="S81" s="30" t="inlineStr">
        <is>
          <t>Nifty Infra</t>
        </is>
      </c>
      <c r="T81" s="31" t="n">
        <v>1.41</v>
      </c>
      <c r="U81" s="31" t="n">
        <v>42.12</v>
      </c>
      <c r="V81" s="31" t="n">
        <v>40.14</v>
      </c>
      <c r="W81" s="31" t="n">
        <v>21.5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Between 1.5 to 2</t>
        </is>
      </c>
      <c r="BU81" s="30">
        <f>IF(BT81="Above 2",0,IF(BT81="Between 1.5 to 2",5,IF(BT81="Less than 1.5",10,0)))</f>
        <v/>
      </c>
      <c r="BV81" s="30" t="inlineStr">
        <is>
          <t>Less than 50%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IF(B82=0,"",RANK(B82,$B$2:$B$314,0))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MIRCELECTR</t>
        </is>
      </c>
      <c r="D82" s="30" t="inlineStr">
        <is>
          <t>Mirc Electronics Limited</t>
        </is>
      </c>
      <c r="E82" s="30" t="inlineStr">
        <is>
          <t>consumer discretionary</t>
        </is>
      </c>
      <c r="F82" s="30" t="inlineStr">
        <is>
          <t>electronics - consumer</t>
        </is>
      </c>
      <c r="G82" s="30" t="inlineStr">
        <is>
          <t>smallcap</t>
        </is>
      </c>
      <c r="H82" s="31" t="n">
        <v>1504.17</v>
      </c>
      <c r="I82" s="31" t="n">
        <v>41.34</v>
      </c>
      <c r="J82" s="31" t="n">
        <v>1.52</v>
      </c>
      <c r="K82" s="31" t="n">
        <v>399821</v>
      </c>
      <c r="L82" s="30" t="n">
        <v>93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67.65000000000001</v>
      </c>
      <c r="P82" s="31" t="n">
        <v>33.52</v>
      </c>
      <c r="Q82" s="31" t="n">
        <v>28.67</v>
      </c>
      <c r="R82" s="30" t="inlineStr">
        <is>
          <t>Near 52W High Breakout</t>
        </is>
      </c>
      <c r="S82" s="30" t="inlineStr">
        <is>
          <t>Nifty 50</t>
        </is>
      </c>
      <c r="T82" s="31" t="n">
        <v>-6.35</v>
      </c>
      <c r="U82" s="31" t="n">
        <v>185.3</v>
      </c>
      <c r="V82" s="31" t="n">
        <v>204.63</v>
      </c>
      <c r="W82" s="31" t="n">
        <v>41.58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Negative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IF(B83=0,"",RANK(B83,$B$2:$B$314,0))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PASUPTAC</t>
        </is>
      </c>
      <c r="D83" s="30" t="inlineStr">
        <is>
          <t>Pasupati Acrylon Ltd</t>
        </is>
      </c>
      <c r="E83" s="30" t="inlineStr">
        <is>
          <t>textiles</t>
        </is>
      </c>
      <c r="F83" s="30" t="inlineStr">
        <is>
          <t>textiles - manmade</t>
        </is>
      </c>
      <c r="G83" s="30" t="inlineStr">
        <is>
          <t>smallcap</t>
        </is>
      </c>
      <c r="H83" s="31" t="n">
        <v>599.78</v>
      </c>
      <c r="I83" s="31" t="n">
        <v>68.11</v>
      </c>
      <c r="J83" s="31" t="n">
        <v>1.22</v>
      </c>
      <c r="K83" s="31" t="n">
        <v>342026</v>
      </c>
      <c r="L83" s="30" t="n">
        <v>62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71.12</v>
      </c>
      <c r="P83" s="31" t="n">
        <v>28.19</v>
      </c>
      <c r="Q83" s="31" t="n">
        <v>48.66</v>
      </c>
      <c r="R83" s="30" t="inlineStr">
        <is>
          <t>Volume Spike &amp; Near 52W High Breakout</t>
        </is>
      </c>
      <c r="S83" s="30" t="inlineStr">
        <is>
          <t>Nifty 50</t>
        </is>
      </c>
      <c r="T83" s="31" t="n">
        <v>-6.35</v>
      </c>
      <c r="U83" s="31" t="n">
        <v>39.86</v>
      </c>
      <c r="V83" s="31" t="n">
        <v>49.33</v>
      </c>
      <c r="W83" s="31" t="n">
        <v>17.4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Less than 50%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IF(B84=0,"",RANK(B84,$B$2:$B$314,0))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KIRLPNU</t>
        </is>
      </c>
      <c r="D84" s="30" t="inlineStr">
        <is>
          <t>Kirloskar Pneumatic Company Ltd</t>
        </is>
      </c>
      <c r="E84" s="30" t="inlineStr">
        <is>
          <t>industrials</t>
        </is>
      </c>
      <c r="F84" s="30" t="inlineStr">
        <is>
          <t>compressors / drilling equipment</t>
        </is>
      </c>
      <c r="G84" s="30" t="inlineStr">
        <is>
          <t>midcap</t>
        </is>
      </c>
      <c r="H84" s="31" t="n">
        <v>10260.15</v>
      </c>
      <c r="I84" s="31" t="n">
        <v>1598.2</v>
      </c>
      <c r="J84" s="31" t="n">
        <v>1.18</v>
      </c>
      <c r="K84" s="31" t="n">
        <v>94741</v>
      </c>
      <c r="L84" s="30" t="n">
        <v>47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74.95999999999999</v>
      </c>
      <c r="P84" s="31" t="n">
        <v>31.96</v>
      </c>
      <c r="Q84" s="31" t="n">
        <v>1275.07</v>
      </c>
      <c r="R84" s="30" t="inlineStr">
        <is>
          <t>Near 52W High Breakout</t>
        </is>
      </c>
      <c r="S84" s="30" t="inlineStr">
        <is>
          <t>Nifty 50</t>
        </is>
      </c>
      <c r="T84" s="31" t="n">
        <v>-6.35</v>
      </c>
      <c r="U84" s="31" t="n">
        <v>16.95</v>
      </c>
      <c r="V84" s="31" t="n">
        <v>24.87</v>
      </c>
      <c r="W84" s="31" t="n">
        <v>12.53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Between 50% to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IF(B85=0,"",RANK(B85,$B$2:$B$314,0))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AEROFLEX</t>
        </is>
      </c>
      <c r="D85" s="30" t="inlineStr">
        <is>
          <t>Aeroflex Industries Ltd</t>
        </is>
      </c>
      <c r="E85" s="30" t="inlineStr">
        <is>
          <t>metals &amp; mining</t>
        </is>
      </c>
      <c r="F85" s="30" t="inlineStr">
        <is>
          <t>steel - medium / small</t>
        </is>
      </c>
      <c r="G85" s="30" t="inlineStr">
        <is>
          <t>midcap</t>
        </is>
      </c>
      <c r="H85" s="31" t="n">
        <v>5748.45</v>
      </c>
      <c r="I85" s="31" t="n">
        <v>439.4</v>
      </c>
      <c r="J85" s="31" t="n">
        <v>1.15</v>
      </c>
      <c r="K85" s="31" t="n">
        <v>1781431</v>
      </c>
      <c r="L85" s="30" t="n">
        <v>94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72.53</v>
      </c>
      <c r="P85" s="31" t="n">
        <v>53.8</v>
      </c>
      <c r="Q85" s="31" t="n">
        <v>304.83</v>
      </c>
      <c r="R85" s="30" t="inlineStr">
        <is>
          <t>Near 52W High Breakout</t>
        </is>
      </c>
      <c r="S85" s="30" t="inlineStr">
        <is>
          <t>Nifty Metal</t>
        </is>
      </c>
      <c r="T85" s="31" t="n">
        <v>42.84</v>
      </c>
      <c r="U85" s="31" t="n">
        <v>169.95</v>
      </c>
      <c r="V85" s="31" t="n">
        <v>88.98999999999999</v>
      </c>
      <c r="W85" s="31" t="n">
        <v>46.46</v>
      </c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Cyclical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Volatile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Between 1.5 to 2</t>
        </is>
      </c>
      <c r="BU85" s="30">
        <f>IF(BT85="Above 2",0,IF(BT85="Between 1.5 to 2",5,IF(BT85="Less than 1.5",10,0)))</f>
        <v/>
      </c>
      <c r="BV85" s="30" t="inlineStr">
        <is>
          <t>Between 50% to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IF(B86=0,"",RANK(B86,$B$2:$B$314,0))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SKIPPER</t>
        </is>
      </c>
      <c r="D86" s="30" t="inlineStr">
        <is>
          <t>Skipper Limited</t>
        </is>
      </c>
      <c r="E86" s="30" t="inlineStr">
        <is>
          <t>industrials</t>
        </is>
      </c>
      <c r="F86" s="30" t="inlineStr">
        <is>
          <t>engineering</t>
        </is>
      </c>
      <c r="G86" s="30" t="inlineStr">
        <is>
          <t>midcap</t>
        </is>
      </c>
      <c r="H86" s="31" t="n">
        <v>6441.18</v>
      </c>
      <c r="I86" s="31" t="n">
        <v>574.65</v>
      </c>
      <c r="J86" s="31" t="n">
        <v>0.73</v>
      </c>
      <c r="K86" s="31" t="n">
        <v>2598018</v>
      </c>
      <c r="L86" s="30" t="n">
        <v>70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72.63</v>
      </c>
      <c r="P86" s="31" t="n">
        <v>32.76</v>
      </c>
      <c r="Q86" s="31" t="n">
        <v>432.11</v>
      </c>
      <c r="R86" s="30" t="inlineStr">
        <is>
          <t>Volume Spike &amp; Near 52W High Breakout</t>
        </is>
      </c>
      <c r="S86" s="30" t="inlineStr">
        <is>
          <t>Nifty 50</t>
        </is>
      </c>
      <c r="T86" s="31" t="n">
        <v>-6.35</v>
      </c>
      <c r="U86" s="31" t="n">
        <v>18.08</v>
      </c>
      <c r="V86" s="31" t="n">
        <v>26.08</v>
      </c>
      <c r="W86" s="31" t="n">
        <v>20.99</v>
      </c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Less than 50%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IF(B87=0,"",RANK(B87,$B$2:$B$314,0))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SANSERA</t>
        </is>
      </c>
      <c r="D87" s="30" t="inlineStr">
        <is>
          <t>Sansera Engineering Ltd</t>
        </is>
      </c>
      <c r="E87" s="30" t="inlineStr">
        <is>
          <t>auto</t>
        </is>
      </c>
      <c r="F87" s="30" t="inlineStr">
        <is>
          <t>auto ancillaries</t>
        </is>
      </c>
      <c r="G87" s="30" t="inlineStr">
        <is>
          <t>midcap</t>
        </is>
      </c>
      <c r="H87" s="31" t="n">
        <v>18168.55</v>
      </c>
      <c r="I87" s="31" t="n">
        <v>2925.8</v>
      </c>
      <c r="J87" s="31" t="n">
        <v>0.38</v>
      </c>
      <c r="K87" s="31" t="n">
        <v>158992</v>
      </c>
      <c r="L87" s="30" t="n">
        <v>77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74.42</v>
      </c>
      <c r="P87" s="31" t="n">
        <v>39.79</v>
      </c>
      <c r="Q87" s="31" t="n">
        <v>2254.19</v>
      </c>
      <c r="R87" s="30" t="inlineStr">
        <is>
          <t>Near 52W High Breakout</t>
        </is>
      </c>
      <c r="S87" s="30" t="inlineStr">
        <is>
          <t>Nifty Auto</t>
        </is>
      </c>
      <c r="T87" s="31" t="n">
        <v>10.49</v>
      </c>
      <c r="U87" s="31" t="n">
        <v>116.95</v>
      </c>
      <c r="V87" s="31" t="n">
        <v>96.34</v>
      </c>
      <c r="W87" s="31" t="n">
        <v>24.31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Between 50% to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IF(B88=0,"",RANK(B88,$B$2:$B$314,0))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ADANIPORTS</t>
        </is>
      </c>
      <c r="D88" s="30" t="inlineStr">
        <is>
          <t>Adani Ports And Special Economic Zone Limited</t>
        </is>
      </c>
      <c r="E88" s="30" t="inlineStr">
        <is>
          <t>transportation</t>
        </is>
      </c>
      <c r="F88" s="30" t="inlineStr">
        <is>
          <t>miscellaneous</t>
        </is>
      </c>
      <c r="G88" s="30" t="inlineStr">
        <is>
          <t>largecap</t>
        </is>
      </c>
      <c r="H88" s="31" t="n">
        <v>415588.14</v>
      </c>
      <c r="I88" s="31" t="n">
        <v>1790.9</v>
      </c>
      <c r="J88" s="31" t="n">
        <v>-0.72</v>
      </c>
      <c r="K88" s="31" t="n">
        <v>1369988</v>
      </c>
      <c r="L88" s="30" t="n">
        <v>34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69.77</v>
      </c>
      <c r="P88" s="31" t="n">
        <v>25.7</v>
      </c>
      <c r="Q88" s="31" t="n">
        <v>1520.83</v>
      </c>
      <c r="R88" s="30" t="inlineStr">
        <is>
          <t>Near 52W High Breakout</t>
        </is>
      </c>
      <c r="S88" s="30" t="inlineStr">
        <is>
          <t>Nifty 50</t>
        </is>
      </c>
      <c r="T88" s="31" t="n">
        <v>-6.35</v>
      </c>
      <c r="U88" s="31" t="n">
        <v>22.28</v>
      </c>
      <c r="V88" s="31" t="n">
        <v>30.57</v>
      </c>
      <c r="W88" s="31" t="n">
        <v>8.949999999999999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Less than 12%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IF(B89=0,"",RANK(B89,$B$2:$B$314,0))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WELCORP</t>
        </is>
      </c>
      <c r="D89" s="30" t="inlineStr">
        <is>
          <t>Welspun Corp Limited</t>
        </is>
      </c>
      <c r="E89" s="30" t="inlineStr">
        <is>
          <t>industrials</t>
        </is>
      </c>
      <c r="F89" s="30" t="inlineStr">
        <is>
          <t>steel - large</t>
        </is>
      </c>
      <c r="G89" s="30" t="inlineStr">
        <is>
          <t>largecap</t>
        </is>
      </c>
      <c r="H89" s="31" t="n">
        <v>37289.45</v>
      </c>
      <c r="I89" s="31" t="n">
        <v>1402.7</v>
      </c>
      <c r="J89" s="31" t="n">
        <v>-0.77</v>
      </c>
      <c r="K89" s="31" t="n">
        <v>622728</v>
      </c>
      <c r="L89" s="30" t="n">
        <v>81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82.13</v>
      </c>
      <c r="P89" s="31" t="n">
        <v>46.39</v>
      </c>
      <c r="Q89" s="31" t="n">
        <v>1144.42</v>
      </c>
      <c r="R89" s="30" t="inlineStr">
        <is>
          <t>Near 52W High Breakout</t>
        </is>
      </c>
      <c r="S89" s="30" t="inlineStr">
        <is>
          <t>Nifty Metal</t>
        </is>
      </c>
      <c r="T89" s="31" t="n">
        <v>42.84</v>
      </c>
      <c r="U89" s="31" t="n">
        <v>45.95</v>
      </c>
      <c r="V89" s="31" t="n">
        <v>2.18</v>
      </c>
      <c r="W89" s="31" t="n">
        <v>26.06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Less than 12%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IF(B90=0,"",RANK(B90,$B$2:$B$314,0))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SANGAMIND</t>
        </is>
      </c>
      <c r="D90" s="30" t="inlineStr">
        <is>
          <t>Sangam (india) Limited</t>
        </is>
      </c>
      <c r="E90" s="30" t="inlineStr">
        <is>
          <t>textiles</t>
        </is>
      </c>
      <c r="F90" s="30" t="inlineStr">
        <is>
          <t>textiles - spinning - synthetic / blended</t>
        </is>
      </c>
      <c r="G90" s="30" t="inlineStr">
        <is>
          <t>smallcap</t>
        </is>
      </c>
      <c r="H90" s="31" t="n">
        <v>2673.37</v>
      </c>
      <c r="I90" s="31" t="n">
        <v>527.35</v>
      </c>
      <c r="J90" s="31" t="n">
        <v>-0.88</v>
      </c>
      <c r="K90" s="31" t="n">
        <v>23633</v>
      </c>
      <c r="L90" s="30" t="n">
        <v>35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64.08</v>
      </c>
      <c r="P90" s="31" t="n">
        <v>26.44</v>
      </c>
      <c r="Q90" s="31" t="n">
        <v>404.57</v>
      </c>
      <c r="R90" s="30" t="inlineStr">
        <is>
          <t>Near 52W High Breakout</t>
        </is>
      </c>
      <c r="S90" s="30" t="inlineStr">
        <is>
          <t>Nifty 50</t>
        </is>
      </c>
      <c r="T90" s="31" t="n">
        <v>-6.35</v>
      </c>
      <c r="U90" s="31" t="n">
        <v>22.98</v>
      </c>
      <c r="V90" s="31" t="n">
        <v>31.31</v>
      </c>
      <c r="W90" s="31" t="n">
        <v>9.41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Between 0.7 to 1.2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IF(B91=0,"",RANK(B91,$B$2:$B$314,0))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SPORTKING</t>
        </is>
      </c>
      <c r="D91" s="30" t="inlineStr">
        <is>
          <t>Sportking India Ltd</t>
        </is>
      </c>
      <c r="E91" s="30" t="inlineStr">
        <is>
          <t>textiles</t>
        </is>
      </c>
      <c r="F91" s="30" t="inlineStr">
        <is>
          <t>textiles - spinning - synthetic / blended</t>
        </is>
      </c>
      <c r="G91" s="30" t="inlineStr">
        <is>
          <t>smallcap</t>
        </is>
      </c>
      <c r="H91" s="31" t="n">
        <v>2318.17</v>
      </c>
      <c r="I91" s="31" t="n">
        <v>180.27</v>
      </c>
      <c r="J91" s="31" t="n">
        <v>-1.18</v>
      </c>
      <c r="K91" s="31" t="n">
        <v>442089</v>
      </c>
      <c r="L91" s="30" t="n">
        <v>79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80.40000000000001</v>
      </c>
      <c r="P91" s="31" t="n">
        <v>51.15</v>
      </c>
      <c r="Q91" s="31" t="n">
        <v>133.72</v>
      </c>
      <c r="R91" s="30" t="inlineStr">
        <is>
          <t>Volume Spike &amp; Near 52W High Breakout</t>
        </is>
      </c>
      <c r="S91" s="30" t="inlineStr">
        <is>
          <t>Nifty 50</t>
        </is>
      </c>
      <c r="T91" s="31" t="n">
        <v>-6.35</v>
      </c>
      <c r="U91" s="31" t="n">
        <v>54.85</v>
      </c>
      <c r="V91" s="31" t="n">
        <v>65.34999999999999</v>
      </c>
      <c r="W91" s="31" t="n">
        <v>25.14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Above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Less than 12%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IF(B92=0,"",RANK(B92,$B$2:$B$314,0))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DIVGIITTS</t>
        </is>
      </c>
      <c r="D92" s="30" t="inlineStr">
        <is>
          <t>Divgi Torqtransfer Systems Ltd</t>
        </is>
      </c>
      <c r="E92" s="30" t="inlineStr">
        <is>
          <t>auto</t>
        </is>
      </c>
      <c r="F92" s="30" t="inlineStr">
        <is>
          <t>auto ancillaries</t>
        </is>
      </c>
      <c r="G92" s="30" t="inlineStr">
        <is>
          <t>smallcap</t>
        </is>
      </c>
      <c r="H92" s="31" t="n">
        <v>2454.59</v>
      </c>
      <c r="I92" s="31" t="n">
        <v>786.3</v>
      </c>
      <c r="J92" s="31" t="n">
        <v>-2.03</v>
      </c>
      <c r="K92" s="31" t="n">
        <v>39980</v>
      </c>
      <c r="L92" s="30" t="n">
        <v>30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58.87</v>
      </c>
      <c r="P92" s="31" t="n">
        <v>26.07</v>
      </c>
      <c r="Q92" s="31" t="n">
        <v>585.72</v>
      </c>
      <c r="R92" s="30" t="inlineStr">
        <is>
          <t>Near 52W High Breakout</t>
        </is>
      </c>
      <c r="S92" s="30" t="inlineStr">
        <is>
          <t>Nifty Auto</t>
        </is>
      </c>
      <c r="T92" s="31" t="n">
        <v>10.49</v>
      </c>
      <c r="U92" s="31" t="n">
        <v>30.85</v>
      </c>
      <c r="V92" s="31" t="n">
        <v>18.42</v>
      </c>
      <c r="W92" s="31" t="n">
        <v>7.85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Between 50% to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IF(B93=0,"",RANK(B93,$B$2:$B$314,0))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CARYSIL</t>
        </is>
      </c>
      <c r="D93" s="30" t="inlineStr">
        <is>
          <t>Carysil Ltd</t>
        </is>
      </c>
      <c r="E93" s="30" t="inlineStr">
        <is>
          <t>consumer discretionary</t>
        </is>
      </c>
      <c r="F93" s="30" t="inlineStr">
        <is>
          <t>domestic appliances</t>
        </is>
      </c>
      <c r="G93" s="30" t="inlineStr">
        <is>
          <t>smallcap</t>
        </is>
      </c>
      <c r="H93" s="31" t="n">
        <v>3236.77</v>
      </c>
      <c r="I93" s="31" t="n">
        <v>1095.2</v>
      </c>
      <c r="J93" s="31" t="n">
        <v>-3.76</v>
      </c>
      <c r="K93" s="31" t="n">
        <v>249308</v>
      </c>
      <c r="L93" s="30" t="n">
        <v>40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66.76000000000001</v>
      </c>
      <c r="P93" s="31" t="n">
        <v>18.25</v>
      </c>
      <c r="Q93" s="31" t="n">
        <v>810.9400000000001</v>
      </c>
      <c r="R93" s="30" t="inlineStr">
        <is>
          <t>Near 52W High Breakout</t>
        </is>
      </c>
      <c r="S93" s="30" t="inlineStr">
        <is>
          <t>Nifty 50</t>
        </is>
      </c>
      <c r="T93" s="31" t="n">
        <v>-6.35</v>
      </c>
      <c r="U93" s="31" t="n">
        <v>26.03</v>
      </c>
      <c r="V93" s="31" t="n">
        <v>34.57</v>
      </c>
      <c r="W93" s="31" t="n">
        <v>10.74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0 to 20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Between 50% to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IF(B94=0,"",RANK(B94,$B$2:$B$314,0))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IPCALAB</t>
        </is>
      </c>
      <c r="D94" s="30" t="inlineStr">
        <is>
          <t>Ipca Laboratories Limited</t>
        </is>
      </c>
      <c r="E94" s="30" t="inlineStr">
        <is>
          <t>healthcare</t>
        </is>
      </c>
      <c r="F94" s="30" t="inlineStr">
        <is>
          <t>pharmaceuticals - indian - bulk drugs &amp; formln</t>
        </is>
      </c>
      <c r="G94" s="30" t="inlineStr">
        <is>
          <t>largecap</t>
        </is>
      </c>
      <c r="H94" s="31" t="n">
        <v>39443.39</v>
      </c>
      <c r="I94" s="31" t="n">
        <v>1614</v>
      </c>
      <c r="J94" s="31" t="n">
        <v>3.81</v>
      </c>
      <c r="K94" s="31" t="n">
        <v>396358</v>
      </c>
      <c r="L94" s="30" t="n">
        <v>15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58.26</v>
      </c>
      <c r="P94" s="31" t="n">
        <v>33.16</v>
      </c>
      <c r="Q94" s="31" t="n">
        <v>1284.48</v>
      </c>
      <c r="R94" s="30" t="inlineStr">
        <is>
          <t>Near 52W High Breakout</t>
        </is>
      </c>
      <c r="S94" s="30" t="inlineStr">
        <is>
          <t>Nifty Pharma</t>
        </is>
      </c>
      <c r="T94" s="31" t="n">
        <v>11.5</v>
      </c>
      <c r="U94" s="31" t="n">
        <v>17.9</v>
      </c>
      <c r="V94" s="31" t="n">
        <v>5.74</v>
      </c>
      <c r="W94" s="31" t="n">
        <v>5.05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Yes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Between 50% to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IF(B95=0,"",RANK(B95,$B$2:$B$314,0))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SAILIFE</t>
        </is>
      </c>
      <c r="D95" s="30" t="inlineStr">
        <is>
          <t>Sai Life Sciences Ltd</t>
        </is>
      </c>
      <c r="E95" s="30" t="inlineStr">
        <is>
          <t>healthcare</t>
        </is>
      </c>
      <c r="F95" s="30" t="inlineStr">
        <is>
          <t>pharmaceuticals - indian - bulk drugs &amp; formln</t>
        </is>
      </c>
      <c r="G95" s="30" t="inlineStr">
        <is>
          <t>largecap</t>
        </is>
      </c>
      <c r="H95" s="31" t="n">
        <v>24094.12</v>
      </c>
      <c r="I95" s="31" t="n">
        <v>1159.3</v>
      </c>
      <c r="J95" s="31" t="n">
        <v>1.9</v>
      </c>
      <c r="K95" s="31" t="n">
        <v>435285</v>
      </c>
      <c r="L95" s="30" t="n">
        <v>45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68.34999999999999</v>
      </c>
      <c r="P95" s="31" t="n">
        <v>30.23</v>
      </c>
      <c r="Q95" s="31" t="n">
        <v>914.88</v>
      </c>
      <c r="R95" s="30" t="inlineStr">
        <is>
          <t>Near 52W High Breakout</t>
        </is>
      </c>
      <c r="S95" s="30" t="inlineStr">
        <is>
          <t>Nifty Pharma</t>
        </is>
      </c>
      <c r="T95" s="31" t="n">
        <v>11.5</v>
      </c>
      <c r="U95" s="31" t="n">
        <v>57.26</v>
      </c>
      <c r="V95" s="31" t="n">
        <v>41.04</v>
      </c>
      <c r="W95" s="31" t="n">
        <v>12.1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Yes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Annuity, Lower One Time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Between 12 to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IF(B96=0,"",RANK(B96,$B$2:$B$314,0))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SBCL</t>
        </is>
      </c>
      <c r="D96" s="30" t="inlineStr">
        <is>
          <t>Shivalik Bimetal Controls Ltd</t>
        </is>
      </c>
      <c r="E96" s="30" t="inlineStr">
        <is>
          <t>metals &amp; mining</t>
        </is>
      </c>
      <c r="F96" s="30" t="inlineStr">
        <is>
          <t>mining / minerals / metals</t>
        </is>
      </c>
      <c r="G96" s="30" t="inlineStr">
        <is>
          <t>smallcap</t>
        </is>
      </c>
      <c r="H96" s="31" t="n">
        <v>4169.97</v>
      </c>
      <c r="I96" s="31" t="n">
        <v>727.8</v>
      </c>
      <c r="J96" s="31" t="n">
        <v>0.54</v>
      </c>
      <c r="K96" s="31" t="n">
        <v>349605</v>
      </c>
      <c r="L96" s="30" t="n">
        <v>82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72.23999999999999</v>
      </c>
      <c r="P96" s="31" t="n">
        <v>30.36</v>
      </c>
      <c r="Q96" s="31" t="n">
        <v>554.37</v>
      </c>
      <c r="R96" s="30" t="inlineStr">
        <is>
          <t>Near 52W High Breakout</t>
        </is>
      </c>
      <c r="S96" s="30" t="inlineStr">
        <is>
          <t>Nifty Metal</t>
        </is>
      </c>
      <c r="T96" s="31" t="n">
        <v>42.84</v>
      </c>
      <c r="U96" s="31" t="n">
        <v>50.84</v>
      </c>
      <c r="V96" s="31" t="n">
        <v>5.6</v>
      </c>
      <c r="W96" s="31" t="n">
        <v>26.24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Monopoly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Shallow Cyclical (2 to 3 Years Growth)</t>
        </is>
      </c>
      <c r="AG96" s="30">
        <f>IF(AF96="Structural (10 Years Consistency)",10,IF(AF96="Shallow Cyclical (2 to 3 years growth)",5,0))</f>
        <v/>
      </c>
      <c r="AH96" s="30" t="inlineStr">
        <is>
          <t>Yes due to Product Mix change or Operating Leverage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Fully One Time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20 to 40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Close to 52 week high or retracement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Yes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Between 1.5 to 2</t>
        </is>
      </c>
      <c r="BU96" s="30">
        <f>IF(BT96="Above 2",0,IF(BT96="Between 1.5 to 2",5,IF(BT96="Less than 1.5",10,0)))</f>
        <v/>
      </c>
      <c r="BV96" s="30" t="inlineStr">
        <is>
          <t>Less than 50%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IF(B97=0,"",RANK(B97,$B$2:$B$314,0))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VBL</t>
        </is>
      </c>
      <c r="D97" s="30" t="inlineStr">
        <is>
          <t>Varun Beverages Limited</t>
        </is>
      </c>
      <c r="E97" s="30" t="inlineStr">
        <is>
          <t>fmcg</t>
        </is>
      </c>
      <c r="F97" s="30" t="inlineStr">
        <is>
          <t>food - processing - indian</t>
        </is>
      </c>
      <c r="G97" s="30" t="inlineStr">
        <is>
          <t>largecap</t>
        </is>
      </c>
      <c r="H97" s="31" t="n">
        <v>180400.92</v>
      </c>
      <c r="I97" s="31" t="n">
        <v>528.4</v>
      </c>
      <c r="J97" s="31" t="n">
        <v>-0.9399999999999999</v>
      </c>
      <c r="K97" s="31" t="n">
        <v>2968198</v>
      </c>
      <c r="L97" s="30" t="n">
        <v>21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63.13</v>
      </c>
      <c r="P97" s="31" t="n">
        <v>29.43</v>
      </c>
      <c r="Q97" s="31" t="n">
        <v>446.75</v>
      </c>
      <c r="R97" s="30" t="inlineStr">
        <is>
          <t>Near 52W High Breakout</t>
        </is>
      </c>
      <c r="S97" s="30" t="inlineStr">
        <is>
          <t>Nifty FMCG</t>
        </is>
      </c>
      <c r="T97" s="31" t="n">
        <v>-13.6</v>
      </c>
      <c r="U97" s="31" t="n">
        <v>11.13</v>
      </c>
      <c r="V97" s="31" t="n">
        <v>28.61</v>
      </c>
      <c r="W97" s="31" t="n">
        <v>6.12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Duopoly That Cooperate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Shallow Cyclical (2 to 3 Years Growth)</t>
        </is>
      </c>
      <c r="AG97" s="30">
        <f>IF(AF97="Structural (10 Years Consistency)",10,IF(AF97="Shallow Cyclical (2 to 3 years growth)",5,0))</f>
        <v/>
      </c>
      <c r="AH97" s="30" t="inlineStr">
        <is>
          <t>Yes due to Product Mix change or Operating Leverage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B2C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Fully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only for next 1 to 2 years</t>
        </is>
      </c>
      <c r="AW97" s="30">
        <f>IF(AV97="Yes for more than 2 years",10,IF(AV97="Yes only for next 1 to 2 years",5,0))</f>
        <v/>
      </c>
      <c r="AX97" s="30" t="inlineStr">
        <is>
          <t>Above 40</t>
        </is>
      </c>
      <c r="AY97" s="30">
        <f>IF(AX97="Above 40",20,IF(AX97="20 to 40",10,IF(AX97="0 to 20",-5,0)))</f>
        <v/>
      </c>
      <c r="AZ97" s="30" t="inlineStr">
        <is>
          <t>Above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Close to 52 week high or retracement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Between 50% to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Between 0.7 to 1.2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IF(B98=0,"",RANK(B98,$B$2:$B$314,0))</f>
        <v/>
      </c>
      <c r="B98" s="31">
        <f>SUM(N98,Y98,AA98,AC98,AE98,AG98,AI98,AK98,AM98,AO98,AQ98,AS98,AU98,AW98,AY98,BA98,BC98,BE98,BG98,BI98,BK98,BM98,BO98,BQ98,BS98,BU98,BW98,BY98,CA98,CC98,CE98)</f>
        <v/>
      </c>
      <c r="C98" s="32" t="inlineStr">
        <is>
          <t>KOPRAN</t>
        </is>
      </c>
      <c r="D98" s="32" t="inlineStr">
        <is>
          <t>Kopran Limited</t>
        </is>
      </c>
      <c r="E98" s="30" t="inlineStr">
        <is>
          <t>healthcare</t>
        </is>
      </c>
      <c r="F98" s="30" t="inlineStr">
        <is>
          <t>pharmaceuticals - indian - bulk drugs &amp; formln</t>
        </is>
      </c>
      <c r="G98" s="30" t="inlineStr">
        <is>
          <t>smallcap</t>
        </is>
      </c>
      <c r="H98" s="31" t="n">
        <v>900.1900000000001</v>
      </c>
      <c r="I98" s="31" t="n">
        <v>184.08</v>
      </c>
      <c r="J98" s="31" t="n">
        <v>-1.26</v>
      </c>
      <c r="K98" s="31" t="n">
        <v>133592</v>
      </c>
      <c r="L98" s="30" t="n">
        <v>44</v>
      </c>
      <c r="M98" s="30" t="inlineStr">
        <is>
          <t>Underperforming</t>
        </is>
      </c>
      <c r="N98" s="31">
        <f>IF(M98="Underperforming",-5,IF(L98&gt;=95,15,IF(L98&gt;=90,10,IF(L98&gt;=80,5,0))))</f>
        <v/>
      </c>
      <c r="O98" s="31" t="n">
        <v>60.77</v>
      </c>
      <c r="P98" s="31" t="n">
        <v>25.16</v>
      </c>
      <c r="Q98" s="31" t="n">
        <v>149.13</v>
      </c>
      <c r="R98" s="30" t="inlineStr">
        <is>
          <t>Earnings / Momentum Support</t>
        </is>
      </c>
      <c r="S98" s="30" t="inlineStr">
        <is>
          <t>Nifty Pharma</t>
        </is>
      </c>
      <c r="T98" s="31" t="n">
        <v>11.5</v>
      </c>
      <c r="U98" s="31" t="n">
        <v>-3.02</v>
      </c>
      <c r="V98" s="31" t="n">
        <v>-13.02</v>
      </c>
      <c r="W98" s="31" t="n">
        <v>11.99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Yes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No</t>
        </is>
      </c>
      <c r="AQ98" s="30">
        <f>IF(AP98="Yes",10,0)</f>
        <v/>
      </c>
      <c r="AR98" s="30" t="inlineStr">
        <is>
          <t>Higher Annuity, Lower One Time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20 to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Close to 52 week high or retracement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No</t>
        </is>
      </c>
      <c r="BS98" s="30">
        <f>IF(BR98="NO",5,0)</f>
        <v/>
      </c>
      <c r="BT98" s="30" t="inlineStr">
        <is>
          <t>Less than 1.5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IF(B99=0,"",RANK(B99,$B$2:$B$314,0))</f>
        <v/>
      </c>
      <c r="B99" s="31">
        <f>SUM(N99,Y99,AA99,AC99,AE99,AG99,AI99,AK99,AM99,AO99,AQ99,AS99,AU99,AW99,AY99,BA99,BC99,BE99,BG99,BI99,BK99,BM99,BO99,BQ99,BS99,BU99,BW99,BY99,CA99,CC99,CE99)</f>
        <v/>
      </c>
      <c r="C99" s="32" t="inlineStr">
        <is>
          <t>MARKSANS</t>
        </is>
      </c>
      <c r="D99" s="32" t="inlineStr">
        <is>
          <t>Marksans Pharma Limited</t>
        </is>
      </c>
      <c r="E99" s="30" t="inlineStr">
        <is>
          <t>healthcare</t>
        </is>
      </c>
      <c r="F99" s="30" t="inlineStr">
        <is>
          <t>pharmaceuticals - indian - formulations</t>
        </is>
      </c>
      <c r="G99" s="30" t="inlineStr">
        <is>
          <t>midcap</t>
        </is>
      </c>
      <c r="H99" s="31" t="n">
        <v>10983.33</v>
      </c>
      <c r="I99" s="31" t="n">
        <v>239.14</v>
      </c>
      <c r="J99" s="31" t="n">
        <v>-1.33</v>
      </c>
      <c r="K99" s="31" t="n">
        <v>1535140</v>
      </c>
      <c r="L99" s="30" t="n">
        <v>36</v>
      </c>
      <c r="M99" s="30" t="inlineStr">
        <is>
          <t>Underperforming</t>
        </is>
      </c>
      <c r="N99" s="31">
        <f>IF(M99="Underperforming",-5,IF(L99&gt;=95,15,IF(L99&gt;=90,10,IF(L99&gt;=80,5,0))))</f>
        <v/>
      </c>
      <c r="O99" s="31" t="n">
        <v>70.59999999999999</v>
      </c>
      <c r="P99" s="31" t="n">
        <v>25.72</v>
      </c>
      <c r="Q99" s="31" t="n">
        <v>191.22</v>
      </c>
      <c r="R99" s="30" t="inlineStr">
        <is>
          <t>Earnings / Momentum Support</t>
        </is>
      </c>
      <c r="S99" s="30" t="inlineStr">
        <is>
          <t>Nifty Pharma</t>
        </is>
      </c>
      <c r="T99" s="31" t="n">
        <v>11.5</v>
      </c>
      <c r="U99" s="31" t="n">
        <v>-4.75</v>
      </c>
      <c r="V99" s="31" t="n">
        <v>-14.57</v>
      </c>
      <c r="W99" s="31" t="n">
        <v>9.76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Yes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No</t>
        </is>
      </c>
      <c r="AQ99" s="30">
        <f>IF(AP99="Yes",10,0)</f>
        <v/>
      </c>
      <c r="AR99" s="30" t="inlineStr">
        <is>
          <t>Higher Annuity, Lower One Time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IF(B100=0,"",RANK(B100,$B$2:$B$314,0))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SKMEGGPROD</t>
        </is>
      </c>
      <c r="D100" s="30" t="inlineStr">
        <is>
          <t>Skm Egg Products Export (india) Limited</t>
        </is>
      </c>
      <c r="E100" s="30" t="inlineStr">
        <is>
          <t>fmcg</t>
        </is>
      </c>
      <c r="F100" s="30" t="inlineStr">
        <is>
          <t>food - processing - indian</t>
        </is>
      </c>
      <c r="G100" s="30" t="inlineStr">
        <is>
          <t>smallcap</t>
        </is>
      </c>
      <c r="H100" s="31" t="n">
        <v>1282.32</v>
      </c>
      <c r="I100" s="31" t="n">
        <v>239.31</v>
      </c>
      <c r="J100" s="31" t="n">
        <v>-1.72</v>
      </c>
      <c r="K100" s="31" t="n">
        <v>1212354</v>
      </c>
      <c r="L100" s="30" t="n">
        <v>85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70.25</v>
      </c>
      <c r="P100" s="31" t="n">
        <v>15.81</v>
      </c>
      <c r="Q100" s="31" t="n">
        <v>165.66</v>
      </c>
      <c r="R100" s="30" t="inlineStr">
        <is>
          <t>Volume Spike &amp; Near 52W High Breakout</t>
        </is>
      </c>
      <c r="S100" s="30" t="inlineStr">
        <is>
          <t>Nifty FMCG</t>
        </is>
      </c>
      <c r="T100" s="31" t="n">
        <v>-13.6</v>
      </c>
      <c r="U100" s="31" t="n">
        <v>113.14</v>
      </c>
      <c r="V100" s="31" t="n">
        <v>146.68</v>
      </c>
      <c r="W100" s="31" t="n">
        <v>31.68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B2C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Annuity, Lower One Time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0 to 20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No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Less than 50%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IF(B101=0,"",RANK(B101,$B$2:$B$314,0))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SUVEN</t>
        </is>
      </c>
      <c r="D101" s="30" t="inlineStr">
        <is>
          <t>Suven Life Sciences Limited</t>
        </is>
      </c>
      <c r="E101" s="30" t="inlineStr">
        <is>
          <t>healthcare</t>
        </is>
      </c>
      <c r="F101" s="30" t="inlineStr">
        <is>
          <t>miscellaneous</t>
        </is>
      </c>
      <c r="G101" s="30" t="inlineStr">
        <is>
          <t>midcap</t>
        </is>
      </c>
      <c r="H101" s="31" t="n">
        <v>7261.55</v>
      </c>
      <c r="I101" s="31" t="n">
        <v>266.35</v>
      </c>
      <c r="J101" s="31" t="n">
        <v>-3.27</v>
      </c>
      <c r="K101" s="31" t="n">
        <v>2968995</v>
      </c>
      <c r="L101" s="30" t="n">
        <v>84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70.65000000000001</v>
      </c>
      <c r="P101" s="31" t="n">
        <v>34.4</v>
      </c>
      <c r="Q101" s="31" t="n">
        <v>200.9</v>
      </c>
      <c r="R101" s="30" t="inlineStr">
        <is>
          <t>Earnings / Momentum Support</t>
        </is>
      </c>
      <c r="S101" s="30" t="inlineStr">
        <is>
          <t>Nifty Pharma</t>
        </is>
      </c>
      <c r="T101" s="31" t="n">
        <v>11.5</v>
      </c>
      <c r="U101" s="31" t="n">
        <v>20.42</v>
      </c>
      <c r="V101" s="31" t="n">
        <v>8</v>
      </c>
      <c r="W101" s="31" t="n">
        <v>28.95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Yes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No</t>
        </is>
      </c>
      <c r="AQ101" s="30">
        <f>IF(AP101="Yes",10,0)</f>
        <v/>
      </c>
      <c r="AR101" s="30" t="inlineStr">
        <is>
          <t>Higher Annuity, Lower One Time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20 to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Close to 52 week high or retracement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IF(B102=0,"",RANK(B102,$B$2:$B$314,0))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2" t="inlineStr">
        <is>
          <t>MIDHANI</t>
        </is>
      </c>
      <c r="D102" s="32" t="inlineStr">
        <is>
          <t>Mishra Dhatu Nigam Ltd</t>
        </is>
      </c>
      <c r="E102" s="30" t="inlineStr">
        <is>
          <t>aerospace &amp; defence</t>
        </is>
      </c>
      <c r="F102" s="30" t="inlineStr">
        <is>
          <t>steel - medium / small</t>
        </is>
      </c>
      <c r="G102" s="30" t="inlineStr">
        <is>
          <t>midcap</t>
        </is>
      </c>
      <c r="H102" s="31" t="n">
        <v>7812.08</v>
      </c>
      <c r="I102" s="31" t="n">
        <v>443.25</v>
      </c>
      <c r="J102" s="31" t="n">
        <v>6.3</v>
      </c>
      <c r="K102" s="31" t="n">
        <v>7192034</v>
      </c>
      <c r="L102" s="30" t="n">
        <v>27</v>
      </c>
      <c r="M102" s="30" t="inlineStr">
        <is>
          <t>Underperforming</t>
        </is>
      </c>
      <c r="N102" s="31">
        <f>IF(M102="Underperforming",-5,IF(L102&gt;=95,15,IF(L102&gt;=90,10,IF(L102&gt;=80,5,0))))</f>
        <v/>
      </c>
      <c r="O102" s="31" t="n">
        <v>67.36</v>
      </c>
      <c r="P102" s="31" t="n">
        <v>22.6</v>
      </c>
      <c r="Q102" s="31" t="n">
        <v>331.95</v>
      </c>
      <c r="R102" s="30" t="inlineStr">
        <is>
          <t>Volume Spike &amp; Near 52W High Breakout</t>
        </is>
      </c>
      <c r="S102" s="30" t="inlineStr">
        <is>
          <t>Nifty Metal</t>
        </is>
      </c>
      <c r="T102" s="31" t="n">
        <v>42.84</v>
      </c>
      <c r="U102" s="31" t="n">
        <v>4.51</v>
      </c>
      <c r="V102" s="31" t="n">
        <v>-26.83</v>
      </c>
      <c r="W102" s="31" t="n">
        <v>7.28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20 to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Between 1.5 to 2</t>
        </is>
      </c>
      <c r="BU102" s="30">
        <f>IF(BT102="Above 2",0,IF(BT102="Between 1.5 to 2",5,IF(BT102="Less than 1.5",10,0)))</f>
        <v/>
      </c>
      <c r="BV102" s="30" t="inlineStr">
        <is>
          <t>Between 50% to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IF(B103=0,"",RANK(B103,$B$2:$B$314,0))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DATAPATTNS</t>
        </is>
      </c>
      <c r="D103" s="30" t="inlineStr">
        <is>
          <t>Data Patterns (India) Ltd</t>
        </is>
      </c>
      <c r="E103" s="30" t="inlineStr">
        <is>
          <t>aerospace &amp; defence</t>
        </is>
      </c>
      <c r="F103" s="30" t="inlineStr">
        <is>
          <t>electronics - components</t>
        </is>
      </c>
      <c r="G103" s="30" t="inlineStr">
        <is>
          <t>largecap</t>
        </is>
      </c>
      <c r="H103" s="31" t="n">
        <v>22339.84</v>
      </c>
      <c r="I103" s="31" t="n">
        <v>4192.4</v>
      </c>
      <c r="J103" s="31" t="n">
        <v>5.06</v>
      </c>
      <c r="K103" s="31" t="n">
        <v>1257638</v>
      </c>
      <c r="L103" s="30" t="n">
        <v>44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69.66</v>
      </c>
      <c r="P103" s="31" t="n">
        <v>29.22</v>
      </c>
      <c r="Q103" s="31" t="n">
        <v>3020.75</v>
      </c>
      <c r="R103" s="30" t="inlineStr">
        <is>
          <t>Near 52W High Breakout</t>
        </is>
      </c>
      <c r="S103" s="30" t="inlineStr">
        <is>
          <t>Nifty 50</t>
        </is>
      </c>
      <c r="T103" s="31" t="n">
        <v>-6.35</v>
      </c>
      <c r="U103" s="31" t="n">
        <v>37.22</v>
      </c>
      <c r="V103" s="31" t="n">
        <v>46.52</v>
      </c>
      <c r="W103" s="31" t="n">
        <v>11.83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Yes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Less than 50%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IF(B104=0,"",RANK(B104,$B$2:$B$314,0))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SIGMAADV</t>
        </is>
      </c>
      <c r="D104" s="30" t="inlineStr">
        <is>
          <t>Sigma Advanced System Ltd</t>
        </is>
      </c>
      <c r="E104" s="30" t="inlineStr">
        <is>
          <t>aerospace &amp; defence</t>
        </is>
      </c>
      <c r="F104" s="30" t="inlineStr">
        <is>
          <t>electronics - components</t>
        </is>
      </c>
      <c r="G104" s="30" t="inlineStr">
        <is>
          <t>midcap</t>
        </is>
      </c>
      <c r="H104" s="31" t="n">
        <v>7699.91</v>
      </c>
      <c r="I104" s="31" t="n">
        <v>458.7</v>
      </c>
      <c r="J104" s="31" t="n">
        <v>4.99</v>
      </c>
      <c r="K104" s="31" t="n">
        <v>224154</v>
      </c>
      <c r="L104" s="30" t="n">
        <v>99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85.09</v>
      </c>
      <c r="P104" s="31" t="n">
        <v>34.03</v>
      </c>
      <c r="Q104" s="31" t="n">
        <v>352.92</v>
      </c>
      <c r="R104" s="30" t="inlineStr">
        <is>
          <t>Volume Spike &amp; Near 52W High Breakout</t>
        </is>
      </c>
      <c r="S104" s="30" t="inlineStr">
        <is>
          <t>Nifty 50</t>
        </is>
      </c>
      <c r="T104" s="31" t="n">
        <v>-6.35</v>
      </c>
      <c r="U104" s="31" t="n">
        <v>396.75</v>
      </c>
      <c r="V104" s="31" t="n">
        <v>430.41</v>
      </c>
      <c r="W104" s="31" t="n">
        <v>89.41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20 to 40</t>
        </is>
      </c>
      <c r="AY104" s="30">
        <f>IF(AX104="Above 40",20,IF(AX104="20 to 40",10,IF(AX104="0 to 20",-5,0)))</f>
        <v/>
      </c>
      <c r="AZ104" s="30" t="inlineStr">
        <is>
          <t>Above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Less than 1.5</t>
        </is>
      </c>
      <c r="BU104" s="30">
        <f>IF(BT104="Above 2",0,IF(BT104="Between 1.5 to 2",5,IF(BT104="Less than 1.5",10,0)))</f>
        <v/>
      </c>
      <c r="BV104" s="30" t="inlineStr">
        <is>
          <t>Negative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Between 0.7 to 1.2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IF(B105=0,"",RANK(B105,$B$2:$B$314,0))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UNIVCABLES</t>
        </is>
      </c>
      <c r="D105" s="30" t="inlineStr">
        <is>
          <t>Universal Cables Limited</t>
        </is>
      </c>
      <c r="E105" s="30" t="inlineStr">
        <is>
          <t>industrials</t>
        </is>
      </c>
      <c r="F105" s="30" t="inlineStr">
        <is>
          <t>cables - power</t>
        </is>
      </c>
      <c r="G105" s="30" t="inlineStr">
        <is>
          <t>smallcap</t>
        </is>
      </c>
      <c r="H105" s="31" t="n">
        <v>4128.4</v>
      </c>
      <c r="I105" s="31" t="n">
        <v>1242.7</v>
      </c>
      <c r="J105" s="31" t="n">
        <v>4.44</v>
      </c>
      <c r="K105" s="31" t="n">
        <v>443287</v>
      </c>
      <c r="L105" s="30" t="n">
        <v>90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70.31</v>
      </c>
      <c r="P105" s="31" t="n">
        <v>31.27</v>
      </c>
      <c r="Q105" s="31" t="n">
        <v>857.78</v>
      </c>
      <c r="R105" s="30" t="inlineStr">
        <is>
          <t>Volume Spike &amp; Near 52W High Breakout</t>
        </is>
      </c>
      <c r="S105" s="30" t="inlineStr">
        <is>
          <t>Nifty Energy</t>
        </is>
      </c>
      <c r="T105" s="31" t="n">
        <v>12.59</v>
      </c>
      <c r="U105" s="31" t="n">
        <v>104.14</v>
      </c>
      <c r="V105" s="31" t="n">
        <v>81.31999999999999</v>
      </c>
      <c r="W105" s="31" t="n">
        <v>37.14</v>
      </c>
      <c r="X105" s="30" t="inlineStr">
        <is>
          <t>Cyclical in an Upturn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20 to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Less than 12%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No</t>
        </is>
      </c>
      <c r="BS105" s="30">
        <f>IF(BR105="NO",5,0)</f>
        <v/>
      </c>
      <c r="BT105" s="30" t="inlineStr">
        <is>
          <t>Above 2</t>
        </is>
      </c>
      <c r="BU105" s="30">
        <f>IF(BT105="Above 2",0,IF(BT105="Between 1.5 to 2",5,IF(BT105="Less than 1.5",10,0)))</f>
        <v/>
      </c>
      <c r="BV105" s="30" t="inlineStr">
        <is>
          <t>Less than 50%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IF(B106=0,"",RANK(B106,$B$2:$B$314,0))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USHAMART</t>
        </is>
      </c>
      <c r="D106" s="30" t="inlineStr">
        <is>
          <t>Usha Martin Limited</t>
        </is>
      </c>
      <c r="E106" s="30" t="inlineStr">
        <is>
          <t>metals &amp; mining</t>
        </is>
      </c>
      <c r="F106" s="30" t="inlineStr">
        <is>
          <t>steel - medium / small</t>
        </is>
      </c>
      <c r="G106" s="30" t="inlineStr">
        <is>
          <t>midcap</t>
        </is>
      </c>
      <c r="H106" s="31" t="n">
        <v>15174.63</v>
      </c>
      <c r="I106" s="31" t="n">
        <v>519.8</v>
      </c>
      <c r="J106" s="31" t="n">
        <v>4.39</v>
      </c>
      <c r="K106" s="31" t="n">
        <v>1578459</v>
      </c>
      <c r="L106" s="30" t="n">
        <v>59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73.83</v>
      </c>
      <c r="P106" s="31" t="n">
        <v>29.08</v>
      </c>
      <c r="Q106" s="31" t="n">
        <v>421.26</v>
      </c>
      <c r="R106" s="30" t="inlineStr">
        <is>
          <t>Near 52W High Breakout</t>
        </is>
      </c>
      <c r="S106" s="30" t="inlineStr">
        <is>
          <t>Nifty Metal</t>
        </is>
      </c>
      <c r="T106" s="31" t="n">
        <v>42.84</v>
      </c>
      <c r="U106" s="31" t="n">
        <v>71.14</v>
      </c>
      <c r="V106" s="31" t="n">
        <v>19.82</v>
      </c>
      <c r="W106" s="31" t="n">
        <v>16.79</v>
      </c>
      <c r="X106" s="30" t="inlineStr">
        <is>
          <t>Cyclical in an Upturn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Cyclical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Volatile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20 to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Less than 1.5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IF(B107=0,"",RANK(B107,$B$2:$B$314,0))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TDPOWERSYS</t>
        </is>
      </c>
      <c r="D107" s="30" t="inlineStr">
        <is>
          <t>Td Power Systems Limited</t>
        </is>
      </c>
      <c r="E107" s="30" t="inlineStr">
        <is>
          <t>industrials</t>
        </is>
      </c>
      <c r="F107" s="30" t="inlineStr">
        <is>
          <t>electric equipment</t>
        </is>
      </c>
      <c r="G107" s="30" t="inlineStr">
        <is>
          <t>largecap</t>
        </is>
      </c>
      <c r="H107" s="31" t="n">
        <v>20093.91</v>
      </c>
      <c r="I107" s="31" t="n">
        <v>1325.5</v>
      </c>
      <c r="J107" s="31" t="n">
        <v>3.05</v>
      </c>
      <c r="K107" s="31" t="n">
        <v>1115238</v>
      </c>
      <c r="L107" s="30" t="n">
        <v>87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80.38</v>
      </c>
      <c r="P107" s="31" t="n">
        <v>49.13</v>
      </c>
      <c r="Q107" s="31" t="n">
        <v>999.4299999999999</v>
      </c>
      <c r="R107" s="30" t="inlineStr">
        <is>
          <t>Near 52W High Breakout</t>
        </is>
      </c>
      <c r="S107" s="30" t="inlineStr">
        <is>
          <t>Nifty 50</t>
        </is>
      </c>
      <c r="T107" s="31" t="n">
        <v>-6.35</v>
      </c>
      <c r="U107" s="31" t="n">
        <v>167.19</v>
      </c>
      <c r="V107" s="31" t="n">
        <v>185.3</v>
      </c>
      <c r="W107" s="31" t="n">
        <v>33.08</v>
      </c>
      <c r="X107" s="30" t="inlineStr">
        <is>
          <t>Cyclical in an Upturn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Above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Less than 50%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IF(B108=0,"",RANK(B108,$B$2:$B$314,0))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2" t="inlineStr">
        <is>
          <t>IMPAL</t>
        </is>
      </c>
      <c r="D108" s="32" t="inlineStr">
        <is>
          <t>India Motor Parts And Accessories Limited</t>
        </is>
      </c>
      <c r="E108" s="30" t="inlineStr">
        <is>
          <t>auto</t>
        </is>
      </c>
      <c r="F108" s="30" t="inlineStr">
        <is>
          <t>auto ancillaries</t>
        </is>
      </c>
      <c r="G108" s="30" t="inlineStr">
        <is>
          <t>smallcap</t>
        </is>
      </c>
      <c r="H108" s="31" t="n">
        <v>1333.86</v>
      </c>
      <c r="I108" s="31" t="n">
        <v>1090.2</v>
      </c>
      <c r="J108" s="31" t="n">
        <v>2</v>
      </c>
      <c r="K108" s="31" t="n">
        <v>2620</v>
      </c>
      <c r="L108" s="30" t="n">
        <v>5</v>
      </c>
      <c r="M108" s="30" t="inlineStr">
        <is>
          <t>Underperforming</t>
        </is>
      </c>
      <c r="N108" s="31">
        <f>IF(M108="Underperforming",-5,IF(L108&gt;=95,15,IF(L108&gt;=90,10,IF(L108&gt;=80,5,0))))</f>
        <v/>
      </c>
      <c r="O108" s="31" t="n">
        <v>58.69</v>
      </c>
      <c r="P108" s="31" t="n">
        <v>13.39</v>
      </c>
      <c r="Q108" s="31" t="n">
        <v>925.47</v>
      </c>
      <c r="R108" s="30" t="inlineStr">
        <is>
          <t>Near 52W High Breakout</t>
        </is>
      </c>
      <c r="S108" s="30" t="inlineStr">
        <is>
          <t>Nifty Auto</t>
        </is>
      </c>
      <c r="T108" s="31" t="n">
        <v>10.49</v>
      </c>
      <c r="U108" s="31" t="n">
        <v>3.16</v>
      </c>
      <c r="V108" s="31" t="n">
        <v>-6.64</v>
      </c>
      <c r="W108" s="31" t="n">
        <v>1.92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0 to 20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Close to 52 week high or retracement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Less than 1.5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IF(B109=0,"",RANK(B109,$B$2:$B$314,0))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2" t="inlineStr">
        <is>
          <t>COALINDIA</t>
        </is>
      </c>
      <c r="D109" s="32" t="inlineStr">
        <is>
          <t>Coal India Limited</t>
        </is>
      </c>
      <c r="E109" s="30" t="inlineStr">
        <is>
          <t>metals &amp; mining</t>
        </is>
      </c>
      <c r="F109" s="30" t="inlineStr">
        <is>
          <t>mining / minerals / metals</t>
        </is>
      </c>
      <c r="G109" s="30" t="inlineStr">
        <is>
          <t>largecap</t>
        </is>
      </c>
      <c r="H109" s="31" t="n">
        <v>291065.66</v>
      </c>
      <c r="I109" s="31" t="n">
        <v>481.65</v>
      </c>
      <c r="J109" s="31" t="n">
        <v>1.98</v>
      </c>
      <c r="K109" s="31" t="n">
        <v>16059802</v>
      </c>
      <c r="L109" s="30" t="n">
        <v>28</v>
      </c>
      <c r="M109" s="30" t="inlineStr">
        <is>
          <t>Underperforming</t>
        </is>
      </c>
      <c r="N109" s="31">
        <f>IF(M109="Underperforming",-5,IF(L109&gt;=95,15,IF(L109&gt;=90,10,IF(L109&gt;=80,5,0))))</f>
        <v/>
      </c>
      <c r="O109" s="31" t="n">
        <v>64.16</v>
      </c>
      <c r="P109" s="31" t="n">
        <v>48.76</v>
      </c>
      <c r="Q109" s="31" t="n">
        <v>402.56</v>
      </c>
      <c r="R109" s="30" t="inlineStr">
        <is>
          <t>Near 52W High Breakout</t>
        </is>
      </c>
      <c r="S109" s="30" t="inlineStr">
        <is>
          <t>Nifty Metal</t>
        </is>
      </c>
      <c r="T109" s="31" t="n">
        <v>42.84</v>
      </c>
      <c r="U109" s="31" t="n">
        <v>29.22</v>
      </c>
      <c r="V109" s="31" t="n">
        <v>-9.539999999999999</v>
      </c>
      <c r="W109" s="31" t="n">
        <v>7.35</v>
      </c>
      <c r="X109" s="30" t="inlineStr">
        <is>
          <t>Cyclical in an Upturn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Cyclical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Volatile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Above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Between 12 to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No</t>
        </is>
      </c>
      <c r="BS109" s="30">
        <f>IF(BR109="NO",5,0)</f>
        <v/>
      </c>
      <c r="BT109" s="30" t="inlineStr">
        <is>
          <t>Less than 1.5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IF(B110=0,"",RANK(B110,$B$2:$B$314,0))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INOXINDIA</t>
        </is>
      </c>
      <c r="D110" s="30" t="inlineStr">
        <is>
          <t>Inox India Ltd</t>
        </is>
      </c>
      <c r="E110" s="30" t="inlineStr">
        <is>
          <t>industrials</t>
        </is>
      </c>
      <c r="F110" s="30" t="inlineStr">
        <is>
          <t>packaging</t>
        </is>
      </c>
      <c r="G110" s="30" t="inlineStr">
        <is>
          <t>midcap</t>
        </is>
      </c>
      <c r="H110" s="31" t="n">
        <v>13402.14</v>
      </c>
      <c r="I110" s="31" t="n">
        <v>1505</v>
      </c>
      <c r="J110" s="31" t="n">
        <v>1.92</v>
      </c>
      <c r="K110" s="31" t="n">
        <v>198069</v>
      </c>
      <c r="L110" s="30" t="n">
        <v>37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70.31</v>
      </c>
      <c r="P110" s="31" t="n">
        <v>49.58</v>
      </c>
      <c r="Q110" s="31" t="n">
        <v>1176.99</v>
      </c>
      <c r="R110" s="30" t="inlineStr">
        <is>
          <t>Near 52W High Breakout</t>
        </is>
      </c>
      <c r="S110" s="30" t="inlineStr">
        <is>
          <t>Nifty 50</t>
        </is>
      </c>
      <c r="T110" s="31" t="n">
        <v>-6.35</v>
      </c>
      <c r="U110" s="31" t="n">
        <v>23.54</v>
      </c>
      <c r="V110" s="31" t="n">
        <v>31.91</v>
      </c>
      <c r="W110" s="31" t="n">
        <v>10.4</v>
      </c>
      <c r="X110" s="30" t="inlineStr">
        <is>
          <t>Cyclical in an Upturn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Above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Between 12 to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Yes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Less than 50%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IF(B111=0,"",RANK(B111,$B$2:$B$314,0))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SIS</t>
        </is>
      </c>
      <c r="D111" s="30" t="inlineStr">
        <is>
          <t>Security &amp; Intelligence Services India</t>
        </is>
      </c>
      <c r="E111" s="30" t="inlineStr">
        <is>
          <t>miscellaneous</t>
        </is>
      </c>
      <c r="F111" s="30" t="inlineStr">
        <is>
          <t>miscellaneous</t>
        </is>
      </c>
      <c r="G111" s="30" t="inlineStr">
        <is>
          <t>midcap</t>
        </is>
      </c>
      <c r="H111" s="31" t="n">
        <v>5924.95</v>
      </c>
      <c r="I111" s="31" t="n">
        <v>424</v>
      </c>
      <c r="J111" s="31" t="n">
        <v>1.1</v>
      </c>
      <c r="K111" s="31" t="n">
        <v>279699</v>
      </c>
      <c r="L111" s="30" t="n">
        <v>48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76.44</v>
      </c>
      <c r="P111" s="31" t="n">
        <v>35.13</v>
      </c>
      <c r="Q111" s="31" t="n">
        <v>342.34</v>
      </c>
      <c r="R111" s="30" t="inlineStr">
        <is>
          <t>Volume Spike &amp; Near 52W High Breakout</t>
        </is>
      </c>
      <c r="S111" s="30" t="inlineStr">
        <is>
          <t>Nifty 50</t>
        </is>
      </c>
      <c r="T111" s="31" t="n">
        <v>-6.35</v>
      </c>
      <c r="U111" s="31" t="n">
        <v>16.94</v>
      </c>
      <c r="V111" s="31" t="n">
        <v>24.87</v>
      </c>
      <c r="W111" s="31" t="n">
        <v>13.14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Above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Blue sky scenario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Yes</t>
        </is>
      </c>
      <c r="BS111" s="30">
        <f>IF(BR111="NO",5,0)</f>
        <v/>
      </c>
      <c r="BT111" s="30" t="inlineStr">
        <is>
          <t>Less than 1.5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Between 0.7 to 1.2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IF(B112=0,"",RANK(B112,$B$2:$B$314,0))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SOUTHWEST</t>
        </is>
      </c>
      <c r="D112" s="30" t="inlineStr">
        <is>
          <t>South West Pinnacle Exploration Ltd</t>
        </is>
      </c>
      <c r="E112" s="30" t="inlineStr">
        <is>
          <t>metals &amp; mining</t>
        </is>
      </c>
      <c r="F112" s="30" t="inlineStr">
        <is>
          <t>mining / minerals / metals</t>
        </is>
      </c>
      <c r="G112" s="30" t="inlineStr">
        <is>
          <t>smallcap</t>
        </is>
      </c>
      <c r="H112" s="31" t="n">
        <v>783.04</v>
      </c>
      <c r="I112" s="31" t="n">
        <v>264.25</v>
      </c>
      <c r="J112" s="31" t="n">
        <v>0.67</v>
      </c>
      <c r="K112" s="31" t="n">
        <v>458761</v>
      </c>
      <c r="L112" s="30" t="n">
        <v>72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65.17</v>
      </c>
      <c r="P112" s="31" t="n">
        <v>46.03</v>
      </c>
      <c r="Q112" s="31" t="n">
        <v>176.2</v>
      </c>
      <c r="R112" s="30" t="inlineStr">
        <is>
          <t>Near 52W High Breakout</t>
        </is>
      </c>
      <c r="S112" s="30" t="inlineStr">
        <is>
          <t>Nifty Metal</t>
        </is>
      </c>
      <c r="T112" s="31" t="n">
        <v>42.84</v>
      </c>
      <c r="U112" s="31" t="n">
        <v>79.88</v>
      </c>
      <c r="V112" s="31" t="n">
        <v>25.94</v>
      </c>
      <c r="W112" s="31" t="n">
        <v>22.24</v>
      </c>
      <c r="X112" s="30" t="inlineStr">
        <is>
          <t>Cyclical in an Upturn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Cyclical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Volatile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Above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Less than 1.5</t>
        </is>
      </c>
      <c r="BU112" s="30">
        <f>IF(BT112="Above 2",0,IF(BT112="Between 1.5 to 2",5,IF(BT112="Less than 1.5",10,0)))</f>
        <v/>
      </c>
      <c r="BV112" s="30" t="inlineStr">
        <is>
          <t>Less than 50%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IF(B113=0,"",RANK(B113,$B$2:$B$314,0))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KPIL</t>
        </is>
      </c>
      <c r="D113" s="30" t="inlineStr">
        <is>
          <t>Kalpataru Projects International Ltd</t>
        </is>
      </c>
      <c r="E113" s="30" t="inlineStr">
        <is>
          <t>realty</t>
        </is>
      </c>
      <c r="F113" s="30" t="inlineStr">
        <is>
          <t>transmisson line towers / equipment</t>
        </is>
      </c>
      <c r="G113" s="30" t="inlineStr">
        <is>
          <t>largecap</t>
        </is>
      </c>
      <c r="H113" s="31" t="n">
        <v>21992.09</v>
      </c>
      <c r="I113" s="31" t="n">
        <v>1291.2</v>
      </c>
      <c r="J113" s="31" t="n">
        <v>0.26</v>
      </c>
      <c r="K113" s="31" t="n">
        <v>225682</v>
      </c>
      <c r="L113" s="30" t="n">
        <v>19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60.21</v>
      </c>
      <c r="P113" s="31" t="n">
        <v>18.53</v>
      </c>
      <c r="Q113" s="31" t="n">
        <v>1054.28</v>
      </c>
      <c r="R113" s="30" t="inlineStr">
        <is>
          <t>Near 52W High Breakout</t>
        </is>
      </c>
      <c r="S113" s="30" t="inlineStr">
        <is>
          <t>Nifty Realty</t>
        </is>
      </c>
      <c r="T113" s="31" t="n">
        <v>-26.45</v>
      </c>
      <c r="U113" s="31" t="n">
        <v>13.18</v>
      </c>
      <c r="V113" s="31" t="n">
        <v>53.88</v>
      </c>
      <c r="W113" s="31" t="n">
        <v>5.61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0 to 20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Between 50% to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IF(B114=0,"",RANK(B114,$B$2:$B$314,0))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FIEMIND</t>
        </is>
      </c>
      <c r="D114" s="30" t="inlineStr">
        <is>
          <t>Fiem Industries Limited</t>
        </is>
      </c>
      <c r="E114" s="30" t="inlineStr">
        <is>
          <t>auto</t>
        </is>
      </c>
      <c r="F114" s="30" t="inlineStr">
        <is>
          <t>auto ancillaries</t>
        </is>
      </c>
      <c r="G114" s="30" t="inlineStr">
        <is>
          <t>midcap</t>
        </is>
      </c>
      <c r="H114" s="31" t="n">
        <v>6177.22</v>
      </c>
      <c r="I114" s="31" t="n">
        <v>2333.8</v>
      </c>
      <c r="J114" s="31" t="n">
        <v>-0.5600000000000001</v>
      </c>
      <c r="K114" s="31" t="n">
        <v>58528</v>
      </c>
      <c r="L114" s="30" t="n">
        <v>27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59.89</v>
      </c>
      <c r="P114" s="31" t="n">
        <v>14.14</v>
      </c>
      <c r="Q114" s="31" t="n">
        <v>1856.71</v>
      </c>
      <c r="R114" s="30" t="inlineStr">
        <is>
          <t>Volume Spike &amp; Near 52W High Breakout</t>
        </is>
      </c>
      <c r="S114" s="30" t="inlineStr">
        <is>
          <t>Nifty Auto</t>
        </is>
      </c>
      <c r="T114" s="31" t="n">
        <v>10.49</v>
      </c>
      <c r="U114" s="31" t="n">
        <v>25.94</v>
      </c>
      <c r="V114" s="31" t="n">
        <v>13.98</v>
      </c>
      <c r="W114" s="31" t="n">
        <v>7.27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0 to 20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Blue sky scenario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Less than 1.5</t>
        </is>
      </c>
      <c r="BU114" s="30">
        <f>IF(BT114="Above 2",0,IF(BT114="Between 1.5 to 2",5,IF(BT114="Less than 1.5",10,0)))</f>
        <v/>
      </c>
      <c r="BV114" s="30" t="inlineStr">
        <is>
          <t>Less than 50%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IF(B115=0,"",RANK(B115,$B$2:$B$314,0))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HFCL</t>
        </is>
      </c>
      <c r="D115" s="30" t="inlineStr">
        <is>
          <t>HFCL Ltd</t>
        </is>
      </c>
      <c r="E115" s="30" t="inlineStr">
        <is>
          <t>telecom</t>
        </is>
      </c>
      <c r="F115" s="30" t="inlineStr">
        <is>
          <t>cables - telephone</t>
        </is>
      </c>
      <c r="G115" s="30" t="inlineStr">
        <is>
          <t>largecap</t>
        </is>
      </c>
      <c r="H115" s="31" t="n">
        <v>30521.74</v>
      </c>
      <c r="I115" s="31" t="n">
        <v>197.08</v>
      </c>
      <c r="J115" s="31" t="n">
        <v>-1.17</v>
      </c>
      <c r="K115" s="31" t="n">
        <v>78777077</v>
      </c>
      <c r="L115" s="30" t="n">
        <v>98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92.38</v>
      </c>
      <c r="P115" s="31" t="n">
        <v>44.02</v>
      </c>
      <c r="Q115" s="31" t="n">
        <v>153.28</v>
      </c>
      <c r="R115" s="30" t="inlineStr">
        <is>
          <t>Near 52W High Breakout</t>
        </is>
      </c>
      <c r="S115" s="30" t="inlineStr">
        <is>
          <t>Nifty Infra</t>
        </is>
      </c>
      <c r="T115" s="31" t="n">
        <v>1.41</v>
      </c>
      <c r="U115" s="31" t="n">
        <v>115.89</v>
      </c>
      <c r="V115" s="31" t="n">
        <v>112.88</v>
      </c>
      <c r="W115" s="31" t="n">
        <v>68.45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Oligopoly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Yes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Above 40</t>
        </is>
      </c>
      <c r="AY115" s="30">
        <f>IF(AX115="Above 40",20,IF(AX115="20 to 40",10,IF(AX115="0 to 20",-5,0)))</f>
        <v/>
      </c>
      <c r="AZ115" s="30" t="inlineStr">
        <is>
          <t>Above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Negative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IF(B116=0,"",RANK(B116,$B$2:$B$314,0))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2" t="inlineStr">
        <is>
          <t>NMDC</t>
        </is>
      </c>
      <c r="D116" s="32" t="inlineStr">
        <is>
          <t>Nmdc Limited</t>
        </is>
      </c>
      <c r="E116" s="30" t="inlineStr">
        <is>
          <t>metals &amp; mining</t>
        </is>
      </c>
      <c r="F116" s="30" t="inlineStr">
        <is>
          <t>mining / minerals / metals</t>
        </is>
      </c>
      <c r="G116" s="30" t="inlineStr">
        <is>
          <t>largecap</t>
        </is>
      </c>
      <c r="H116" s="31" t="n">
        <v>84436.62</v>
      </c>
      <c r="I116" s="31" t="n">
        <v>94.7</v>
      </c>
      <c r="J116" s="31" t="n">
        <v>-1.4</v>
      </c>
      <c r="K116" s="31" t="n">
        <v>30790125</v>
      </c>
      <c r="L116" s="30" t="n">
        <v>37</v>
      </c>
      <c r="M116" s="30" t="inlineStr">
        <is>
          <t>Underperforming</t>
        </is>
      </c>
      <c r="N116" s="31">
        <f>IF(M116="Underperforming",-5,IF(L116&gt;=95,15,IF(L116&gt;=90,10,IF(L116&gt;=80,5,0))))</f>
        <v/>
      </c>
      <c r="O116" s="31" t="n">
        <v>66.81</v>
      </c>
      <c r="P116" s="31" t="n">
        <v>43.28</v>
      </c>
      <c r="Q116" s="31" t="n">
        <v>78</v>
      </c>
      <c r="R116" s="30" t="inlineStr">
        <is>
          <t>Volume Spike &amp; Near 52W High Breakout</t>
        </is>
      </c>
      <c r="S116" s="30" t="inlineStr">
        <is>
          <t>Nifty Metal</t>
        </is>
      </c>
      <c r="T116" s="31" t="n">
        <v>42.84</v>
      </c>
      <c r="U116" s="31" t="n">
        <v>36.49</v>
      </c>
      <c r="V116" s="31" t="n">
        <v>-4.44</v>
      </c>
      <c r="W116" s="31" t="n">
        <v>10.35</v>
      </c>
      <c r="X116" s="30" t="inlineStr">
        <is>
          <t>Cyclical in an Upturn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Cyclical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Volatile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Above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Blue sky scenario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Less than 1.5</t>
        </is>
      </c>
      <c r="BU116" s="30">
        <f>IF(BT116="Above 2",0,IF(BT116="Between 1.5 to 2",5,IF(BT116="Less than 1.5",10,0)))</f>
        <v/>
      </c>
      <c r="BV116" s="30" t="inlineStr">
        <is>
          <t>Between 50% to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IF(B117=0,"",RANK(B117,$B$2:$B$314,0))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CENTENKA</t>
        </is>
      </c>
      <c r="D117" s="30" t="inlineStr">
        <is>
          <t>Century Enka Limited</t>
        </is>
      </c>
      <c r="E117" s="30" t="inlineStr">
        <is>
          <t>textiles</t>
        </is>
      </c>
      <c r="F117" s="30" t="inlineStr">
        <is>
          <t>textiles - manmade</t>
        </is>
      </c>
      <c r="G117" s="30" t="inlineStr">
        <is>
          <t>smallcap</t>
        </is>
      </c>
      <c r="H117" s="31" t="n">
        <v>1097.88</v>
      </c>
      <c r="I117" s="31" t="n">
        <v>494.65</v>
      </c>
      <c r="J117" s="31" t="n">
        <v>-1.55</v>
      </c>
      <c r="K117" s="31" t="n">
        <v>18796</v>
      </c>
      <c r="L117" s="30" t="n">
        <v>20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58.79</v>
      </c>
      <c r="P117" s="31" t="n">
        <v>24.08</v>
      </c>
      <c r="Q117" s="31" t="n">
        <v>404.96</v>
      </c>
      <c r="R117" s="30" t="inlineStr">
        <is>
          <t>Earnings / Momentum Support</t>
        </is>
      </c>
      <c r="S117" s="30" t="inlineStr">
        <is>
          <t>Nifty 50</t>
        </is>
      </c>
      <c r="T117" s="31" t="n">
        <v>-6.35</v>
      </c>
      <c r="U117" s="31" t="n">
        <v>8.33</v>
      </c>
      <c r="V117" s="31" t="n">
        <v>15.67</v>
      </c>
      <c r="W117" s="31" t="n">
        <v>5.96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No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IF(B118=0,"",RANK(B118,$B$2:$B$314,0))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ADOR</t>
        </is>
      </c>
      <c r="D118" s="30" t="inlineStr">
        <is>
          <t>Ador Welding Ltd</t>
        </is>
      </c>
      <c r="E118" s="30" t="inlineStr">
        <is>
          <t>industrials</t>
        </is>
      </c>
      <c r="F118" s="30" t="inlineStr">
        <is>
          <t>electrodes - welding equipment</t>
        </is>
      </c>
      <c r="G118" s="30" t="inlineStr">
        <is>
          <t>smallcap</t>
        </is>
      </c>
      <c r="H118" s="31" t="n">
        <v>1985.84</v>
      </c>
      <c r="I118" s="31" t="n">
        <v>1119.9</v>
      </c>
      <c r="J118" s="31" t="n">
        <v>-1.86</v>
      </c>
      <c r="K118" s="31" t="n">
        <v>12187</v>
      </c>
      <c r="L118" s="30" t="n">
        <v>16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59.55</v>
      </c>
      <c r="P118" s="31" t="n">
        <v>18.66</v>
      </c>
      <c r="Q118" s="31" t="n">
        <v>869.11</v>
      </c>
      <c r="R118" s="30" t="inlineStr">
        <is>
          <t>Near 52W High Breakout</t>
        </is>
      </c>
      <c r="S118" s="30" t="inlineStr">
        <is>
          <t>Nifty Infra</t>
        </is>
      </c>
      <c r="T118" s="31" t="n">
        <v>1.41</v>
      </c>
      <c r="U118" s="31" t="n">
        <v>15.13</v>
      </c>
      <c r="V118" s="31" t="n">
        <v>13.53</v>
      </c>
      <c r="W118" s="31" t="n">
        <v>5.2</v>
      </c>
      <c r="X118" s="30" t="inlineStr">
        <is>
          <t>Cyclical in an Upturn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0 to 20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Less than 1.5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IF(B119=0,"",RANK(B119,$B$2:$B$314,0))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CENTUM</t>
        </is>
      </c>
      <c r="D119" s="30" t="inlineStr">
        <is>
          <t>Centum Electronics Limited</t>
        </is>
      </c>
      <c r="E119" s="30" t="inlineStr">
        <is>
          <t>consumer discretionary</t>
        </is>
      </c>
      <c r="F119" s="30" t="inlineStr">
        <is>
          <t>electronics - components</t>
        </is>
      </c>
      <c r="G119" s="30" t="inlineStr">
        <is>
          <t>midcap</t>
        </is>
      </c>
      <c r="H119" s="31" t="n">
        <v>5291.87</v>
      </c>
      <c r="I119" s="31" t="n">
        <v>3482.6</v>
      </c>
      <c r="J119" s="31" t="n">
        <v>-2.99</v>
      </c>
      <c r="K119" s="31" t="n">
        <v>79833</v>
      </c>
      <c r="L119" s="30" t="n">
        <v>53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67.18000000000001</v>
      </c>
      <c r="P119" s="31" t="n">
        <v>56.24</v>
      </c>
      <c r="Q119" s="31" t="n">
        <v>2496.82</v>
      </c>
      <c r="R119" s="30" t="inlineStr">
        <is>
          <t>Near 52W High Breakout</t>
        </is>
      </c>
      <c r="S119" s="30" t="inlineStr">
        <is>
          <t>Nifty 50</t>
        </is>
      </c>
      <c r="T119" s="31" t="n">
        <v>-6.35</v>
      </c>
      <c r="U119" s="31" t="n">
        <v>48.22</v>
      </c>
      <c r="V119" s="31" t="n">
        <v>58.26</v>
      </c>
      <c r="W119" s="31" t="n">
        <v>14.77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Above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Blue sky scenario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Less than 12%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Less than 50%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IF(B120=0,"",RANK(B120,$B$2:$B$314,0))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APOLLO</t>
        </is>
      </c>
      <c r="D120" s="30" t="inlineStr">
        <is>
          <t>Apollo Micro Systems Ltd</t>
        </is>
      </c>
      <c r="E120" s="30" t="inlineStr">
        <is>
          <t>aerospace &amp; defence</t>
        </is>
      </c>
      <c r="F120" s="30" t="inlineStr">
        <is>
          <t>electronics - components</t>
        </is>
      </c>
      <c r="G120" s="30" t="inlineStr">
        <is>
          <t>midcap</t>
        </is>
      </c>
      <c r="H120" s="31" t="n">
        <v>14561.45</v>
      </c>
      <c r="I120" s="31" t="n">
        <v>419.2</v>
      </c>
      <c r="J120" s="31" t="n">
        <v>2.86</v>
      </c>
      <c r="K120" s="31" t="n">
        <v>30125129</v>
      </c>
      <c r="L120" s="30" t="n">
        <v>92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74.63</v>
      </c>
      <c r="P120" s="31" t="n">
        <v>30.38</v>
      </c>
      <c r="Q120" s="31" t="n">
        <v>299.35</v>
      </c>
      <c r="R120" s="30" t="inlineStr">
        <is>
          <t>Near 52W High Breakout</t>
        </is>
      </c>
      <c r="S120" s="30" t="inlineStr">
        <is>
          <t>Nifty 50</t>
        </is>
      </c>
      <c r="T120" s="31" t="n">
        <v>-6.35</v>
      </c>
      <c r="U120" s="31" t="n">
        <v>104.69</v>
      </c>
      <c r="V120" s="31" t="n">
        <v>118.55</v>
      </c>
      <c r="W120" s="31" t="n">
        <v>39.88</v>
      </c>
      <c r="X120" s="30" t="inlineStr">
        <is>
          <t>Cyclical in an Upturn</t>
        </is>
      </c>
      <c r="Y120" s="30">
        <f>IF(X120="Growing Industry",10,IF(X120="Cyclical in an Upturn",5,0))</f>
        <v/>
      </c>
      <c r="Z120" s="30" t="inlineStr">
        <is>
          <t>Oligopoly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Cyclical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B2C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Fully One Time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Above 40</t>
        </is>
      </c>
      <c r="AY120" s="30">
        <f>IF(AX120="Above 40",20,IF(AX120="20 to 40",10,IF(AX120="0 to 20",-5,0)))</f>
        <v/>
      </c>
      <c r="AZ120" s="30" t="inlineStr">
        <is>
          <t>Above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Close to 52 week high or retracement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Yes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Between 1.5 to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IF(B121=0,"",RANK(B121,$B$2:$B$314,0))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2" t="inlineStr">
        <is>
          <t>MEDANTA</t>
        </is>
      </c>
      <c r="D121" s="32" t="inlineStr">
        <is>
          <t>Global Health Ltd</t>
        </is>
      </c>
      <c r="E121" s="30" t="inlineStr">
        <is>
          <t>healthcare</t>
        </is>
      </c>
      <c r="F121" s="30" t="inlineStr">
        <is>
          <t>healthcare</t>
        </is>
      </c>
      <c r="G121" s="30" t="inlineStr">
        <is>
          <t>largecap</t>
        </is>
      </c>
      <c r="H121" s="31" t="n">
        <v>32289.79</v>
      </c>
      <c r="I121" s="31" t="n">
        <v>1231.8</v>
      </c>
      <c r="J121" s="31" t="n">
        <v>2.54</v>
      </c>
      <c r="K121" s="31" t="n">
        <v>140246</v>
      </c>
      <c r="L121" s="30" t="n">
        <v>8</v>
      </c>
      <c r="M121" s="30" t="inlineStr">
        <is>
          <t>Underperforming</t>
        </is>
      </c>
      <c r="N121" s="31">
        <f>IF(M121="Underperforming",-5,IF(L121&gt;=95,15,IF(L121&gt;=90,10,IF(L121&gt;=80,5,0))))</f>
        <v/>
      </c>
      <c r="O121" s="31" t="n">
        <v>57.71</v>
      </c>
      <c r="P121" s="31" t="n">
        <v>22.63</v>
      </c>
      <c r="Q121" s="31" t="n">
        <v>1005.84</v>
      </c>
      <c r="R121" s="30" t="inlineStr">
        <is>
          <t>Earnings / Momentum Support</t>
        </is>
      </c>
      <c r="S121" s="30" t="inlineStr">
        <is>
          <t>Nifty Pharma</t>
        </is>
      </c>
      <c r="T121" s="31" t="n">
        <v>11.5</v>
      </c>
      <c r="U121" s="31" t="n">
        <v>1.33</v>
      </c>
      <c r="V121" s="31" t="n">
        <v>-9.119999999999999</v>
      </c>
      <c r="W121" s="31" t="n">
        <v>3.16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Yes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No</t>
        </is>
      </c>
      <c r="AQ121" s="30">
        <f>IF(AP121="Yes",10,0)</f>
        <v/>
      </c>
      <c r="AR121" s="30" t="inlineStr">
        <is>
          <t>Higher Annuity, Lower One Time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Yes</t>
        </is>
      </c>
      <c r="BS121" s="30">
        <f>IF(BR121="NO",5,0)</f>
        <v/>
      </c>
      <c r="BT121" s="30" t="inlineStr">
        <is>
          <t>Less than 1.5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IF(B122=0,"",RANK(B122,$B$2:$B$314,0))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TATATECH</t>
        </is>
      </c>
      <c r="D122" s="30" t="inlineStr">
        <is>
          <t>Tata Technologies Ltd</t>
        </is>
      </c>
      <c r="E122" s="30" t="inlineStr">
        <is>
          <t>i.t</t>
        </is>
      </c>
      <c r="F122" s="30" t="inlineStr">
        <is>
          <t>computers - software - medium / small</t>
        </is>
      </c>
      <c r="G122" s="30" t="inlineStr">
        <is>
          <t>largecap</t>
        </is>
      </c>
      <c r="H122" s="31" t="n">
        <v>29679.12</v>
      </c>
      <c r="I122" s="31" t="n">
        <v>748.35</v>
      </c>
      <c r="J122" s="31" t="n">
        <v>2.37</v>
      </c>
      <c r="K122" s="31" t="n">
        <v>1787739</v>
      </c>
      <c r="L122" s="30" t="n">
        <v>25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70.66</v>
      </c>
      <c r="P122" s="31" t="n">
        <v>33.5</v>
      </c>
      <c r="Q122" s="31" t="n">
        <v>618.47</v>
      </c>
      <c r="R122" s="30" t="inlineStr">
        <is>
          <t>Near 52W High Breakout</t>
        </is>
      </c>
      <c r="S122" s="30" t="inlineStr">
        <is>
          <t>Nifty IT</t>
        </is>
      </c>
      <c r="T122" s="31" t="n">
        <v>-21.44</v>
      </c>
      <c r="U122" s="31" t="n">
        <v>0.22</v>
      </c>
      <c r="V122" s="31" t="n">
        <v>27.57</v>
      </c>
      <c r="W122" s="31" t="n">
        <v>7.06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Annuity, Lower One Time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Less than 12%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IF(B123=0,"",RANK(B123,$B$2:$B$314,0))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LAURUSLABS</t>
        </is>
      </c>
      <c r="D123" s="30" t="inlineStr">
        <is>
          <t>Laurus Labs Limited</t>
        </is>
      </c>
      <c r="E123" s="30" t="inlineStr">
        <is>
          <t>healthcare</t>
        </is>
      </c>
      <c r="F123" s="30" t="inlineStr">
        <is>
          <t>pharmaceuticals - indian - bulk drugs &amp; formln</t>
        </is>
      </c>
      <c r="G123" s="30" t="inlineStr">
        <is>
          <t>largecap</t>
        </is>
      </c>
      <c r="H123" s="31" t="n">
        <v>75272.2</v>
      </c>
      <c r="I123" s="31" t="n">
        <v>1427.2</v>
      </c>
      <c r="J123" s="31" t="n">
        <v>2.36</v>
      </c>
      <c r="K123" s="31" t="n">
        <v>1983191</v>
      </c>
      <c r="L123" s="30" t="n">
        <v>82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79.20999999999999</v>
      </c>
      <c r="P123" s="31" t="n">
        <v>29.88</v>
      </c>
      <c r="Q123" s="31" t="n">
        <v>1208.41</v>
      </c>
      <c r="R123" s="30" t="inlineStr">
        <is>
          <t>Near 52W High Breakout</t>
        </is>
      </c>
      <c r="S123" s="30" t="inlineStr">
        <is>
          <t>Nifty Pharma</t>
        </is>
      </c>
      <c r="T123" s="31" t="n">
        <v>11.5</v>
      </c>
      <c r="U123" s="31" t="n">
        <v>122.69</v>
      </c>
      <c r="V123" s="31" t="n">
        <v>99.73</v>
      </c>
      <c r="W123" s="31" t="n">
        <v>26.44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Yes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Annuity, Lower One Time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Above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Blue sky scenario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Between 12 to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IF(B124=0,"",RANK(B124,$B$2:$B$314,0))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SHILPAMED</t>
        </is>
      </c>
      <c r="D124" s="30" t="inlineStr">
        <is>
          <t>Shilpa Medicare Limited</t>
        </is>
      </c>
      <c r="E124" s="30" t="inlineStr">
        <is>
          <t>healthcare</t>
        </is>
      </c>
      <c r="F124" s="30" t="inlineStr">
        <is>
          <t>pharmaceuticals - indian - formulations</t>
        </is>
      </c>
      <c r="G124" s="30" t="inlineStr">
        <is>
          <t>midcap</t>
        </is>
      </c>
      <c r="H124" s="31" t="n">
        <v>10080.29</v>
      </c>
      <c r="I124" s="31" t="n">
        <v>525.8</v>
      </c>
      <c r="J124" s="31" t="n">
        <v>2.02</v>
      </c>
      <c r="K124" s="31" t="n">
        <v>1316326</v>
      </c>
      <c r="L124" s="30" t="n">
        <v>62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77.72</v>
      </c>
      <c r="P124" s="31" t="n">
        <v>39.57</v>
      </c>
      <c r="Q124" s="31" t="n">
        <v>408.47</v>
      </c>
      <c r="R124" s="30" t="inlineStr">
        <is>
          <t>Volume Spike &amp; Near 52W High Breakout</t>
        </is>
      </c>
      <c r="S124" s="30" t="inlineStr">
        <is>
          <t>Nifty Pharma</t>
        </is>
      </c>
      <c r="T124" s="31" t="n">
        <v>11.5</v>
      </c>
      <c r="U124" s="31" t="n">
        <v>15.14</v>
      </c>
      <c r="V124" s="31" t="n">
        <v>3.26</v>
      </c>
      <c r="W124" s="31" t="n">
        <v>17.43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Yes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Annuity, Lower One Time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Above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Blue sky scenario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IF(B125=0,"",RANK(B125,$B$2:$B$314,0))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2" t="inlineStr">
        <is>
          <t>GPTHEALTH</t>
        </is>
      </c>
      <c r="D125" s="32" t="inlineStr">
        <is>
          <t>GPT Healthcare Ltd</t>
        </is>
      </c>
      <c r="E125" s="30" t="inlineStr">
        <is>
          <t>healthcare</t>
        </is>
      </c>
      <c r="F125" s="30" t="inlineStr">
        <is>
          <t>healthcare</t>
        </is>
      </c>
      <c r="G125" s="30" t="inlineStr">
        <is>
          <t>smallcap</t>
        </is>
      </c>
      <c r="H125" s="31" t="n">
        <v>1242.64</v>
      </c>
      <c r="I125" s="31" t="n">
        <v>152.43</v>
      </c>
      <c r="J125" s="31" t="n">
        <v>0.65</v>
      </c>
      <c r="K125" s="31" t="n">
        <v>184805</v>
      </c>
      <c r="L125" s="30" t="n">
        <v>18</v>
      </c>
      <c r="M125" s="30" t="inlineStr">
        <is>
          <t>Underperforming</t>
        </is>
      </c>
      <c r="N125" s="31">
        <f>IF(M125="Underperforming",-5,IF(L125&gt;=95,15,IF(L125&gt;=90,10,IF(L125&gt;=80,5,0))))</f>
        <v/>
      </c>
      <c r="O125" s="31" t="n">
        <v>64.38</v>
      </c>
      <c r="P125" s="31" t="n">
        <v>27.06</v>
      </c>
      <c r="Q125" s="31" t="n">
        <v>123.44</v>
      </c>
      <c r="R125" s="30" t="inlineStr">
        <is>
          <t>Volume Spike / Accumulation</t>
        </is>
      </c>
      <c r="S125" s="30" t="inlineStr">
        <is>
          <t>Nifty Pharma</t>
        </is>
      </c>
      <c r="T125" s="31" t="n">
        <v>11.5</v>
      </c>
      <c r="U125" s="31" t="n">
        <v>3.28</v>
      </c>
      <c r="V125" s="31" t="n">
        <v>-7.37</v>
      </c>
      <c r="W125" s="31" t="n">
        <v>5.5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Yes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Annuity, Lower One Time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Between 12 to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IF(B126=0,"",RANK(B126,$B$2:$B$314,0))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VIYASH</t>
        </is>
      </c>
      <c r="D126" s="30" t="inlineStr">
        <is>
          <t>Viyash Scientific Ltd</t>
        </is>
      </c>
      <c r="E126" s="30" t="inlineStr">
        <is>
          <t>healthcare</t>
        </is>
      </c>
      <c r="F126" s="30" t="inlineStr">
        <is>
          <t>pharmaceuticals - indian - bulk drugs &amp; formln</t>
        </is>
      </c>
      <c r="G126" s="30" t="inlineStr">
        <is>
          <t>midcap</t>
        </is>
      </c>
      <c r="H126" s="31" t="n">
        <v>10833.9</v>
      </c>
      <c r="I126" s="31" t="n">
        <v>249.15</v>
      </c>
      <c r="J126" s="31" t="n">
        <v>0.46</v>
      </c>
      <c r="K126" s="31" t="n">
        <v>2483055</v>
      </c>
      <c r="L126" s="30" t="n">
        <v>40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64.98</v>
      </c>
      <c r="P126" s="31" t="n">
        <v>28.69</v>
      </c>
      <c r="Q126" s="31" t="n">
        <v>196.16</v>
      </c>
      <c r="R126" s="30" t="inlineStr">
        <is>
          <t>Near 52W High Breakout</t>
        </is>
      </c>
      <c r="S126" s="30" t="inlineStr">
        <is>
          <t>Nifty Pharma</t>
        </is>
      </c>
      <c r="T126" s="31" t="n">
        <v>11.5</v>
      </c>
      <c r="U126" s="31" t="n">
        <v>32.63</v>
      </c>
      <c r="V126" s="31" t="n">
        <v>18.95</v>
      </c>
      <c r="W126" s="31" t="n">
        <v>10.74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Yes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Annuity, Lower One Time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Blue sky scenario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Less than 50%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IF(B127=0,"",RANK(B127,$B$2:$B$314,0))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BLSE</t>
        </is>
      </c>
      <c r="D127" s="30" t="inlineStr">
        <is>
          <t>BLS E-Services Ltd</t>
        </is>
      </c>
      <c r="E127" s="30" t="inlineStr">
        <is>
          <t>i.t</t>
        </is>
      </c>
      <c r="F127" s="30" t="inlineStr">
        <is>
          <t>computers - software - medium / small</t>
        </is>
      </c>
      <c r="G127" s="30" t="inlineStr">
        <is>
          <t>smallcap</t>
        </is>
      </c>
      <c r="H127" s="31" t="n">
        <v>2044.45</v>
      </c>
      <c r="I127" s="31" t="n">
        <v>225.17</v>
      </c>
      <c r="J127" s="31" t="n">
        <v>0.07000000000000001</v>
      </c>
      <c r="K127" s="31" t="n">
        <v>440647</v>
      </c>
      <c r="L127" s="30" t="n">
        <v>72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68.08</v>
      </c>
      <c r="P127" s="31" t="n">
        <v>21.54</v>
      </c>
      <c r="Q127" s="31" t="n">
        <v>172.05</v>
      </c>
      <c r="R127" s="30" t="inlineStr">
        <is>
          <t>Near 52W High Breakout</t>
        </is>
      </c>
      <c r="S127" s="30" t="inlineStr">
        <is>
          <t>Nifty IT</t>
        </is>
      </c>
      <c r="T127" s="31" t="n">
        <v>-21.44</v>
      </c>
      <c r="U127" s="31" t="n">
        <v>7.58</v>
      </c>
      <c r="V127" s="31" t="n">
        <v>36.93</v>
      </c>
      <c r="W127" s="31" t="n">
        <v>21.61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Annuity, Lower One Time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Close to 52 week high or retracement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Less than 12%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No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Between 50% to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IF(B128=0,"",RANK(B128,$B$2:$B$314,0))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SASKEN</t>
        </is>
      </c>
      <c r="D128" s="30" t="inlineStr">
        <is>
          <t>Sasken Communication Technologies Limited</t>
        </is>
      </c>
      <c r="E128" s="30" t="inlineStr">
        <is>
          <t>i.t</t>
        </is>
      </c>
      <c r="F128" s="30" t="inlineStr">
        <is>
          <t>computers - software - medium / small</t>
        </is>
      </c>
      <c r="G128" s="30" t="inlineStr">
        <is>
          <t>smallcap</t>
        </is>
      </c>
      <c r="H128" s="31" t="n">
        <v>3351.65</v>
      </c>
      <c r="I128" s="31" t="n">
        <v>2161</v>
      </c>
      <c r="J128" s="31" t="n">
        <v>-2.08</v>
      </c>
      <c r="K128" s="31" t="n">
        <v>71778</v>
      </c>
      <c r="L128" s="30" t="n">
        <v>86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73.67</v>
      </c>
      <c r="P128" s="31" t="n">
        <v>27.93</v>
      </c>
      <c r="Q128" s="31" t="n">
        <v>1692.17</v>
      </c>
      <c r="R128" s="30" t="inlineStr">
        <is>
          <t>Near 52W High Breakout</t>
        </is>
      </c>
      <c r="S128" s="30" t="inlineStr">
        <is>
          <t>Nifty IT</t>
        </is>
      </c>
      <c r="T128" s="31" t="n">
        <v>-21.44</v>
      </c>
      <c r="U128" s="31" t="n">
        <v>50.43</v>
      </c>
      <c r="V128" s="31" t="n">
        <v>91.47</v>
      </c>
      <c r="W128" s="31" t="n">
        <v>32.53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Annuity, Lower One Time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Blue sky scenario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Negative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IF(B129=0,"",RANK(B129,$B$2:$B$314,0))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JNKINDIA</t>
        </is>
      </c>
      <c r="D129" s="30" t="inlineStr">
        <is>
          <t>JNK India Ltd</t>
        </is>
      </c>
      <c r="E129" s="30" t="inlineStr">
        <is>
          <t>realty</t>
        </is>
      </c>
      <c r="F129" s="30" t="inlineStr">
        <is>
          <t>engineering - turnkey services</t>
        </is>
      </c>
      <c r="G129" s="30" t="inlineStr">
        <is>
          <t>smallcap</t>
        </is>
      </c>
      <c r="H129" s="31" t="n">
        <v>2144.71</v>
      </c>
      <c r="I129" s="31" t="n">
        <v>421.6</v>
      </c>
      <c r="J129" s="31" t="n">
        <v>9.99</v>
      </c>
      <c r="K129" s="31" t="n">
        <v>912000</v>
      </c>
      <c r="L129" s="30" t="n">
        <v>81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70.81</v>
      </c>
      <c r="P129" s="31" t="n">
        <v>24.85</v>
      </c>
      <c r="Q129" s="31" t="n">
        <v>294.18</v>
      </c>
      <c r="R129" s="30" t="inlineStr">
        <is>
          <t>Near 52W High Breakout</t>
        </is>
      </c>
      <c r="S129" s="30" t="inlineStr">
        <is>
          <t>Nifty Realty</t>
        </is>
      </c>
      <c r="T129" s="31" t="n">
        <v>-26.45</v>
      </c>
      <c r="U129" s="31" t="n">
        <v>22.06</v>
      </c>
      <c r="V129" s="31" t="n">
        <v>65.95999999999999</v>
      </c>
      <c r="W129" s="31" t="n">
        <v>26.08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Negative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IF(B130=0,"",RANK(B130,$B$2:$B$314,0))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STOVEKRAFT</t>
        </is>
      </c>
      <c r="D130" s="30" t="inlineStr">
        <is>
          <t>Stove Kraft Ltd</t>
        </is>
      </c>
      <c r="E130" s="30" t="inlineStr">
        <is>
          <t>consumer discretionary</t>
        </is>
      </c>
      <c r="F130" s="30" t="inlineStr">
        <is>
          <t>domestic appliances</t>
        </is>
      </c>
      <c r="G130" s="30" t="inlineStr">
        <is>
          <t>smallcap</t>
        </is>
      </c>
      <c r="H130" s="31" t="n">
        <v>2050.83</v>
      </c>
      <c r="I130" s="31" t="n">
        <v>653.3</v>
      </c>
      <c r="J130" s="31" t="n">
        <v>5.46</v>
      </c>
      <c r="K130" s="31" t="n">
        <v>410692</v>
      </c>
      <c r="L130" s="30" t="n">
        <v>43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64.97</v>
      </c>
      <c r="P130" s="31" t="n">
        <v>20.81</v>
      </c>
      <c r="Q130" s="31" t="n">
        <v>489.27</v>
      </c>
      <c r="R130" s="30" t="inlineStr">
        <is>
          <t>Earnings / Momentum Support</t>
        </is>
      </c>
      <c r="S130" s="30" t="inlineStr">
        <is>
          <t>Nifty 50</t>
        </is>
      </c>
      <c r="T130" s="31" t="n">
        <v>-6.35</v>
      </c>
      <c r="U130" s="31" t="n">
        <v>12.95</v>
      </c>
      <c r="V130" s="31" t="n">
        <v>20.61</v>
      </c>
      <c r="W130" s="31" t="n">
        <v>11.77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No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IF(B131=0,"",RANK(B131,$B$2:$B$314,0))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IDEAFORGE</t>
        </is>
      </c>
      <c r="D131" s="30" t="inlineStr">
        <is>
          <t>Ideaforge Technology Ltd</t>
        </is>
      </c>
      <c r="E131" s="30" t="inlineStr">
        <is>
          <t>aerospace &amp; defence</t>
        </is>
      </c>
      <c r="F131" s="30" t="inlineStr">
        <is>
          <t>engineering</t>
        </is>
      </c>
      <c r="G131" s="30" t="inlineStr">
        <is>
          <t>smallcap</t>
        </is>
      </c>
      <c r="H131" s="31" t="n">
        <v>3709.4</v>
      </c>
      <c r="I131" s="31" t="n">
        <v>900</v>
      </c>
      <c r="J131" s="31" t="n">
        <v>5</v>
      </c>
      <c r="K131" s="31" t="n">
        <v>456053</v>
      </c>
      <c r="L131" s="30" t="n">
        <v>90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79.23999999999999</v>
      </c>
      <c r="P131" s="31" t="n">
        <v>36.89</v>
      </c>
      <c r="Q131" s="31" t="n">
        <v>646.9299999999999</v>
      </c>
      <c r="R131" s="30" t="inlineStr">
        <is>
          <t>Near 52W High Breakout</t>
        </is>
      </c>
      <c r="S131" s="30" t="inlineStr">
        <is>
          <t>Nifty Infra</t>
        </is>
      </c>
      <c r="T131" s="31" t="n">
        <v>1.41</v>
      </c>
      <c r="U131" s="31" t="n">
        <v>52.19</v>
      </c>
      <c r="V131" s="31" t="n">
        <v>50.08</v>
      </c>
      <c r="W131" s="31" t="n">
        <v>36.13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20 to 40</t>
        </is>
      </c>
      <c r="AY131" s="30">
        <f>IF(AX131="Above 40",20,IF(AX131="20 to 40",10,IF(AX131="0 to 20",-5,0)))</f>
        <v/>
      </c>
      <c r="AZ131" s="30" t="inlineStr">
        <is>
          <t>Above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Blue sky scenario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Negative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IF(B132=0,"",RANK(B132,$B$2:$B$314,0))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WELENT</t>
        </is>
      </c>
      <c r="D132" s="30" t="inlineStr">
        <is>
          <t>Welspun Enterprises Limited</t>
        </is>
      </c>
      <c r="E132" s="30" t="inlineStr">
        <is>
          <t>realty</t>
        </is>
      </c>
      <c r="F132" s="30" t="inlineStr">
        <is>
          <t>construction</t>
        </is>
      </c>
      <c r="G132" s="30" t="inlineStr">
        <is>
          <t>midcap</t>
        </is>
      </c>
      <c r="H132" s="31" t="n">
        <v>7178.14</v>
      </c>
      <c r="I132" s="31" t="n">
        <v>540.75</v>
      </c>
      <c r="J132" s="31" t="n">
        <v>4.27</v>
      </c>
      <c r="K132" s="31" t="n">
        <v>678219</v>
      </c>
      <c r="L132" s="30" t="n">
        <v>15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60.61</v>
      </c>
      <c r="P132" s="31" t="n">
        <v>12.06</v>
      </c>
      <c r="Q132" s="31" t="n">
        <v>419.6</v>
      </c>
      <c r="R132" s="30" t="inlineStr">
        <is>
          <t>Near 52W High Breakout</t>
        </is>
      </c>
      <c r="S132" s="30" t="inlineStr">
        <is>
          <t>Nifty Realty</t>
        </is>
      </c>
      <c r="T132" s="31" t="n">
        <v>-26.45</v>
      </c>
      <c r="U132" s="31" t="n">
        <v>4.38</v>
      </c>
      <c r="V132" s="31" t="n">
        <v>41.92</v>
      </c>
      <c r="W132" s="31" t="n">
        <v>5.13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0 to 20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No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Less than 50%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IF(B133=0,"",RANK(B133,$B$2:$B$314,0))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CGPOWER</t>
        </is>
      </c>
      <c r="D133" s="30" t="inlineStr">
        <is>
          <t>CG Power and Industrial Solutions Ltd</t>
        </is>
      </c>
      <c r="E133" s="30" t="inlineStr">
        <is>
          <t>industrials</t>
        </is>
      </c>
      <c r="F133" s="30" t="inlineStr">
        <is>
          <t>electric equipment</t>
        </is>
      </c>
      <c r="G133" s="30" t="inlineStr">
        <is>
          <t>largecap</t>
        </is>
      </c>
      <c r="H133" s="31" t="n">
        <v>142790.24</v>
      </c>
      <c r="I133" s="31" t="n">
        <v>937.9</v>
      </c>
      <c r="J133" s="31" t="n">
        <v>3.45</v>
      </c>
      <c r="K133" s="31" t="n">
        <v>8471887</v>
      </c>
      <c r="L133" s="30" t="n">
        <v>50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73.22</v>
      </c>
      <c r="P133" s="31" t="n">
        <v>22.75</v>
      </c>
      <c r="Q133" s="31" t="n">
        <v>768.02</v>
      </c>
      <c r="R133" s="30" t="inlineStr">
        <is>
          <t>Near 52W High Breakout</t>
        </is>
      </c>
      <c r="S133" s="30" t="inlineStr">
        <is>
          <t>Nifty 50</t>
        </is>
      </c>
      <c r="T133" s="31" t="n">
        <v>-6.35</v>
      </c>
      <c r="U133" s="31" t="n">
        <v>37.91</v>
      </c>
      <c r="V133" s="31" t="n">
        <v>47.25</v>
      </c>
      <c r="W133" s="31" t="n">
        <v>13.69</v>
      </c>
      <c r="X133" s="30" t="inlineStr">
        <is>
          <t>Cyclical in an Upturn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Blue sky scenario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Less than 50%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IF(B134=0,"",RANK(B134,$B$2:$B$314,0))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ARVIND</t>
        </is>
      </c>
      <c r="D134" s="30" t="inlineStr">
        <is>
          <t>Arvind Limited</t>
        </is>
      </c>
      <c r="E134" s="30" t="inlineStr">
        <is>
          <t>textiles</t>
        </is>
      </c>
      <c r="F134" s="30" t="inlineStr">
        <is>
          <t>textiles - cotton/blended</t>
        </is>
      </c>
      <c r="G134" s="30" t="inlineStr">
        <is>
          <t>midcap</t>
        </is>
      </c>
      <c r="H134" s="31" t="n">
        <v>12713.87</v>
      </c>
      <c r="I134" s="31" t="n">
        <v>501.05</v>
      </c>
      <c r="J134" s="31" t="n">
        <v>3.3</v>
      </c>
      <c r="K134" s="31" t="n">
        <v>1136947</v>
      </c>
      <c r="L134" s="30" t="n">
        <v>66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77.12</v>
      </c>
      <c r="P134" s="31" t="n">
        <v>33.85</v>
      </c>
      <c r="Q134" s="31" t="n">
        <v>399.74</v>
      </c>
      <c r="R134" s="30" t="inlineStr">
        <is>
          <t>Near 52W High Breakout</t>
        </is>
      </c>
      <c r="S134" s="30" t="inlineStr">
        <is>
          <t>Nifty 50</t>
        </is>
      </c>
      <c r="T134" s="31" t="n">
        <v>-6.35</v>
      </c>
      <c r="U134" s="31" t="n">
        <v>42.07</v>
      </c>
      <c r="V134" s="31" t="n">
        <v>51.7</v>
      </c>
      <c r="W134" s="31" t="n">
        <v>18.4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Above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Blue sky scenario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Less than 12%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No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IF(B135=0,"",RANK(B135,$B$2:$B$314,0))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CRAFTSMAN</t>
        </is>
      </c>
      <c r="D135" s="30" t="inlineStr">
        <is>
          <t>Craftsman Automation Ltd</t>
        </is>
      </c>
      <c r="E135" s="30" t="inlineStr">
        <is>
          <t>auto</t>
        </is>
      </c>
      <c r="F135" s="30" t="inlineStr">
        <is>
          <t>auto ancillaries</t>
        </is>
      </c>
      <c r="G135" s="30" t="inlineStr">
        <is>
          <t>largecap</t>
        </is>
      </c>
      <c r="H135" s="31" t="n">
        <v>21227.89</v>
      </c>
      <c r="I135" s="31" t="n">
        <v>9174</v>
      </c>
      <c r="J135" s="31" t="n">
        <v>3.1</v>
      </c>
      <c r="K135" s="31" t="n">
        <v>86273</v>
      </c>
      <c r="L135" s="30" t="n">
        <v>56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67.40000000000001</v>
      </c>
      <c r="P135" s="31" t="n">
        <v>29.55</v>
      </c>
      <c r="Q135" s="31" t="n">
        <v>7121.13</v>
      </c>
      <c r="R135" s="30" t="inlineStr">
        <is>
          <t>Near 52W High Breakout</t>
        </is>
      </c>
      <c r="S135" s="30" t="inlineStr">
        <is>
          <t>Nifty Auto</t>
        </is>
      </c>
      <c r="T135" s="31" t="n">
        <v>10.49</v>
      </c>
      <c r="U135" s="31" t="n">
        <v>63.83</v>
      </c>
      <c r="V135" s="31" t="n">
        <v>48.27</v>
      </c>
      <c r="W135" s="31" t="n">
        <v>15.43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Blue sky scenario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Less than 1.5</t>
        </is>
      </c>
      <c r="BU135" s="30">
        <f>IF(BT135="Above 2",0,IF(BT135="Between 1.5 to 2",5,IF(BT135="Less than 1.5",10,0)))</f>
        <v/>
      </c>
      <c r="BV135" s="30" t="inlineStr">
        <is>
          <t>Less than 50% and Borrowings are increasing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Between 0.7 to 1.2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IF(B136=0,"",RANK(B136,$B$2:$B$314,0))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MINDACORP</t>
        </is>
      </c>
      <c r="D136" s="30" t="inlineStr">
        <is>
          <t>Minda Corporation Limited</t>
        </is>
      </c>
      <c r="E136" s="30" t="inlineStr">
        <is>
          <t>auto</t>
        </is>
      </c>
      <c r="F136" s="30" t="inlineStr">
        <is>
          <t>auto ancillaries</t>
        </is>
      </c>
      <c r="G136" s="30" t="inlineStr">
        <is>
          <t>midcap</t>
        </is>
      </c>
      <c r="H136" s="31" t="n">
        <v>14975.94</v>
      </c>
      <c r="I136" s="31" t="n">
        <v>645.3</v>
      </c>
      <c r="J136" s="31" t="n">
        <v>3.02</v>
      </c>
      <c r="K136" s="31" t="n">
        <v>1813244</v>
      </c>
      <c r="L136" s="30" t="n">
        <v>32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65.79000000000001</v>
      </c>
      <c r="P136" s="31" t="n">
        <v>19.59</v>
      </c>
      <c r="Q136" s="31" t="n">
        <v>512.51</v>
      </c>
      <c r="R136" s="30" t="inlineStr">
        <is>
          <t>Near 52W High Breakout</t>
        </is>
      </c>
      <c r="S136" s="30" t="inlineStr">
        <is>
          <t>Nifty Auto</t>
        </is>
      </c>
      <c r="T136" s="31" t="n">
        <v>10.49</v>
      </c>
      <c r="U136" s="31" t="n">
        <v>15.55</v>
      </c>
      <c r="V136" s="31" t="n">
        <v>4.58</v>
      </c>
      <c r="W136" s="31" t="n">
        <v>8.630000000000001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0 to 20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Blue sky scenario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IF(B137=0,"",RANK(B137,$B$2:$B$314,0))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2" t="inlineStr">
        <is>
          <t>SPECTRUM</t>
        </is>
      </c>
      <c r="D137" s="32" t="inlineStr">
        <is>
          <t>Spectrum Electrical Industries Ltd</t>
        </is>
      </c>
      <c r="E137" s="30" t="inlineStr">
        <is>
          <t>industrials</t>
        </is>
      </c>
      <c r="F137" s="30" t="inlineStr">
        <is>
          <t>electric equipment</t>
        </is>
      </c>
      <c r="G137" s="30" t="inlineStr">
        <is>
          <t>smallcap</t>
        </is>
      </c>
      <c r="H137" s="31" t="n">
        <v>2547.37</v>
      </c>
      <c r="I137" s="31" t="n">
        <v>1664.8</v>
      </c>
      <c r="J137" s="31" t="n">
        <v>2.7</v>
      </c>
      <c r="K137" s="31" t="n">
        <v>81126</v>
      </c>
      <c r="L137" s="30" t="n">
        <v>16</v>
      </c>
      <c r="M137" s="30" t="inlineStr">
        <is>
          <t>Underperforming</t>
        </is>
      </c>
      <c r="N137" s="31">
        <f>IF(M137="Underperforming",-5,IF(L137&gt;=95,15,IF(L137&gt;=90,10,IF(L137&gt;=80,5,0))))</f>
        <v/>
      </c>
      <c r="O137" s="31" t="n">
        <v>63.6</v>
      </c>
      <c r="P137" s="31" t="n">
        <v>23.42</v>
      </c>
      <c r="Q137" s="31" t="n">
        <v>1136.15</v>
      </c>
      <c r="R137" s="30" t="inlineStr">
        <is>
          <t>Volume Spike &amp; Near 52W High Breakout</t>
        </is>
      </c>
      <c r="S137" s="30" t="inlineStr">
        <is>
          <t>Nifty Infra</t>
        </is>
      </c>
      <c r="T137" s="31" t="n">
        <v>1.41</v>
      </c>
      <c r="U137" s="31" t="n">
        <v>1.39</v>
      </c>
      <c r="V137" s="31" t="n">
        <v>-0.02</v>
      </c>
      <c r="W137" s="31" t="n">
        <v>5.16</v>
      </c>
      <c r="X137" s="30" t="inlineStr">
        <is>
          <t>Cyclical in an Upturn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Less than 1.5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Between 0.7 to 1.2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IF(B138=0,"",RANK(B138,$B$2:$B$314,0))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AIAENG</t>
        </is>
      </c>
      <c r="D138" s="30" t="inlineStr">
        <is>
          <t>Aia Engineering Limited</t>
        </is>
      </c>
      <c r="E138" s="30" t="inlineStr">
        <is>
          <t>industrials</t>
        </is>
      </c>
      <c r="F138" s="30" t="inlineStr">
        <is>
          <t>castings &amp; forgings</t>
        </is>
      </c>
      <c r="G138" s="30" t="inlineStr">
        <is>
          <t>largecap</t>
        </is>
      </c>
      <c r="H138" s="31" t="n">
        <v>42192.94</v>
      </c>
      <c r="I138" s="31" t="n">
        <v>4596.5</v>
      </c>
      <c r="J138" s="31" t="n">
        <v>1.66</v>
      </c>
      <c r="K138" s="31" t="n">
        <v>96853</v>
      </c>
      <c r="L138" s="30" t="n">
        <v>43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71.05</v>
      </c>
      <c r="P138" s="31" t="n">
        <v>15.48</v>
      </c>
      <c r="Q138" s="31" t="n">
        <v>3749.4</v>
      </c>
      <c r="R138" s="30" t="inlineStr">
        <is>
          <t>Near 52W High Breakout</t>
        </is>
      </c>
      <c r="S138" s="30" t="inlineStr">
        <is>
          <t>Nifty 500</t>
        </is>
      </c>
      <c r="T138" s="31" t="n">
        <v>-2.88</v>
      </c>
      <c r="U138" s="31" t="n">
        <v>31.94</v>
      </c>
      <c r="V138" s="31" t="n">
        <v>35.85</v>
      </c>
      <c r="W138" s="31" t="n">
        <v>11.79</v>
      </c>
      <c r="X138" s="30" t="inlineStr">
        <is>
          <t>Cyclical in an Upturn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0 to 20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Blue sky scenario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Less than 1.5</t>
        </is>
      </c>
      <c r="BU138" s="30">
        <f>IF(BT138="Above 2",0,IF(BT138="Between 1.5 to 2",5,IF(BT138="Less than 1.5",10,0)))</f>
        <v/>
      </c>
      <c r="BV138" s="30" t="inlineStr">
        <is>
          <t>Less than 50%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IF(B139=0,"",RANK(B139,$B$2:$B$314,0))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POLYCAB</t>
        </is>
      </c>
      <c r="D139" s="30" t="inlineStr">
        <is>
          <t>Polycab India Ltd</t>
        </is>
      </c>
      <c r="E139" s="30" t="inlineStr">
        <is>
          <t>industrials</t>
        </is>
      </c>
      <c r="F139" s="30" t="inlineStr">
        <is>
          <t>cables - power</t>
        </is>
      </c>
      <c r="G139" s="30" t="inlineStr">
        <is>
          <t>largecap</t>
        </is>
      </c>
      <c r="H139" s="31" t="n">
        <v>144099.42</v>
      </c>
      <c r="I139" s="31" t="n">
        <v>9717.5</v>
      </c>
      <c r="J139" s="31" t="n">
        <v>1.53</v>
      </c>
      <c r="K139" s="31" t="n">
        <v>259390</v>
      </c>
      <c r="L139" s="30" t="n">
        <v>48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70.62</v>
      </c>
      <c r="P139" s="31" t="n">
        <v>22.54</v>
      </c>
      <c r="Q139" s="31" t="n">
        <v>8094.43</v>
      </c>
      <c r="R139" s="30" t="inlineStr">
        <is>
          <t>Near 52W High Breakout</t>
        </is>
      </c>
      <c r="S139" s="30" t="inlineStr">
        <is>
          <t>Nifty Energy</t>
        </is>
      </c>
      <c r="T139" s="31" t="n">
        <v>12.59</v>
      </c>
      <c r="U139" s="31" t="n">
        <v>59.97</v>
      </c>
      <c r="V139" s="31" t="n">
        <v>42.09</v>
      </c>
      <c r="W139" s="31" t="n">
        <v>12.9</v>
      </c>
      <c r="X139" s="30" t="inlineStr">
        <is>
          <t>Cyclical in an Upturn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Blue sky scenario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Less than 12%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IF(B140=0,"",RANK(B140,$B$2:$B$314,0))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2" t="inlineStr">
        <is>
          <t>EXIDEIND</t>
        </is>
      </c>
      <c r="D140" s="32" t="inlineStr">
        <is>
          <t>Exide Industries Limited</t>
        </is>
      </c>
      <c r="E140" s="30" t="inlineStr">
        <is>
          <t>auto</t>
        </is>
      </c>
      <c r="F140" s="30" t="inlineStr">
        <is>
          <t>auto ancillaries</t>
        </is>
      </c>
      <c r="G140" s="30" t="inlineStr">
        <is>
          <t>largecap</t>
        </is>
      </c>
      <c r="H140" s="31" t="n">
        <v>33910.75</v>
      </c>
      <c r="I140" s="31" t="n">
        <v>403.4</v>
      </c>
      <c r="J140" s="31" t="n">
        <v>1.12</v>
      </c>
      <c r="K140" s="31" t="n">
        <v>4920795</v>
      </c>
      <c r="L140" s="30" t="n">
        <v>27</v>
      </c>
      <c r="M140" s="30" t="inlineStr">
        <is>
          <t>Underperforming</t>
        </is>
      </c>
      <c r="N140" s="31">
        <f>IF(M140="Underperforming",-5,IF(L140&gt;=95,15,IF(L140&gt;=90,10,IF(L140&gt;=80,5,0))))</f>
        <v/>
      </c>
      <c r="O140" s="31" t="n">
        <v>66.33</v>
      </c>
      <c r="P140" s="31" t="n">
        <v>30.69</v>
      </c>
      <c r="Q140" s="31" t="n">
        <v>330.52</v>
      </c>
      <c r="R140" s="30" t="inlineStr">
        <is>
          <t>Near 52W High Breakout</t>
        </is>
      </c>
      <c r="S140" s="30" t="inlineStr">
        <is>
          <t>Nifty Auto</t>
        </is>
      </c>
      <c r="T140" s="31" t="n">
        <v>10.49</v>
      </c>
      <c r="U140" s="31" t="n">
        <v>3.11</v>
      </c>
      <c r="V140" s="31" t="n">
        <v>-6.69</v>
      </c>
      <c r="W140" s="31" t="n">
        <v>7.21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Between 12 to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IF(B141=0,"",RANK(B141,$B$2:$B$314,0))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GHCLTEXTIL</t>
        </is>
      </c>
      <c r="D141" s="30" t="inlineStr">
        <is>
          <t>GHCL Textiles Ltd</t>
        </is>
      </c>
      <c r="E141" s="30" t="inlineStr">
        <is>
          <t>textiles</t>
        </is>
      </c>
      <c r="F141" s="30" t="inlineStr">
        <is>
          <t>textiles - spinning - synthetic / blended</t>
        </is>
      </c>
      <c r="G141" s="30" t="inlineStr">
        <is>
          <t>smallcap</t>
        </is>
      </c>
      <c r="H141" s="31" t="n">
        <v>917.15</v>
      </c>
      <c r="I141" s="31" t="n">
        <v>96.40000000000001</v>
      </c>
      <c r="J141" s="31" t="n">
        <v>0.47</v>
      </c>
      <c r="K141" s="31" t="n">
        <v>789395</v>
      </c>
      <c r="L141" s="30" t="n">
        <v>34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64.79000000000001</v>
      </c>
      <c r="P141" s="31" t="n">
        <v>16.5</v>
      </c>
      <c r="Q141" s="31" t="n">
        <v>71.06</v>
      </c>
      <c r="R141" s="30" t="inlineStr">
        <is>
          <t>Near 52W High Breakout</t>
        </is>
      </c>
      <c r="S141" s="30" t="inlineStr">
        <is>
          <t>Nifty 50</t>
        </is>
      </c>
      <c r="T141" s="31" t="n">
        <v>-6.35</v>
      </c>
      <c r="U141" s="31" t="n">
        <v>6.27</v>
      </c>
      <c r="V141" s="31" t="n">
        <v>13.48</v>
      </c>
      <c r="W141" s="31" t="n">
        <v>9.1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0 to 20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Less than 1.5</t>
        </is>
      </c>
      <c r="BU141" s="30">
        <f>IF(BT141="Above 2",0,IF(BT141="Between 1.5 to 2",5,IF(BT141="Less than 1.5",10,0)))</f>
        <v/>
      </c>
      <c r="BV141" s="30" t="inlineStr">
        <is>
          <t>Less than 50%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IF(B142=0,"",RANK(B142,$B$2:$B$314,0))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HARDWYN</t>
        </is>
      </c>
      <c r="D142" s="30" t="inlineStr">
        <is>
          <t>Hardwyn India Ltd</t>
        </is>
      </c>
      <c r="E142" s="30" t="inlineStr">
        <is>
          <t>services</t>
        </is>
      </c>
      <c r="F142" s="30" t="inlineStr">
        <is>
          <t>trading</t>
        </is>
      </c>
      <c r="G142" s="30" t="inlineStr">
        <is>
          <t>smallcap</t>
        </is>
      </c>
      <c r="H142" s="31" t="n">
        <v>1236.23</v>
      </c>
      <c r="I142" s="31" t="n">
        <v>25.42</v>
      </c>
      <c r="J142" s="31" t="n">
        <v>0.43</v>
      </c>
      <c r="K142" s="31" t="n">
        <v>3516504</v>
      </c>
      <c r="L142" s="30" t="n">
        <v>75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68.09</v>
      </c>
      <c r="P142" s="31" t="n">
        <v>42.63</v>
      </c>
      <c r="Q142" s="31" t="n">
        <v>20.71</v>
      </c>
      <c r="R142" s="30" t="inlineStr">
        <is>
          <t>Earnings / Momentum Support</t>
        </is>
      </c>
      <c r="S142" s="30" t="inlineStr">
        <is>
          <t>Nifty 50</t>
        </is>
      </c>
      <c r="T142" s="31" t="n">
        <v>-6.35</v>
      </c>
      <c r="U142" s="31" t="n">
        <v>75.31</v>
      </c>
      <c r="V142" s="31" t="n">
        <v>87.19</v>
      </c>
      <c r="W142" s="31" t="n">
        <v>24.13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No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Above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Less than 12%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IF(B143=0,"",RANK(B143,$B$2:$B$314,0))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WABAG</t>
        </is>
      </c>
      <c r="D143" s="30" t="inlineStr">
        <is>
          <t>Va Tech Wabag Limited</t>
        </is>
      </c>
      <c r="E143" s="30" t="inlineStr">
        <is>
          <t>realty</t>
        </is>
      </c>
      <c r="F143" s="30" t="inlineStr">
        <is>
          <t>engineering - turnkey services</t>
        </is>
      </c>
      <c r="G143" s="30" t="inlineStr">
        <is>
          <t>midcap</t>
        </is>
      </c>
      <c r="H143" s="31" t="n">
        <v>9707.209999999999</v>
      </c>
      <c r="I143" s="31" t="n">
        <v>1560.6</v>
      </c>
      <c r="J143" s="31" t="n">
        <v>0.17</v>
      </c>
      <c r="K143" s="31" t="n">
        <v>219016</v>
      </c>
      <c r="L143" s="30" t="n">
        <v>21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64.03</v>
      </c>
      <c r="P143" s="31" t="n">
        <v>15.03</v>
      </c>
      <c r="Q143" s="31" t="n">
        <v>1222.38</v>
      </c>
      <c r="R143" s="30" t="inlineStr">
        <is>
          <t>Near 52W High Breakout</t>
        </is>
      </c>
      <c r="S143" s="30" t="inlineStr">
        <is>
          <t>Nifty Realty</t>
        </is>
      </c>
      <c r="T143" s="31" t="n">
        <v>-26.45</v>
      </c>
      <c r="U143" s="31" t="n">
        <v>-1.35</v>
      </c>
      <c r="V143" s="31" t="n">
        <v>34.13</v>
      </c>
      <c r="W143" s="31" t="n">
        <v>6.08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0 to 20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No</t>
        </is>
      </c>
      <c r="BS143" s="30">
        <f>IF(BR143="NO",5,0)</f>
        <v/>
      </c>
      <c r="BT143" s="30" t="inlineStr">
        <is>
          <t>Less than 1.5</t>
        </is>
      </c>
      <c r="BU143" s="30">
        <f>IF(BT143="Above 2",0,IF(BT143="Between 1.5 to 2",5,IF(BT143="Less than 1.5",10,0)))</f>
        <v/>
      </c>
      <c r="BV143" s="30" t="inlineStr">
        <is>
          <t>Less than 50%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IF(B144=0,"",RANK(B144,$B$2:$B$314,0))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AGIIL</t>
        </is>
      </c>
      <c r="D144" s="30" t="inlineStr">
        <is>
          <t>AGI Infra Ltd</t>
        </is>
      </c>
      <c r="E144" s="30" t="inlineStr">
        <is>
          <t>realty</t>
        </is>
      </c>
      <c r="F144" s="30" t="inlineStr">
        <is>
          <t>construction</t>
        </is>
      </c>
      <c r="G144" s="30" t="inlineStr">
        <is>
          <t>smallcap</t>
        </is>
      </c>
      <c r="H144" s="31" t="n">
        <v>4838.65</v>
      </c>
      <c r="I144" s="31" t="n">
        <v>385.85</v>
      </c>
      <c r="J144" s="31" t="n">
        <v>-0.32</v>
      </c>
      <c r="K144" s="31" t="n">
        <v>625032</v>
      </c>
      <c r="L144" s="30" t="n">
        <v>73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61.35</v>
      </c>
      <c r="P144" s="31" t="n">
        <v>46.5</v>
      </c>
      <c r="Q144" s="31" t="n">
        <v>299.47</v>
      </c>
      <c r="R144" s="30" t="inlineStr">
        <is>
          <t>Earnings / Momentum Support</t>
        </is>
      </c>
      <c r="S144" s="30" t="inlineStr">
        <is>
          <t>Nifty Realty</t>
        </is>
      </c>
      <c r="T144" s="31" t="n">
        <v>-26.45</v>
      </c>
      <c r="U144" s="31" t="n">
        <v>114.73</v>
      </c>
      <c r="V144" s="31" t="n">
        <v>191.96</v>
      </c>
      <c r="W144" s="31" t="n">
        <v>22.85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No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Above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Less than 1.5</t>
        </is>
      </c>
      <c r="BU144" s="30">
        <f>IF(BT144="Above 2",0,IF(BT144="Between 1.5 to 2",5,IF(BT144="Less than 1.5",10,0)))</f>
        <v/>
      </c>
      <c r="BV144" s="30" t="inlineStr">
        <is>
          <t>Negative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IF(B145=0,"",RANK(B145,$B$2:$B$314,0))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SONACOMS</t>
        </is>
      </c>
      <c r="D145" s="30" t="inlineStr">
        <is>
          <t>Sona BLW Precision Forgings Ltd</t>
        </is>
      </c>
      <c r="E145" s="30" t="inlineStr">
        <is>
          <t>auto</t>
        </is>
      </c>
      <c r="F145" s="30" t="inlineStr">
        <is>
          <t>auto ancillaries</t>
        </is>
      </c>
      <c r="G145" s="30" t="inlineStr">
        <is>
          <t>largecap</t>
        </is>
      </c>
      <c r="H145" s="31" t="n">
        <v>37525.35</v>
      </c>
      <c r="I145" s="31" t="n">
        <v>601.15</v>
      </c>
      <c r="J145" s="31" t="n">
        <v>-0.38</v>
      </c>
      <c r="K145" s="31" t="n">
        <v>1684599</v>
      </c>
      <c r="L145" s="30" t="n">
        <v>28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62.45</v>
      </c>
      <c r="P145" s="31" t="n">
        <v>23.21</v>
      </c>
      <c r="Q145" s="31" t="n">
        <v>493.18</v>
      </c>
      <c r="R145" s="30" t="inlineStr">
        <is>
          <t>Near 52W High Breakout</t>
        </is>
      </c>
      <c r="S145" s="30" t="inlineStr">
        <is>
          <t>Nifty Auto</t>
        </is>
      </c>
      <c r="T145" s="31" t="n">
        <v>10.49</v>
      </c>
      <c r="U145" s="31" t="n">
        <v>18.62</v>
      </c>
      <c r="V145" s="31" t="n">
        <v>7.35</v>
      </c>
      <c r="W145" s="31" t="n">
        <v>7.36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Between 12 to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Between 50% to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IF(B146=0,"",RANK(B146,$B$2:$B$314,0))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AEGISLOG</t>
        </is>
      </c>
      <c r="D146" s="30" t="inlineStr">
        <is>
          <t>Aegis Logistics Ltd</t>
        </is>
      </c>
      <c r="E146" s="30" t="inlineStr">
        <is>
          <t>services</t>
        </is>
      </c>
      <c r="F146" s="30" t="inlineStr">
        <is>
          <t>trading</t>
        </is>
      </c>
      <c r="G146" s="30" t="inlineStr">
        <is>
          <t>largecap</t>
        </is>
      </c>
      <c r="H146" s="31" t="n">
        <v>26693.55</v>
      </c>
      <c r="I146" s="31" t="n">
        <v>755.8</v>
      </c>
      <c r="J146" s="31" t="n">
        <v>-0.62</v>
      </c>
      <c r="K146" s="31" t="n">
        <v>199411</v>
      </c>
      <c r="L146" s="30" t="n">
        <v>6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57.55</v>
      </c>
      <c r="P146" s="31" t="n">
        <v>16.52</v>
      </c>
      <c r="Q146" s="31" t="n">
        <v>571.27</v>
      </c>
      <c r="R146" s="30" t="inlineStr">
        <is>
          <t>Earnings / Momentum Support</t>
        </is>
      </c>
      <c r="S146" s="30" t="inlineStr">
        <is>
          <t>Nifty 50</t>
        </is>
      </c>
      <c r="T146" s="31" t="n">
        <v>-6.35</v>
      </c>
      <c r="U146" s="31" t="n">
        <v>-4.52</v>
      </c>
      <c r="V146" s="31" t="n">
        <v>1.95</v>
      </c>
      <c r="W146" s="31" t="n">
        <v>2.27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No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0 to 20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Less than 1.5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IF(B147=0,"",RANK(B147,$B$2:$B$314,0))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VISHNU</t>
        </is>
      </c>
      <c r="D147" s="30" t="inlineStr">
        <is>
          <t>Vishnu Chemicals Limited</t>
        </is>
      </c>
      <c r="E147" s="30" t="inlineStr">
        <is>
          <t>chemicals</t>
        </is>
      </c>
      <c r="F147" s="30" t="inlineStr">
        <is>
          <t>chemicals</t>
        </is>
      </c>
      <c r="G147" s="30" t="inlineStr">
        <is>
          <t>smallcap</t>
        </is>
      </c>
      <c r="H147" s="31" t="n">
        <v>4141.91</v>
      </c>
      <c r="I147" s="31" t="n">
        <v>609.45</v>
      </c>
      <c r="J147" s="31" t="n">
        <v>-0.95</v>
      </c>
      <c r="K147" s="31" t="n">
        <v>153226</v>
      </c>
      <c r="L147" s="30" t="n">
        <v>33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64.06</v>
      </c>
      <c r="P147" s="31" t="n">
        <v>37.69</v>
      </c>
      <c r="Q147" s="31" t="n">
        <v>474.1</v>
      </c>
      <c r="R147" s="30" t="inlineStr">
        <is>
          <t>Volume Spike &amp; Near 52W High Breakout</t>
        </is>
      </c>
      <c r="S147" s="30" t="inlineStr">
        <is>
          <t>Nifty 50</t>
        </is>
      </c>
      <c r="T147" s="31" t="n">
        <v>-6.35</v>
      </c>
      <c r="U147" s="31" t="n">
        <v>16.9</v>
      </c>
      <c r="V147" s="31" t="n">
        <v>24.83</v>
      </c>
      <c r="W147" s="31" t="n">
        <v>8.800000000000001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Blue sky scenario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Less than 12%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No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Less than 50%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IF(B148=0,"",RANK(B148,$B$2:$B$314,0))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NH</t>
        </is>
      </c>
      <c r="D148" s="30" t="inlineStr">
        <is>
          <t>Narayana Hrudayalaya Ltd.</t>
        </is>
      </c>
      <c r="E148" s="30" t="inlineStr">
        <is>
          <t>healthcare</t>
        </is>
      </c>
      <c r="F148" s="30" t="inlineStr">
        <is>
          <t>healthcare</t>
        </is>
      </c>
      <c r="G148" s="30" t="inlineStr">
        <is>
          <t>largecap</t>
        </is>
      </c>
      <c r="H148" s="31" t="n">
        <v>40475.7</v>
      </c>
      <c r="I148" s="31" t="n">
        <v>1949.2</v>
      </c>
      <c r="J148" s="31" t="n">
        <v>-1.59</v>
      </c>
      <c r="K148" s="31" t="n">
        <v>366512</v>
      </c>
      <c r="L148" s="30" t="n">
        <v>12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61.19</v>
      </c>
      <c r="P148" s="31" t="n">
        <v>17.35</v>
      </c>
      <c r="Q148" s="31" t="n">
        <v>1606.86</v>
      </c>
      <c r="R148" s="30" t="inlineStr">
        <is>
          <t>Earnings / Momentum Support</t>
        </is>
      </c>
      <c r="S148" s="30" t="inlineStr">
        <is>
          <t>Nifty Pharma</t>
        </is>
      </c>
      <c r="T148" s="31" t="n">
        <v>11.5</v>
      </c>
      <c r="U148" s="31" t="n">
        <v>11.6</v>
      </c>
      <c r="V148" s="31" t="n">
        <v>0.09</v>
      </c>
      <c r="W148" s="31" t="n">
        <v>4.65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Yes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Shallow Cyclical (2 to 3 Years Growth)</t>
        </is>
      </c>
      <c r="AG148" s="30">
        <f>IF(AF148="Structural (10 Years Consistency)",10,IF(AF148="Shallow Cyclical (2 to 3 years growth)",5,0))</f>
        <v/>
      </c>
      <c r="AH148" s="30" t="inlineStr">
        <is>
          <t>Yes due to Product Mix change or Operating Leverage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B2C</t>
        </is>
      </c>
      <c r="AO148" s="30">
        <f>IF(AN148="B2C",10,IF(AN148="B2B",5,0))</f>
        <v/>
      </c>
      <c r="AP148" s="30" t="inlineStr">
        <is>
          <t>No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Between 12 to 20%</t>
        </is>
      </c>
      <c r="BO148" s="30">
        <f>IF(BN148="More than 20%",10,IF(BN148="Between 12 to 20%",5,IF(BN148="Less than 12%",0,0)))</f>
        <v/>
      </c>
      <c r="BP148" s="30" t="inlineStr">
        <is>
          <t>Yes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Less than 1.5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IF(B149=0,"",RANK(B149,$B$2:$B$314,0))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ICIL</t>
        </is>
      </c>
      <c r="D149" s="30" t="inlineStr">
        <is>
          <t>Indo Count Industries Limited</t>
        </is>
      </c>
      <c r="E149" s="30" t="inlineStr">
        <is>
          <t>textiles</t>
        </is>
      </c>
      <c r="F149" s="30" t="inlineStr">
        <is>
          <t>textiles - cotton/blended</t>
        </is>
      </c>
      <c r="G149" s="30" t="inlineStr">
        <is>
          <t>midcap</t>
        </is>
      </c>
      <c r="H149" s="31" t="n">
        <v>6825.94</v>
      </c>
      <c r="I149" s="31" t="n">
        <v>333.1</v>
      </c>
      <c r="J149" s="31" t="n">
        <v>-3.35</v>
      </c>
      <c r="K149" s="31" t="n">
        <v>427920</v>
      </c>
      <c r="L149" s="30" t="n">
        <v>42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62.55</v>
      </c>
      <c r="P149" s="31" t="n">
        <v>21.46</v>
      </c>
      <c r="Q149" s="31" t="n">
        <v>235.83</v>
      </c>
      <c r="R149" s="30" t="inlineStr">
        <is>
          <t>Volume Spike &amp; Near 52W High Breakout</t>
        </is>
      </c>
      <c r="S149" s="30" t="inlineStr">
        <is>
          <t>Nifty 50</t>
        </is>
      </c>
      <c r="T149" s="31" t="n">
        <v>-6.35</v>
      </c>
      <c r="U149" s="31" t="n">
        <v>25.16</v>
      </c>
      <c r="V149" s="31" t="n">
        <v>33.63</v>
      </c>
      <c r="W149" s="31" t="n">
        <v>11.53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20 to 40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Less than 12%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IF(B150=0,"",RANK(B150,$B$2:$B$314,0))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CUPID</t>
        </is>
      </c>
      <c r="D150" s="30" t="inlineStr">
        <is>
          <t>Cupid Limited</t>
        </is>
      </c>
      <c r="E150" s="30" t="inlineStr">
        <is>
          <t>fmcg</t>
        </is>
      </c>
      <c r="F150" s="30" t="inlineStr">
        <is>
          <t>personal care - indian</t>
        </is>
      </c>
      <c r="G150" s="30" t="inlineStr">
        <is>
          <t>midcap</t>
        </is>
      </c>
      <c r="H150" s="31" t="n">
        <v>17453.7</v>
      </c>
      <c r="I150" s="31" t="n">
        <v>133.09</v>
      </c>
      <c r="J150" s="31" t="n">
        <v>2.53</v>
      </c>
      <c r="K150" s="31" t="n">
        <v>15465563</v>
      </c>
      <c r="L150" s="30" t="n">
        <v>98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75</v>
      </c>
      <c r="P150" s="31" t="n">
        <v>40.55</v>
      </c>
      <c r="Q150" s="31" t="n">
        <v>101.22</v>
      </c>
      <c r="R150" s="30" t="inlineStr">
        <is>
          <t>Near 52W High Breakout</t>
        </is>
      </c>
      <c r="S150" s="30" t="inlineStr">
        <is>
          <t>Nifty FMCG</t>
        </is>
      </c>
      <c r="T150" s="31" t="n">
        <v>-13.6</v>
      </c>
      <c r="U150" s="31" t="n">
        <v>516.16</v>
      </c>
      <c r="V150" s="31" t="n">
        <v>613.11</v>
      </c>
      <c r="W150" s="31" t="n">
        <v>62.33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B2C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Annuity, Lower One Time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Above 40</t>
        </is>
      </c>
      <c r="AY150" s="30">
        <f>IF(AX150="Above 40",20,IF(AX150="20 to 40",10,IF(AX150="0 to 20",-5,0)))</f>
        <v/>
      </c>
      <c r="AZ150" s="30" t="inlineStr">
        <is>
          <t>Above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Negative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Blue sky scenario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Less than 50%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IF(B151=0,"",RANK(B151,$B$2:$B$314,0))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2" t="inlineStr">
        <is>
          <t>CAPLIPOINT</t>
        </is>
      </c>
      <c r="D151" s="32" t="inlineStr">
        <is>
          <t>Caplin Point Laboratories Limited</t>
        </is>
      </c>
      <c r="E151" s="30" t="inlineStr">
        <is>
          <t>healthcare</t>
        </is>
      </c>
      <c r="F151" s="30" t="inlineStr">
        <is>
          <t>pharmaceuticals - indian - formulations</t>
        </is>
      </c>
      <c r="G151" s="30" t="inlineStr">
        <is>
          <t>midcap</t>
        </is>
      </c>
      <c r="H151" s="31" t="n">
        <v>14996.35</v>
      </c>
      <c r="I151" s="31" t="n">
        <v>2019.7</v>
      </c>
      <c r="J151" s="31" t="n">
        <v>2.37</v>
      </c>
      <c r="K151" s="31" t="n">
        <v>97390</v>
      </c>
      <c r="L151" s="30" t="n">
        <v>12</v>
      </c>
      <c r="M151" s="30" t="inlineStr">
        <is>
          <t>Underperforming</t>
        </is>
      </c>
      <c r="N151" s="31">
        <f>IF(M151="Underperforming",-5,IF(L151&gt;=95,15,IF(L151&gt;=90,10,IF(L151&gt;=80,5,0))))</f>
        <v/>
      </c>
      <c r="O151" s="31" t="n">
        <v>63.03</v>
      </c>
      <c r="P151" s="31" t="n">
        <v>23.29</v>
      </c>
      <c r="Q151" s="31" t="n">
        <v>1657.06</v>
      </c>
      <c r="R151" s="30" t="inlineStr">
        <is>
          <t>Earnings / Momentum Support</t>
        </is>
      </c>
      <c r="S151" s="30" t="inlineStr">
        <is>
          <t>Nifty Pharma</t>
        </is>
      </c>
      <c r="T151" s="31" t="n">
        <v>11.5</v>
      </c>
      <c r="U151" s="31" t="n">
        <v>-3.2</v>
      </c>
      <c r="V151" s="31" t="n">
        <v>-13.18</v>
      </c>
      <c r="W151" s="31" t="n">
        <v>4.4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Yes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No</t>
        </is>
      </c>
      <c r="AQ151" s="30">
        <f>IF(AP151="Yes",10,0)</f>
        <v/>
      </c>
      <c r="AR151" s="30" t="inlineStr">
        <is>
          <t>Higher Annuity, Lower One Time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Between 12 to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Less than 1.5</t>
        </is>
      </c>
      <c r="BU151" s="30">
        <f>IF(BT151="Above 2",0,IF(BT151="Between 1.5 to 2",5,IF(BT151="Less than 1.5",10,0)))</f>
        <v/>
      </c>
      <c r="BV151" s="30" t="inlineStr">
        <is>
          <t>Between 50% to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IF(B152=0,"",RANK(B152,$B$2:$B$314,0))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WOCKPHARMA</t>
        </is>
      </c>
      <c r="D152" s="30" t="inlineStr">
        <is>
          <t>Wockhardt Limited</t>
        </is>
      </c>
      <c r="E152" s="30" t="inlineStr">
        <is>
          <t>healthcare</t>
        </is>
      </c>
      <c r="F152" s="30" t="inlineStr">
        <is>
          <t>pharmaceuticals - indian - bulk drugs &amp; formln</t>
        </is>
      </c>
      <c r="G152" s="30" t="inlineStr">
        <is>
          <t>largecap</t>
        </is>
      </c>
      <c r="H152" s="31" t="n">
        <v>33699.25</v>
      </c>
      <c r="I152" s="31" t="n">
        <v>2072.9</v>
      </c>
      <c r="J152" s="31" t="n">
        <v>-0.05</v>
      </c>
      <c r="K152" s="31" t="n">
        <v>3856902</v>
      </c>
      <c r="L152" s="30" t="n">
        <v>70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78.19</v>
      </c>
      <c r="P152" s="31" t="n">
        <v>27.69</v>
      </c>
      <c r="Q152" s="31" t="n">
        <v>1508.63</v>
      </c>
      <c r="R152" s="30" t="inlineStr">
        <is>
          <t>Volume Spike &amp; Near 52W High Breakout</t>
        </is>
      </c>
      <c r="S152" s="30" t="inlineStr">
        <is>
          <t>Nifty Pharma</t>
        </is>
      </c>
      <c r="T152" s="31" t="n">
        <v>11.5</v>
      </c>
      <c r="U152" s="31" t="n">
        <v>37.7</v>
      </c>
      <c r="V152" s="31" t="n">
        <v>23.5</v>
      </c>
      <c r="W152" s="31" t="n">
        <v>20.95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Yes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Annuity, Lower One Time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Above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Blue sky scenario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Yes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Between 50% to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IF(B153=0,"",RANK(B153,$B$2:$B$314,0))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ORCHPHARMA</t>
        </is>
      </c>
      <c r="D153" s="30" t="inlineStr">
        <is>
          <t>Orchid Pharma Ltd</t>
        </is>
      </c>
      <c r="E153" s="30" t="inlineStr">
        <is>
          <t>healthcare</t>
        </is>
      </c>
      <c r="F153" s="30" t="inlineStr">
        <is>
          <t>pharmaceuticals - indian - bulk drugs &amp; formln</t>
        </is>
      </c>
      <c r="G153" s="30" t="inlineStr">
        <is>
          <t>smallcap</t>
        </is>
      </c>
      <c r="H153" s="31" t="n">
        <v>4244.43</v>
      </c>
      <c r="I153" s="31" t="n">
        <v>834.85</v>
      </c>
      <c r="J153" s="31" t="n">
        <v>-0.24</v>
      </c>
      <c r="K153" s="31" t="n">
        <v>103210</v>
      </c>
      <c r="L153" s="30" t="n">
        <v>71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66.47</v>
      </c>
      <c r="P153" s="31" t="n">
        <v>36.08</v>
      </c>
      <c r="Q153" s="31" t="n">
        <v>625.8200000000001</v>
      </c>
      <c r="R153" s="30" t="inlineStr">
        <is>
          <t>Near 52W High Breakout</t>
        </is>
      </c>
      <c r="S153" s="30" t="inlineStr">
        <is>
          <t>Nifty Pharma</t>
        </is>
      </c>
      <c r="T153" s="31" t="n">
        <v>11.5</v>
      </c>
      <c r="U153" s="31" t="n">
        <v>16.25</v>
      </c>
      <c r="V153" s="31" t="n">
        <v>4.26</v>
      </c>
      <c r="W153" s="31" t="n">
        <v>21.58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Yes</t>
        </is>
      </c>
      <c r="AC153" s="30">
        <f>IF(AB153="No",5,0)</f>
        <v/>
      </c>
      <c r="AD153" s="30" t="inlineStr">
        <is>
          <t>Headwind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Annuity, Lower One Time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IF(B154=0,"",RANK(B154,$B$2:$B$314,0))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PIXTRANS</t>
        </is>
      </c>
      <c r="D154" s="30" t="inlineStr">
        <is>
          <t>Pix Transmission Ltd</t>
        </is>
      </c>
      <c r="E154" s="30" t="inlineStr">
        <is>
          <t>fmcg</t>
        </is>
      </c>
      <c r="F154" s="30" t="inlineStr">
        <is>
          <t>miscellaneous</t>
        </is>
      </c>
      <c r="G154" s="30" t="inlineStr">
        <is>
          <t>smallcap</t>
        </is>
      </c>
      <c r="H154" s="31" t="n">
        <v>2224.31</v>
      </c>
      <c r="I154" s="31" t="n">
        <v>1606.6</v>
      </c>
      <c r="J154" s="31" t="n">
        <v>-1.59</v>
      </c>
      <c r="K154" s="31" t="n">
        <v>11965</v>
      </c>
      <c r="L154" s="30" t="n">
        <v>6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60.1</v>
      </c>
      <c r="P154" s="31" t="n">
        <v>17.4</v>
      </c>
      <c r="Q154" s="31" t="n">
        <v>1309.22</v>
      </c>
      <c r="R154" s="30" t="inlineStr">
        <is>
          <t>Near 52W High Breakout</t>
        </is>
      </c>
      <c r="S154" s="30" t="inlineStr">
        <is>
          <t>Nifty FMCG</t>
        </is>
      </c>
      <c r="T154" s="31" t="n">
        <v>-13.6</v>
      </c>
      <c r="U154" s="31" t="n">
        <v>0.96</v>
      </c>
      <c r="V154" s="31" t="n">
        <v>16.85</v>
      </c>
      <c r="W154" s="31" t="n">
        <v>2.48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B2C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Annuity, Lower One Time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0 to 20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Less than 12%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IF(B155=0,"",RANK(B155,$B$2:$B$314,0))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DIAMONDYD</t>
        </is>
      </c>
      <c r="D155" s="30" t="inlineStr">
        <is>
          <t>Prataap Snacks Ltd</t>
        </is>
      </c>
      <c r="E155" s="30" t="inlineStr">
        <is>
          <t>fmcg</t>
        </is>
      </c>
      <c r="F155" s="30" t="inlineStr">
        <is>
          <t>food - processing - indian</t>
        </is>
      </c>
      <c r="G155" s="30" t="inlineStr">
        <is>
          <t>smallcap</t>
        </is>
      </c>
      <c r="H155" s="31" t="n">
        <v>2836.39</v>
      </c>
      <c r="I155" s="31" t="n">
        <v>1165.8</v>
      </c>
      <c r="J155" s="31" t="n">
        <v>-1.75</v>
      </c>
      <c r="K155" s="31" t="n">
        <v>58090</v>
      </c>
      <c r="L155" s="30" t="n">
        <v>14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64.51000000000001</v>
      </c>
      <c r="P155" s="31" t="n">
        <v>17.89</v>
      </c>
      <c r="Q155" s="31" t="n">
        <v>914.86</v>
      </c>
      <c r="R155" s="30" t="inlineStr">
        <is>
          <t>Near 52W High Breakout</t>
        </is>
      </c>
      <c r="S155" s="30" t="inlineStr">
        <is>
          <t>Nifty FMCG</t>
        </is>
      </c>
      <c r="T155" s="31" t="n">
        <v>-13.6</v>
      </c>
      <c r="U155" s="31" t="n">
        <v>4.22</v>
      </c>
      <c r="V155" s="31" t="n">
        <v>20.61</v>
      </c>
      <c r="W155" s="31" t="n">
        <v>4.94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B2C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Annuity, Lower One Time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0 to 20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Between 50% to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IF(B156=0,"",RANK(B156,$B$2:$B$314,0))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2" t="inlineStr">
        <is>
          <t>HESTERBIO</t>
        </is>
      </c>
      <c r="D156" s="32" t="inlineStr">
        <is>
          <t>Hester Biosciences Limited</t>
        </is>
      </c>
      <c r="E156" s="30" t="inlineStr">
        <is>
          <t>healthcare</t>
        </is>
      </c>
      <c r="F156" s="30" t="inlineStr">
        <is>
          <t>pharmaceuticals - indian - formulations</t>
        </is>
      </c>
      <c r="G156" s="30" t="inlineStr">
        <is>
          <t>smallcap</t>
        </is>
      </c>
      <c r="H156" s="31" t="n">
        <v>1664.71</v>
      </c>
      <c r="I156" s="31" t="n">
        <v>1922.4</v>
      </c>
      <c r="J156" s="31" t="n">
        <v>-1.76</v>
      </c>
      <c r="K156" s="31" t="n">
        <v>3807</v>
      </c>
      <c r="L156" s="30" t="n">
        <v>32</v>
      </c>
      <c r="M156" s="30" t="inlineStr">
        <is>
          <t>Underperforming</t>
        </is>
      </c>
      <c r="N156" s="31">
        <f>IF(M156="Underperforming",-5,IF(L156&gt;=95,15,IF(L156&gt;=90,10,IF(L156&gt;=80,5,0))))</f>
        <v/>
      </c>
      <c r="O156" s="31" t="n">
        <v>64.91</v>
      </c>
      <c r="P156" s="31" t="n">
        <v>32.52</v>
      </c>
      <c r="Q156" s="31" t="n">
        <v>1533.68</v>
      </c>
      <c r="R156" s="30" t="inlineStr">
        <is>
          <t>Earnings / Momentum Support</t>
        </is>
      </c>
      <c r="S156" s="30" t="inlineStr">
        <is>
          <t>Nifty Pharma</t>
        </is>
      </c>
      <c r="T156" s="31" t="n">
        <v>11.5</v>
      </c>
      <c r="U156" s="31" t="n">
        <v>3.89</v>
      </c>
      <c r="V156" s="31" t="n">
        <v>-6.82</v>
      </c>
      <c r="W156" s="31" t="n">
        <v>8.539999999999999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Yes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No</t>
        </is>
      </c>
      <c r="AQ156" s="30">
        <f>IF(AP156="Yes",10,0)</f>
        <v/>
      </c>
      <c r="AR156" s="30" t="inlineStr">
        <is>
          <t>Higher Annuity, Lower One Time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Above 2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IF(B157=0,"",RANK(B157,$B$2:$B$314,0))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RUBYMILLS</t>
        </is>
      </c>
      <c r="D157" s="30" t="inlineStr">
        <is>
          <t>The Ruby Mills Limited</t>
        </is>
      </c>
      <c r="E157" s="30" t="inlineStr">
        <is>
          <t>textiles</t>
        </is>
      </c>
      <c r="F157" s="30" t="inlineStr">
        <is>
          <t>textiles - composite</t>
        </is>
      </c>
      <c r="G157" s="30" t="inlineStr">
        <is>
          <t>smallcap</t>
        </is>
      </c>
      <c r="H157" s="31" t="n">
        <v>949.7</v>
      </c>
      <c r="I157" s="31" t="n">
        <v>336.2</v>
      </c>
      <c r="J157" s="31" t="n">
        <v>18.38</v>
      </c>
      <c r="K157" s="31" t="n">
        <v>1383749</v>
      </c>
      <c r="L157" s="30" t="n">
        <v>72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76.56</v>
      </c>
      <c r="P157" s="31" t="n">
        <v>34.84</v>
      </c>
      <c r="Q157" s="31" t="n">
        <v>253.66</v>
      </c>
      <c r="R157" s="30" t="inlineStr">
        <is>
          <t>Volume Spike &amp; Near 52W High Breakout</t>
        </is>
      </c>
      <c r="S157" s="30" t="inlineStr">
        <is>
          <t>Nifty 50</t>
        </is>
      </c>
      <c r="T157" s="31" t="n">
        <v>-6.35</v>
      </c>
      <c r="U157" s="31" t="n">
        <v>55.51</v>
      </c>
      <c r="V157" s="31" t="n">
        <v>66.05</v>
      </c>
      <c r="W157" s="31" t="n">
        <v>22.54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Above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Blue sky scenario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Less than 12%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No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Between 50% to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IF(B158=0,"",RANK(B158,$B$2:$B$314,0))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PARACABLES</t>
        </is>
      </c>
      <c r="D158" s="30" t="inlineStr">
        <is>
          <t>Paramount Communications Limited</t>
        </is>
      </c>
      <c r="E158" s="30" t="inlineStr">
        <is>
          <t>industrials</t>
        </is>
      </c>
      <c r="F158" s="30" t="inlineStr">
        <is>
          <t>cables - power</t>
        </is>
      </c>
      <c r="G158" s="30" t="inlineStr">
        <is>
          <t>smallcap</t>
        </is>
      </c>
      <c r="H158" s="31" t="n">
        <v>1960.97</v>
      </c>
      <c r="I158" s="31" t="n">
        <v>69.36</v>
      </c>
      <c r="J158" s="31" t="n">
        <v>7.95</v>
      </c>
      <c r="K158" s="31" t="n">
        <v>9986437</v>
      </c>
      <c r="L158" s="30" t="n">
        <v>89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76.19</v>
      </c>
      <c r="P158" s="31" t="n">
        <v>29.87</v>
      </c>
      <c r="Q158" s="31" t="n">
        <v>49.3</v>
      </c>
      <c r="R158" s="30" t="inlineStr">
        <is>
          <t>Near 52W High Breakout</t>
        </is>
      </c>
      <c r="S158" s="30" t="inlineStr">
        <is>
          <t>Nifty Energy</t>
        </is>
      </c>
      <c r="T158" s="31" t="n">
        <v>12.59</v>
      </c>
      <c r="U158" s="31" t="n">
        <v>27.36</v>
      </c>
      <c r="V158" s="31" t="n">
        <v>13.12</v>
      </c>
      <c r="W158" s="31" t="n">
        <v>35.54</v>
      </c>
      <c r="X158" s="30" t="inlineStr">
        <is>
          <t>Cyclical in an Upturn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Above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Less than 12%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IF(B159=0,"",RANK(B159,$B$2:$B$314,0))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2" t="inlineStr">
        <is>
          <t>GANESHBE</t>
        </is>
      </c>
      <c r="D159" s="32" t="inlineStr">
        <is>
          <t>Ganesh Benzoplast Ltd</t>
        </is>
      </c>
      <c r="E159" s="30" t="inlineStr">
        <is>
          <t>miscellaneous</t>
        </is>
      </c>
      <c r="F159" s="30" t="inlineStr">
        <is>
          <t>miscellaneous</t>
        </is>
      </c>
      <c r="G159" s="30" t="inlineStr">
        <is>
          <t>smallcap</t>
        </is>
      </c>
      <c r="H159" s="31" t="n">
        <v>676.92</v>
      </c>
      <c r="I159" s="31" t="n">
        <v>101.18</v>
      </c>
      <c r="J159" s="31" t="n">
        <v>7.6</v>
      </c>
      <c r="K159" s="31" t="n">
        <v>1463646</v>
      </c>
      <c r="L159" s="30" t="n">
        <v>14</v>
      </c>
      <c r="M159" s="30" t="inlineStr">
        <is>
          <t>Underperforming</t>
        </is>
      </c>
      <c r="N159" s="31">
        <f>IF(M159="Underperforming",-5,IF(L159&gt;=95,15,IF(L159&gt;=90,10,IF(L159&gt;=80,5,0))))</f>
        <v/>
      </c>
      <c r="O159" s="31" t="n">
        <v>61.62</v>
      </c>
      <c r="P159" s="31" t="n">
        <v>18.83</v>
      </c>
      <c r="Q159" s="31" t="n">
        <v>74.19</v>
      </c>
      <c r="R159" s="30" t="inlineStr">
        <is>
          <t>Earnings / Momentum Support</t>
        </is>
      </c>
      <c r="S159" s="30" t="inlineStr">
        <is>
          <t>Nifty 50</t>
        </is>
      </c>
      <c r="T159" s="31" t="n">
        <v>-6.35</v>
      </c>
      <c r="U159" s="31" t="n">
        <v>-7.09</v>
      </c>
      <c r="V159" s="31" t="n">
        <v>-0.79</v>
      </c>
      <c r="W159" s="31" t="n">
        <v>4.88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No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0 to 20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Less than 1.5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IF(B160=0,"",RANK(B160,$B$2:$B$314,0))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HONASA</t>
        </is>
      </c>
      <c r="D160" s="30" t="inlineStr">
        <is>
          <t>Honasa Consumer Ltd</t>
        </is>
      </c>
      <c r="E160" s="30" t="inlineStr">
        <is>
          <t>services</t>
        </is>
      </c>
      <c r="F160" s="30" t="inlineStr">
        <is>
          <t>trading</t>
        </is>
      </c>
      <c r="G160" s="30" t="inlineStr">
        <is>
          <t>midcap</t>
        </is>
      </c>
      <c r="H160" s="31" t="n">
        <v>13083.12</v>
      </c>
      <c r="I160" s="31" t="n">
        <v>417.05</v>
      </c>
      <c r="J160" s="31" t="n">
        <v>3.72</v>
      </c>
      <c r="K160" s="31" t="n">
        <v>2354119</v>
      </c>
      <c r="L160" s="30" t="n">
        <v>57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76.51000000000001</v>
      </c>
      <c r="P160" s="31" t="n">
        <v>27.04</v>
      </c>
      <c r="Q160" s="31" t="n">
        <v>336.05</v>
      </c>
      <c r="R160" s="30" t="inlineStr">
        <is>
          <t>Near 52W High Breakout</t>
        </is>
      </c>
      <c r="S160" s="30" t="inlineStr">
        <is>
          <t>Nifty 50</t>
        </is>
      </c>
      <c r="T160" s="31" t="n">
        <v>-6.35</v>
      </c>
      <c r="U160" s="31" t="n">
        <v>30.33</v>
      </c>
      <c r="V160" s="31" t="n">
        <v>39.16</v>
      </c>
      <c r="W160" s="31" t="n">
        <v>15.6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Above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Yes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Between 50% to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IF(B161=0,"",RANK(B161,$B$2:$B$314,0))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2" t="inlineStr">
        <is>
          <t>JINDALSAW</t>
        </is>
      </c>
      <c r="D161" s="32" t="inlineStr">
        <is>
          <t>Jindal Saw Limited</t>
        </is>
      </c>
      <c r="E161" s="30" t="inlineStr">
        <is>
          <t>industrials</t>
        </is>
      </c>
      <c r="F161" s="30" t="inlineStr">
        <is>
          <t>steel - large</t>
        </is>
      </c>
      <c r="G161" s="30" t="inlineStr">
        <is>
          <t>midcap</t>
        </is>
      </c>
      <c r="H161" s="31" t="n">
        <v>16043.34</v>
      </c>
      <c r="I161" s="31" t="n">
        <v>260</v>
      </c>
      <c r="J161" s="31" t="n">
        <v>3.64</v>
      </c>
      <c r="K161" s="31" t="n">
        <v>10769366</v>
      </c>
      <c r="L161" s="30" t="n">
        <v>65</v>
      </c>
      <c r="M161" s="30" t="inlineStr">
        <is>
          <t>Underperforming</t>
        </is>
      </c>
      <c r="N161" s="31">
        <f>IF(M161="Underperforming",-5,IF(L161&gt;=95,15,IF(L161&gt;=90,10,IF(L161&gt;=80,5,0))))</f>
        <v/>
      </c>
      <c r="O161" s="31" t="n">
        <v>65.95</v>
      </c>
      <c r="P161" s="31" t="n">
        <v>27.75</v>
      </c>
      <c r="Q161" s="31" t="n">
        <v>194.79</v>
      </c>
      <c r="R161" s="30" t="inlineStr">
        <is>
          <t>Near 52W High Breakout</t>
        </is>
      </c>
      <c r="S161" s="30" t="inlineStr">
        <is>
          <t>Nifty Metal</t>
        </is>
      </c>
      <c r="T161" s="31" t="n">
        <v>42.84</v>
      </c>
      <c r="U161" s="31" t="n">
        <v>21.57</v>
      </c>
      <c r="V161" s="31" t="n">
        <v>-14.89</v>
      </c>
      <c r="W161" s="31" t="n">
        <v>18.29</v>
      </c>
      <c r="X161" s="30" t="inlineStr">
        <is>
          <t>Cyclical in an Upturn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Close to 52 week high or retracement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Less than 12%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IF(B162=0,"",RANK(B162,$B$2:$B$314,0))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ELGIEQUIP</t>
        </is>
      </c>
      <c r="D162" s="30" t="inlineStr">
        <is>
          <t>Elgi Equipments Limited</t>
        </is>
      </c>
      <c r="E162" s="30" t="inlineStr">
        <is>
          <t>industrials</t>
        </is>
      </c>
      <c r="F162" s="30" t="inlineStr">
        <is>
          <t>compressors / drilling equipment</t>
        </is>
      </c>
      <c r="G162" s="30" t="inlineStr">
        <is>
          <t>midcap</t>
        </is>
      </c>
      <c r="H162" s="31" t="n">
        <v>19052.57</v>
      </c>
      <c r="I162" s="31" t="n">
        <v>622.15</v>
      </c>
      <c r="J162" s="31" t="n">
        <v>3.48</v>
      </c>
      <c r="K162" s="31" t="n">
        <v>1850678</v>
      </c>
      <c r="L162" s="30" t="n">
        <v>30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67.98999999999999</v>
      </c>
      <c r="P162" s="31" t="n">
        <v>15.78</v>
      </c>
      <c r="Q162" s="31" t="n">
        <v>489.19</v>
      </c>
      <c r="R162" s="30" t="inlineStr">
        <is>
          <t>Volume Spike &amp; Near 52W High Breakout</t>
        </is>
      </c>
      <c r="S162" s="30" t="inlineStr">
        <is>
          <t>Nifty 50</t>
        </is>
      </c>
      <c r="T162" s="31" t="n">
        <v>-6.35</v>
      </c>
      <c r="U162" s="31" t="n">
        <v>17.99</v>
      </c>
      <c r="V162" s="31" t="n">
        <v>25.98</v>
      </c>
      <c r="W162" s="31" t="n">
        <v>7.77</v>
      </c>
      <c r="X162" s="30" t="inlineStr">
        <is>
          <t>Cyclical in an Upturn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0 to 20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Between 1.5 to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IF(B163=0,"",RANK(B163,$B$2:$B$314,0))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RRKABEL</t>
        </is>
      </c>
      <c r="D163" s="30" t="inlineStr">
        <is>
          <t>R R Kabel Ltd</t>
        </is>
      </c>
      <c r="E163" s="30" t="inlineStr">
        <is>
          <t>industrials</t>
        </is>
      </c>
      <c r="F163" s="30" t="inlineStr">
        <is>
          <t>cables - power</t>
        </is>
      </c>
      <c r="G163" s="30" t="inlineStr">
        <is>
          <t>largecap</t>
        </is>
      </c>
      <c r="H163" s="31" t="n">
        <v>24384.42</v>
      </c>
      <c r="I163" s="31" t="n">
        <v>2223</v>
      </c>
      <c r="J163" s="31" t="n">
        <v>3.11</v>
      </c>
      <c r="K163" s="31" t="n">
        <v>1089810</v>
      </c>
      <c r="L163" s="30" t="n">
        <v>69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78.59</v>
      </c>
      <c r="P163" s="31" t="n">
        <v>32.21</v>
      </c>
      <c r="Q163" s="31" t="n">
        <v>1757.72</v>
      </c>
      <c r="R163" s="30" t="inlineStr">
        <is>
          <t>Near 52W High Breakout</t>
        </is>
      </c>
      <c r="S163" s="30" t="inlineStr">
        <is>
          <t>Nifty Energy</t>
        </is>
      </c>
      <c r="T163" s="31" t="n">
        <v>12.59</v>
      </c>
      <c r="U163" s="31" t="n">
        <v>58.1</v>
      </c>
      <c r="V163" s="31" t="n">
        <v>40.43</v>
      </c>
      <c r="W163" s="31" t="n">
        <v>20.38</v>
      </c>
      <c r="X163" s="30" t="inlineStr">
        <is>
          <t>Cyclical in an Upturn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Above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Blue sky scenario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Between 1.5 to 2</t>
        </is>
      </c>
      <c r="BU163" s="30">
        <f>IF(BT163="Above 2",0,IF(BT163="Between 1.5 to 2",5,IF(BT163="Less than 1.5",10,0)))</f>
        <v/>
      </c>
      <c r="BV163" s="30" t="inlineStr">
        <is>
          <t>Less than 50%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IF(B164=0,"",RANK(B164,$B$2:$B$314,0))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SBC</t>
        </is>
      </c>
      <c r="D164" s="30" t="inlineStr">
        <is>
          <t>SBC Exports Ltd</t>
        </is>
      </c>
      <c r="E164" s="30" t="inlineStr">
        <is>
          <t>textiles</t>
        </is>
      </c>
      <c r="F164" s="30" t="inlineStr">
        <is>
          <t>textiles - products</t>
        </is>
      </c>
      <c r="G164" s="30" t="inlineStr">
        <is>
          <t>smallcap</t>
        </is>
      </c>
      <c r="H164" s="31" t="n">
        <v>1749.52</v>
      </c>
      <c r="I164" s="31" t="n">
        <v>37.5</v>
      </c>
      <c r="J164" s="31" t="n">
        <v>2.07</v>
      </c>
      <c r="K164" s="31" t="n">
        <v>12843650</v>
      </c>
      <c r="L164" s="30" t="n">
        <v>78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72.66</v>
      </c>
      <c r="P164" s="31" t="n">
        <v>22.68</v>
      </c>
      <c r="Q164" s="31" t="n">
        <v>32.66</v>
      </c>
      <c r="R164" s="30" t="inlineStr">
        <is>
          <t>Near 52W High Breakout</t>
        </is>
      </c>
      <c r="S164" s="30" t="inlineStr">
        <is>
          <t>Nifty 50</t>
        </is>
      </c>
      <c r="T164" s="31" t="n">
        <v>-6.35</v>
      </c>
      <c r="U164" s="31" t="n">
        <v>154.76</v>
      </c>
      <c r="V164" s="31" t="n">
        <v>172.02</v>
      </c>
      <c r="W164" s="31" t="n">
        <v>24.56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Blue sky scenario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Yes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More than 1.2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IF(B165=0,"",RANK(B165,$B$2:$B$314,0))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SANGHVIMOV</t>
        </is>
      </c>
      <c r="D165" s="30" t="inlineStr">
        <is>
          <t>Sanghvi Movers Limited</t>
        </is>
      </c>
      <c r="E165" s="30" t="inlineStr">
        <is>
          <t>miscellaneous</t>
        </is>
      </c>
      <c r="F165" s="30" t="inlineStr">
        <is>
          <t>miscellaneous</t>
        </is>
      </c>
      <c r="G165" s="30" t="inlineStr">
        <is>
          <t>smallcap</t>
        </is>
      </c>
      <c r="H165" s="31" t="n">
        <v>3110.68</v>
      </c>
      <c r="I165" s="31" t="n">
        <v>366.75</v>
      </c>
      <c r="J165" s="31" t="n">
        <v>2.07</v>
      </c>
      <c r="K165" s="31" t="n">
        <v>273598</v>
      </c>
      <c r="L165" s="30" t="n">
        <v>60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61.21</v>
      </c>
      <c r="P165" s="31" t="n">
        <v>18.61</v>
      </c>
      <c r="Q165" s="31" t="n">
        <v>257.57</v>
      </c>
      <c r="R165" s="30" t="inlineStr">
        <is>
          <t>Earnings / Momentum Support</t>
        </is>
      </c>
      <c r="S165" s="30" t="inlineStr">
        <is>
          <t>Nifty 50</t>
        </is>
      </c>
      <c r="T165" s="31" t="n">
        <v>-6.35</v>
      </c>
      <c r="U165" s="31" t="n">
        <v>24.22</v>
      </c>
      <c r="V165" s="31" t="n">
        <v>32.63</v>
      </c>
      <c r="W165" s="31" t="n">
        <v>16.81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No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0 to 20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Less than 1.5</t>
        </is>
      </c>
      <c r="BU165" s="30">
        <f>IF(BT165="Above 2",0,IF(BT165="Between 1.5 to 2",5,IF(BT165="Less than 1.5",10,0)))</f>
        <v/>
      </c>
      <c r="BV165" s="30" t="inlineStr">
        <is>
          <t>Between 50% to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IF(B166=0,"",RANK(B166,$B$2:$B$314,0))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CUMMINSIND</t>
        </is>
      </c>
      <c r="D166" s="30" t="inlineStr">
        <is>
          <t>Cummins India Limited</t>
        </is>
      </c>
      <c r="E166" s="30" t="inlineStr">
        <is>
          <t>industrials</t>
        </is>
      </c>
      <c r="F166" s="30" t="inlineStr">
        <is>
          <t>engines</t>
        </is>
      </c>
      <c r="G166" s="30" t="inlineStr">
        <is>
          <t>largecap</t>
        </is>
      </c>
      <c r="H166" s="31" t="n">
        <v>157796.1</v>
      </c>
      <c r="I166" s="31" t="n">
        <v>5787.5</v>
      </c>
      <c r="J166" s="31" t="n">
        <v>1.67</v>
      </c>
      <c r="K166" s="31" t="n">
        <v>502845</v>
      </c>
      <c r="L166" s="30" t="n">
        <v>58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76.02</v>
      </c>
      <c r="P166" s="31" t="n">
        <v>38.7</v>
      </c>
      <c r="Q166" s="31" t="n">
        <v>4943.2</v>
      </c>
      <c r="R166" s="30" t="inlineStr">
        <is>
          <t>Near 52W High Breakout</t>
        </is>
      </c>
      <c r="S166" s="30" t="inlineStr">
        <is>
          <t>Nifty 500</t>
        </is>
      </c>
      <c r="T166" s="31" t="n">
        <v>-2.88</v>
      </c>
      <c r="U166" s="31" t="n">
        <v>73.42</v>
      </c>
      <c r="V166" s="31" t="n">
        <v>78.56</v>
      </c>
      <c r="W166" s="31" t="n">
        <v>15.99</v>
      </c>
      <c r="X166" s="30" t="inlineStr">
        <is>
          <t>Cyclical in an Upturn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Above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Blue sky scenario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Between 50% to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IF(B167=0,"",RANK(B167,$B$2:$B$314,0))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SKYGOLD</t>
        </is>
      </c>
      <c r="D167" s="30" t="inlineStr">
        <is>
          <t>Sky Gold Ltd</t>
        </is>
      </c>
      <c r="E167" s="30" t="inlineStr">
        <is>
          <t>consumer discretionary</t>
        </is>
      </c>
      <c r="F167" s="30" t="inlineStr">
        <is>
          <t>diamond cutting / jewellery</t>
        </is>
      </c>
      <c r="G167" s="30" t="inlineStr">
        <is>
          <t>midcap</t>
        </is>
      </c>
      <c r="H167" s="31" t="n">
        <v>8723.27</v>
      </c>
      <c r="I167" s="31" t="n">
        <v>571.4</v>
      </c>
      <c r="J167" s="31" t="n">
        <v>1.45</v>
      </c>
      <c r="K167" s="31" t="n">
        <v>2292666</v>
      </c>
      <c r="L167" s="30" t="n">
        <v>82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70.23</v>
      </c>
      <c r="P167" s="31" t="n">
        <v>31.29</v>
      </c>
      <c r="Q167" s="31" t="n">
        <v>414.5</v>
      </c>
      <c r="R167" s="30" t="inlineStr">
        <is>
          <t>Near 52W High Breakout</t>
        </is>
      </c>
      <c r="S167" s="30" t="inlineStr">
        <is>
          <t>Nifty 50</t>
        </is>
      </c>
      <c r="T167" s="31" t="n">
        <v>-6.35</v>
      </c>
      <c r="U167" s="31" t="n">
        <v>51.4</v>
      </c>
      <c r="V167" s="31" t="n">
        <v>61.66</v>
      </c>
      <c r="W167" s="31" t="n">
        <v>26.5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Blue sky scenario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No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Negative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Between 0.7 to 1.2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IF(B168=0,"",RANK(B168,$B$2:$B$314,0))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APARINDS</t>
        </is>
      </c>
      <c r="D168" s="30" t="inlineStr">
        <is>
          <t>Apar Industries Limited</t>
        </is>
      </c>
      <c r="E168" s="30" t="inlineStr">
        <is>
          <t>industrials</t>
        </is>
      </c>
      <c r="F168" s="30" t="inlineStr">
        <is>
          <t>electric equipment</t>
        </is>
      </c>
      <c r="G168" s="30" t="inlineStr">
        <is>
          <t>largecap</t>
        </is>
      </c>
      <c r="H168" s="31" t="n">
        <v>54379.86</v>
      </c>
      <c r="I168" s="31" t="n">
        <v>13709</v>
      </c>
      <c r="J168" s="31" t="n">
        <v>1.26</v>
      </c>
      <c r="K168" s="31" t="n">
        <v>159520</v>
      </c>
      <c r="L168" s="30" t="n">
        <v>66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71.52</v>
      </c>
      <c r="P168" s="31" t="n">
        <v>37.2</v>
      </c>
      <c r="Q168" s="31" t="n">
        <v>10531.52</v>
      </c>
      <c r="R168" s="30" t="inlineStr">
        <is>
          <t>Near 52W High Breakout</t>
        </is>
      </c>
      <c r="S168" s="30" t="inlineStr">
        <is>
          <t>Nifty 50</t>
        </is>
      </c>
      <c r="T168" s="31" t="n">
        <v>-6.35</v>
      </c>
      <c r="U168" s="31" t="n">
        <v>70.16</v>
      </c>
      <c r="V168" s="31" t="n">
        <v>81.69</v>
      </c>
      <c r="W168" s="31" t="n">
        <v>18.31</v>
      </c>
      <c r="X168" s="30" t="inlineStr">
        <is>
          <t>Cyclical in an Upturn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20 to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Less than 12%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Between 50% to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IF(B169=0,"",RANK(B169,$B$2:$B$314,0))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SALSTEEL</t>
        </is>
      </c>
      <c r="D169" s="30" t="inlineStr">
        <is>
          <t>SAL Steel</t>
        </is>
      </c>
      <c r="E169" s="30" t="inlineStr">
        <is>
          <t>metals &amp; mining</t>
        </is>
      </c>
      <c r="F169" s="30" t="inlineStr">
        <is>
          <t>steel - sponge iron</t>
        </is>
      </c>
      <c r="G169" s="30" t="inlineStr">
        <is>
          <t>smallcap</t>
        </is>
      </c>
      <c r="H169" s="31" t="n">
        <v>899.4400000000001</v>
      </c>
      <c r="I169" s="31" t="n">
        <v>62.88</v>
      </c>
      <c r="J169" s="31" t="n">
        <v>1.21</v>
      </c>
      <c r="K169" s="31" t="n">
        <v>137000</v>
      </c>
      <c r="L169" s="30" t="n">
        <v>92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69.17</v>
      </c>
      <c r="P169" s="31" t="n">
        <v>28.1</v>
      </c>
      <c r="Q169" s="31" t="n">
        <v>45.29</v>
      </c>
      <c r="R169" s="30" t="inlineStr">
        <is>
          <t>Near 52W High Breakout</t>
        </is>
      </c>
      <c r="S169" s="30" t="inlineStr">
        <is>
          <t>Nifty Metal</t>
        </is>
      </c>
      <c r="T169" s="31" t="n">
        <v>42.84</v>
      </c>
      <c r="U169" s="31" t="n">
        <v>246.83</v>
      </c>
      <c r="V169" s="31" t="n">
        <v>142.81</v>
      </c>
      <c r="W169" s="31" t="n">
        <v>38.03</v>
      </c>
      <c r="X169" s="30" t="inlineStr">
        <is>
          <t>Cyclical in an Upturn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Cyclical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Volatile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Blue sky scenario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No</t>
        </is>
      </c>
      <c r="BS169" s="30">
        <f>IF(BR169="NO",5,0)</f>
        <v/>
      </c>
      <c r="BT169" s="30" t="inlineStr">
        <is>
          <t>Less than 1.5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More than 1.2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IF(B170=0,"",RANK(B170,$B$2:$B$314,0))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CHENNPETRO</t>
        </is>
      </c>
      <c r="D170" s="30" t="inlineStr">
        <is>
          <t>Chennai Petroleum Corporation Limited</t>
        </is>
      </c>
      <c r="E170" s="30" t="inlineStr">
        <is>
          <t>energy</t>
        </is>
      </c>
      <c r="F170" s="30" t="inlineStr">
        <is>
          <t>refineries</t>
        </is>
      </c>
      <c r="G170" s="30" t="inlineStr">
        <is>
          <t>midcap</t>
        </is>
      </c>
      <c r="H170" s="31" t="n">
        <v>17717.48</v>
      </c>
      <c r="I170" s="31" t="n">
        <v>1190.6</v>
      </c>
      <c r="J170" s="31" t="n">
        <v>0.07000000000000001</v>
      </c>
      <c r="K170" s="31" t="n">
        <v>1024632</v>
      </c>
      <c r="L170" s="30" t="n">
        <v>63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64.56</v>
      </c>
      <c r="P170" s="31" t="n">
        <v>43.09</v>
      </c>
      <c r="Q170" s="31" t="n">
        <v>888.26</v>
      </c>
      <c r="R170" s="30" t="inlineStr">
        <is>
          <t>Near 52W High Breakout</t>
        </is>
      </c>
      <c r="S170" s="30" t="inlineStr">
        <is>
          <t>Nifty Energy</t>
        </is>
      </c>
      <c r="T170" s="31" t="n">
        <v>12.59</v>
      </c>
      <c r="U170" s="31" t="n">
        <v>86.45999999999999</v>
      </c>
      <c r="V170" s="31" t="n">
        <v>65.61</v>
      </c>
      <c r="W170" s="31" t="n">
        <v>17.61</v>
      </c>
      <c r="X170" s="30" t="inlineStr">
        <is>
          <t>Cyclical in an Upturn</t>
        </is>
      </c>
      <c r="Y170" s="30">
        <f>IF(X170="Growing Industry",10,IF(X170="Cyclical in an Upturn",5,0))</f>
        <v/>
      </c>
      <c r="Z170" s="30" t="inlineStr">
        <is>
          <t>Oligopoly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Yes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Cyclical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Volatile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Above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Blue sky scenario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No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Between 50% to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IF(B171=0,"",RANK(B171,$B$2:$B$314,0))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SANDHAR</t>
        </is>
      </c>
      <c r="D171" s="30" t="inlineStr">
        <is>
          <t>Sandhar Technologies Limited</t>
        </is>
      </c>
      <c r="E171" s="30" t="inlineStr">
        <is>
          <t>auto</t>
        </is>
      </c>
      <c r="F171" s="30" t="inlineStr">
        <is>
          <t>auto ancillaries</t>
        </is>
      </c>
      <c r="G171" s="30" t="inlineStr">
        <is>
          <t>smallcap</t>
        </is>
      </c>
      <c r="H171" s="31" t="n">
        <v>4323.2</v>
      </c>
      <c r="I171" s="31" t="n">
        <v>711.75</v>
      </c>
      <c r="J171" s="31" t="n">
        <v>-0.91</v>
      </c>
      <c r="K171" s="31" t="n">
        <v>1117000</v>
      </c>
      <c r="L171" s="30" t="n">
        <v>61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71.94</v>
      </c>
      <c r="P171" s="31" t="n">
        <v>15.64</v>
      </c>
      <c r="Q171" s="31" t="n">
        <v>531.71</v>
      </c>
      <c r="R171" s="30" t="inlineStr">
        <is>
          <t>Near 52W High Breakout</t>
        </is>
      </c>
      <c r="S171" s="30" t="inlineStr">
        <is>
          <t>Nifty Auto</t>
        </is>
      </c>
      <c r="T171" s="31" t="n">
        <v>10.49</v>
      </c>
      <c r="U171" s="31" t="n">
        <v>39.73</v>
      </c>
      <c r="V171" s="31" t="n">
        <v>26.46</v>
      </c>
      <c r="W171" s="31" t="n">
        <v>17.29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0 to 20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Less than 1.5</t>
        </is>
      </c>
      <c r="BU171" s="30">
        <f>IF(BT171="Above 2",0,IF(BT171="Between 1.5 to 2",5,IF(BT171="Less than 1.5",10,0)))</f>
        <v/>
      </c>
      <c r="BV171" s="30" t="inlineStr">
        <is>
          <t>Less than 50%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Between 0.7 to 1.2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IF(B172=0,"",RANK(B172,$B$2:$B$314,0))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PREMIERENE</t>
        </is>
      </c>
      <c r="D172" s="30" t="inlineStr">
        <is>
          <t>Premier Energies Ltd</t>
        </is>
      </c>
      <c r="E172" s="30" t="inlineStr">
        <is>
          <t>services</t>
        </is>
      </c>
      <c r="F172" s="30" t="inlineStr">
        <is>
          <t>trading</t>
        </is>
      </c>
      <c r="G172" s="30" t="inlineStr">
        <is>
          <t>largecap</t>
        </is>
      </c>
      <c r="H172" s="31" t="n">
        <v>49331.09</v>
      </c>
      <c r="I172" s="31" t="n">
        <v>1077.8</v>
      </c>
      <c r="J172" s="31" t="n">
        <v>-1.03</v>
      </c>
      <c r="K172" s="31" t="n">
        <v>1366622</v>
      </c>
      <c r="L172" s="30" t="n">
        <v>48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65.27</v>
      </c>
      <c r="P172" s="31" t="n">
        <v>18.66</v>
      </c>
      <c r="Q172" s="31" t="n">
        <v>847.63</v>
      </c>
      <c r="R172" s="30" t="inlineStr">
        <is>
          <t>Near 52W High Breakout</t>
        </is>
      </c>
      <c r="S172" s="30" t="inlineStr">
        <is>
          <t>Nifty 500</t>
        </is>
      </c>
      <c r="T172" s="31" t="n">
        <v>-2.88</v>
      </c>
      <c r="U172" s="31" t="n">
        <v>2.44</v>
      </c>
      <c r="V172" s="31" t="n">
        <v>5.48</v>
      </c>
      <c r="W172" s="31" t="n">
        <v>12.7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0 to 20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Less than 1.5</t>
        </is>
      </c>
      <c r="BU172" s="30">
        <f>IF(BT172="Above 2",0,IF(BT172="Between 1.5 to 2",5,IF(BT172="Less than 1.5",10,0)))</f>
        <v/>
      </c>
      <c r="BV172" s="30" t="inlineStr">
        <is>
          <t>Between 50% to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Between 0.7 to 1.2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IF(B173=0,"",RANK(B173,$B$2:$B$314,0))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PTCIL</t>
        </is>
      </c>
      <c r="D173" s="30" t="inlineStr">
        <is>
          <t>PTC Industries Ltd</t>
        </is>
      </c>
      <c r="E173" s="30" t="inlineStr">
        <is>
          <t>industrials</t>
        </is>
      </c>
      <c r="F173" s="30" t="inlineStr">
        <is>
          <t>castings &amp; forgings</t>
        </is>
      </c>
      <c r="G173" s="30" t="inlineStr">
        <is>
          <t>largecap</t>
        </is>
      </c>
      <c r="H173" s="31" t="n">
        <v>28364.4</v>
      </c>
      <c r="I173" s="31" t="n">
        <v>18688</v>
      </c>
      <c r="J173" s="31" t="n">
        <v>-1.22</v>
      </c>
      <c r="K173" s="31" t="n">
        <v>24471</v>
      </c>
      <c r="L173" s="30" t="n">
        <v>28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61.16</v>
      </c>
      <c r="P173" s="31" t="n">
        <v>12.32</v>
      </c>
      <c r="Q173" s="31" t="n">
        <v>14562.58</v>
      </c>
      <c r="R173" s="30" t="inlineStr">
        <is>
          <t>Volume Spike &amp; Near 52W High Breakout</t>
        </is>
      </c>
      <c r="S173" s="30" t="inlineStr">
        <is>
          <t>Nifty 50</t>
        </is>
      </c>
      <c r="T173" s="31" t="n">
        <v>-6.35</v>
      </c>
      <c r="U173" s="31" t="n">
        <v>27.96</v>
      </c>
      <c r="V173" s="31" t="n">
        <v>36.63</v>
      </c>
      <c r="W173" s="31" t="n">
        <v>7.29</v>
      </c>
      <c r="X173" s="30" t="inlineStr">
        <is>
          <t>Cyclical in an Upturn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0 to 20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Blue sky scenario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IF(B174=0,"",RANK(B174,$B$2:$B$314,0))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VINDHYATEL</t>
        </is>
      </c>
      <c r="D174" s="30" t="inlineStr">
        <is>
          <t>Vindhya Telelinks Limited</t>
        </is>
      </c>
      <c r="E174" s="30" t="inlineStr">
        <is>
          <t>realty</t>
        </is>
      </c>
      <c r="F174" s="30" t="inlineStr">
        <is>
          <t>construction</t>
        </is>
      </c>
      <c r="G174" s="30" t="inlineStr">
        <is>
          <t>smallcap</t>
        </is>
      </c>
      <c r="H174" s="31" t="n">
        <v>2607.19</v>
      </c>
      <c r="I174" s="31" t="n">
        <v>2162.1</v>
      </c>
      <c r="J174" s="31" t="n">
        <v>-1.72</v>
      </c>
      <c r="K174" s="31" t="n">
        <v>217712</v>
      </c>
      <c r="L174" s="30" t="n">
        <v>91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70.68000000000001</v>
      </c>
      <c r="P174" s="31" t="n">
        <v>32.3</v>
      </c>
      <c r="Q174" s="31" t="n">
        <v>1550.96</v>
      </c>
      <c r="R174" s="30" t="inlineStr">
        <is>
          <t>Near 52W High Breakout</t>
        </is>
      </c>
      <c r="S174" s="30" t="inlineStr">
        <is>
          <t>Nifty Realty</t>
        </is>
      </c>
      <c r="T174" s="31" t="n">
        <v>-26.45</v>
      </c>
      <c r="U174" s="31" t="n">
        <v>29.75</v>
      </c>
      <c r="V174" s="31" t="n">
        <v>76.42</v>
      </c>
      <c r="W174" s="31" t="n">
        <v>37.43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Less than 12%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Negative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IF(B175=0,"",RANK(B175,$B$2:$B$314,0))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TIRUPATIFL</t>
        </is>
      </c>
      <c r="D175" s="30" t="inlineStr">
        <is>
          <t>Tirupati Forge Ltd</t>
        </is>
      </c>
      <c r="E175" s="30" t="inlineStr">
        <is>
          <t>industrials</t>
        </is>
      </c>
      <c r="F175" s="30" t="inlineStr">
        <is>
          <t>castings &amp; forgings</t>
        </is>
      </c>
      <c r="G175" s="30" t="inlineStr">
        <is>
          <t>smallcap</t>
        </is>
      </c>
      <c r="H175" s="31" t="n">
        <v>591.04</v>
      </c>
      <c r="I175" s="31" t="n">
        <v>44.93</v>
      </c>
      <c r="J175" s="31" t="n">
        <v>-1.79</v>
      </c>
      <c r="K175" s="31" t="n">
        <v>385211</v>
      </c>
      <c r="L175" s="30" t="n">
        <v>35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57.16</v>
      </c>
      <c r="P175" s="31" t="n">
        <v>30.9</v>
      </c>
      <c r="Q175" s="31" t="n">
        <v>31.08</v>
      </c>
      <c r="R175" s="30" t="inlineStr">
        <is>
          <t>Near 52W High Breakout</t>
        </is>
      </c>
      <c r="S175" s="30" t="inlineStr">
        <is>
          <t>Nifty 50</t>
        </is>
      </c>
      <c r="T175" s="31" t="n">
        <v>-6.35</v>
      </c>
      <c r="U175" s="31" t="n">
        <v>19.15</v>
      </c>
      <c r="V175" s="31" t="n">
        <v>27.22</v>
      </c>
      <c r="W175" s="31" t="n">
        <v>9.470000000000001</v>
      </c>
      <c r="X175" s="30" t="inlineStr">
        <is>
          <t>Cyclical in an Upturn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Less than 12%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IF(B176=0,"",RANK(B176,$B$2:$B$314,0))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JAYAGROGN</t>
        </is>
      </c>
      <c r="D176" s="30" t="inlineStr">
        <is>
          <t>Jayant Agro Organics Limited</t>
        </is>
      </c>
      <c r="E176" s="30" t="inlineStr">
        <is>
          <t>chemicals</t>
        </is>
      </c>
      <c r="F176" s="30" t="inlineStr">
        <is>
          <t>chemicals</t>
        </is>
      </c>
      <c r="G176" s="30" t="inlineStr">
        <is>
          <t>smallcap</t>
        </is>
      </c>
      <c r="H176" s="31" t="n">
        <v>689.13</v>
      </c>
      <c r="I176" s="31" t="n">
        <v>224.8</v>
      </c>
      <c r="J176" s="31" t="n">
        <v>-2.14</v>
      </c>
      <c r="K176" s="31" t="n">
        <v>6049</v>
      </c>
      <c r="L176" s="30" t="n">
        <v>7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61.77</v>
      </c>
      <c r="P176" s="31" t="n">
        <v>27.11</v>
      </c>
      <c r="Q176" s="31" t="n">
        <v>175.89</v>
      </c>
      <c r="R176" s="30" t="inlineStr">
        <is>
          <t>Earnings / Momentum Support</t>
        </is>
      </c>
      <c r="S176" s="30" t="inlineStr">
        <is>
          <t>Nifty IT</t>
        </is>
      </c>
      <c r="T176" s="31" t="n">
        <v>-21.44</v>
      </c>
      <c r="U176" s="31" t="n">
        <v>-11.77</v>
      </c>
      <c r="V176" s="31" t="n">
        <v>12.3</v>
      </c>
      <c r="W176" s="31" t="n">
        <v>2.88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No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20 to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Less than 12%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No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IF(B177=0,"",RANK(B177,$B$2:$B$314,0))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DREDGECORP</t>
        </is>
      </c>
      <c r="D177" s="30" t="inlineStr">
        <is>
          <t>Dredging Corporation Of India Limited</t>
        </is>
      </c>
      <c r="E177" s="30" t="inlineStr">
        <is>
          <t>miscellaneous</t>
        </is>
      </c>
      <c r="F177" s="30" t="inlineStr">
        <is>
          <t>miscellaneous</t>
        </is>
      </c>
      <c r="G177" s="30" t="inlineStr">
        <is>
          <t>smallcap</t>
        </is>
      </c>
      <c r="H177" s="31" t="n">
        <v>3451</v>
      </c>
      <c r="I177" s="31" t="n">
        <v>1203.6</v>
      </c>
      <c r="J177" s="31" t="n">
        <v>-2.34</v>
      </c>
      <c r="K177" s="31" t="n">
        <v>839589</v>
      </c>
      <c r="L177" s="30" t="n">
        <v>55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66.12</v>
      </c>
      <c r="P177" s="31" t="n">
        <v>36.75</v>
      </c>
      <c r="Q177" s="31" t="n">
        <v>802.08</v>
      </c>
      <c r="R177" s="30" t="inlineStr">
        <is>
          <t>Near 52W High Breakout</t>
        </is>
      </c>
      <c r="S177" s="30" t="inlineStr">
        <is>
          <t>Nifty 50</t>
        </is>
      </c>
      <c r="T177" s="31" t="n">
        <v>-6.35</v>
      </c>
      <c r="U177" s="31" t="n">
        <v>52.21</v>
      </c>
      <c r="V177" s="31" t="n">
        <v>62.52</v>
      </c>
      <c r="W177" s="31" t="n">
        <v>15.22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Between 50% to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Between 0.7 to 1.2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IF(B178=0,"",RANK(B178,$B$2:$B$314,0))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RAIN</t>
        </is>
      </c>
      <c r="D178" s="30" t="inlineStr">
        <is>
          <t>Rain Industries Limited</t>
        </is>
      </c>
      <c r="E178" s="30" t="inlineStr">
        <is>
          <t>miscellaneous</t>
        </is>
      </c>
      <c r="F178" s="30" t="inlineStr">
        <is>
          <t>miscellaneous</t>
        </is>
      </c>
      <c r="G178" s="30" t="inlineStr">
        <is>
          <t>midcap</t>
        </is>
      </c>
      <c r="H178" s="31" t="n">
        <v>6742.72</v>
      </c>
      <c r="I178" s="31" t="n">
        <v>195.51</v>
      </c>
      <c r="J178" s="31" t="n">
        <v>-2.47</v>
      </c>
      <c r="K178" s="31" t="n">
        <v>6026877</v>
      </c>
      <c r="L178" s="30" t="n">
        <v>66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72.17</v>
      </c>
      <c r="P178" s="31" t="n">
        <v>18.85</v>
      </c>
      <c r="Q178" s="31" t="n">
        <v>145.4</v>
      </c>
      <c r="R178" s="30" t="inlineStr">
        <is>
          <t>Near 52W High Breakout</t>
        </is>
      </c>
      <c r="S178" s="30" t="inlineStr">
        <is>
          <t>Nifty 50</t>
        </is>
      </c>
      <c r="T178" s="31" t="n">
        <v>-6.35</v>
      </c>
      <c r="U178" s="31" t="n">
        <v>34.46</v>
      </c>
      <c r="V178" s="31" t="n">
        <v>43.57</v>
      </c>
      <c r="W178" s="31" t="n">
        <v>18.4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0 to 20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Blue sky scenario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No</t>
        </is>
      </c>
      <c r="BS178" s="30">
        <f>IF(BR178="NO",5,0)</f>
        <v/>
      </c>
      <c r="BT178" s="30" t="inlineStr">
        <is>
          <t>Less than 1.5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More than 1.2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IF(B179=0,"",RANK(B179,$B$2:$B$314,0))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FCL</t>
        </is>
      </c>
      <c r="D179" s="30" t="inlineStr">
        <is>
          <t>Fineotex Chemical Limited</t>
        </is>
      </c>
      <c r="E179" s="30" t="inlineStr">
        <is>
          <t>chemicals</t>
        </is>
      </c>
      <c r="F179" s="30" t="inlineStr">
        <is>
          <t>chemicals</t>
        </is>
      </c>
      <c r="G179" s="30" t="inlineStr">
        <is>
          <t>midcap</t>
        </is>
      </c>
      <c r="H179" s="31" t="n">
        <v>5070.24</v>
      </c>
      <c r="I179" s="31" t="n">
        <v>41.03</v>
      </c>
      <c r="J179" s="31" t="n">
        <v>-5.76</v>
      </c>
      <c r="K179" s="31" t="n">
        <v>20805048</v>
      </c>
      <c r="L179" s="30" t="n">
        <v>86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76.93000000000001</v>
      </c>
      <c r="P179" s="31" t="n">
        <v>27.71</v>
      </c>
      <c r="Q179" s="31" t="n">
        <v>30.55</v>
      </c>
      <c r="R179" s="30" t="inlineStr">
        <is>
          <t>Near 52W High Breakout</t>
        </is>
      </c>
      <c r="S179" s="30" t="inlineStr">
        <is>
          <t>Nifty IT</t>
        </is>
      </c>
      <c r="T179" s="31" t="n">
        <v>-21.44</v>
      </c>
      <c r="U179" s="31" t="n">
        <v>62.23</v>
      </c>
      <c r="V179" s="31" t="n">
        <v>106.5</v>
      </c>
      <c r="W179" s="31" t="n">
        <v>32.35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Above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No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Negative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IF(B180=0,"",RANK(B180,$B$2:$B$314,0))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NOVARTIND</t>
        </is>
      </c>
      <c r="D180" s="30" t="inlineStr">
        <is>
          <t>Novartis India Ltd</t>
        </is>
      </c>
      <c r="E180" s="30" t="inlineStr">
        <is>
          <t>healthcare</t>
        </is>
      </c>
      <c r="F180" s="30" t="inlineStr">
        <is>
          <t>pharmaceuticals - multinational</t>
        </is>
      </c>
      <c r="G180" s="30" t="inlineStr">
        <is>
          <t>smallcap</t>
        </is>
      </c>
      <c r="H180" s="31" t="n">
        <v>3266.84</v>
      </c>
      <c r="I180" s="31" t="n">
        <v>1353</v>
      </c>
      <c r="J180" s="31" t="n">
        <v>2.26</v>
      </c>
      <c r="K180" s="31" t="n">
        <v>33136</v>
      </c>
      <c r="L180" s="30" t="n">
        <v>62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66.70999999999999</v>
      </c>
      <c r="P180" s="31" t="n">
        <v>60.89</v>
      </c>
      <c r="Q180" s="31" t="n">
        <v>1205.89</v>
      </c>
      <c r="R180" s="30" t="inlineStr">
        <is>
          <t>Earnings / Momentum Support</t>
        </is>
      </c>
      <c r="S180" s="30" t="inlineStr">
        <is>
          <t>Nifty Pharma</t>
        </is>
      </c>
      <c r="T180" s="31" t="n">
        <v>11.5</v>
      </c>
      <c r="U180" s="31" t="n">
        <v>36.72</v>
      </c>
      <c r="V180" s="31" t="n">
        <v>22.62</v>
      </c>
      <c r="W180" s="31" t="n">
        <v>17.51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Yes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No</t>
        </is>
      </c>
      <c r="AQ180" s="30">
        <f>IF(AP180="Yes",10,0)</f>
        <v/>
      </c>
      <c r="AR180" s="30" t="inlineStr">
        <is>
          <t>Higher Annuity, Lower One Time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Above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Less than 12%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Less than 50%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IF(B181=0,"",RANK(B181,$B$2:$B$314,0))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METROPOLIS</t>
        </is>
      </c>
      <c r="D181" s="30" t="inlineStr">
        <is>
          <t>Metropolis Healthcare Ltd</t>
        </is>
      </c>
      <c r="E181" s="30" t="inlineStr">
        <is>
          <t>healthcare</t>
        </is>
      </c>
      <c r="F181" s="30" t="inlineStr">
        <is>
          <t>healthcare</t>
        </is>
      </c>
      <c r="G181" s="30" t="inlineStr">
        <is>
          <t>midcap</t>
        </is>
      </c>
      <c r="H181" s="31" t="n">
        <v>11115.88</v>
      </c>
      <c r="I181" s="31" t="n">
        <v>544.15</v>
      </c>
      <c r="J181" s="31" t="n">
        <v>1.49</v>
      </c>
      <c r="K181" s="31" t="n">
        <v>212806</v>
      </c>
      <c r="L181" s="30" t="n">
        <v>41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61.91</v>
      </c>
      <c r="P181" s="31" t="n">
        <v>22.28</v>
      </c>
      <c r="Q181" s="31" t="n">
        <v>431.41</v>
      </c>
      <c r="R181" s="30" t="inlineStr">
        <is>
          <t>Near 52W High Breakout</t>
        </is>
      </c>
      <c r="S181" s="30" t="inlineStr">
        <is>
          <t>Nifty Pharma</t>
        </is>
      </c>
      <c r="T181" s="31" t="n">
        <v>11.5</v>
      </c>
      <c r="U181" s="31" t="n">
        <v>32.27</v>
      </c>
      <c r="V181" s="31" t="n">
        <v>18.63</v>
      </c>
      <c r="W181" s="31" t="n">
        <v>11.52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Yes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Annuity, Lower One Time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Negative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Blue sky scenario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Less than 1.5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IF(B182=0,"",RANK(B182,$B$2:$B$314,0))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APOLLOHOSP</t>
        </is>
      </c>
      <c r="D182" s="30" t="inlineStr">
        <is>
          <t>Apollo Hospitals Enterprise Limited</t>
        </is>
      </c>
      <c r="E182" s="30" t="inlineStr">
        <is>
          <t>healthcare</t>
        </is>
      </c>
      <c r="F182" s="30" t="inlineStr">
        <is>
          <t>healthcare</t>
        </is>
      </c>
      <c r="G182" s="30" t="inlineStr">
        <is>
          <t>largecap</t>
        </is>
      </c>
      <c r="H182" s="31" t="n">
        <v>119204.67</v>
      </c>
      <c r="I182" s="31" t="n">
        <v>8249</v>
      </c>
      <c r="J182" s="31" t="n">
        <v>-0.5</v>
      </c>
      <c r="K182" s="31" t="n">
        <v>345278</v>
      </c>
      <c r="L182" s="30" t="n">
        <v>16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62.91</v>
      </c>
      <c r="P182" s="31" t="n">
        <v>13.03</v>
      </c>
      <c r="Q182" s="31" t="n">
        <v>7260.8</v>
      </c>
      <c r="R182" s="30" t="inlineStr">
        <is>
          <t>Near 52W High Breakout</t>
        </is>
      </c>
      <c r="S182" s="30" t="inlineStr">
        <is>
          <t>Nifty Pharma</t>
        </is>
      </c>
      <c r="T182" s="31" t="n">
        <v>11.5</v>
      </c>
      <c r="U182" s="31" t="n">
        <v>19.13</v>
      </c>
      <c r="V182" s="31" t="n">
        <v>6.84</v>
      </c>
      <c r="W182" s="31" t="n">
        <v>5.17</v>
      </c>
      <c r="X182" s="30" t="inlineStr">
        <is>
          <t>Cyclical in an Upturn</t>
        </is>
      </c>
      <c r="Y182" s="30">
        <f>IF(X182="Growing Industry",10,IF(X182="Cyclical in an Upturn",5,0))</f>
        <v/>
      </c>
      <c r="Z182" s="30" t="inlineStr">
        <is>
          <t>Oligopoly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Cyclical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B2C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Fully One Time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Above 40</t>
        </is>
      </c>
      <c r="AY182" s="30">
        <f>IF(AX182="Above 40",20,IF(AX182="20 to 40",10,IF(AX182="0 to 20",-5,0)))</f>
        <v/>
      </c>
      <c r="AZ182" s="30" t="inlineStr">
        <is>
          <t>Above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Yes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Between 1.5 to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IF(B183=0,"",RANK(B183,$B$2:$B$314,0))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2" t="inlineStr">
        <is>
          <t>RAINBOW</t>
        </is>
      </c>
      <c r="D183" s="32" t="inlineStr">
        <is>
          <t>Rainbow Childrens Medicare Ltd</t>
        </is>
      </c>
      <c r="E183" s="30" t="inlineStr">
        <is>
          <t>healthcare</t>
        </is>
      </c>
      <c r="F183" s="30" t="inlineStr">
        <is>
          <t>healthcare</t>
        </is>
      </c>
      <c r="G183" s="30" t="inlineStr">
        <is>
          <t>midcap</t>
        </is>
      </c>
      <c r="H183" s="31" t="n">
        <v>13753.14</v>
      </c>
      <c r="I183" s="31" t="n">
        <v>1347</v>
      </c>
      <c r="J183" s="31" t="n">
        <v>-0.53</v>
      </c>
      <c r="K183" s="31" t="n">
        <v>102088</v>
      </c>
      <c r="L183" s="30" t="n">
        <v>5</v>
      </c>
      <c r="M183" s="30" t="inlineStr">
        <is>
          <t>Underperforming</t>
        </is>
      </c>
      <c r="N183" s="31">
        <f>IF(M183="Underperforming",-5,IF(L183&gt;=95,15,IF(L183&gt;=90,10,IF(L183&gt;=80,5,0))))</f>
        <v/>
      </c>
      <c r="O183" s="31" t="n">
        <v>58.22</v>
      </c>
      <c r="P183" s="31" t="n">
        <v>26.1</v>
      </c>
      <c r="Q183" s="31" t="n">
        <v>1145.49</v>
      </c>
      <c r="R183" s="30" t="inlineStr">
        <is>
          <t>Earnings / Momentum Support</t>
        </is>
      </c>
      <c r="S183" s="30" t="inlineStr">
        <is>
          <t>Nifty Pharma</t>
        </is>
      </c>
      <c r="T183" s="31" t="n">
        <v>11.5</v>
      </c>
      <c r="U183" s="31" t="n">
        <v>-4.53</v>
      </c>
      <c r="V183" s="31" t="n">
        <v>-14.37</v>
      </c>
      <c r="W183" s="31" t="n">
        <v>1.98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Yes</t>
        </is>
      </c>
      <c r="AC183" s="30">
        <f>IF(AB183="No",5,0)</f>
        <v/>
      </c>
      <c r="AD183" s="30" t="inlineStr">
        <is>
          <t>Headwind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No</t>
        </is>
      </c>
      <c r="AQ183" s="30">
        <f>IF(AP183="Yes",10,0)</f>
        <v/>
      </c>
      <c r="AR183" s="30" t="inlineStr">
        <is>
          <t>Higher Annuity, Lower One Time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Less than 1.5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IF(B184=0,"",RANK(B184,$B$2:$B$314,0))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RICOAUTO</t>
        </is>
      </c>
      <c r="D184" s="30" t="inlineStr">
        <is>
          <t>Rico Auto Industries Limited</t>
        </is>
      </c>
      <c r="E184" s="30" t="inlineStr">
        <is>
          <t>auto</t>
        </is>
      </c>
      <c r="F184" s="30" t="inlineStr">
        <is>
          <t>auto ancillaries</t>
        </is>
      </c>
      <c r="G184" s="30" t="inlineStr">
        <is>
          <t>smallcap</t>
        </is>
      </c>
      <c r="H184" s="31" t="n">
        <v>1573.5</v>
      </c>
      <c r="I184" s="31" t="n">
        <v>131.37</v>
      </c>
      <c r="J184" s="31" t="n">
        <v>12.95</v>
      </c>
      <c r="K184" s="31" t="n">
        <v>44524758</v>
      </c>
      <c r="L184" s="30" t="n">
        <v>49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59.27</v>
      </c>
      <c r="P184" s="31" t="n">
        <v>14.6</v>
      </c>
      <c r="Q184" s="31" t="n">
        <v>91.41</v>
      </c>
      <c r="R184" s="30" t="inlineStr">
        <is>
          <t>Volume Spike &amp; Near 52W High Breakout</t>
        </is>
      </c>
      <c r="S184" s="30" t="inlineStr">
        <is>
          <t>Nifty Auto</t>
        </is>
      </c>
      <c r="T184" s="31" t="n">
        <v>10.49</v>
      </c>
      <c r="U184" s="31" t="n">
        <v>61.04</v>
      </c>
      <c r="V184" s="31" t="n">
        <v>45.74</v>
      </c>
      <c r="W184" s="31" t="n">
        <v>13.54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0 to 20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Between 0.7 to 1.2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IF(B185=0,"",RANK(B185,$B$2:$B$314,0))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ITDC</t>
        </is>
      </c>
      <c r="D185" s="30" t="inlineStr">
        <is>
          <t>India Tourism Development Corporation Ltd</t>
        </is>
      </c>
      <c r="E185" s="30" t="inlineStr">
        <is>
          <t>services</t>
        </is>
      </c>
      <c r="F185" s="30" t="inlineStr">
        <is>
          <t>hotels</t>
        </is>
      </c>
      <c r="G185" s="30" t="inlineStr">
        <is>
          <t>smallcap</t>
        </is>
      </c>
      <c r="H185" s="31" t="n">
        <v>4593.81</v>
      </c>
      <c r="I185" s="31" t="n">
        <v>589.15</v>
      </c>
      <c r="J185" s="31" t="n">
        <v>10</v>
      </c>
      <c r="K185" s="31" t="n">
        <v>357669</v>
      </c>
      <c r="L185" s="30" t="n">
        <v>11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55.71</v>
      </c>
      <c r="P185" s="31" t="n">
        <v>22.8</v>
      </c>
      <c r="Q185" s="31" t="n">
        <v>441.54</v>
      </c>
      <c r="R185" s="30" t="inlineStr">
        <is>
          <t>Earnings / Momentum Support</t>
        </is>
      </c>
      <c r="S185" s="30" t="inlineStr">
        <is>
          <t>Nifty 50</t>
        </is>
      </c>
      <c r="T185" s="31" t="n">
        <v>-6.35</v>
      </c>
      <c r="U185" s="31" t="n">
        <v>-4.9</v>
      </c>
      <c r="V185" s="31" t="n">
        <v>1.54</v>
      </c>
      <c r="W185" s="31" t="n">
        <v>4.23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No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Less than 12%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IF(B186=0,"",RANK(B186,$B$2:$B$314,0))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SOTL</t>
        </is>
      </c>
      <c r="D186" s="30" t="inlineStr">
        <is>
          <t>Savita Oil Technologies Limited</t>
        </is>
      </c>
      <c r="E186" s="30" t="inlineStr">
        <is>
          <t>energy</t>
        </is>
      </c>
      <c r="F186" s="30" t="inlineStr">
        <is>
          <t>petrochemicals</t>
        </is>
      </c>
      <c r="G186" s="30" t="inlineStr">
        <is>
          <t>smallcap</t>
        </is>
      </c>
      <c r="H186" s="31" t="n">
        <v>3528.12</v>
      </c>
      <c r="I186" s="31" t="n">
        <v>564.3</v>
      </c>
      <c r="J186" s="31" t="n">
        <v>9.66</v>
      </c>
      <c r="K186" s="31" t="n">
        <v>10971069</v>
      </c>
      <c r="L186" s="30" t="n">
        <v>69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74.87</v>
      </c>
      <c r="P186" s="31" t="n">
        <v>23.58</v>
      </c>
      <c r="Q186" s="31" t="n">
        <v>426.03</v>
      </c>
      <c r="R186" s="30" t="inlineStr">
        <is>
          <t>Volume Spike &amp; Near 52W High Breakout</t>
        </is>
      </c>
      <c r="S186" s="30" t="inlineStr">
        <is>
          <t>Nifty Energy</t>
        </is>
      </c>
      <c r="T186" s="31" t="n">
        <v>12.59</v>
      </c>
      <c r="U186" s="31" t="n">
        <v>34.32</v>
      </c>
      <c r="V186" s="31" t="n">
        <v>19.3</v>
      </c>
      <c r="W186" s="31" t="n">
        <v>20.42</v>
      </c>
      <c r="X186" s="30" t="inlineStr">
        <is>
          <t>Cyclical in an Upturn</t>
        </is>
      </c>
      <c r="Y186" s="30">
        <f>IF(X186="Growing Industry",10,IF(X186="Cyclical in an Upturn",5,0))</f>
        <v/>
      </c>
      <c r="Z186" s="30" t="inlineStr">
        <is>
          <t>Oligopoly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Yes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Cyclical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Volatile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No</t>
        </is>
      </c>
      <c r="BS186" s="30">
        <f>IF(BR186="NO",5,0)</f>
        <v/>
      </c>
      <c r="BT186" s="30" t="inlineStr">
        <is>
          <t>Less than 1.5</t>
        </is>
      </c>
      <c r="BU186" s="30">
        <f>IF(BT186="Above 2",0,IF(BT186="Between 1.5 to 2",5,IF(BT186="Less than 1.5",10,0)))</f>
        <v/>
      </c>
      <c r="BV186" s="30" t="inlineStr">
        <is>
          <t>Between 50% to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IF(B187=0,"",RANK(B187,$B$2:$B$314,0))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KDDL</t>
        </is>
      </c>
      <c r="D187" s="30" t="inlineStr">
        <is>
          <t>Kddl Limited</t>
        </is>
      </c>
      <c r="E187" s="30" t="inlineStr">
        <is>
          <t>consumer discretionary</t>
        </is>
      </c>
      <c r="F187" s="30" t="inlineStr">
        <is>
          <t>miscellaneous</t>
        </is>
      </c>
      <c r="G187" s="30" t="inlineStr">
        <is>
          <t>smallcap</t>
        </is>
      </c>
      <c r="H187" s="31" t="n">
        <v>3422.4</v>
      </c>
      <c r="I187" s="31" t="n">
        <v>2946.1</v>
      </c>
      <c r="J187" s="31" t="n">
        <v>5.88</v>
      </c>
      <c r="K187" s="31" t="n">
        <v>49183</v>
      </c>
      <c r="L187" s="30" t="n">
        <v>26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63.37</v>
      </c>
      <c r="P187" s="31" t="n">
        <v>13.01</v>
      </c>
      <c r="Q187" s="31" t="n">
        <v>2142.03</v>
      </c>
      <c r="R187" s="30" t="inlineStr">
        <is>
          <t>Near 52W High Breakout</t>
        </is>
      </c>
      <c r="S187" s="30" t="inlineStr">
        <is>
          <t>Nifty 50</t>
        </is>
      </c>
      <c r="T187" s="31" t="n">
        <v>-6.35</v>
      </c>
      <c r="U187" s="31" t="n">
        <v>12.22</v>
      </c>
      <c r="V187" s="31" t="n">
        <v>19.82</v>
      </c>
      <c r="W187" s="31" t="n">
        <v>7.18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0 to 20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Between 1.5 to 2</t>
        </is>
      </c>
      <c r="BU187" s="30">
        <f>IF(BT187="Above 2",0,IF(BT187="Between 1.5 to 2",5,IF(BT187="Less than 1.5",10,0)))</f>
        <v/>
      </c>
      <c r="BV187" s="30" t="inlineStr">
        <is>
          <t>Less than 50%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IF(B188=0,"",RANK(B188,$B$2:$B$314,0))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RSWM</t>
        </is>
      </c>
      <c r="D188" s="30" t="inlineStr">
        <is>
          <t>Rswm Limited</t>
        </is>
      </c>
      <c r="E188" s="30" t="inlineStr">
        <is>
          <t>textiles</t>
        </is>
      </c>
      <c r="F188" s="30" t="inlineStr">
        <is>
          <t>textiles - cotton/blended</t>
        </is>
      </c>
      <c r="G188" s="30" t="inlineStr">
        <is>
          <t>smallcap</t>
        </is>
      </c>
      <c r="H188" s="31" t="n">
        <v>815.99</v>
      </c>
      <c r="I188" s="31" t="n">
        <v>177.22</v>
      </c>
      <c r="J188" s="31" t="n">
        <v>2.3</v>
      </c>
      <c r="K188" s="31" t="n">
        <v>106925</v>
      </c>
      <c r="L188" s="30" t="n">
        <v>17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61.41</v>
      </c>
      <c r="P188" s="31" t="n">
        <v>18.63</v>
      </c>
      <c r="Q188" s="31" t="n">
        <v>134.3</v>
      </c>
      <c r="R188" s="30" t="inlineStr">
        <is>
          <t>Near 52W High Breakout</t>
        </is>
      </c>
      <c r="S188" s="30" t="inlineStr">
        <is>
          <t>Nifty 50</t>
        </is>
      </c>
      <c r="T188" s="31" t="n">
        <v>-6.35</v>
      </c>
      <c r="U188" s="31" t="n">
        <v>2.01</v>
      </c>
      <c r="V188" s="31" t="n">
        <v>8.92</v>
      </c>
      <c r="W188" s="31" t="n">
        <v>5.25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0 to 20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Less than 1.5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More than 1.2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IF(B189=0,"",RANK(B189,$B$2:$B$314,0))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DIACABS</t>
        </is>
      </c>
      <c r="D189" s="30" t="inlineStr">
        <is>
          <t>Diamond Power Infrastructure Ltd</t>
        </is>
      </c>
      <c r="E189" s="30" t="inlineStr">
        <is>
          <t>industrials</t>
        </is>
      </c>
      <c r="F189" s="30" t="inlineStr">
        <is>
          <t>cables - power</t>
        </is>
      </c>
      <c r="G189" s="30" t="inlineStr">
        <is>
          <t>midcap</t>
        </is>
      </c>
      <c r="H189" s="31" t="n">
        <v>9942.889999999999</v>
      </c>
      <c r="I189" s="31" t="n">
        <v>192.69</v>
      </c>
      <c r="J189" s="31" t="n">
        <v>2.13</v>
      </c>
      <c r="K189" s="31" t="n">
        <v>3803681</v>
      </c>
      <c r="L189" s="30" t="n">
        <v>76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72.77</v>
      </c>
      <c r="P189" s="31" t="n">
        <v>29.5</v>
      </c>
      <c r="Q189" s="31" t="n">
        <v>146.78</v>
      </c>
      <c r="R189" s="30" t="inlineStr">
        <is>
          <t>Near 52W High Breakout</t>
        </is>
      </c>
      <c r="S189" s="30" t="inlineStr">
        <is>
          <t>Nifty Energy</t>
        </is>
      </c>
      <c r="T189" s="31" t="n">
        <v>12.59</v>
      </c>
      <c r="U189" s="31" t="n">
        <v>90.25</v>
      </c>
      <c r="V189" s="31" t="n">
        <v>68.98</v>
      </c>
      <c r="W189" s="31" t="n">
        <v>24.2</v>
      </c>
      <c r="X189" s="30" t="inlineStr">
        <is>
          <t>Cyclical in an Upturn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Blue sky scenario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Negative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IF(B190=0,"",RANK(B190,$B$2:$B$314,0))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HIRECT</t>
        </is>
      </c>
      <c r="D190" s="30" t="inlineStr">
        <is>
          <t>Hind Rectifiers Limited</t>
        </is>
      </c>
      <c r="E190" s="30" t="inlineStr">
        <is>
          <t>consumer discretionary</t>
        </is>
      </c>
      <c r="F190" s="30" t="inlineStr">
        <is>
          <t>electronics - components</t>
        </is>
      </c>
      <c r="G190" s="30" t="inlineStr">
        <is>
          <t>smallcap</t>
        </is>
      </c>
      <c r="H190" s="31" t="n">
        <v>3843.33</v>
      </c>
      <c r="I190" s="31" t="n">
        <v>1137.8</v>
      </c>
      <c r="J190" s="31" t="n">
        <v>1.74</v>
      </c>
      <c r="K190" s="31" t="n">
        <v>252967</v>
      </c>
      <c r="L190" s="30" t="n">
        <v>80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77.03</v>
      </c>
      <c r="P190" s="31" t="n">
        <v>23.28</v>
      </c>
      <c r="Q190" s="31" t="n">
        <v>800.17</v>
      </c>
      <c r="R190" s="30" t="inlineStr">
        <is>
          <t>Near 52W High Breakout</t>
        </is>
      </c>
      <c r="S190" s="30" t="inlineStr">
        <is>
          <t>Nifty Infra</t>
        </is>
      </c>
      <c r="T190" s="31" t="n">
        <v>1.41</v>
      </c>
      <c r="U190" s="31" t="n">
        <v>74.61</v>
      </c>
      <c r="V190" s="31" t="n">
        <v>72.18000000000001</v>
      </c>
      <c r="W190" s="31" t="n">
        <v>25.52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Above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Blue sky scenario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Less than 12%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Yes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Between 0.7 to 1.2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IF(B191=0,"",RANK(B191,$B$2:$B$314,0))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INDNIPPON</t>
        </is>
      </c>
      <c r="D191" s="30" t="inlineStr">
        <is>
          <t>India Nippon Electricals Limited</t>
        </is>
      </c>
      <c r="E191" s="30" t="inlineStr">
        <is>
          <t>auto</t>
        </is>
      </c>
      <c r="F191" s="30" t="inlineStr">
        <is>
          <t>auto ancillaries</t>
        </is>
      </c>
      <c r="G191" s="30" t="inlineStr">
        <is>
          <t>smallcap</t>
        </is>
      </c>
      <c r="H191" s="31" t="n">
        <v>2037.06</v>
      </c>
      <c r="I191" s="31" t="n">
        <v>915.95</v>
      </c>
      <c r="J191" s="31" t="n">
        <v>1.72</v>
      </c>
      <c r="K191" s="31" t="n">
        <v>52899</v>
      </c>
      <c r="L191" s="30" t="n">
        <v>37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62.3</v>
      </c>
      <c r="P191" s="31" t="n">
        <v>10.62</v>
      </c>
      <c r="Q191" s="31" t="n">
        <v>713.8099999999999</v>
      </c>
      <c r="R191" s="30" t="inlineStr">
        <is>
          <t>Earnings / Momentum Support</t>
        </is>
      </c>
      <c r="S191" s="30" t="inlineStr">
        <is>
          <t>Nifty Auto</t>
        </is>
      </c>
      <c r="T191" s="31" t="n">
        <v>10.49</v>
      </c>
      <c r="U191" s="31" t="n">
        <v>35.4</v>
      </c>
      <c r="V191" s="31" t="n">
        <v>22.54</v>
      </c>
      <c r="W191" s="31" t="n">
        <v>10.17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No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0 to 20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Less than 50%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IF(B192=0,"",RANK(B192,$B$2:$B$314,0))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CARBORUNIV</t>
        </is>
      </c>
      <c r="D192" s="30" t="inlineStr">
        <is>
          <t>Carborundum Universal Limited</t>
        </is>
      </c>
      <c r="E192" s="30" t="inlineStr">
        <is>
          <t>industrials</t>
        </is>
      </c>
      <c r="F192" s="30" t="inlineStr">
        <is>
          <t>abrasives and grinding wheels</t>
        </is>
      </c>
      <c r="G192" s="30" t="inlineStr">
        <is>
          <t>midcap</t>
        </is>
      </c>
      <c r="H192" s="31" t="n">
        <v>19272.13</v>
      </c>
      <c r="I192" s="31" t="n">
        <v>1028.6</v>
      </c>
      <c r="J192" s="31" t="n">
        <v>1.67</v>
      </c>
      <c r="K192" s="31" t="n">
        <v>113027</v>
      </c>
      <c r="L192" s="30" t="n">
        <v>31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62.59</v>
      </c>
      <c r="P192" s="31" t="n">
        <v>31.11</v>
      </c>
      <c r="Q192" s="31" t="n">
        <v>893.21</v>
      </c>
      <c r="R192" s="30" t="inlineStr">
        <is>
          <t>Earnings / Momentum Support</t>
        </is>
      </c>
      <c r="S192" s="30" t="inlineStr">
        <is>
          <t>Nifty 50</t>
        </is>
      </c>
      <c r="T192" s="31" t="n">
        <v>-6.35</v>
      </c>
      <c r="U192" s="31" t="n">
        <v>8.82</v>
      </c>
      <c r="V192" s="31" t="n">
        <v>16.19</v>
      </c>
      <c r="W192" s="31" t="n">
        <v>8.050000000000001</v>
      </c>
      <c r="X192" s="30" t="inlineStr">
        <is>
          <t>Cyclical in an Upturn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No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Between 50% to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IF(B193=0,"",RANK(B193,$B$2:$B$314,0))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ADANIENT</t>
        </is>
      </c>
      <c r="D193" s="30" t="inlineStr">
        <is>
          <t>Adani Enterprises Limited</t>
        </is>
      </c>
      <c r="E193" s="30" t="inlineStr">
        <is>
          <t>services</t>
        </is>
      </c>
      <c r="F193" s="30" t="inlineStr">
        <is>
          <t>trading</t>
        </is>
      </c>
      <c r="G193" s="30" t="inlineStr">
        <is>
          <t>largecap</t>
        </is>
      </c>
      <c r="H193" s="31" t="n">
        <v>378187.17</v>
      </c>
      <c r="I193" s="31" t="n">
        <v>2972.8</v>
      </c>
      <c r="J193" s="31" t="n">
        <v>1.61</v>
      </c>
      <c r="K193" s="31" t="n">
        <v>1722991</v>
      </c>
      <c r="L193" s="30" t="n">
        <v>51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73.77</v>
      </c>
      <c r="P193" s="31" t="n">
        <v>31.03</v>
      </c>
      <c r="Q193" s="31" t="n">
        <v>2441.84</v>
      </c>
      <c r="R193" s="30" t="inlineStr">
        <is>
          <t>Near 52W High Breakout</t>
        </is>
      </c>
      <c r="S193" s="30" t="inlineStr">
        <is>
          <t>Nifty 50</t>
        </is>
      </c>
      <c r="T193" s="31" t="n">
        <v>-6.35</v>
      </c>
      <c r="U193" s="31" t="n">
        <v>17.37</v>
      </c>
      <c r="V193" s="31" t="n">
        <v>25.32</v>
      </c>
      <c r="W193" s="31" t="n">
        <v>14.18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Between 1.5 to 2</t>
        </is>
      </c>
      <c r="BU193" s="30">
        <f>IF(BT193="Above 2",0,IF(BT193="Between 1.5 to 2",5,IF(BT193="Less than 1.5",10,0)))</f>
        <v/>
      </c>
      <c r="BV193" s="30" t="inlineStr">
        <is>
          <t>Less than 50% and Borrowings are increasing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Between 0.7 to 1.2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IF(B194=0,"",RANK(B194,$B$2:$B$314,0))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NAHARSPING</t>
        </is>
      </c>
      <c r="D194" s="30" t="inlineStr">
        <is>
          <t>Nahar Spinning Mills Limited</t>
        </is>
      </c>
      <c r="E194" s="30" t="inlineStr">
        <is>
          <t>textiles</t>
        </is>
      </c>
      <c r="F194" s="30" t="inlineStr">
        <is>
          <t>textiles - cotton/blended</t>
        </is>
      </c>
      <c r="G194" s="30" t="inlineStr">
        <is>
          <t>smallcap</t>
        </is>
      </c>
      <c r="H194" s="31" t="n">
        <v>1002.62</v>
      </c>
      <c r="I194" s="31" t="n">
        <v>279</v>
      </c>
      <c r="J194" s="31" t="n">
        <v>0.36</v>
      </c>
      <c r="K194" s="31" t="n">
        <v>13704</v>
      </c>
      <c r="L194" s="30" t="n">
        <v>37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66.37</v>
      </c>
      <c r="P194" s="31" t="n">
        <v>19.68</v>
      </c>
      <c r="Q194" s="31" t="n">
        <v>213.48</v>
      </c>
      <c r="R194" s="30" t="inlineStr">
        <is>
          <t>Near 52W High Breakout</t>
        </is>
      </c>
      <c r="S194" s="30" t="inlineStr">
        <is>
          <t>Nifty 50</t>
        </is>
      </c>
      <c r="T194" s="31" t="n">
        <v>-6.35</v>
      </c>
      <c r="U194" s="31" t="n">
        <v>-0.65</v>
      </c>
      <c r="V194" s="31" t="n">
        <v>6.08</v>
      </c>
      <c r="W194" s="31" t="n">
        <v>10.24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0 to 20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Between 12 to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IF(B195=0,"",RANK(B195,$B$2:$B$314,0))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ADANIGREEN</t>
        </is>
      </c>
      <c r="D195" s="30" t="inlineStr">
        <is>
          <t>Adani Green Energy Ltd</t>
        </is>
      </c>
      <c r="E195" s="30" t="inlineStr">
        <is>
          <t>power &amp; utilities</t>
        </is>
      </c>
      <c r="F195" s="30" t="inlineStr">
        <is>
          <t>power generation and supply</t>
        </is>
      </c>
      <c r="G195" s="30" t="inlineStr">
        <is>
          <t>largecap</t>
        </is>
      </c>
      <c r="H195" s="31" t="n">
        <v>235134.4</v>
      </c>
      <c r="I195" s="31" t="n">
        <v>1423.3</v>
      </c>
      <c r="J195" s="31" t="n">
        <v>-0.29</v>
      </c>
      <c r="K195" s="31" t="n">
        <v>2248728</v>
      </c>
      <c r="L195" s="30" t="n">
        <v>74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70.09</v>
      </c>
      <c r="P195" s="31" t="n">
        <v>34.21</v>
      </c>
      <c r="Q195" s="31" t="n">
        <v>1158.44</v>
      </c>
      <c r="R195" s="30" t="inlineStr">
        <is>
          <t>Near 52W High Breakout</t>
        </is>
      </c>
      <c r="S195" s="30" t="inlineStr">
        <is>
          <t>Nifty IT</t>
        </is>
      </c>
      <c r="T195" s="31" t="n">
        <v>-21.44</v>
      </c>
      <c r="U195" s="31" t="n">
        <v>39.7</v>
      </c>
      <c r="V195" s="31" t="n">
        <v>77.81999999999999</v>
      </c>
      <c r="W195" s="31" t="n">
        <v>23.34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More than 1.2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IF(B196=0,"",RANK(B196,$B$2:$B$314,0))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MAHASTEEL</t>
        </is>
      </c>
      <c r="D196" s="30" t="inlineStr">
        <is>
          <t>Mahamaya Steel Industries Limited</t>
        </is>
      </c>
      <c r="E196" s="30" t="inlineStr">
        <is>
          <t>metals &amp; mining</t>
        </is>
      </c>
      <c r="F196" s="30" t="inlineStr">
        <is>
          <t>steel - medium / small</t>
        </is>
      </c>
      <c r="G196" s="30" t="inlineStr">
        <is>
          <t>smallcap</t>
        </is>
      </c>
      <c r="H196" s="31" t="n">
        <v>1554.2</v>
      </c>
      <c r="I196" s="31" t="n">
        <v>941.05</v>
      </c>
      <c r="J196" s="31" t="n">
        <v>-0.49</v>
      </c>
      <c r="K196" s="31" t="n">
        <v>2110</v>
      </c>
      <c r="L196" s="30" t="n">
        <v>85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61.71</v>
      </c>
      <c r="P196" s="31" t="n">
        <v>40.56</v>
      </c>
      <c r="Q196" s="31" t="n">
        <v>736.89</v>
      </c>
      <c r="R196" s="30" t="inlineStr">
        <is>
          <t>Earnings / Momentum Support</t>
        </is>
      </c>
      <c r="S196" s="30" t="inlineStr">
        <is>
          <t>Nifty Metal</t>
        </is>
      </c>
      <c r="T196" s="31" t="n">
        <v>42.84</v>
      </c>
      <c r="U196" s="31" t="n">
        <v>211.61</v>
      </c>
      <c r="V196" s="31" t="n">
        <v>118.15</v>
      </c>
      <c r="W196" s="31" t="n">
        <v>32.17</v>
      </c>
      <c r="X196" s="30" t="inlineStr">
        <is>
          <t>Cyclical in an Upturn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Cyclical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Volatile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No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Above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IF(B197=0,"",RANK(B197,$B$2:$B$314,0))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2" t="inlineStr">
        <is>
          <t>HONAUT</t>
        </is>
      </c>
      <c r="D197" s="32" t="inlineStr">
        <is>
          <t>Honeywell Automation India Limited</t>
        </is>
      </c>
      <c r="E197" s="30" t="inlineStr">
        <is>
          <t>consumer discretionary</t>
        </is>
      </c>
      <c r="F197" s="30" t="inlineStr">
        <is>
          <t>electronics - components</t>
        </is>
      </c>
      <c r="G197" s="30" t="inlineStr">
        <is>
          <t>largecap</t>
        </is>
      </c>
      <c r="H197" s="31" t="n">
        <v>30724.29</v>
      </c>
      <c r="I197" s="31" t="n">
        <v>34485</v>
      </c>
      <c r="J197" s="31" t="n">
        <v>-0.76</v>
      </c>
      <c r="K197" s="31" t="n">
        <v>3125</v>
      </c>
      <c r="L197" s="30" t="n">
        <v>2</v>
      </c>
      <c r="M197" s="30" t="inlineStr">
        <is>
          <t>Underperforming</t>
        </is>
      </c>
      <c r="N197" s="31">
        <f>IF(M197="Underperforming",-5,IF(L197&gt;=95,15,IF(L197&gt;=90,10,IF(L197&gt;=80,5,0))))</f>
        <v/>
      </c>
      <c r="O197" s="31" t="n">
        <v>56.18</v>
      </c>
      <c r="P197" s="31" t="n">
        <v>24.61</v>
      </c>
      <c r="Q197" s="31" t="n">
        <v>28412.81</v>
      </c>
      <c r="R197" s="30" t="inlineStr">
        <is>
          <t>Earnings / Momentum Support</t>
        </is>
      </c>
      <c r="S197" s="30" t="inlineStr">
        <is>
          <t>Nifty 50</t>
        </is>
      </c>
      <c r="T197" s="31" t="n">
        <v>-6.35</v>
      </c>
      <c r="U197" s="31" t="n">
        <v>-11.49</v>
      </c>
      <c r="V197" s="31" t="n">
        <v>-5.49</v>
      </c>
      <c r="W197" s="31" t="n">
        <v>1.09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No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20 to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Between 12 to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IF(B198=0,"",RANK(B198,$B$2:$B$314,0))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JAYBARMARU</t>
        </is>
      </c>
      <c r="D198" s="30" t="inlineStr">
        <is>
          <t>Jay Bharat Maruti Limited</t>
        </is>
      </c>
      <c r="E198" s="30" t="inlineStr">
        <is>
          <t>auto</t>
        </is>
      </c>
      <c r="F198" s="30" t="inlineStr">
        <is>
          <t>auto ancillaries</t>
        </is>
      </c>
      <c r="G198" s="30" t="inlineStr">
        <is>
          <t>smallcap</t>
        </is>
      </c>
      <c r="H198" s="31" t="n">
        <v>1382.46</v>
      </c>
      <c r="I198" s="31" t="n">
        <v>126.6</v>
      </c>
      <c r="J198" s="31" t="n">
        <v>-0.87</v>
      </c>
      <c r="K198" s="31" t="n">
        <v>1347632</v>
      </c>
      <c r="L198" s="30" t="n">
        <v>65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65</v>
      </c>
      <c r="P198" s="31" t="n">
        <v>15.35</v>
      </c>
      <c r="Q198" s="31" t="n">
        <v>88.76000000000001</v>
      </c>
      <c r="R198" s="30" t="inlineStr">
        <is>
          <t>Near 52W High Breakout</t>
        </is>
      </c>
      <c r="S198" s="30" t="inlineStr">
        <is>
          <t>Nifty Auto</t>
        </is>
      </c>
      <c r="T198" s="31" t="n">
        <v>10.49</v>
      </c>
      <c r="U198" s="31" t="n">
        <v>63.23</v>
      </c>
      <c r="V198" s="31" t="n">
        <v>47.73</v>
      </c>
      <c r="W198" s="31" t="n">
        <v>18.29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Yes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0 to 20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Blue sky scenario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Between 50% to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Between 0.7 to 1.2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IF(B199=0,"",RANK(B199,$B$2:$B$314,0))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2" t="inlineStr">
        <is>
          <t>JSWSTEEL</t>
        </is>
      </c>
      <c r="D199" s="32" t="inlineStr">
        <is>
          <t>Jsw Steel Limited</t>
        </is>
      </c>
      <c r="E199" s="30" t="inlineStr">
        <is>
          <t>metals &amp; mining</t>
        </is>
      </c>
      <c r="F199" s="30" t="inlineStr">
        <is>
          <t>steel - large</t>
        </is>
      </c>
      <c r="G199" s="30" t="inlineStr">
        <is>
          <t>largecap</t>
        </is>
      </c>
      <c r="H199" s="31" t="n">
        <v>321063.65</v>
      </c>
      <c r="I199" s="31" t="n">
        <v>1301.1</v>
      </c>
      <c r="J199" s="31" t="n">
        <v>-0.9</v>
      </c>
      <c r="K199" s="31" t="n">
        <v>958385</v>
      </c>
      <c r="L199" s="30" t="n">
        <v>23</v>
      </c>
      <c r="M199" s="30" t="inlineStr">
        <is>
          <t>Underperforming</t>
        </is>
      </c>
      <c r="N199" s="31">
        <f>IF(M199="Underperforming",-5,IF(L199&gt;=95,15,IF(L199&gt;=90,10,IF(L199&gt;=80,5,0))))</f>
        <v/>
      </c>
      <c r="O199" s="31" t="n">
        <v>63.96</v>
      </c>
      <c r="P199" s="31" t="n">
        <v>24.39</v>
      </c>
      <c r="Q199" s="31" t="n">
        <v>1123.86</v>
      </c>
      <c r="R199" s="30" t="inlineStr">
        <is>
          <t>Near 52W High Breakout</t>
        </is>
      </c>
      <c r="S199" s="30" t="inlineStr">
        <is>
          <t>Nifty Metal</t>
        </is>
      </c>
      <c r="T199" s="31" t="n">
        <v>42.84</v>
      </c>
      <c r="U199" s="31" t="n">
        <v>29.82</v>
      </c>
      <c r="V199" s="31" t="n">
        <v>-9.109999999999999</v>
      </c>
      <c r="W199" s="31" t="n">
        <v>6.49</v>
      </c>
      <c r="X199" s="30" t="inlineStr">
        <is>
          <t>Cyclical in an Upturn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Cyclical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Volatile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Blue sky scenario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Less than 1.5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Between 0.7 to 1.2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IF(B200=0,"",RANK(B200,$B$2:$B$314,0))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SPAL</t>
        </is>
      </c>
      <c r="D200" s="30" t="inlineStr">
        <is>
          <t>S. P. Apparels Limited</t>
        </is>
      </c>
      <c r="E200" s="30" t="inlineStr">
        <is>
          <t>textiles</t>
        </is>
      </c>
      <c r="F200" s="30" t="inlineStr">
        <is>
          <t>textiles - products</t>
        </is>
      </c>
      <c r="G200" s="30" t="inlineStr">
        <is>
          <t>smallcap</t>
        </is>
      </c>
      <c r="H200" s="31" t="n">
        <v>2121.47</v>
      </c>
      <c r="I200" s="31" t="n">
        <v>830.9</v>
      </c>
      <c r="J200" s="31" t="n">
        <v>-1.54</v>
      </c>
      <c r="K200" s="31" t="n">
        <v>31232</v>
      </c>
      <c r="L200" s="30" t="n">
        <v>14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62.67</v>
      </c>
      <c r="P200" s="31" t="n">
        <v>18.18</v>
      </c>
      <c r="Q200" s="31" t="n">
        <v>634.87</v>
      </c>
      <c r="R200" s="30" t="inlineStr">
        <is>
          <t>Near 52W High Breakout</t>
        </is>
      </c>
      <c r="S200" s="30" t="inlineStr">
        <is>
          <t>Nifty 50</t>
        </is>
      </c>
      <c r="T200" s="31" t="n">
        <v>-6.35</v>
      </c>
      <c r="U200" s="31" t="n">
        <v>-0.12</v>
      </c>
      <c r="V200" s="31" t="n">
        <v>6.65</v>
      </c>
      <c r="W200" s="31" t="n">
        <v>4.86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0 to 20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Less than 12%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IF(B201=0,"",RANK(B201,$B$2:$B$314,0))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UFBL</t>
        </is>
      </c>
      <c r="D201" s="30" t="inlineStr">
        <is>
          <t>United Foodbrands Ltd</t>
        </is>
      </c>
      <c r="E201" s="30" t="inlineStr">
        <is>
          <t>consumer discretionary</t>
        </is>
      </c>
      <c r="F201" s="30" t="inlineStr">
        <is>
          <t>hotels</t>
        </is>
      </c>
      <c r="G201" s="30" t="inlineStr">
        <is>
          <t>smallcap</t>
        </is>
      </c>
      <c r="H201" s="31" t="n">
        <v>1856.02</v>
      </c>
      <c r="I201" s="31" t="n">
        <v>460</v>
      </c>
      <c r="J201" s="31" t="n">
        <v>-3.13</v>
      </c>
      <c r="K201" s="31" t="n">
        <v>124882</v>
      </c>
      <c r="L201" s="30" t="n">
        <v>88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70.11</v>
      </c>
      <c r="P201" s="31" t="n">
        <v>33.53</v>
      </c>
      <c r="Q201" s="31" t="n">
        <v>346.98</v>
      </c>
      <c r="R201" s="30" t="inlineStr">
        <is>
          <t>Earnings / Momentum Support</t>
        </is>
      </c>
      <c r="S201" s="30" t="inlineStr">
        <is>
          <t>Nifty 50</t>
        </is>
      </c>
      <c r="T201" s="31" t="n">
        <v>-6.35</v>
      </c>
      <c r="U201" s="31" t="n">
        <v>47.48</v>
      </c>
      <c r="V201" s="31" t="n">
        <v>57.48</v>
      </c>
      <c r="W201" s="31" t="n">
        <v>34.33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No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More than 1.2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IF(B202=0,"",RANK(B202,$B$2:$B$314,0))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BBOX</t>
        </is>
      </c>
      <c r="D202" s="30" t="inlineStr">
        <is>
          <t>Black Box Ltd</t>
        </is>
      </c>
      <c r="E202" s="30" t="inlineStr">
        <is>
          <t>i.t</t>
        </is>
      </c>
      <c r="F202" s="30" t="inlineStr">
        <is>
          <t>computers - software - medium / small</t>
        </is>
      </c>
      <c r="G202" s="30" t="inlineStr">
        <is>
          <t>midcap</t>
        </is>
      </c>
      <c r="H202" s="31" t="n">
        <v>18748.82</v>
      </c>
      <c r="I202" s="31" t="n">
        <v>1078.2</v>
      </c>
      <c r="J202" s="31" t="n">
        <v>2.07</v>
      </c>
      <c r="K202" s="31" t="n">
        <v>689171</v>
      </c>
      <c r="L202" s="30" t="n">
        <v>93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86.03</v>
      </c>
      <c r="P202" s="31" t="n">
        <v>31.33</v>
      </c>
      <c r="Q202" s="31" t="n">
        <v>855.54</v>
      </c>
      <c r="R202" s="30" t="inlineStr">
        <is>
          <t>Near 52W High Breakout</t>
        </is>
      </c>
      <c r="S202" s="30" t="inlineStr">
        <is>
          <t>Nifty IT</t>
        </is>
      </c>
      <c r="T202" s="31" t="n">
        <v>-21.44</v>
      </c>
      <c r="U202" s="31" t="n">
        <v>92.77</v>
      </c>
      <c r="V202" s="31" t="n">
        <v>145.36</v>
      </c>
      <c r="W202" s="31" t="n">
        <v>43.26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Annuity, Lower One Time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Above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Blue sky scenario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Less than 12%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Less than 50%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Between 0.7 to 1.2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IF(B203=0,"",RANK(B203,$B$2:$B$314,0))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ANTELOPUS</t>
        </is>
      </c>
      <c r="D203" s="30" t="inlineStr">
        <is>
          <t>Antelopus Selan Energy Ltd</t>
        </is>
      </c>
      <c r="E203" s="30" t="inlineStr">
        <is>
          <t>energy</t>
        </is>
      </c>
      <c r="F203" s="30" t="inlineStr">
        <is>
          <t>oil drilling / allied services</t>
        </is>
      </c>
      <c r="G203" s="30" t="inlineStr">
        <is>
          <t>smallcap</t>
        </is>
      </c>
      <c r="H203" s="31" t="n">
        <v>3065.45</v>
      </c>
      <c r="I203" s="31" t="n">
        <v>915.35</v>
      </c>
      <c r="J203" s="31" t="n">
        <v>5</v>
      </c>
      <c r="K203" s="31" t="n">
        <v>109511</v>
      </c>
      <c r="L203" s="30" t="n">
        <v>79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72.38</v>
      </c>
      <c r="P203" s="31" t="n">
        <v>39.55</v>
      </c>
      <c r="Q203" s="31" t="n">
        <v>646.86</v>
      </c>
      <c r="R203" s="30" t="inlineStr">
        <is>
          <t>Near 52W High Breakout</t>
        </is>
      </c>
      <c r="S203" s="30" t="inlineStr">
        <is>
          <t>Nifty Energy</t>
        </is>
      </c>
      <c r="T203" s="31" t="n">
        <v>12.59</v>
      </c>
      <c r="U203" s="31" t="n">
        <v>51.94</v>
      </c>
      <c r="V203" s="31" t="n">
        <v>34.95</v>
      </c>
      <c r="W203" s="31" t="n">
        <v>25.12</v>
      </c>
      <c r="X203" s="30" t="inlineStr">
        <is>
          <t>Cyclical in an Upturn</t>
        </is>
      </c>
      <c r="Y203" s="30">
        <f>IF(X203="Growing Industry",10,IF(X203="Cyclical in an Upturn",5,0))</f>
        <v/>
      </c>
      <c r="Z203" s="30" t="inlineStr">
        <is>
          <t>Oligopoly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Yes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Cyclical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Volatile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IF(B204=0,"",RANK(B204,$B$2:$B$314,0))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PREMEXPLN</t>
        </is>
      </c>
      <c r="D204" s="30" t="inlineStr">
        <is>
          <t>Premier Explosives Limited</t>
        </is>
      </c>
      <c r="E204" s="30" t="inlineStr">
        <is>
          <t>aerospace &amp; defence</t>
        </is>
      </c>
      <c r="F204" s="30" t="inlineStr">
        <is>
          <t>chemicals</t>
        </is>
      </c>
      <c r="G204" s="30" t="inlineStr">
        <is>
          <t>smallcap</t>
        </is>
      </c>
      <c r="H204" s="31" t="n">
        <v>3518.94</v>
      </c>
      <c r="I204" s="31" t="n">
        <v>684.4</v>
      </c>
      <c r="J204" s="31" t="n">
        <v>4.56</v>
      </c>
      <c r="K204" s="31" t="n">
        <v>1064606</v>
      </c>
      <c r="L204" s="30" t="n">
        <v>40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67.29000000000001</v>
      </c>
      <c r="P204" s="31" t="n">
        <v>16.34</v>
      </c>
      <c r="Q204" s="31" t="n">
        <v>484.84</v>
      </c>
      <c r="R204" s="30" t="inlineStr">
        <is>
          <t>Near 52W High Breakout</t>
        </is>
      </c>
      <c r="S204" s="30" t="inlineStr">
        <is>
          <t>Nifty IT</t>
        </is>
      </c>
      <c r="T204" s="31" t="n">
        <v>-21.44</v>
      </c>
      <c r="U204" s="31" t="n">
        <v>15.44</v>
      </c>
      <c r="V204" s="31" t="n">
        <v>46.94</v>
      </c>
      <c r="W204" s="31" t="n">
        <v>10.92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0 to 20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IF(B205=0,"",RANK(B205,$B$2:$B$314,0))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V2RETAIL</t>
        </is>
      </c>
      <c r="D205" s="30" t="inlineStr">
        <is>
          <t>V2 Retail Limited</t>
        </is>
      </c>
      <c r="E205" s="30" t="inlineStr">
        <is>
          <t>consumer discretionary</t>
        </is>
      </c>
      <c r="F205" s="30" t="inlineStr">
        <is>
          <t>textiles - products</t>
        </is>
      </c>
      <c r="G205" s="30" t="inlineStr">
        <is>
          <t>midcap</t>
        </is>
      </c>
      <c r="H205" s="31" t="n">
        <v>8957.32</v>
      </c>
      <c r="I205" s="31" t="n">
        <v>256.4</v>
      </c>
      <c r="J205" s="31" t="n">
        <v>4.38</v>
      </c>
      <c r="K205" s="31" t="n">
        <v>4139382</v>
      </c>
      <c r="L205" s="30" t="n">
        <v>57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68.67</v>
      </c>
      <c r="P205" s="31" t="n">
        <v>26.15</v>
      </c>
      <c r="Q205" s="31" t="n">
        <v>191.32</v>
      </c>
      <c r="R205" s="30" t="inlineStr">
        <is>
          <t>Volume Spike &amp; Near 52W High Breakout</t>
        </is>
      </c>
      <c r="S205" s="30" t="inlineStr">
        <is>
          <t>Nifty 50</t>
        </is>
      </c>
      <c r="T205" s="31" t="n">
        <v>-6.35</v>
      </c>
      <c r="U205" s="31" t="n">
        <v>40.82</v>
      </c>
      <c r="V205" s="31" t="n">
        <v>50.36</v>
      </c>
      <c r="W205" s="31" t="n">
        <v>15.6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Negative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Between 0.7 to 1.2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IF(B206=0,"",RANK(B206,$B$2:$B$314,0))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SFL</t>
        </is>
      </c>
      <c r="D206" s="30" t="inlineStr">
        <is>
          <t>Sheela Foam Limited</t>
        </is>
      </c>
      <c r="E206" s="30" t="inlineStr">
        <is>
          <t>consumer discretionary</t>
        </is>
      </c>
      <c r="F206" s="30" t="inlineStr">
        <is>
          <t>miscellaneous</t>
        </is>
      </c>
      <c r="G206" s="30" t="inlineStr">
        <is>
          <t>midcap</t>
        </is>
      </c>
      <c r="H206" s="31" t="n">
        <v>6515.58</v>
      </c>
      <c r="I206" s="31" t="n">
        <v>623.15</v>
      </c>
      <c r="J206" s="31" t="n">
        <v>3.97</v>
      </c>
      <c r="K206" s="31" t="n">
        <v>310500</v>
      </c>
      <c r="L206" s="30" t="n">
        <v>11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57.24</v>
      </c>
      <c r="P206" s="31" t="n">
        <v>17.78</v>
      </c>
      <c r="Q206" s="31" t="n">
        <v>481.08</v>
      </c>
      <c r="R206" s="30" t="inlineStr">
        <is>
          <t>Earnings / Momentum Support</t>
        </is>
      </c>
      <c r="S206" s="30" t="inlineStr">
        <is>
          <t>Nifty 50</t>
        </is>
      </c>
      <c r="T206" s="31" t="n">
        <v>-6.35</v>
      </c>
      <c r="U206" s="31" t="n">
        <v>-3.13</v>
      </c>
      <c r="V206" s="31" t="n">
        <v>3.43</v>
      </c>
      <c r="W206" s="31" t="n">
        <v>4.14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No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0 to 20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IF(B207=0,"",RANK(B207,$B$2:$B$314,0))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KIRLOSENG</t>
        </is>
      </c>
      <c r="D207" s="30" t="inlineStr">
        <is>
          <t>Kirloskar Oil Engines Limited</t>
        </is>
      </c>
      <c r="E207" s="30" t="inlineStr">
        <is>
          <t>industrials</t>
        </is>
      </c>
      <c r="F207" s="30" t="inlineStr">
        <is>
          <t>engines</t>
        </is>
      </c>
      <c r="G207" s="30" t="inlineStr">
        <is>
          <t>largecap</t>
        </is>
      </c>
      <c r="H207" s="31" t="n">
        <v>27465.62</v>
      </c>
      <c r="I207" s="31" t="n">
        <v>1949.9</v>
      </c>
      <c r="J207" s="31" t="n">
        <v>3.2</v>
      </c>
      <c r="K207" s="31" t="n">
        <v>498919</v>
      </c>
      <c r="L207" s="30" t="n">
        <v>78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76.63</v>
      </c>
      <c r="P207" s="31" t="n">
        <v>40.1</v>
      </c>
      <c r="Q207" s="31" t="n">
        <v>1513.89</v>
      </c>
      <c r="R207" s="30" t="inlineStr">
        <is>
          <t>Near 52W High Breakout</t>
        </is>
      </c>
      <c r="S207" s="30" t="inlineStr">
        <is>
          <t>Nifty 50</t>
        </is>
      </c>
      <c r="T207" s="31" t="n">
        <v>-6.35</v>
      </c>
      <c r="U207" s="31" t="n">
        <v>125.59</v>
      </c>
      <c r="V207" s="31" t="n">
        <v>140.88</v>
      </c>
      <c r="W207" s="31" t="n">
        <v>24.51</v>
      </c>
      <c r="X207" s="30" t="inlineStr">
        <is>
          <t>Cyclical in an Upturn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Above 40</t>
        </is>
      </c>
      <c r="AY207" s="30">
        <f>IF(AX207="Above 40",20,IF(AX207="20 to 40",10,IF(AX207="0 to 20",-5,0)))</f>
        <v/>
      </c>
      <c r="AZ207" s="30" t="inlineStr">
        <is>
          <t>Above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Blue sky scenario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Between 50% to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More than 1.2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IF(B208=0,"",RANK(B208,$B$2:$B$314,0))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2" t="inlineStr">
        <is>
          <t>SHYAMMETL</t>
        </is>
      </c>
      <c r="D208" s="32" t="inlineStr">
        <is>
          <t>Shyam Metalics &amp; Energy Ltd</t>
        </is>
      </c>
      <c r="E208" s="30" t="inlineStr">
        <is>
          <t>metals &amp; mining</t>
        </is>
      </c>
      <c r="F208" s="30" t="inlineStr">
        <is>
          <t>steel - large</t>
        </is>
      </c>
      <c r="G208" s="30" t="inlineStr">
        <is>
          <t>largecap</t>
        </is>
      </c>
      <c r="H208" s="31" t="n">
        <v>27353.53</v>
      </c>
      <c r="I208" s="31" t="n">
        <v>1002</v>
      </c>
      <c r="J208" s="31" t="n">
        <v>2.25</v>
      </c>
      <c r="K208" s="31" t="n">
        <v>1083978</v>
      </c>
      <c r="L208" s="30" t="n">
        <v>34</v>
      </c>
      <c r="M208" s="30" t="inlineStr">
        <is>
          <t>Underperforming</t>
        </is>
      </c>
      <c r="N208" s="31">
        <f>IF(M208="Underperforming",-5,IF(L208&gt;=95,15,IF(L208&gt;=90,10,IF(L208&gt;=80,5,0))))</f>
        <v/>
      </c>
      <c r="O208" s="31" t="n">
        <v>65.86</v>
      </c>
      <c r="P208" s="31" t="n">
        <v>14.17</v>
      </c>
      <c r="Q208" s="31" t="n">
        <v>807.55</v>
      </c>
      <c r="R208" s="30" t="inlineStr">
        <is>
          <t>Near 52W High Breakout</t>
        </is>
      </c>
      <c r="S208" s="30" t="inlineStr">
        <is>
          <t>Nifty Metal</t>
        </is>
      </c>
      <c r="T208" s="31" t="n">
        <v>42.84</v>
      </c>
      <c r="U208" s="31" t="n">
        <v>15.66</v>
      </c>
      <c r="V208" s="31" t="n">
        <v>-19.03</v>
      </c>
      <c r="W208" s="31" t="n">
        <v>8.949999999999999</v>
      </c>
      <c r="X208" s="30" t="inlineStr">
        <is>
          <t>Cyclical in an Upturn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Cyclical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Volatile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0 to 20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Blue sky scenario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IF(B209=0,"",RANK(B209,$B$2:$B$314,0))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THERMAX</t>
        </is>
      </c>
      <c r="D209" s="30" t="inlineStr">
        <is>
          <t>Thermax Limited</t>
        </is>
      </c>
      <c r="E209" s="30" t="inlineStr">
        <is>
          <t>industrials</t>
        </is>
      </c>
      <c r="F209" s="30" t="inlineStr">
        <is>
          <t>electric equipment</t>
        </is>
      </c>
      <c r="G209" s="30" t="inlineStr">
        <is>
          <t>largecap</t>
        </is>
      </c>
      <c r="H209" s="31" t="n">
        <v>57010.33</v>
      </c>
      <c r="I209" s="31" t="n">
        <v>4875.9</v>
      </c>
      <c r="J209" s="31" t="n">
        <v>1.91</v>
      </c>
      <c r="K209" s="31" t="n">
        <v>363756</v>
      </c>
      <c r="L209" s="30" t="n">
        <v>68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75.47</v>
      </c>
      <c r="P209" s="31" t="n">
        <v>34.22</v>
      </c>
      <c r="Q209" s="31" t="n">
        <v>3993.37</v>
      </c>
      <c r="R209" s="30" t="inlineStr">
        <is>
          <t>Near 52W High Breakout</t>
        </is>
      </c>
      <c r="S209" s="30" t="inlineStr">
        <is>
          <t>Nifty 50</t>
        </is>
      </c>
      <c r="T209" s="31" t="n">
        <v>-6.35</v>
      </c>
      <c r="U209" s="31" t="n">
        <v>38.59</v>
      </c>
      <c r="V209" s="31" t="n">
        <v>47.98</v>
      </c>
      <c r="W209" s="31" t="n">
        <v>19.91</v>
      </c>
      <c r="X209" s="30" t="inlineStr">
        <is>
          <t>Cyclical in an Upturn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Above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Between 12 to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Yes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Between 50% to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IF(B210=0,"",RANK(B210,$B$2:$B$314,0))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KINGFA</t>
        </is>
      </c>
      <c r="D210" s="30" t="inlineStr">
        <is>
          <t>Kingfa Science &amp; Technology (india) Limited</t>
        </is>
      </c>
      <c r="E210" s="30" t="inlineStr">
        <is>
          <t>plastic products</t>
        </is>
      </c>
      <c r="F210" s="30" t="inlineStr">
        <is>
          <t>plastics products</t>
        </is>
      </c>
      <c r="G210" s="30" t="inlineStr">
        <is>
          <t>midcap</t>
        </is>
      </c>
      <c r="H210" s="31" t="n">
        <v>7147</v>
      </c>
      <c r="I210" s="31" t="n">
        <v>5370</v>
      </c>
      <c r="J210" s="31" t="n">
        <v>1.82</v>
      </c>
      <c r="K210" s="31" t="n">
        <v>5312</v>
      </c>
      <c r="L210" s="30" t="n">
        <v>64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64.48</v>
      </c>
      <c r="P210" s="31" t="n">
        <v>22.02</v>
      </c>
      <c r="Q210" s="31" t="n">
        <v>4205.07</v>
      </c>
      <c r="R210" s="30" t="inlineStr">
        <is>
          <t>Near 52W High Breakout</t>
        </is>
      </c>
      <c r="S210" s="30" t="inlineStr">
        <is>
          <t>Nifty Infra</t>
        </is>
      </c>
      <c r="T210" s="31" t="n">
        <v>1.41</v>
      </c>
      <c r="U210" s="31" t="n">
        <v>67.02</v>
      </c>
      <c r="V210" s="31" t="n">
        <v>64.7</v>
      </c>
      <c r="W210" s="31" t="n">
        <v>17.62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20 to 40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Negative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Blue sky scenario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Between 12 to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IF(B211=0,"",RANK(B211,$B$2:$B$314,0))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ADANIENSOL</t>
        </is>
      </c>
      <c r="D211" s="30" t="inlineStr">
        <is>
          <t>Adani Energy Solutions Ltd</t>
        </is>
      </c>
      <c r="E211" s="30" t="inlineStr">
        <is>
          <t>power &amp; utilities</t>
        </is>
      </c>
      <c r="F211" s="30" t="inlineStr">
        <is>
          <t>power generation and supply</t>
        </is>
      </c>
      <c r="G211" s="30" t="inlineStr">
        <is>
          <t>largecap</t>
        </is>
      </c>
      <c r="H211" s="31" t="n">
        <v>179363.51</v>
      </c>
      <c r="I211" s="31" t="n">
        <v>1520</v>
      </c>
      <c r="J211" s="31" t="n">
        <v>1.8</v>
      </c>
      <c r="K211" s="31" t="n">
        <v>2706265</v>
      </c>
      <c r="L211" s="30" t="n">
        <v>78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73.34999999999999</v>
      </c>
      <c r="P211" s="31" t="n">
        <v>30.74</v>
      </c>
      <c r="Q211" s="31" t="n">
        <v>1180.65</v>
      </c>
      <c r="R211" s="30" t="inlineStr">
        <is>
          <t>Near 52W High Breakout</t>
        </is>
      </c>
      <c r="S211" s="30" t="inlineStr">
        <is>
          <t>Nifty IT</t>
        </is>
      </c>
      <c r="T211" s="31" t="n">
        <v>-21.44</v>
      </c>
      <c r="U211" s="31" t="n">
        <v>71.93000000000001</v>
      </c>
      <c r="V211" s="31" t="n">
        <v>118.83</v>
      </c>
      <c r="W211" s="31" t="n">
        <v>24.54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Blue sky scenario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Less than 12%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More than 1.2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IF(B212=0,"",RANK(B212,$B$2:$B$314,0))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DLINKINDIA</t>
        </is>
      </c>
      <c r="D212" s="30" t="inlineStr">
        <is>
          <t>D-link (india) Limited</t>
        </is>
      </c>
      <c r="E212" s="30" t="inlineStr">
        <is>
          <t>services</t>
        </is>
      </c>
      <c r="F212" s="30" t="inlineStr">
        <is>
          <t>trading</t>
        </is>
      </c>
      <c r="G212" s="30" t="inlineStr">
        <is>
          <t>smallcap</t>
        </is>
      </c>
      <c r="H212" s="31" t="n">
        <v>1674.76</v>
      </c>
      <c r="I212" s="31" t="n">
        <v>479.95</v>
      </c>
      <c r="J212" s="31" t="n">
        <v>1.75</v>
      </c>
      <c r="K212" s="31" t="n">
        <v>138166</v>
      </c>
      <c r="L212" s="30" t="n">
        <v>13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61.34</v>
      </c>
      <c r="P212" s="31" t="n">
        <v>23.18</v>
      </c>
      <c r="Q212" s="31" t="n">
        <v>389.83</v>
      </c>
      <c r="R212" s="30" t="inlineStr">
        <is>
          <t>Earnings / Momentum Support</t>
        </is>
      </c>
      <c r="S212" s="30" t="inlineStr">
        <is>
          <t>Nifty 50</t>
        </is>
      </c>
      <c r="T212" s="31" t="n">
        <v>-6.35</v>
      </c>
      <c r="U212" s="31" t="n">
        <v>0.18</v>
      </c>
      <c r="V212" s="31" t="n">
        <v>6.96</v>
      </c>
      <c r="W212" s="31" t="n">
        <v>4.71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Less than 12%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Less than 50%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IF(B213=0,"",RANK(B213,$B$2:$B$314,0))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KPRMILL</t>
        </is>
      </c>
      <c r="D213" s="30" t="inlineStr">
        <is>
          <t>K.p.r. Mill Limited</t>
        </is>
      </c>
      <c r="E213" s="30" t="inlineStr">
        <is>
          <t>consumer discretionary</t>
        </is>
      </c>
      <c r="F213" s="30" t="inlineStr">
        <is>
          <t>textiles - products</t>
        </is>
      </c>
      <c r="G213" s="30" t="inlineStr">
        <is>
          <t>largecap</t>
        </is>
      </c>
      <c r="H213" s="31" t="n">
        <v>37114.16</v>
      </c>
      <c r="I213" s="31" t="n">
        <v>1103.2</v>
      </c>
      <c r="J213" s="31" t="n">
        <v>1.6</v>
      </c>
      <c r="K213" s="31" t="n">
        <v>825713</v>
      </c>
      <c r="L213" s="30" t="n">
        <v>25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67.34999999999999</v>
      </c>
      <c r="P213" s="31" t="n">
        <v>19.73</v>
      </c>
      <c r="Q213" s="31" t="n">
        <v>870.67</v>
      </c>
      <c r="R213" s="30" t="inlineStr">
        <is>
          <t>Volume Spike / Accumulation</t>
        </is>
      </c>
      <c r="S213" s="30" t="inlineStr">
        <is>
          <t>Nifty 50</t>
        </is>
      </c>
      <c r="T213" s="31" t="n">
        <v>-6.35</v>
      </c>
      <c r="U213" s="31" t="n">
        <v>-1.95</v>
      </c>
      <c r="V213" s="31" t="n">
        <v>4.7</v>
      </c>
      <c r="W213" s="31" t="n">
        <v>7.06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0 to 20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Less than 12%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IF(B214=0,"",RANK(B214,$B$2:$B$314,0))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2" t="inlineStr">
        <is>
          <t>SUPRAJIT</t>
        </is>
      </c>
      <c r="D214" s="32" t="inlineStr">
        <is>
          <t>Suprajit Engineering Limited</t>
        </is>
      </c>
      <c r="E214" s="30" t="inlineStr">
        <is>
          <t>auto</t>
        </is>
      </c>
      <c r="F214" s="30" t="inlineStr">
        <is>
          <t>auto ancillaries</t>
        </is>
      </c>
      <c r="G214" s="30" t="inlineStr">
        <is>
          <t>midcap</t>
        </is>
      </c>
      <c r="H214" s="31" t="n">
        <v>6384.63</v>
      </c>
      <c r="I214" s="31" t="n">
        <v>470.7</v>
      </c>
      <c r="J214" s="31" t="n">
        <v>1.13</v>
      </c>
      <c r="K214" s="31" t="n">
        <v>148100</v>
      </c>
      <c r="L214" s="30" t="n">
        <v>5</v>
      </c>
      <c r="M214" s="30" t="inlineStr">
        <is>
          <t>Underperforming</t>
        </is>
      </c>
      <c r="N214" s="31">
        <f>IF(M214="Underperforming",-5,IF(L214&gt;=95,15,IF(L214&gt;=90,10,IF(L214&gt;=80,5,0))))</f>
        <v/>
      </c>
      <c r="O214" s="31" t="n">
        <v>57.85</v>
      </c>
      <c r="P214" s="31" t="n">
        <v>16.7</v>
      </c>
      <c r="Q214" s="31" t="n">
        <v>368.51</v>
      </c>
      <c r="R214" s="30" t="inlineStr">
        <is>
          <t>Near 52W High Breakout</t>
        </is>
      </c>
      <c r="S214" s="30" t="inlineStr">
        <is>
          <t>Nifty Auto</t>
        </is>
      </c>
      <c r="T214" s="31" t="n">
        <v>10.49</v>
      </c>
      <c r="U214" s="31" t="n">
        <v>-0.75</v>
      </c>
      <c r="V214" s="31" t="n">
        <v>-10.17</v>
      </c>
      <c r="W214" s="31" t="n">
        <v>2.15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0 to 20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Less than 50%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IF(B215=0,"",RANK(B215,$B$2:$B$314,0))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NAVINFLUOR</t>
        </is>
      </c>
      <c r="D215" s="30" t="inlineStr">
        <is>
          <t>Navin Fluorine International Limited</t>
        </is>
      </c>
      <c r="E215" s="30" t="inlineStr">
        <is>
          <t>chemicals</t>
        </is>
      </c>
      <c r="F215" s="30" t="inlineStr">
        <is>
          <t>chemicals</t>
        </is>
      </c>
      <c r="G215" s="30" t="inlineStr">
        <is>
          <t>largecap</t>
        </is>
      </c>
      <c r="H215" s="31" t="n">
        <v>36055.93</v>
      </c>
      <c r="I215" s="31" t="n">
        <v>7090.5</v>
      </c>
      <c r="J215" s="31" t="n">
        <v>0.78</v>
      </c>
      <c r="K215" s="31" t="n">
        <v>77756</v>
      </c>
      <c r="L215" s="30" t="n">
        <v>43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67.37</v>
      </c>
      <c r="P215" s="31" t="n">
        <v>36.4</v>
      </c>
      <c r="Q215" s="31" t="n">
        <v>5768.9</v>
      </c>
      <c r="R215" s="30" t="inlineStr">
        <is>
          <t>Near 52W High Breakout</t>
        </is>
      </c>
      <c r="S215" s="30" t="inlineStr">
        <is>
          <t>Nifty 50</t>
        </is>
      </c>
      <c r="T215" s="31" t="n">
        <v>-6.35</v>
      </c>
      <c r="U215" s="31" t="n">
        <v>60.33</v>
      </c>
      <c r="V215" s="31" t="n">
        <v>71.19</v>
      </c>
      <c r="W215" s="31" t="n">
        <v>11.78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Oligopoly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Shallow Cyclical (2 to 3 Years Growth)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3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Between 50% to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IF(B216=0,"",RANK(B216,$B$2:$B$314,0))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GRASIM</t>
        </is>
      </c>
      <c r="D216" s="30" t="inlineStr">
        <is>
          <t>Grasim Industries Limited</t>
        </is>
      </c>
      <c r="E216" s="30" t="inlineStr">
        <is>
          <t>textiles</t>
        </is>
      </c>
      <c r="F216" s="30" t="inlineStr">
        <is>
          <t>textiles - manmade</t>
        </is>
      </c>
      <c r="G216" s="30" t="inlineStr">
        <is>
          <t>largecap</t>
        </is>
      </c>
      <c r="H216" s="31" t="n">
        <v>211088.87</v>
      </c>
      <c r="I216" s="31" t="n">
        <v>3103.5</v>
      </c>
      <c r="J216" s="31" t="n">
        <v>0.06</v>
      </c>
      <c r="K216" s="31" t="n">
        <v>957529</v>
      </c>
      <c r="L216" s="30" t="n">
        <v>25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64.86</v>
      </c>
      <c r="P216" s="31" t="n">
        <v>21.55</v>
      </c>
      <c r="Q216" s="31" t="n">
        <v>2732.22</v>
      </c>
      <c r="R216" s="30" t="inlineStr">
        <is>
          <t>Near 52W High Breakout</t>
        </is>
      </c>
      <c r="S216" s="30" t="inlineStr">
        <is>
          <t>Nifty 50</t>
        </is>
      </c>
      <c r="T216" s="31" t="n">
        <v>-6.35</v>
      </c>
      <c r="U216" s="31" t="n">
        <v>20.99</v>
      </c>
      <c r="V216" s="31" t="n">
        <v>29.19</v>
      </c>
      <c r="W216" s="31" t="n">
        <v>6.91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20 to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Blue sky scenario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Yes</t>
        </is>
      </c>
      <c r="BS216" s="30">
        <f>IF(BR216="NO",5,0)</f>
        <v/>
      </c>
      <c r="BT216" s="30" t="inlineStr">
        <is>
          <t>Less than 1.5</t>
        </is>
      </c>
      <c r="BU216" s="30">
        <f>IF(BT216="Above 2",0,IF(BT216="Between 1.5 to 2",5,IF(BT216="Less than 1.5",10,0)))</f>
        <v/>
      </c>
      <c r="BV216" s="30" t="inlineStr">
        <is>
          <t>Negative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More than 1.2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IF(B217=0,"",RANK(B217,$B$2:$B$314,0))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ASIANPAINT</t>
        </is>
      </c>
      <c r="D217" s="30" t="inlineStr">
        <is>
          <t>Asian Paints Limited</t>
        </is>
      </c>
      <c r="E217" s="30" t="inlineStr">
        <is>
          <t>building materials</t>
        </is>
      </c>
      <c r="F217" s="30" t="inlineStr">
        <is>
          <t>paints / varnishes</t>
        </is>
      </c>
      <c r="G217" s="30" t="inlineStr">
        <is>
          <t>largecap</t>
        </is>
      </c>
      <c r="H217" s="31" t="n">
        <v>255376.82</v>
      </c>
      <c r="I217" s="31" t="n">
        <v>2661.6</v>
      </c>
      <c r="J217" s="31" t="n">
        <v>-0.03</v>
      </c>
      <c r="K217" s="31" t="n">
        <v>1840743</v>
      </c>
      <c r="L217" s="30" t="n">
        <v>31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59.4</v>
      </c>
      <c r="P217" s="31" t="n">
        <v>19.92</v>
      </c>
      <c r="Q217" s="31" t="n">
        <v>2241.23</v>
      </c>
      <c r="R217" s="30" t="inlineStr">
        <is>
          <t>Earnings / Momentum Support</t>
        </is>
      </c>
      <c r="S217" s="30" t="inlineStr">
        <is>
          <t>Nifty Infra</t>
        </is>
      </c>
      <c r="T217" s="31" t="n">
        <v>1.41</v>
      </c>
      <c r="U217" s="31" t="n">
        <v>19.83</v>
      </c>
      <c r="V217" s="31" t="n">
        <v>18.16</v>
      </c>
      <c r="W217" s="31" t="n">
        <v>8.300000000000001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Headwind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No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0 to 20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Less than 1.5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IF(B218=0,"",RANK(B218,$B$2:$B$314,0))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REDTAPE</t>
        </is>
      </c>
      <c r="D218" s="30" t="inlineStr">
        <is>
          <t>Redtape Ltd</t>
        </is>
      </c>
      <c r="E218" s="30" t="inlineStr">
        <is>
          <t>consumer discretionary</t>
        </is>
      </c>
      <c r="F218" s="30" t="inlineStr">
        <is>
          <t>trading</t>
        </is>
      </c>
      <c r="G218" s="30" t="inlineStr">
        <is>
          <t>midcap</t>
        </is>
      </c>
      <c r="H218" s="31" t="n">
        <v>7575.12</v>
      </c>
      <c r="I218" s="31" t="n">
        <v>136.88</v>
      </c>
      <c r="J218" s="31" t="n">
        <v>-0.11</v>
      </c>
      <c r="K218" s="31" t="n">
        <v>693929</v>
      </c>
      <c r="L218" s="30" t="n">
        <v>11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54.86</v>
      </c>
      <c r="P218" s="31" t="n">
        <v>18.86</v>
      </c>
      <c r="Q218" s="31" t="n">
        <v>101.22</v>
      </c>
      <c r="R218" s="30" t="inlineStr">
        <is>
          <t>Earnings / Momentum Support</t>
        </is>
      </c>
      <c r="S218" s="30" t="inlineStr">
        <is>
          <t>Nifty 50</t>
        </is>
      </c>
      <c r="T218" s="31" t="n">
        <v>-6.35</v>
      </c>
      <c r="U218" s="31" t="n">
        <v>2.8</v>
      </c>
      <c r="V218" s="31" t="n">
        <v>9.77</v>
      </c>
      <c r="W218" s="31" t="n">
        <v>4.22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No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0 to 20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No</t>
        </is>
      </c>
      <c r="BS218" s="30">
        <f>IF(BR218="NO",5,0)</f>
        <v/>
      </c>
      <c r="BT218" s="30" t="inlineStr">
        <is>
          <t>Less than 1.5</t>
        </is>
      </c>
      <c r="BU218" s="30">
        <f>IF(BT218="Above 2",0,IF(BT218="Between 1.5 to 2",5,IF(BT218="Less than 1.5",10,0)))</f>
        <v/>
      </c>
      <c r="BV218" s="30" t="inlineStr">
        <is>
          <t>Between 50% to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Between 0.7 to 1.2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IF(B219=0,"",RANK(B219,$B$2:$B$314,0))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CEIGALL</t>
        </is>
      </c>
      <c r="D219" s="30" t="inlineStr">
        <is>
          <t>Ceigall India Ltd</t>
        </is>
      </c>
      <c r="E219" s="30" t="inlineStr">
        <is>
          <t>realty</t>
        </is>
      </c>
      <c r="F219" s="30" t="inlineStr">
        <is>
          <t>construction</t>
        </is>
      </c>
      <c r="G219" s="30" t="inlineStr">
        <is>
          <t>midcap</t>
        </is>
      </c>
      <c r="H219" s="31" t="n">
        <v>6281.83</v>
      </c>
      <c r="I219" s="31" t="n">
        <v>358.5</v>
      </c>
      <c r="J219" s="31" t="n">
        <v>-0.58</v>
      </c>
      <c r="K219" s="31" t="n">
        <v>805250</v>
      </c>
      <c r="L219" s="30" t="n">
        <v>54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68.81</v>
      </c>
      <c r="P219" s="31" t="n">
        <v>41.58</v>
      </c>
      <c r="Q219" s="31" t="n">
        <v>298.02</v>
      </c>
      <c r="R219" s="30" t="inlineStr">
        <is>
          <t>Near 52W High Breakout</t>
        </is>
      </c>
      <c r="S219" s="30" t="inlineStr">
        <is>
          <t>Nifty Realty</t>
        </is>
      </c>
      <c r="T219" s="31" t="n">
        <v>-26.45</v>
      </c>
      <c r="U219" s="31" t="n">
        <v>46.43</v>
      </c>
      <c r="V219" s="31" t="n">
        <v>99.09</v>
      </c>
      <c r="W219" s="31" t="n">
        <v>14.86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Above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Negative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Less than 1.5</t>
        </is>
      </c>
      <c r="BU219" s="30">
        <f>IF(BT219="Above 2",0,IF(BT219="Between 1.5 to 2",5,IF(BT219="Less than 1.5",10,0)))</f>
        <v/>
      </c>
      <c r="BV219" s="30" t="inlineStr">
        <is>
          <t>Negative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IF(B220=0,"",RANK(B220,$B$2:$B$314,0))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GOLDIAM</t>
        </is>
      </c>
      <c r="D220" s="30" t="inlineStr">
        <is>
          <t>Goldiam International Limited</t>
        </is>
      </c>
      <c r="E220" s="30" t="inlineStr">
        <is>
          <t>consumer discretionary</t>
        </is>
      </c>
      <c r="F220" s="30" t="inlineStr">
        <is>
          <t>diamond cutting / jewellery</t>
        </is>
      </c>
      <c r="G220" s="30" t="inlineStr">
        <is>
          <t>smallcap</t>
        </is>
      </c>
      <c r="H220" s="31" t="n">
        <v>4915.31</v>
      </c>
      <c r="I220" s="31" t="n">
        <v>431.75</v>
      </c>
      <c r="J220" s="31" t="n">
        <v>-0.82</v>
      </c>
      <c r="K220" s="31" t="n">
        <v>907886</v>
      </c>
      <c r="L220" s="30" t="n">
        <v>45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59.82</v>
      </c>
      <c r="P220" s="31" t="n">
        <v>22</v>
      </c>
      <c r="Q220" s="31" t="n">
        <v>306.78</v>
      </c>
      <c r="R220" s="30" t="inlineStr">
        <is>
          <t>Volume Spike &amp; Near 52W High Breakout</t>
        </is>
      </c>
      <c r="S220" s="30" t="inlineStr">
        <is>
          <t>Nifty 50</t>
        </is>
      </c>
      <c r="T220" s="31" t="n">
        <v>-6.35</v>
      </c>
      <c r="U220" s="31" t="n">
        <v>21.23</v>
      </c>
      <c r="V220" s="31" t="n">
        <v>29.44</v>
      </c>
      <c r="W220" s="31" t="n">
        <v>12.03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Negative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No</t>
        </is>
      </c>
      <c r="BS220" s="30">
        <f>IF(BR220="NO",5,0)</f>
        <v/>
      </c>
      <c r="BT220" s="30" t="inlineStr">
        <is>
          <t>Less than 1.5</t>
        </is>
      </c>
      <c r="BU220" s="30">
        <f>IF(BT220="Above 2",0,IF(BT220="Between 1.5 to 2",5,IF(BT220="Less than 1.5",10,0)))</f>
        <v/>
      </c>
      <c r="BV220" s="30" t="inlineStr">
        <is>
          <t>Less than 50%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IF(B221=0,"",RANK(B221,$B$2:$B$314,0))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WELSPUNLIV</t>
        </is>
      </c>
      <c r="D221" s="30" t="inlineStr">
        <is>
          <t>Welspun Living Ltd</t>
        </is>
      </c>
      <c r="E221" s="30" t="inlineStr">
        <is>
          <t>textiles</t>
        </is>
      </c>
      <c r="F221" s="30" t="inlineStr">
        <is>
          <t>textiles - products</t>
        </is>
      </c>
      <c r="G221" s="30" t="inlineStr">
        <is>
          <t>midcap</t>
        </is>
      </c>
      <c r="H221" s="31" t="n">
        <v>13962.38</v>
      </c>
      <c r="I221" s="31" t="n">
        <v>144.28</v>
      </c>
      <c r="J221" s="31" t="n">
        <v>-0.89</v>
      </c>
      <c r="K221" s="31" t="n">
        <v>721582</v>
      </c>
      <c r="L221" s="30" t="n">
        <v>22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61.87</v>
      </c>
      <c r="P221" s="31" t="n">
        <v>16.23</v>
      </c>
      <c r="Q221" s="31" t="n">
        <v>112.06</v>
      </c>
      <c r="R221" s="30" t="inlineStr">
        <is>
          <t>Near 52W High Breakout</t>
        </is>
      </c>
      <c r="S221" s="30" t="inlineStr">
        <is>
          <t>Nifty 50</t>
        </is>
      </c>
      <c r="T221" s="31" t="n">
        <v>-6.35</v>
      </c>
      <c r="U221" s="31" t="n">
        <v>6.41</v>
      </c>
      <c r="V221" s="31" t="n">
        <v>13.61</v>
      </c>
      <c r="W221" s="31" t="n">
        <v>6.27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0 to 20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IF(B222=0,"",RANK(B222,$B$2:$B$314,0))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APCOTEXIND</t>
        </is>
      </c>
      <c r="D222" s="30" t="inlineStr">
        <is>
          <t>Apcotex Industries Limited</t>
        </is>
      </c>
      <c r="E222" s="30" t="inlineStr">
        <is>
          <t>chemicals</t>
        </is>
      </c>
      <c r="F222" s="30" t="inlineStr">
        <is>
          <t>miscellaneous</t>
        </is>
      </c>
      <c r="G222" s="30" t="inlineStr">
        <is>
          <t>smallcap</t>
        </is>
      </c>
      <c r="H222" s="31" t="n">
        <v>2584.21</v>
      </c>
      <c r="I222" s="31" t="n">
        <v>538.35</v>
      </c>
      <c r="J222" s="31" t="n">
        <v>8</v>
      </c>
      <c r="K222" s="31" t="n">
        <v>655502</v>
      </c>
      <c r="L222" s="30" t="n">
        <v>66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72.77</v>
      </c>
      <c r="P222" s="31" t="n">
        <v>29.44</v>
      </c>
      <c r="Q222" s="31" t="n">
        <v>414.77</v>
      </c>
      <c r="R222" s="30" t="inlineStr">
        <is>
          <t>Volume Spike &amp; Near 52W High Breakout</t>
        </is>
      </c>
      <c r="S222" s="30" t="inlineStr">
        <is>
          <t>Nifty 50</t>
        </is>
      </c>
      <c r="T222" s="31" t="n">
        <v>-6.35</v>
      </c>
      <c r="U222" s="31" t="n">
        <v>46.21</v>
      </c>
      <c r="V222" s="31" t="n">
        <v>56.11</v>
      </c>
      <c r="W222" s="31" t="n">
        <v>18.64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Oligopoly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Cyclical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Fully One Time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Above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1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Sideways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Overhead supply in last 2 years in last 2 years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Less than 1.5</t>
        </is>
      </c>
      <c r="BU222" s="30">
        <f>IF(BT222="Above 2",0,IF(BT222="Between 1.5 to 2",5,IF(BT222="Less than 1.5",10,0)))</f>
        <v/>
      </c>
      <c r="BV222" s="30" t="inlineStr">
        <is>
          <t>Between 50% to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IF(B223=0,"",RANK(B223,$B$2:$B$314,0))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VADILALIND</t>
        </is>
      </c>
      <c r="D223" s="30" t="inlineStr">
        <is>
          <t>Vadilal Industries Limited</t>
        </is>
      </c>
      <c r="E223" s="30" t="inlineStr">
        <is>
          <t>fmcg</t>
        </is>
      </c>
      <c r="F223" s="30" t="inlineStr">
        <is>
          <t>food - processing - indian</t>
        </is>
      </c>
      <c r="G223" s="30" t="inlineStr">
        <is>
          <t>smallcap</t>
        </is>
      </c>
      <c r="H223" s="31" t="n">
        <v>3877.04</v>
      </c>
      <c r="I223" s="31" t="n">
        <v>5493</v>
      </c>
      <c r="J223" s="31" t="n">
        <v>1.84</v>
      </c>
      <c r="K223" s="31" t="n">
        <v>43478</v>
      </c>
      <c r="L223" s="30" t="n">
        <v>4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61.26</v>
      </c>
      <c r="P223" s="31" t="n">
        <v>10.46</v>
      </c>
      <c r="Q223" s="31" t="n">
        <v>4190.02</v>
      </c>
      <c r="R223" s="30" t="inlineStr">
        <is>
          <t>Volume Spike &amp; Near 52W High Breakout</t>
        </is>
      </c>
      <c r="S223" s="30" t="inlineStr">
        <is>
          <t>Nifty FMCG</t>
        </is>
      </c>
      <c r="T223" s="31" t="n">
        <v>-13.6</v>
      </c>
      <c r="U223" s="31" t="n">
        <v>1.23</v>
      </c>
      <c r="V223" s="31" t="n">
        <v>17.16</v>
      </c>
      <c r="W223" s="31" t="n">
        <v>1.88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B2C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Annuity, Lower One Time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0 to 20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1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Between 50% to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IF(B224=0,"",RANK(B224,$B$2:$B$314,0))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BIOCON</t>
        </is>
      </c>
      <c r="D224" s="30" t="inlineStr">
        <is>
          <t>Biocon Limited</t>
        </is>
      </c>
      <c r="E224" s="30" t="inlineStr">
        <is>
          <t>healthcare</t>
        </is>
      </c>
      <c r="F224" s="30" t="inlineStr">
        <is>
          <t>pharmaceuticals - indian - bulk drugs &amp; formln</t>
        </is>
      </c>
      <c r="G224" s="30" t="inlineStr">
        <is>
          <t>largecap</t>
        </is>
      </c>
      <c r="H224" s="31" t="n">
        <v>66854.34</v>
      </c>
      <c r="I224" s="31" t="n">
        <v>416.05</v>
      </c>
      <c r="J224" s="31" t="n">
        <v>0.87</v>
      </c>
      <c r="K224" s="31" t="n">
        <v>2493074</v>
      </c>
      <c r="L224" s="30" t="n">
        <v>22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61.15</v>
      </c>
      <c r="P224" s="31" t="n">
        <v>19.04</v>
      </c>
      <c r="Q224" s="31" t="n">
        <v>358.25</v>
      </c>
      <c r="R224" s="30" t="inlineStr">
        <is>
          <t>Near 52W High Breakout</t>
        </is>
      </c>
      <c r="S224" s="30" t="inlineStr">
        <is>
          <t>Nifty Pharma</t>
        </is>
      </c>
      <c r="T224" s="31" t="n">
        <v>11.5</v>
      </c>
      <c r="U224" s="31" t="n">
        <v>26.23</v>
      </c>
      <c r="V224" s="31" t="n">
        <v>13.21</v>
      </c>
      <c r="W224" s="31" t="n">
        <v>6.16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Yes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Annuity, Lower One Time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0 to 20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Blue sky scenario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Less than 12%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Between 50% to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IF(B225=0,"",RANK(B225,$B$2:$B$314,0))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2" t="inlineStr">
        <is>
          <t>ZIMLAB</t>
        </is>
      </c>
      <c r="D225" s="32" t="inlineStr">
        <is>
          <t>Zim Laboratories Ltd</t>
        </is>
      </c>
      <c r="E225" s="30" t="inlineStr">
        <is>
          <t>healthcare</t>
        </is>
      </c>
      <c r="F225" s="30" t="inlineStr">
        <is>
          <t>pharmaceuticals - indian - bulk drugs &amp; formln</t>
        </is>
      </c>
      <c r="G225" s="30" t="inlineStr">
        <is>
          <t>smallcap</t>
        </is>
      </c>
      <c r="H225" s="31" t="n">
        <v>577.21</v>
      </c>
      <c r="I225" s="31" t="n">
        <v>107.61</v>
      </c>
      <c r="J225" s="31" t="n">
        <v>-0.26</v>
      </c>
      <c r="K225" s="31" t="n">
        <v>43853</v>
      </c>
      <c r="L225" s="30" t="n">
        <v>61</v>
      </c>
      <c r="M225" s="30" t="inlineStr">
        <is>
          <t>Underperforming</t>
        </is>
      </c>
      <c r="N225" s="31">
        <f>IF(M225="Underperforming",-5,IF(L225&gt;=95,15,IF(L225&gt;=90,10,IF(L225&gt;=80,5,0))))</f>
        <v/>
      </c>
      <c r="O225" s="31" t="n">
        <v>73.06999999999999</v>
      </c>
      <c r="P225" s="31" t="n">
        <v>38.47</v>
      </c>
      <c r="Q225" s="31" t="n">
        <v>76.77</v>
      </c>
      <c r="R225" s="30" t="inlineStr">
        <is>
          <t>Earnings / Momentum Support</t>
        </is>
      </c>
      <c r="S225" s="30" t="inlineStr">
        <is>
          <t>Nifty Pharma</t>
        </is>
      </c>
      <c r="T225" s="31" t="n">
        <v>11.5</v>
      </c>
      <c r="U225" s="31" t="n">
        <v>7.65</v>
      </c>
      <c r="V225" s="31" t="n">
        <v>-3.45</v>
      </c>
      <c r="W225" s="31" t="n">
        <v>17.35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Yes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No</t>
        </is>
      </c>
      <c r="AQ225" s="30">
        <f>IF(AP225="Yes",10,0)</f>
        <v/>
      </c>
      <c r="AR225" s="30" t="inlineStr">
        <is>
          <t>Higher Annuity, Lower One Time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20 to 40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Less than 12%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IF(B226=0,"",RANK(B226,$B$2:$B$314,0))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INDSWFTLAB</t>
        </is>
      </c>
      <c r="D226" s="30" t="inlineStr">
        <is>
          <t>Ind-swift Laboratories Limited</t>
        </is>
      </c>
      <c r="E226" s="30" t="inlineStr">
        <is>
          <t>healthcare</t>
        </is>
      </c>
      <c r="F226" s="30" t="inlineStr">
        <is>
          <t>pharmaceuticals - indian - bulk drugs &amp; formln</t>
        </is>
      </c>
      <c r="G226" s="30" t="inlineStr">
        <is>
          <t>smallcap</t>
        </is>
      </c>
      <c r="H226" s="31" t="n">
        <v>1364.29</v>
      </c>
      <c r="I226" s="31" t="n">
        <v>156.69</v>
      </c>
      <c r="J226" s="31" t="n">
        <v>-0.27</v>
      </c>
      <c r="K226" s="31" t="n">
        <v>1021074</v>
      </c>
      <c r="L226" s="30" t="n">
        <v>54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70.43000000000001</v>
      </c>
      <c r="P226" s="31" t="n">
        <v>32.77</v>
      </c>
      <c r="Q226" s="31" t="n">
        <v>110.83</v>
      </c>
      <c r="R226" s="30" t="inlineStr">
        <is>
          <t>Volume Spike &amp; Near 52W High Breakout</t>
        </is>
      </c>
      <c r="S226" s="30" t="inlineStr">
        <is>
          <t>Nifty Pharma</t>
        </is>
      </c>
      <c r="T226" s="31" t="n">
        <v>11.5</v>
      </c>
      <c r="U226" s="31" t="n">
        <v>69.08</v>
      </c>
      <c r="V226" s="31" t="n">
        <v>51.65</v>
      </c>
      <c r="W226" s="31" t="n">
        <v>15.16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Yes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Yes</t>
        </is>
      </c>
      <c r="AQ226" s="30">
        <f>IF(AP226="Yes",10,0)</f>
        <v/>
      </c>
      <c r="AR226" s="30" t="inlineStr">
        <is>
          <t>Higher Annuity, Lower One Time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Less than 12%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Negative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IF(B227=0,"",RANK(B227,$B$2:$B$314,0))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2" t="inlineStr">
        <is>
          <t>SSWL</t>
        </is>
      </c>
      <c r="D227" s="32" t="inlineStr">
        <is>
          <t>Steel Strips Wheels Limited</t>
        </is>
      </c>
      <c r="E227" s="30" t="inlineStr">
        <is>
          <t>auto</t>
        </is>
      </c>
      <c r="F227" s="30" t="inlineStr">
        <is>
          <t>auto ancillaries</t>
        </is>
      </c>
      <c r="G227" s="30" t="inlineStr">
        <is>
          <t>smallcap</t>
        </is>
      </c>
      <c r="H227" s="31" t="n">
        <v>3413.96</v>
      </c>
      <c r="I227" s="31" t="n">
        <v>228.08</v>
      </c>
      <c r="J227" s="31" t="n">
        <v>5.01</v>
      </c>
      <c r="K227" s="31" t="n">
        <v>1860781</v>
      </c>
      <c r="L227" s="30" t="n">
        <v>7</v>
      </c>
      <c r="M227" s="30" t="inlineStr">
        <is>
          <t>Underperforming</t>
        </is>
      </c>
      <c r="N227" s="31">
        <f>IF(M227="Underperforming",-5,IF(L227&gt;=95,15,IF(L227&gt;=90,10,IF(L227&gt;=80,5,0))))</f>
        <v/>
      </c>
      <c r="O227" s="31" t="n">
        <v>58.24</v>
      </c>
      <c r="P227" s="31" t="n">
        <v>7.91</v>
      </c>
      <c r="Q227" s="31" t="n">
        <v>170.04</v>
      </c>
      <c r="R227" s="30" t="inlineStr">
        <is>
          <t>Volume Spike / Accumulation</t>
        </is>
      </c>
      <c r="S227" s="30" t="inlineStr">
        <is>
          <t>Nifty Auto</t>
        </is>
      </c>
      <c r="T227" s="31" t="n">
        <v>10.49</v>
      </c>
      <c r="U227" s="31" t="n">
        <v>-5.83</v>
      </c>
      <c r="V227" s="31" t="n">
        <v>-14.77</v>
      </c>
      <c r="W227" s="31" t="n">
        <v>2.64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0 to 20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Less than 12%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Between 50% to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IF(B228=0,"",RANK(B228,$B$2:$B$314,0))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2" t="inlineStr">
        <is>
          <t>XPROINDIA</t>
        </is>
      </c>
      <c r="D228" s="32" t="inlineStr">
        <is>
          <t>Xpro India Limited</t>
        </is>
      </c>
      <c r="E228" s="30" t="inlineStr">
        <is>
          <t>industrials</t>
        </is>
      </c>
      <c r="F228" s="30" t="inlineStr">
        <is>
          <t>packaging</t>
        </is>
      </c>
      <c r="G228" s="30" t="inlineStr">
        <is>
          <t>smallcap</t>
        </is>
      </c>
      <c r="H228" s="31" t="n">
        <v>2705.2</v>
      </c>
      <c r="I228" s="31" t="n">
        <v>1185.9</v>
      </c>
      <c r="J228" s="31" t="n">
        <v>2.89</v>
      </c>
      <c r="K228" s="31" t="n">
        <v>93778</v>
      </c>
      <c r="L228" s="30" t="n">
        <v>19</v>
      </c>
      <c r="M228" s="30" t="inlineStr">
        <is>
          <t>Underperforming</t>
        </is>
      </c>
      <c r="N228" s="31">
        <f>IF(M228="Underperforming",-5,IF(L228&gt;=95,15,IF(L228&gt;=90,10,IF(L228&gt;=80,5,0))))</f>
        <v/>
      </c>
      <c r="O228" s="31" t="n">
        <v>58.91</v>
      </c>
      <c r="P228" s="31" t="n">
        <v>17.99</v>
      </c>
      <c r="Q228" s="31" t="n">
        <v>862.78</v>
      </c>
      <c r="R228" s="30" t="inlineStr">
        <is>
          <t>Near 52W High Breakout</t>
        </is>
      </c>
      <c r="S228" s="30" t="inlineStr">
        <is>
          <t>Nifty 50</t>
        </is>
      </c>
      <c r="T228" s="31" t="n">
        <v>-6.35</v>
      </c>
      <c r="U228" s="31" t="n">
        <v>-6.51</v>
      </c>
      <c r="V228" s="31" t="n">
        <v>-0.18</v>
      </c>
      <c r="W228" s="31" t="n">
        <v>5.76</v>
      </c>
      <c r="X228" s="30" t="inlineStr">
        <is>
          <t>Cyclical in an Upturn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0 to 20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Between 1.5 to 2</t>
        </is>
      </c>
      <c r="BU228" s="30">
        <f>IF(BT228="Above 2",0,IF(BT228="Between 1.5 to 2",5,IF(BT228="Less than 1.5",10,0)))</f>
        <v/>
      </c>
      <c r="BV228" s="30" t="inlineStr">
        <is>
          <t>Less than 50%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IF(B229=0,"",RANK(B229,$B$2:$B$314,0))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DEEPINDS</t>
        </is>
      </c>
      <c r="D229" s="30" t="inlineStr">
        <is>
          <t>Deep Industries Ltd</t>
        </is>
      </c>
      <c r="E229" s="30" t="inlineStr">
        <is>
          <t>energy</t>
        </is>
      </c>
      <c r="F229" s="30" t="inlineStr">
        <is>
          <t>oil drilling / allied services</t>
        </is>
      </c>
      <c r="G229" s="30" t="inlineStr">
        <is>
          <t>smallcap</t>
        </is>
      </c>
      <c r="H229" s="31" t="n">
        <v>3280</v>
      </c>
      <c r="I229" s="31" t="n">
        <v>525.25</v>
      </c>
      <c r="J229" s="31" t="n">
        <v>2.49</v>
      </c>
      <c r="K229" s="31" t="n">
        <v>358251</v>
      </c>
      <c r="L229" s="30" t="n">
        <v>68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63.72</v>
      </c>
      <c r="P229" s="31" t="n">
        <v>16.19</v>
      </c>
      <c r="Q229" s="31" t="n">
        <v>384.76</v>
      </c>
      <c r="R229" s="30" t="inlineStr">
        <is>
          <t>Near 52W High Breakout</t>
        </is>
      </c>
      <c r="S229" s="30" t="inlineStr">
        <is>
          <t>Nifty Energy</t>
        </is>
      </c>
      <c r="T229" s="31" t="n">
        <v>12.59</v>
      </c>
      <c r="U229" s="31" t="n">
        <v>25.44</v>
      </c>
      <c r="V229" s="31" t="n">
        <v>11.41</v>
      </c>
      <c r="W229" s="31" t="n">
        <v>19.81</v>
      </c>
      <c r="X229" s="30" t="inlineStr">
        <is>
          <t>Cyclical in an Upturn</t>
        </is>
      </c>
      <c r="Y229" s="30">
        <f>IF(X229="Growing Industry",10,IF(X229="Cyclical in an Upturn",5,0))</f>
        <v/>
      </c>
      <c r="Z229" s="30" t="inlineStr">
        <is>
          <t>Oligopoly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Yes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Cyclical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Volatile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0 to 20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No</t>
        </is>
      </c>
      <c r="BS229" s="30">
        <f>IF(BR229="NO",5,0)</f>
        <v/>
      </c>
      <c r="BT229" s="30" t="inlineStr">
        <is>
          <t>Less than 1.5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IF(B230=0,"",RANK(B230,$B$2:$B$314,0))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CYIENTDLM</t>
        </is>
      </c>
      <c r="D230" s="30" t="inlineStr">
        <is>
          <t>Cyient DLM Ltd</t>
        </is>
      </c>
      <c r="E230" s="30" t="inlineStr">
        <is>
          <t>consumer discretionary</t>
        </is>
      </c>
      <c r="F230" s="30" t="inlineStr">
        <is>
          <t>electronics - components</t>
        </is>
      </c>
      <c r="G230" s="30" t="inlineStr">
        <is>
          <t>smallcap</t>
        </is>
      </c>
      <c r="H230" s="31" t="n">
        <v>3567.03</v>
      </c>
      <c r="I230" s="31" t="n">
        <v>457.8</v>
      </c>
      <c r="J230" s="31" t="n">
        <v>1.86</v>
      </c>
      <c r="K230" s="31" t="n">
        <v>222999</v>
      </c>
      <c r="L230" s="30" t="n">
        <v>49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65.06</v>
      </c>
      <c r="P230" s="31" t="n">
        <v>28.69</v>
      </c>
      <c r="Q230" s="31" t="n">
        <v>347.07</v>
      </c>
      <c r="R230" s="30" t="inlineStr">
        <is>
          <t>Earnings / Momentum Support</t>
        </is>
      </c>
      <c r="S230" s="30" t="inlineStr">
        <is>
          <t>Nifty 50</t>
        </is>
      </c>
      <c r="T230" s="31" t="n">
        <v>-6.35</v>
      </c>
      <c r="U230" s="31" t="n">
        <v>-5.58</v>
      </c>
      <c r="V230" s="31" t="n">
        <v>0.82</v>
      </c>
      <c r="W230" s="31" t="n">
        <v>13.36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No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Less than 12%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Less than 50%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IF(B231=0,"",RANK(B231,$B$2:$B$314,0))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2" t="inlineStr">
        <is>
          <t>TITAGARH</t>
        </is>
      </c>
      <c r="D231" s="32" t="inlineStr">
        <is>
          <t>Titagarh Rail Systems Ltd</t>
        </is>
      </c>
      <c r="E231" s="30" t="inlineStr">
        <is>
          <t>industrials</t>
        </is>
      </c>
      <c r="F231" s="30" t="inlineStr">
        <is>
          <t>engineering</t>
        </is>
      </c>
      <c r="G231" s="30" t="inlineStr">
        <is>
          <t>midcap</t>
        </is>
      </c>
      <c r="H231" s="31" t="n">
        <v>11492.39</v>
      </c>
      <c r="I231" s="31" t="n">
        <v>864</v>
      </c>
      <c r="J231" s="31" t="n">
        <v>1.25</v>
      </c>
      <c r="K231" s="31" t="n">
        <v>1593786</v>
      </c>
      <c r="L231" s="30" t="n">
        <v>13</v>
      </c>
      <c r="M231" s="30" t="inlineStr">
        <is>
          <t>Underperforming</t>
        </is>
      </c>
      <c r="N231" s="31">
        <f>IF(M231="Underperforming",-5,IF(L231&gt;=95,15,IF(L231&gt;=90,10,IF(L231&gt;=80,5,0))))</f>
        <v/>
      </c>
      <c r="O231" s="31" t="n">
        <v>59.66</v>
      </c>
      <c r="P231" s="31" t="n">
        <v>21.62</v>
      </c>
      <c r="Q231" s="31" t="n">
        <v>658.42</v>
      </c>
      <c r="R231" s="30" t="inlineStr">
        <is>
          <t>Earnings / Momentum Support</t>
        </is>
      </c>
      <c r="S231" s="30" t="inlineStr">
        <is>
          <t>Nifty 50</t>
        </is>
      </c>
      <c r="T231" s="31" t="n">
        <v>-6.35</v>
      </c>
      <c r="U231" s="31" t="n">
        <v>-8.06</v>
      </c>
      <c r="V231" s="31" t="n">
        <v>-1.83</v>
      </c>
      <c r="W231" s="31" t="n">
        <v>4.71</v>
      </c>
      <c r="X231" s="30" t="inlineStr">
        <is>
          <t>Cyclical in an Upturn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No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Less than 12%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IF(B232=0,"",RANK(B232,$B$2:$B$314,0))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GLOSTERLTD</t>
        </is>
      </c>
      <c r="D232" s="30" t="inlineStr">
        <is>
          <t>Gloster Ltd</t>
        </is>
      </c>
      <c r="E232" s="30" t="inlineStr">
        <is>
          <t>textiles</t>
        </is>
      </c>
      <c r="F232" s="30" t="inlineStr">
        <is>
          <t>textiles - jute - yarn / products</t>
        </is>
      </c>
      <c r="G232" s="30" t="inlineStr">
        <is>
          <t>smallcap</t>
        </is>
      </c>
      <c r="H232" s="31" t="n">
        <v>726.14</v>
      </c>
      <c r="I232" s="31" t="n">
        <v>671.65</v>
      </c>
      <c r="J232" s="31" t="n">
        <v>1.22</v>
      </c>
      <c r="K232" s="31" t="n">
        <v>820</v>
      </c>
      <c r="L232" s="30" t="n">
        <v>15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61.09</v>
      </c>
      <c r="P232" s="31" t="n">
        <v>23.19</v>
      </c>
      <c r="Q232" s="31" t="n">
        <v>522.97</v>
      </c>
      <c r="R232" s="30" t="inlineStr">
        <is>
          <t>Earnings / Momentum Support</t>
        </is>
      </c>
      <c r="S232" s="30" t="inlineStr">
        <is>
          <t>Nifty IT</t>
        </is>
      </c>
      <c r="T232" s="31" t="n">
        <v>-21.44</v>
      </c>
      <c r="U232" s="31" t="n">
        <v>-1.68</v>
      </c>
      <c r="V232" s="31" t="n">
        <v>25.14</v>
      </c>
      <c r="W232" s="31" t="n">
        <v>5.01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No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Yes</t>
        </is>
      </c>
      <c r="BS232" s="30">
        <f>IF(BR232="NO",5,0)</f>
        <v/>
      </c>
      <c r="BT232" s="30" t="inlineStr">
        <is>
          <t>Less than 1.5</t>
        </is>
      </c>
      <c r="BU232" s="30">
        <f>IF(BT232="Above 2",0,IF(BT232="Between 1.5 to 2",5,IF(BT232="Less than 1.5",10,0)))</f>
        <v/>
      </c>
      <c r="BV232" s="30" t="inlineStr">
        <is>
          <t>Negative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Between 0.7 to 1.2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IF(B233=0,"",RANK(B233,$B$2:$B$314,0))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MARINE</t>
        </is>
      </c>
      <c r="D233" s="30" t="inlineStr">
        <is>
          <t>Marine Electricals (India) Ltd</t>
        </is>
      </c>
      <c r="E233" s="30" t="inlineStr">
        <is>
          <t>industrials</t>
        </is>
      </c>
      <c r="F233" s="30" t="inlineStr">
        <is>
          <t>electric equipment</t>
        </is>
      </c>
      <c r="G233" s="30" t="inlineStr">
        <is>
          <t>smallcap</t>
        </is>
      </c>
      <c r="H233" s="31" t="n">
        <v>619.34</v>
      </c>
      <c r="I233" s="31" t="n">
        <v>250.15</v>
      </c>
      <c r="J233" s="31" t="n">
        <v>-0.91</v>
      </c>
      <c r="K233" s="31" t="n">
        <v>700406</v>
      </c>
      <c r="L233" s="30" t="n">
        <v>34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60.3</v>
      </c>
      <c r="P233" s="31" t="n">
        <v>24.31</v>
      </c>
      <c r="Q233" s="31" t="n">
        <v>191.62</v>
      </c>
      <c r="R233" s="30" t="inlineStr">
        <is>
          <t>Earnings / Momentum Support</t>
        </is>
      </c>
      <c r="S233" s="30" t="inlineStr">
        <is>
          <t>Nifty 50</t>
        </is>
      </c>
      <c r="T233" s="31" t="n">
        <v>-6.35</v>
      </c>
      <c r="U233" s="31" t="n">
        <v>6.09</v>
      </c>
      <c r="V233" s="31" t="n">
        <v>13.27</v>
      </c>
      <c r="W233" s="31" t="n">
        <v>9.24</v>
      </c>
      <c r="X233" s="30" t="inlineStr">
        <is>
          <t>Cyclical in an Upturn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No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Between 1.5 to 2</t>
        </is>
      </c>
      <c r="BU233" s="30">
        <f>IF(BT233="Above 2",0,IF(BT233="Between 1.5 to 2",5,IF(BT233="Less than 1.5",10,0)))</f>
        <v/>
      </c>
      <c r="BV233" s="30" t="inlineStr">
        <is>
          <t>Negative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IF(B234=0,"",RANK(B234,$B$2:$B$314,0))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WSTCSTPAPR</t>
        </is>
      </c>
      <c r="D234" s="30" t="inlineStr">
        <is>
          <t>West Coast Paper Mills Limited</t>
        </is>
      </c>
      <c r="E234" s="30" t="inlineStr">
        <is>
          <t>building materials</t>
        </is>
      </c>
      <c r="F234" s="30" t="inlineStr">
        <is>
          <t>paper</t>
        </is>
      </c>
      <c r="G234" s="30" t="inlineStr">
        <is>
          <t>smallcap</t>
        </is>
      </c>
      <c r="H234" s="31" t="n">
        <v>3438.51</v>
      </c>
      <c r="I234" s="31" t="n">
        <v>511.3</v>
      </c>
      <c r="J234" s="31" t="n">
        <v>-1.79</v>
      </c>
      <c r="K234" s="31" t="n">
        <v>134495</v>
      </c>
      <c r="L234" s="30" t="n">
        <v>31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60.36</v>
      </c>
      <c r="P234" s="31" t="n">
        <v>26.07</v>
      </c>
      <c r="Q234" s="31" t="n">
        <v>402.61</v>
      </c>
      <c r="R234" s="30" t="inlineStr">
        <is>
          <t>Earnings / Momentum Support</t>
        </is>
      </c>
      <c r="S234" s="30" t="inlineStr">
        <is>
          <t>Nifty Infra</t>
        </is>
      </c>
      <c r="T234" s="31" t="n">
        <v>1.41</v>
      </c>
      <c r="U234" s="31" t="n">
        <v>4.09</v>
      </c>
      <c r="V234" s="31" t="n">
        <v>2.65</v>
      </c>
      <c r="W234" s="31" t="n">
        <v>8.140000000000001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Negative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Between 12 to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Less than 1.5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IF(B235=0,"",RANK(B235,$B$2:$B$314,0))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2" t="inlineStr">
        <is>
          <t>NSLNISP</t>
        </is>
      </c>
      <c r="D235" s="32" t="inlineStr">
        <is>
          <t>NMDC Steel Ltd</t>
        </is>
      </c>
      <c r="E235" s="30" t="inlineStr">
        <is>
          <t>metals &amp; mining</t>
        </is>
      </c>
      <c r="F235" s="30" t="inlineStr">
        <is>
          <t>steel - large</t>
        </is>
      </c>
      <c r="G235" s="30" t="inlineStr">
        <is>
          <t>midcap</t>
        </is>
      </c>
      <c r="H235" s="31" t="n">
        <v>15371.03</v>
      </c>
      <c r="I235" s="31" t="n">
        <v>50.72</v>
      </c>
      <c r="J235" s="31" t="n">
        <v>-3.3</v>
      </c>
      <c r="K235" s="31" t="n">
        <v>9943384</v>
      </c>
      <c r="L235" s="30" t="n">
        <v>46</v>
      </c>
      <c r="M235" s="30" t="inlineStr">
        <is>
          <t>Underperforming</t>
        </is>
      </c>
      <c r="N235" s="31">
        <f>IF(M235="Underperforming",-5,IF(L235&gt;=95,15,IF(L235&gt;=90,10,IF(L235&gt;=80,5,0))))</f>
        <v/>
      </c>
      <c r="O235" s="31" t="n">
        <v>68.91</v>
      </c>
      <c r="P235" s="31" t="n">
        <v>24.11</v>
      </c>
      <c r="Q235" s="31" t="n">
        <v>39.78</v>
      </c>
      <c r="R235" s="30" t="inlineStr">
        <is>
          <t>Volume Spike &amp; Near 52W High Breakout</t>
        </is>
      </c>
      <c r="S235" s="30" t="inlineStr">
        <is>
          <t>Nifty Metal</t>
        </is>
      </c>
      <c r="T235" s="31" t="n">
        <v>42.84</v>
      </c>
      <c r="U235" s="31" t="n">
        <v>28.63</v>
      </c>
      <c r="V235" s="31" t="n">
        <v>-9.94</v>
      </c>
      <c r="W235" s="31" t="n">
        <v>12.28</v>
      </c>
      <c r="X235" s="30" t="inlineStr">
        <is>
          <t>Cyclical in an Upturn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Cyclical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Volatile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IF(B236=0,"",RANK(B236,$B$2:$B$314,0))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2" t="inlineStr">
        <is>
          <t>INNOVACAP</t>
        </is>
      </c>
      <c r="D236" s="32" t="inlineStr">
        <is>
          <t>Innova Captab Ltd</t>
        </is>
      </c>
      <c r="E236" s="30" t="inlineStr">
        <is>
          <t>healthcare</t>
        </is>
      </c>
      <c r="F236" s="30" t="inlineStr">
        <is>
          <t>pharmaceuticals - indian - bulk drugs &amp; formln</t>
        </is>
      </c>
      <c r="G236" s="30" t="inlineStr">
        <is>
          <t>smallcap</t>
        </is>
      </c>
      <c r="H236" s="31" t="n">
        <v>4904.18</v>
      </c>
      <c r="I236" s="31" t="n">
        <v>872.55</v>
      </c>
      <c r="J236" s="31" t="n">
        <v>1.81</v>
      </c>
      <c r="K236" s="31" t="n">
        <v>21379</v>
      </c>
      <c r="L236" s="30" t="n">
        <v>24</v>
      </c>
      <c r="M236" s="30" t="inlineStr">
        <is>
          <t>Underperforming</t>
        </is>
      </c>
      <c r="N236" s="31">
        <f>IF(M236="Underperforming",-5,IF(L236&gt;=95,15,IF(L236&gt;=90,10,IF(L236&gt;=80,5,0))))</f>
        <v/>
      </c>
      <c r="O236" s="31" t="n">
        <v>65.48</v>
      </c>
      <c r="P236" s="31" t="n">
        <v>24.13</v>
      </c>
      <c r="Q236" s="31" t="n">
        <v>684.6900000000001</v>
      </c>
      <c r="R236" s="30" t="inlineStr">
        <is>
          <t>Near 52W High Breakout</t>
        </is>
      </c>
      <c r="S236" s="30" t="inlineStr">
        <is>
          <t>Nifty Pharma</t>
        </is>
      </c>
      <c r="T236" s="31" t="n">
        <v>11.5</v>
      </c>
      <c r="U236" s="31" t="n">
        <v>-1.57</v>
      </c>
      <c r="V236" s="31" t="n">
        <v>-11.72</v>
      </c>
      <c r="W236" s="31" t="n">
        <v>6.62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Yes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Annuity, Lower One Time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Negative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No</t>
        </is>
      </c>
      <c r="BS236" s="30">
        <f>IF(BR236="NO",5,0)</f>
        <v/>
      </c>
      <c r="BT236" s="30" t="inlineStr">
        <is>
          <t>Less than 1.5</t>
        </is>
      </c>
      <c r="BU236" s="30">
        <f>IF(BT236="Above 2",0,IF(BT236="Between 1.5 to 2",5,IF(BT236="Less than 1.5",10,0)))</f>
        <v/>
      </c>
      <c r="BV236" s="30" t="inlineStr">
        <is>
          <t>Less than 50%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IF(B237=0,"",RANK(B237,$B$2:$B$314,0))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ZYDUSLIFE</t>
        </is>
      </c>
      <c r="D237" s="30" t="inlineStr">
        <is>
          <t>Zydus Lifesciences Ltd</t>
        </is>
      </c>
      <c r="E237" s="30" t="inlineStr">
        <is>
          <t>healthcare</t>
        </is>
      </c>
      <c r="F237" s="30" t="inlineStr">
        <is>
          <t>pharmaceuticals - indian - bulk drugs &amp; formln</t>
        </is>
      </c>
      <c r="G237" s="30" t="inlineStr">
        <is>
          <t>largecap</t>
        </is>
      </c>
      <c r="H237" s="31" t="n">
        <v>108331.15</v>
      </c>
      <c r="I237" s="31" t="n">
        <v>1084.6</v>
      </c>
      <c r="J237" s="31" t="n">
        <v>0.74</v>
      </c>
      <c r="K237" s="31" t="n">
        <v>1016000</v>
      </c>
      <c r="L237" s="30" t="n">
        <v>24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70.40000000000001</v>
      </c>
      <c r="P237" s="31" t="n">
        <v>17.24</v>
      </c>
      <c r="Q237" s="31" t="n">
        <v>916.75</v>
      </c>
      <c r="R237" s="30" t="inlineStr">
        <is>
          <t>Near 52W High Breakout</t>
        </is>
      </c>
      <c r="S237" s="30" t="inlineStr">
        <is>
          <t>Nifty Pharma</t>
        </is>
      </c>
      <c r="T237" s="31" t="n">
        <v>11.5</v>
      </c>
      <c r="U237" s="31" t="n">
        <v>14.26</v>
      </c>
      <c r="V237" s="31" t="n">
        <v>2.47</v>
      </c>
      <c r="W237" s="31" t="n">
        <v>6.86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Yes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Annuity, Lower One Time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0 to 20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Less than 12%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No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Less than 50%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IF(B238=0,"",RANK(B238,$B$2:$B$314,0))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IKS</t>
        </is>
      </c>
      <c r="D238" s="30" t="inlineStr">
        <is>
          <t>Inventurus Knowledge Solutions Ltd</t>
        </is>
      </c>
      <c r="E238" s="30" t="inlineStr">
        <is>
          <t>i.t</t>
        </is>
      </c>
      <c r="F238" s="30" t="inlineStr">
        <is>
          <t>computers - software - medium / small</t>
        </is>
      </c>
      <c r="G238" s="30" t="inlineStr">
        <is>
          <t>largecap</t>
        </is>
      </c>
      <c r="H238" s="31" t="n">
        <v>29270.38</v>
      </c>
      <c r="I238" s="31" t="n">
        <v>1690.7</v>
      </c>
      <c r="J238" s="31" t="n">
        <v>-0.9</v>
      </c>
      <c r="K238" s="31" t="n">
        <v>187774</v>
      </c>
      <c r="L238" s="30" t="n">
        <v>29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57.91</v>
      </c>
      <c r="P238" s="31" t="n">
        <v>14.87</v>
      </c>
      <c r="Q238" s="31" t="n">
        <v>1301.73</v>
      </c>
      <c r="R238" s="30" t="inlineStr">
        <is>
          <t>Near 52W High Breakout</t>
        </is>
      </c>
      <c r="S238" s="30" t="inlineStr">
        <is>
          <t>Nifty IT</t>
        </is>
      </c>
      <c r="T238" s="31" t="n">
        <v>-21.44</v>
      </c>
      <c r="U238" s="31" t="n">
        <v>5.03</v>
      </c>
      <c r="V238" s="31" t="n">
        <v>33.69</v>
      </c>
      <c r="W238" s="31" t="n">
        <v>7.49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Annuity, Lower One Time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0 to 20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Negative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Less than 1.5</t>
        </is>
      </c>
      <c r="BU238" s="30">
        <f>IF(BT238="Above 2",0,IF(BT238="Between 1.5 to 2",5,IF(BT238="Less than 1.5",10,0)))</f>
        <v/>
      </c>
      <c r="BV238" s="30" t="inlineStr">
        <is>
          <t>Between 50% to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IF(B239=0,"",RANK(B239,$B$2:$B$314,0))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BIRLACABLE</t>
        </is>
      </c>
      <c r="D239" s="30" t="inlineStr">
        <is>
          <t>Birla Cable Limited</t>
        </is>
      </c>
      <c r="E239" s="30" t="inlineStr">
        <is>
          <t>industrials</t>
        </is>
      </c>
      <c r="F239" s="30" t="inlineStr">
        <is>
          <t>cables - telephone</t>
        </is>
      </c>
      <c r="G239" s="30" t="inlineStr">
        <is>
          <t>smallcap</t>
        </is>
      </c>
      <c r="H239" s="31" t="n">
        <v>673.38</v>
      </c>
      <c r="I239" s="31" t="n">
        <v>235.68</v>
      </c>
      <c r="J239" s="31" t="n">
        <v>5</v>
      </c>
      <c r="K239" s="31" t="n">
        <v>199723</v>
      </c>
      <c r="L239" s="30" t="n">
        <v>73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75.48999999999999</v>
      </c>
      <c r="P239" s="31" t="n">
        <v>27.31</v>
      </c>
      <c r="Q239" s="31" t="n">
        <v>177.67</v>
      </c>
      <c r="R239" s="30" t="inlineStr">
        <is>
          <t>Volume Spike &amp; Near 52W High Breakout</t>
        </is>
      </c>
      <c r="S239" s="30" t="inlineStr">
        <is>
          <t>Nifty Infra</t>
        </is>
      </c>
      <c r="T239" s="31" t="n">
        <v>1.41</v>
      </c>
      <c r="U239" s="31" t="n">
        <v>29.89</v>
      </c>
      <c r="V239" s="31" t="n">
        <v>28.08</v>
      </c>
      <c r="W239" s="31" t="n">
        <v>22.81</v>
      </c>
      <c r="X239" s="30" t="inlineStr">
        <is>
          <t>Cyclical in an Upturn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Above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Negative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IF(B240=0,"",RANK(B240,$B$2:$B$314,0))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ASIANENE</t>
        </is>
      </c>
      <c r="D240" s="30" t="inlineStr">
        <is>
          <t>Asian Energy Services Ltd</t>
        </is>
      </c>
      <c r="E240" s="30" t="inlineStr">
        <is>
          <t>energy</t>
        </is>
      </c>
      <c r="F240" s="30" t="inlineStr">
        <is>
          <t>oil drilling / allied services</t>
        </is>
      </c>
      <c r="G240" s="30" t="inlineStr">
        <is>
          <t>smallcap</t>
        </is>
      </c>
      <c r="H240" s="31" t="n">
        <v>1714.51</v>
      </c>
      <c r="I240" s="31" t="n">
        <v>369.2</v>
      </c>
      <c r="J240" s="31" t="n">
        <v>4.68</v>
      </c>
      <c r="K240" s="31" t="n">
        <v>1091092</v>
      </c>
      <c r="L240" s="30" t="n">
        <v>42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64.09</v>
      </c>
      <c r="P240" s="31" t="n">
        <v>12.49</v>
      </c>
      <c r="Q240" s="31" t="n">
        <v>261.53</v>
      </c>
      <c r="R240" s="30" t="inlineStr">
        <is>
          <t>Near 52W High Breakout</t>
        </is>
      </c>
      <c r="S240" s="30" t="inlineStr">
        <is>
          <t>Nifty Energy</t>
        </is>
      </c>
      <c r="T240" s="31" t="n">
        <v>12.59</v>
      </c>
      <c r="U240" s="31" t="n">
        <v>19.65</v>
      </c>
      <c r="V240" s="31" t="n">
        <v>6.27</v>
      </c>
      <c r="W240" s="31" t="n">
        <v>11.55</v>
      </c>
      <c r="X240" s="30" t="inlineStr">
        <is>
          <t>Cyclical in an Upturn</t>
        </is>
      </c>
      <c r="Y240" s="30">
        <f>IF(X240="Growing Industry",10,IF(X240="Cyclical in an Upturn",5,0))</f>
        <v/>
      </c>
      <c r="Z240" s="30" t="inlineStr">
        <is>
          <t>Oligopoly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Yes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Cyclical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Volatile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0 to 20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No</t>
        </is>
      </c>
      <c r="BS240" s="30">
        <f>IF(BR240="NO",5,0)</f>
        <v/>
      </c>
      <c r="BT240" s="30" t="inlineStr">
        <is>
          <t>Less than 1.5</t>
        </is>
      </c>
      <c r="BU240" s="30">
        <f>IF(BT240="Above 2",0,IF(BT240="Between 1.5 to 2",5,IF(BT240="Less than 1.5",10,0)))</f>
        <v/>
      </c>
      <c r="BV240" s="30" t="inlineStr">
        <is>
          <t>Between 50% to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IF(B241=0,"",RANK(B241,$B$2:$B$314,0))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2" t="inlineStr">
        <is>
          <t>ATGL</t>
        </is>
      </c>
      <c r="D241" s="32" t="inlineStr">
        <is>
          <t>Adani Total Gas Ltd</t>
        </is>
      </c>
      <c r="E241" s="30" t="inlineStr">
        <is>
          <t>energy</t>
        </is>
      </c>
      <c r="F241" s="30" t="inlineStr">
        <is>
          <t>miscellaneous</t>
        </is>
      </c>
      <c r="G241" s="30" t="inlineStr">
        <is>
          <t>largecap</t>
        </is>
      </c>
      <c r="H241" s="31" t="n">
        <v>78922.37</v>
      </c>
      <c r="I241" s="31" t="n">
        <v>744.05</v>
      </c>
      <c r="J241" s="31" t="n">
        <v>3.69</v>
      </c>
      <c r="K241" s="31" t="n">
        <v>9657791</v>
      </c>
      <c r="L241" s="30" t="n">
        <v>56</v>
      </c>
      <c r="M241" s="30" t="inlineStr">
        <is>
          <t>Underperforming</t>
        </is>
      </c>
      <c r="N241" s="31">
        <f>IF(M241="Underperforming",-5,IF(L241&gt;=95,15,IF(L241&gt;=90,10,IF(L241&gt;=80,5,0))))</f>
        <v/>
      </c>
      <c r="O241" s="31" t="n">
        <v>67.73999999999999</v>
      </c>
      <c r="P241" s="31" t="n">
        <v>44.84</v>
      </c>
      <c r="Q241" s="31" t="n">
        <v>567.72</v>
      </c>
      <c r="R241" s="30" t="inlineStr">
        <is>
          <t>Volume Spike &amp; Near 52W High Breakout</t>
        </is>
      </c>
      <c r="S241" s="30" t="inlineStr">
        <is>
          <t>Nifty Energy</t>
        </is>
      </c>
      <c r="T241" s="31" t="n">
        <v>12.59</v>
      </c>
      <c r="U241" s="31" t="n">
        <v>9.470000000000001</v>
      </c>
      <c r="V241" s="31" t="n">
        <v>-2.77</v>
      </c>
      <c r="W241" s="31" t="n">
        <v>15.4</v>
      </c>
      <c r="X241" s="30" t="inlineStr">
        <is>
          <t>Cyclical in an Upturn</t>
        </is>
      </c>
      <c r="Y241" s="30">
        <f>IF(X241="Growing Industry",10,IF(X241="Cyclical in an Upturn",5,0))</f>
        <v/>
      </c>
      <c r="Z241" s="30" t="inlineStr">
        <is>
          <t>Oligopoly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Yes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Cyclical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Volatile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Above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Less than 12%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IF(B242=0,"",RANK(B242,$B$2:$B$314,0))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TRITURBINE</t>
        </is>
      </c>
      <c r="D242" s="30" t="inlineStr">
        <is>
          <t>Triveni Turbine Limited</t>
        </is>
      </c>
      <c r="E242" s="30" t="inlineStr">
        <is>
          <t>industrials</t>
        </is>
      </c>
      <c r="F242" s="30" t="inlineStr">
        <is>
          <t>electric equipment</t>
        </is>
      </c>
      <c r="G242" s="30" t="inlineStr">
        <is>
          <t>largecap</t>
        </is>
      </c>
      <c r="H242" s="31" t="n">
        <v>21262.41</v>
      </c>
      <c r="I242" s="31" t="n">
        <v>693.4</v>
      </c>
      <c r="J242" s="31" t="n">
        <v>3.67</v>
      </c>
      <c r="K242" s="31" t="n">
        <v>1409484</v>
      </c>
      <c r="L242" s="30" t="n">
        <v>54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70.18000000000001</v>
      </c>
      <c r="P242" s="31" t="n">
        <v>30.79</v>
      </c>
      <c r="Q242" s="31" t="n">
        <v>567.23</v>
      </c>
      <c r="R242" s="30" t="inlineStr">
        <is>
          <t>Earnings / Momentum Support</t>
        </is>
      </c>
      <c r="S242" s="30" t="inlineStr">
        <is>
          <t>Nifty 50</t>
        </is>
      </c>
      <c r="T242" s="31" t="n">
        <v>-6.35</v>
      </c>
      <c r="U242" s="31" t="n">
        <v>18.16</v>
      </c>
      <c r="V242" s="31" t="n">
        <v>26.17</v>
      </c>
      <c r="W242" s="31" t="n">
        <v>14.86</v>
      </c>
      <c r="X242" s="30" t="inlineStr">
        <is>
          <t>Cyclical in an Upturn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No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Less than 12%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Yes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Less than 50%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IF(B243=0,"",RANK(B243,$B$2:$B$314,0))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GMRAIRPORT</t>
        </is>
      </c>
      <c r="D243" s="30" t="inlineStr">
        <is>
          <t>GMR Airports Ltd</t>
        </is>
      </c>
      <c r="E243" s="30" t="inlineStr">
        <is>
          <t>miscellaneous</t>
        </is>
      </c>
      <c r="F243" s="30" t="inlineStr">
        <is>
          <t>miscellaneous</t>
        </is>
      </c>
      <c r="G243" s="30" t="inlineStr">
        <is>
          <t>largecap</t>
        </is>
      </c>
      <c r="H243" s="31" t="n">
        <v>104301.56</v>
      </c>
      <c r="I243" s="31" t="n">
        <v>101.99</v>
      </c>
      <c r="J243" s="31" t="n">
        <v>3.25</v>
      </c>
      <c r="K243" s="31" t="n">
        <v>43377542</v>
      </c>
      <c r="L243" s="30" t="n">
        <v>17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57.39</v>
      </c>
      <c r="P243" s="31" t="n">
        <v>11.29</v>
      </c>
      <c r="Q243" s="31" t="n">
        <v>81.89</v>
      </c>
      <c r="R243" s="30" t="inlineStr">
        <is>
          <t>Earnings / Momentum Support</t>
        </is>
      </c>
      <c r="S243" s="30" t="inlineStr">
        <is>
          <t>Nifty 500</t>
        </is>
      </c>
      <c r="T243" s="31" t="n">
        <v>-2.88</v>
      </c>
      <c r="U243" s="31" t="n">
        <v>18.24</v>
      </c>
      <c r="V243" s="31" t="n">
        <v>21.74</v>
      </c>
      <c r="W243" s="31" t="n">
        <v>5.3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Headwind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No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0 to 20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IF(B244=0,"",RANK(B244,$B$2:$B$314,0))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GLOBAL</t>
        </is>
      </c>
      <c r="D244" s="30" t="inlineStr">
        <is>
          <t>Global Education Ltd</t>
        </is>
      </c>
      <c r="E244" s="30" t="inlineStr">
        <is>
          <t>services</t>
        </is>
      </c>
      <c r="F244" s="30" t="inlineStr">
        <is>
          <t>miscellaneous</t>
        </is>
      </c>
      <c r="G244" s="30" t="inlineStr">
        <is>
          <t>smallcap</t>
        </is>
      </c>
      <c r="H244" s="31" t="n">
        <v>534.52</v>
      </c>
      <c r="I244" s="31" t="n">
        <v>108.02</v>
      </c>
      <c r="J244" s="31" t="n">
        <v>2.87</v>
      </c>
      <c r="K244" s="31" t="n">
        <v>223535</v>
      </c>
      <c r="L244" s="30" t="n">
        <v>52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60.14</v>
      </c>
      <c r="P244" s="31" t="n">
        <v>49.12</v>
      </c>
      <c r="Q244" s="31" t="n">
        <v>88.91</v>
      </c>
      <c r="R244" s="30" t="inlineStr">
        <is>
          <t>Earnings / Momentum Support</t>
        </is>
      </c>
      <c r="S244" s="30" t="inlineStr">
        <is>
          <t>Nifty 50</t>
        </is>
      </c>
      <c r="T244" s="31" t="n">
        <v>-6.35</v>
      </c>
      <c r="U244" s="31" t="n">
        <v>76.89</v>
      </c>
      <c r="V244" s="31" t="n">
        <v>88.88</v>
      </c>
      <c r="W244" s="31" t="n">
        <v>14.36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No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Above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Negative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Less than 12%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IF(B245=0,"",RANK(B245,$B$2:$B$314,0))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TATACOMM</t>
        </is>
      </c>
      <c r="D245" s="30" t="inlineStr">
        <is>
          <t>Tata Communications Limited</t>
        </is>
      </c>
      <c r="E245" s="30" t="inlineStr">
        <is>
          <t>telecom-service</t>
        </is>
      </c>
      <c r="F245" s="30" t="inlineStr">
        <is>
          <t>telecommunications - service provider</t>
        </is>
      </c>
      <c r="G245" s="30" t="inlineStr">
        <is>
          <t>largecap</t>
        </is>
      </c>
      <c r="H245" s="31" t="n">
        <v>55110.45</v>
      </c>
      <c r="I245" s="31" t="n">
        <v>1985.9</v>
      </c>
      <c r="J245" s="31" t="n">
        <v>2.7</v>
      </c>
      <c r="K245" s="31" t="n">
        <v>902558</v>
      </c>
      <c r="L245" s="30" t="n">
        <v>46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69.7</v>
      </c>
      <c r="P245" s="31" t="n">
        <v>27.67</v>
      </c>
      <c r="Q245" s="31" t="n">
        <v>1574.32</v>
      </c>
      <c r="R245" s="30" t="inlineStr">
        <is>
          <t>Near 52W High Breakout</t>
        </is>
      </c>
      <c r="S245" s="30" t="inlineStr">
        <is>
          <t>Nifty 500</t>
        </is>
      </c>
      <c r="T245" s="31" t="n">
        <v>-2.88</v>
      </c>
      <c r="U245" s="31" t="n">
        <v>17.65</v>
      </c>
      <c r="V245" s="31" t="n">
        <v>21.15</v>
      </c>
      <c r="W245" s="31" t="n">
        <v>12.47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Oligopoly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Yes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Less than 12%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Yes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More than 1.2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IF(B246=0,"",RANK(B246,$B$2:$B$314,0))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LLOYDSENGG</t>
        </is>
      </c>
      <c r="D246" s="30" t="inlineStr">
        <is>
          <t>Lloyds Engineering Works Ltd</t>
        </is>
      </c>
      <c r="E246" s="30" t="inlineStr">
        <is>
          <t>industrials</t>
        </is>
      </c>
      <c r="F246" s="30" t="inlineStr">
        <is>
          <t>engineering</t>
        </is>
      </c>
      <c r="G246" s="30" t="inlineStr">
        <is>
          <t>midcap</t>
        </is>
      </c>
      <c r="H246" s="31" t="n">
        <v>10495.26</v>
      </c>
      <c r="I246" s="31" t="n">
        <v>71.51000000000001</v>
      </c>
      <c r="J246" s="31" t="n">
        <v>0.85</v>
      </c>
      <c r="K246" s="31" t="n">
        <v>7197429</v>
      </c>
      <c r="L246" s="30" t="n">
        <v>67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66.91</v>
      </c>
      <c r="P246" s="31" t="n">
        <v>27.93</v>
      </c>
      <c r="Q246" s="31" t="n">
        <v>54.7</v>
      </c>
      <c r="R246" s="30" t="inlineStr">
        <is>
          <t>Earnings / Momentum Support</t>
        </is>
      </c>
      <c r="S246" s="30" t="inlineStr">
        <is>
          <t>Nifty 50</t>
        </is>
      </c>
      <c r="T246" s="31" t="n">
        <v>-6.35</v>
      </c>
      <c r="U246" s="31" t="n">
        <v>20.35</v>
      </c>
      <c r="V246" s="31" t="n">
        <v>28.5</v>
      </c>
      <c r="W246" s="31" t="n">
        <v>18.92</v>
      </c>
      <c r="X246" s="30" t="inlineStr">
        <is>
          <t>Cyclical in an Upturn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No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20 to 40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Negative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IF(B247=0,"",RANK(B247,$B$2:$B$314,0))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2" t="inlineStr">
        <is>
          <t>AJAXENGG</t>
        </is>
      </c>
      <c r="D247" s="32" t="inlineStr">
        <is>
          <t>Ajax Engineering Ltd</t>
        </is>
      </c>
      <c r="E247" s="30" t="inlineStr">
        <is>
          <t>industrials</t>
        </is>
      </c>
      <c r="F247" s="30" t="inlineStr">
        <is>
          <t>engineering</t>
        </is>
      </c>
      <c r="G247" s="30" t="inlineStr">
        <is>
          <t>midcap</t>
        </is>
      </c>
      <c r="H247" s="31" t="n">
        <v>6824.37</v>
      </c>
      <c r="I247" s="31" t="n">
        <v>600.85</v>
      </c>
      <c r="J247" s="31" t="n">
        <v>0.73</v>
      </c>
      <c r="K247" s="31" t="n">
        <v>50936</v>
      </c>
      <c r="L247" s="30" t="n">
        <v>14</v>
      </c>
      <c r="M247" s="30" t="inlineStr">
        <is>
          <t>Underperforming</t>
        </is>
      </c>
      <c r="N247" s="31">
        <f>IF(M247="Underperforming",-5,IF(L247&gt;=95,15,IF(L247&gt;=90,10,IF(L247&gt;=80,5,0))))</f>
        <v/>
      </c>
      <c r="O247" s="31" t="n">
        <v>59.93</v>
      </c>
      <c r="P247" s="31" t="n">
        <v>24.2</v>
      </c>
      <c r="Q247" s="31" t="n">
        <v>462.37</v>
      </c>
      <c r="R247" s="30" t="inlineStr">
        <is>
          <t>Earnings / Momentum Support</t>
        </is>
      </c>
      <c r="S247" s="30" t="inlineStr">
        <is>
          <t>Nifty Infra</t>
        </is>
      </c>
      <c r="T247" s="31" t="n">
        <v>1.41</v>
      </c>
      <c r="U247" s="31" t="n">
        <v>-3.52</v>
      </c>
      <c r="V247" s="31" t="n">
        <v>-4.86</v>
      </c>
      <c r="W247" s="31" t="n">
        <v>4.81</v>
      </c>
      <c r="X247" s="30" t="inlineStr">
        <is>
          <t>Cyclical in an Upturn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Headwind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No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Less than 12%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Above 2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IF(B248=0,"",RANK(B248,$B$2:$B$314,0))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2" t="inlineStr">
        <is>
          <t>LMW</t>
        </is>
      </c>
      <c r="D248" s="32" t="inlineStr">
        <is>
          <t>LMW Ltd</t>
        </is>
      </c>
      <c r="E248" s="30" t="inlineStr">
        <is>
          <t>industrials</t>
        </is>
      </c>
      <c r="F248" s="30" t="inlineStr">
        <is>
          <t>textile machinery</t>
        </is>
      </c>
      <c r="G248" s="30" t="inlineStr">
        <is>
          <t>midcap</t>
        </is>
      </c>
      <c r="H248" s="31" t="n">
        <v>16984.9</v>
      </c>
      <c r="I248" s="31" t="n">
        <v>15799</v>
      </c>
      <c r="J248" s="31" t="n">
        <v>-0.63</v>
      </c>
      <c r="K248" s="31" t="n">
        <v>2683</v>
      </c>
      <c r="L248" s="30" t="n">
        <v>2</v>
      </c>
      <c r="M248" s="30" t="inlineStr">
        <is>
          <t>Underperforming</t>
        </is>
      </c>
      <c r="N248" s="31">
        <f>IF(M248="Underperforming",-5,IF(L248&gt;=95,15,IF(L248&gt;=90,10,IF(L248&gt;=80,5,0))))</f>
        <v/>
      </c>
      <c r="O248" s="31" t="n">
        <v>58.84</v>
      </c>
      <c r="P248" s="31" t="n">
        <v>16.39</v>
      </c>
      <c r="Q248" s="31" t="n">
        <v>12675.41</v>
      </c>
      <c r="R248" s="30" t="inlineStr">
        <is>
          <t>Earnings / Momentum Support</t>
        </is>
      </c>
      <c r="S248" s="30" t="inlineStr">
        <is>
          <t>Nifty Infra</t>
        </is>
      </c>
      <c r="T248" s="31" t="n">
        <v>1.41</v>
      </c>
      <c r="U248" s="31" t="n">
        <v>-2.38</v>
      </c>
      <c r="V248" s="31" t="n">
        <v>-3.74</v>
      </c>
      <c r="W248" s="31" t="n">
        <v>1.06</v>
      </c>
      <c r="X248" s="30" t="inlineStr">
        <is>
          <t>Cyclical in an Upturn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No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0 to 20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Yes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IF(B249=0,"",RANK(B249,$B$2:$B$314,0))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HINDALCO</t>
        </is>
      </c>
      <c r="D249" s="30" t="inlineStr">
        <is>
          <t>Hindalco Industries Limited</t>
        </is>
      </c>
      <c r="E249" s="30" t="inlineStr">
        <is>
          <t>metals &amp; mining</t>
        </is>
      </c>
      <c r="F249" s="30" t="inlineStr">
        <is>
          <t>aluminium and aluminium products</t>
        </is>
      </c>
      <c r="G249" s="30" t="inlineStr">
        <is>
          <t>largecap</t>
        </is>
      </c>
      <c r="H249" s="31" t="n">
        <v>255936.63</v>
      </c>
      <c r="I249" s="31" t="n">
        <v>1125.6</v>
      </c>
      <c r="J249" s="31" t="n">
        <v>-1.17</v>
      </c>
      <c r="K249" s="31" t="n">
        <v>3868557</v>
      </c>
      <c r="L249" s="30" t="n">
        <v>56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73.93000000000001</v>
      </c>
      <c r="P249" s="31" t="n">
        <v>56.79</v>
      </c>
      <c r="Q249" s="31" t="n">
        <v>941.88</v>
      </c>
      <c r="R249" s="30" t="inlineStr">
        <is>
          <t>Near 52W High Breakout</t>
        </is>
      </c>
      <c r="S249" s="30" t="inlineStr">
        <is>
          <t>Nifty Metal</t>
        </is>
      </c>
      <c r="T249" s="31" t="n">
        <v>42.84</v>
      </c>
      <c r="U249" s="31" t="n">
        <v>74.40000000000001</v>
      </c>
      <c r="V249" s="31" t="n">
        <v>22.1</v>
      </c>
      <c r="W249" s="31" t="n">
        <v>15.43</v>
      </c>
      <c r="X249" s="30" t="inlineStr">
        <is>
          <t>Cyclical in an Upturn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Cyclical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Volatile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Above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Blue sky scenario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Less than 12%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Less than 50%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Between 0.7 to 1.2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IF(B250=0,"",RANK(B250,$B$2:$B$314,0))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ROSSTECH</t>
        </is>
      </c>
      <c r="D250" s="30" t="inlineStr">
        <is>
          <t>Rossell Techsys Ltd</t>
        </is>
      </c>
      <c r="E250" s="30" t="inlineStr">
        <is>
          <t>aerospace &amp; defence</t>
        </is>
      </c>
      <c r="F250" s="30" t="inlineStr">
        <is>
          <t>engineering</t>
        </is>
      </c>
      <c r="G250" s="30" t="inlineStr">
        <is>
          <t>smallcap</t>
        </is>
      </c>
      <c r="H250" s="31" t="n">
        <v>4047.85</v>
      </c>
      <c r="I250" s="31" t="n">
        <v>1055.2</v>
      </c>
      <c r="J250" s="31" t="n">
        <v>-1.73</v>
      </c>
      <c r="K250" s="31" t="n">
        <v>79775</v>
      </c>
      <c r="L250" s="30" t="n">
        <v>92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68.36</v>
      </c>
      <c r="P250" s="31" t="n">
        <v>36.9</v>
      </c>
      <c r="Q250" s="31" t="n">
        <v>719.62</v>
      </c>
      <c r="R250" s="30" t="inlineStr">
        <is>
          <t>Near 52W High Breakout</t>
        </is>
      </c>
      <c r="S250" s="30" t="inlineStr">
        <is>
          <t>Nifty 50</t>
        </is>
      </c>
      <c r="T250" s="31" t="n">
        <v>-6.35</v>
      </c>
      <c r="U250" s="31" t="n">
        <v>192.34</v>
      </c>
      <c r="V250" s="31" t="n">
        <v>212.15</v>
      </c>
      <c r="W250" s="31" t="n">
        <v>38.09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20 to 40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Blue sky scenario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Less than 12%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Yes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Negative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More than 1.2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IF(B251=0,"",RANK(B251,$B$2:$B$314,0))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DEEDEV</t>
        </is>
      </c>
      <c r="D251" s="30" t="inlineStr">
        <is>
          <t>DEE Development Engineers Ltd</t>
        </is>
      </c>
      <c r="E251" s="30" t="inlineStr">
        <is>
          <t>metals &amp; mining</t>
        </is>
      </c>
      <c r="F251" s="30" t="inlineStr">
        <is>
          <t>steel - medium / small</t>
        </is>
      </c>
      <c r="G251" s="30" t="inlineStr">
        <is>
          <t>smallcap</t>
        </is>
      </c>
      <c r="H251" s="31" t="n">
        <v>4555.45</v>
      </c>
      <c r="I251" s="31" t="n">
        <v>639.2</v>
      </c>
      <c r="J251" s="31" t="n">
        <v>-2.81</v>
      </c>
      <c r="K251" s="31" t="n">
        <v>213363</v>
      </c>
      <c r="L251" s="30" t="n">
        <v>96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86.45</v>
      </c>
      <c r="P251" s="31" t="n">
        <v>58.41</v>
      </c>
      <c r="Q251" s="31" t="n">
        <v>486.75</v>
      </c>
      <c r="R251" s="30" t="inlineStr">
        <is>
          <t>Near 52W High Breakout</t>
        </is>
      </c>
      <c r="S251" s="30" t="inlineStr">
        <is>
          <t>Nifty Metal</t>
        </is>
      </c>
      <c r="T251" s="31" t="n">
        <v>42.84</v>
      </c>
      <c r="U251" s="31" t="n">
        <v>131.13</v>
      </c>
      <c r="V251" s="31" t="n">
        <v>61.82</v>
      </c>
      <c r="W251" s="31" t="n">
        <v>53.11</v>
      </c>
      <c r="X251" s="30" t="inlineStr">
        <is>
          <t>Cyclical in an Upturn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Cyclical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Volatile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Above 40</t>
        </is>
      </c>
      <c r="AY251" s="30">
        <f>IF(AX251="Above 40",20,IF(AX251="20 to 40",10,IF(AX251="0 to 20",-5,0)))</f>
        <v/>
      </c>
      <c r="AZ251" s="30" t="inlineStr">
        <is>
          <t>Above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Blue sky scenario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Less than 12%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Less than 50%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Between 0.7 to 1.2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IF(B252=0,"",RANK(B252,$B$2:$B$314,0))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2" t="inlineStr">
        <is>
          <t>CIPLA</t>
        </is>
      </c>
      <c r="D252" s="32" t="inlineStr">
        <is>
          <t>Cipla Limited</t>
        </is>
      </c>
      <c r="E252" s="30" t="inlineStr">
        <is>
          <t>healthcare</t>
        </is>
      </c>
      <c r="F252" s="30" t="inlineStr">
        <is>
          <t>pharmaceuticals - indian - bulk drugs &amp; formln</t>
        </is>
      </c>
      <c r="G252" s="30" t="inlineStr">
        <is>
          <t>largecap</t>
        </is>
      </c>
      <c r="H252" s="31" t="n">
        <v>111086.27</v>
      </c>
      <c r="I252" s="31" t="n">
        <v>1398.7</v>
      </c>
      <c r="J252" s="31" t="n">
        <v>1.71</v>
      </c>
      <c r="K252" s="31" t="n">
        <v>1548692</v>
      </c>
      <c r="L252" s="30" t="n">
        <v>2</v>
      </c>
      <c r="M252" s="30" t="inlineStr">
        <is>
          <t>Underperforming</t>
        </is>
      </c>
      <c r="N252" s="31">
        <f>IF(M252="Underperforming",-5,IF(L252&gt;=95,15,IF(L252&gt;=90,10,IF(L252&gt;=80,5,0))))</f>
        <v/>
      </c>
      <c r="O252" s="31" t="n">
        <v>54.03</v>
      </c>
      <c r="P252" s="31" t="n">
        <v>28.65</v>
      </c>
      <c r="Q252" s="31" t="n">
        <v>1236.03</v>
      </c>
      <c r="R252" s="30" t="inlineStr">
        <is>
          <t>Earnings / Momentum Support</t>
        </is>
      </c>
      <c r="S252" s="30" t="inlineStr">
        <is>
          <t>Nifty Pharma</t>
        </is>
      </c>
      <c r="T252" s="31" t="n">
        <v>11.5</v>
      </c>
      <c r="U252" s="31" t="n">
        <v>-6.02</v>
      </c>
      <c r="V252" s="31" t="n">
        <v>-15.71</v>
      </c>
      <c r="W252" s="31" t="n">
        <v>0.18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Yes</t>
        </is>
      </c>
      <c r="AC252" s="30">
        <f>IF(AB252="No",5,0)</f>
        <v/>
      </c>
      <c r="AD252" s="30" t="inlineStr">
        <is>
          <t>Headwind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No</t>
        </is>
      </c>
      <c r="AQ252" s="30">
        <f>IF(AP252="Yes",10,0)</f>
        <v/>
      </c>
      <c r="AR252" s="30" t="inlineStr">
        <is>
          <t>Higher Annuity, Lower One Time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Less than 12%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No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Between 50% to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IF(B253=0,"",RANK(B253,$B$2:$B$314,0))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2" t="inlineStr">
        <is>
          <t>GUFICBIO</t>
        </is>
      </c>
      <c r="D253" s="32" t="inlineStr">
        <is>
          <t>Gufic Biosciences Limited</t>
        </is>
      </c>
      <c r="E253" s="30" t="inlineStr">
        <is>
          <t>healthcare</t>
        </is>
      </c>
      <c r="F253" s="30" t="inlineStr">
        <is>
          <t>pharmaceuticals - indian - bulk drugs &amp; formln</t>
        </is>
      </c>
      <c r="G253" s="30" t="inlineStr">
        <is>
          <t>smallcap</t>
        </is>
      </c>
      <c r="H253" s="31" t="n">
        <v>3629.73</v>
      </c>
      <c r="I253" s="31" t="n">
        <v>354.35</v>
      </c>
      <c r="J253" s="31" t="n">
        <v>-2.1</v>
      </c>
      <c r="K253" s="31" t="n">
        <v>68593</v>
      </c>
      <c r="L253" s="30" t="n">
        <v>20</v>
      </c>
      <c r="M253" s="30" t="inlineStr">
        <is>
          <t>Underperforming</t>
        </is>
      </c>
      <c r="N253" s="31">
        <f>IF(M253="Underperforming",-5,IF(L253&gt;=95,15,IF(L253&gt;=90,10,IF(L253&gt;=80,5,0))))</f>
        <v/>
      </c>
      <c r="O253" s="31" t="n">
        <v>62.33</v>
      </c>
      <c r="P253" s="31" t="n">
        <v>22.15</v>
      </c>
      <c r="Q253" s="31" t="n">
        <v>274.58</v>
      </c>
      <c r="R253" s="30" t="inlineStr">
        <is>
          <t>Volume Spike / Accumulation</t>
        </is>
      </c>
      <c r="S253" s="30" t="inlineStr">
        <is>
          <t>Nifty Pharma</t>
        </is>
      </c>
      <c r="T253" s="31" t="n">
        <v>11.5</v>
      </c>
      <c r="U253" s="31" t="n">
        <v>-3.71</v>
      </c>
      <c r="V253" s="31" t="n">
        <v>-13.64</v>
      </c>
      <c r="W253" s="31" t="n">
        <v>5.8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Yes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Annuity, Lower One Time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1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Less than 12%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IF(B254=0,"",RANK(B254,$B$2:$B$314,0))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MSTCLTD</t>
        </is>
      </c>
      <c r="D254" s="30" t="inlineStr">
        <is>
          <t>MSTC Ltd</t>
        </is>
      </c>
      <c r="E254" s="30" t="inlineStr">
        <is>
          <t>i.t</t>
        </is>
      </c>
      <c r="F254" s="30" t="inlineStr">
        <is>
          <t>trading</t>
        </is>
      </c>
      <c r="G254" s="30" t="inlineStr">
        <is>
          <t>smallcap</t>
        </is>
      </c>
      <c r="H254" s="31" t="n">
        <v>3143.01</v>
      </c>
      <c r="I254" s="31" t="n">
        <v>531.85</v>
      </c>
      <c r="J254" s="31" t="n">
        <v>19.13</v>
      </c>
      <c r="K254" s="31" t="n">
        <v>13124225</v>
      </c>
      <c r="L254" s="30" t="n">
        <v>10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62.05</v>
      </c>
      <c r="P254" s="31" t="n">
        <v>16.83</v>
      </c>
      <c r="Q254" s="31" t="n">
        <v>409.25</v>
      </c>
      <c r="R254" s="30" t="inlineStr">
        <is>
          <t>Volume Spike &amp; Near 52W High Breakout</t>
        </is>
      </c>
      <c r="S254" s="30" t="inlineStr">
        <is>
          <t>Nifty IT</t>
        </is>
      </c>
      <c r="T254" s="31" t="n">
        <v>-21.44</v>
      </c>
      <c r="U254" s="31" t="n">
        <v>-3.2</v>
      </c>
      <c r="V254" s="31" t="n">
        <v>23.21</v>
      </c>
      <c r="W254" s="31" t="n">
        <v>4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0 to 20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1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Less than 12%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No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IF(B255=0,"",RANK(B255,$B$2:$B$314,0))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YASHO</t>
        </is>
      </c>
      <c r="D255" s="30" t="inlineStr">
        <is>
          <t>Yasho Industries Ltd</t>
        </is>
      </c>
      <c r="E255" s="30" t="inlineStr">
        <is>
          <t>chemicals</t>
        </is>
      </c>
      <c r="F255" s="30" t="inlineStr">
        <is>
          <t>chemicals</t>
        </is>
      </c>
      <c r="G255" s="30" t="inlineStr">
        <is>
          <t>smallcap</t>
        </is>
      </c>
      <c r="H255" s="31" t="n">
        <v>2702.12</v>
      </c>
      <c r="I255" s="31" t="n">
        <v>2475.2</v>
      </c>
      <c r="J255" s="31" t="n">
        <v>10.45</v>
      </c>
      <c r="K255" s="31" t="n">
        <v>87457</v>
      </c>
      <c r="L255" s="30" t="n">
        <v>64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79.03</v>
      </c>
      <c r="P255" s="31" t="n">
        <v>18.16</v>
      </c>
      <c r="Q255" s="31" t="n">
        <v>1859.55</v>
      </c>
      <c r="R255" s="30" t="inlineStr">
        <is>
          <t>Near 52W High Breakout</t>
        </is>
      </c>
      <c r="S255" s="30" t="inlineStr">
        <is>
          <t>Nifty IT</t>
        </is>
      </c>
      <c r="T255" s="31" t="n">
        <v>-21.44</v>
      </c>
      <c r="U255" s="31" t="n">
        <v>21.08</v>
      </c>
      <c r="V255" s="31" t="n">
        <v>54.12</v>
      </c>
      <c r="W255" s="31" t="n">
        <v>18.26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0 to 20</t>
        </is>
      </c>
      <c r="AY255" s="30">
        <f>IF(AX255="Above 40",20,IF(AX255="20 to 40",10,IF(AX255="0 to 20",-5,0)))</f>
        <v/>
      </c>
      <c r="AZ255" s="30" t="inlineStr">
        <is>
          <t>Above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Blue sky scenario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More than 1.2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IF(B256=0,"",RANK(B256,$B$2:$B$314,0))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2" t="inlineStr">
        <is>
          <t>GALAPREC</t>
        </is>
      </c>
      <c r="D256" s="32" t="inlineStr">
        <is>
          <t>Gala Precision Engineering Ltd</t>
        </is>
      </c>
      <c r="E256" s="30" t="inlineStr">
        <is>
          <t>industrials</t>
        </is>
      </c>
      <c r="F256" s="30" t="inlineStr">
        <is>
          <t>fasteners</t>
        </is>
      </c>
      <c r="G256" s="30" t="inlineStr">
        <is>
          <t>smallcap</t>
        </is>
      </c>
      <c r="H256" s="31" t="n">
        <v>1111.12</v>
      </c>
      <c r="I256" s="31" t="n">
        <v>914.45</v>
      </c>
      <c r="J256" s="31" t="n">
        <v>4.93</v>
      </c>
      <c r="K256" s="31" t="n">
        <v>48795</v>
      </c>
      <c r="L256" s="30" t="n">
        <v>21</v>
      </c>
      <c r="M256" s="30" t="inlineStr">
        <is>
          <t>Underperforming</t>
        </is>
      </c>
      <c r="N256" s="31">
        <f>IF(M256="Underperforming",-5,IF(L256&gt;=95,15,IF(L256&gt;=90,10,IF(L256&gt;=80,5,0))))</f>
        <v/>
      </c>
      <c r="O256" s="31" t="n">
        <v>64.48999999999999</v>
      </c>
      <c r="P256" s="31" t="n">
        <v>18.52</v>
      </c>
      <c r="Q256" s="31" t="n">
        <v>694.76</v>
      </c>
      <c r="R256" s="30" t="inlineStr">
        <is>
          <t>Near 52W High Breakout</t>
        </is>
      </c>
      <c r="S256" s="30" t="inlineStr">
        <is>
          <t>Nifty Infra</t>
        </is>
      </c>
      <c r="T256" s="31" t="n">
        <v>1.41</v>
      </c>
      <c r="U256" s="31" t="n">
        <v>-3.15</v>
      </c>
      <c r="V256" s="31" t="n">
        <v>-4.5</v>
      </c>
      <c r="W256" s="31" t="n">
        <v>6.13</v>
      </c>
      <c r="X256" s="30" t="inlineStr">
        <is>
          <t>Cyclical in an Upturn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0 to 20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Less than 12%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No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Less than 50%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IF(B257=0,"",RANK(B257,$B$2:$B$314,0))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2" t="inlineStr">
        <is>
          <t>VSSL</t>
        </is>
      </c>
      <c r="D257" s="32" t="inlineStr">
        <is>
          <t>Vardhman Special Steels Limited</t>
        </is>
      </c>
      <c r="E257" s="30" t="inlineStr">
        <is>
          <t>metals &amp; mining</t>
        </is>
      </c>
      <c r="F257" s="30" t="inlineStr">
        <is>
          <t>steel - medium / small</t>
        </is>
      </c>
      <c r="G257" s="30" t="inlineStr">
        <is>
          <t>smallcap</t>
        </is>
      </c>
      <c r="H257" s="31" t="n">
        <v>2624.05</v>
      </c>
      <c r="I257" s="31" t="n">
        <v>277.1</v>
      </c>
      <c r="J257" s="31" t="n">
        <v>2.1</v>
      </c>
      <c r="K257" s="31" t="n">
        <v>75316</v>
      </c>
      <c r="L257" s="30" t="n">
        <v>11</v>
      </c>
      <c r="M257" s="30" t="inlineStr">
        <is>
          <t>Underperforming</t>
        </is>
      </c>
      <c r="N257" s="31">
        <f>IF(M257="Underperforming",-5,IF(L257&gt;=95,15,IF(L257&gt;=90,10,IF(L257&gt;=80,5,0))))</f>
        <v/>
      </c>
      <c r="O257" s="31" t="n">
        <v>56.41</v>
      </c>
      <c r="P257" s="31" t="n">
        <v>22.57</v>
      </c>
      <c r="Q257" s="31" t="n">
        <v>218.86</v>
      </c>
      <c r="R257" s="30" t="inlineStr">
        <is>
          <t>Earnings / Momentum Support</t>
        </is>
      </c>
      <c r="S257" s="30" t="inlineStr">
        <is>
          <t>Nifty Metal</t>
        </is>
      </c>
      <c r="T257" s="31" t="n">
        <v>42.84</v>
      </c>
      <c r="U257" s="31" t="n">
        <v>6.34</v>
      </c>
      <c r="V257" s="31" t="n">
        <v>-25.55</v>
      </c>
      <c r="W257" s="31" t="n">
        <v>4.37</v>
      </c>
      <c r="X257" s="30" t="inlineStr">
        <is>
          <t>Cyclical in an Upturn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Headwind</t>
        </is>
      </c>
      <c r="AE257" s="30">
        <f>IF(AD257="Tailwind",10,0)</f>
        <v/>
      </c>
      <c r="AF257" s="30" t="inlineStr">
        <is>
          <t>Cyclical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Volatile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20 to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Less than 1.5</t>
        </is>
      </c>
      <c r="BU257" s="30">
        <f>IF(BT257="Above 2",0,IF(BT257="Between 1.5 to 2",5,IF(BT257="Less than 1.5",10,0)))</f>
        <v/>
      </c>
      <c r="BV257" s="30" t="inlineStr">
        <is>
          <t>Between 50% to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IF(B258=0,"",RANK(B258,$B$2:$B$314,0))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SJS</t>
        </is>
      </c>
      <c r="D258" s="30" t="inlineStr">
        <is>
          <t>S J S Enterprises Ltd</t>
        </is>
      </c>
      <c r="E258" s="30" t="inlineStr">
        <is>
          <t>auto</t>
        </is>
      </c>
      <c r="F258" s="30" t="inlineStr">
        <is>
          <t>plastics products</t>
        </is>
      </c>
      <c r="G258" s="30" t="inlineStr">
        <is>
          <t>midcap</t>
        </is>
      </c>
      <c r="H258" s="31" t="n">
        <v>6305.29</v>
      </c>
      <c r="I258" s="31" t="n">
        <v>1989.8</v>
      </c>
      <c r="J258" s="31" t="n">
        <v>0.97</v>
      </c>
      <c r="K258" s="31" t="n">
        <v>55389</v>
      </c>
      <c r="L258" s="30" t="n">
        <v>61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59.93</v>
      </c>
      <c r="P258" s="31" t="n">
        <v>19.45</v>
      </c>
      <c r="Q258" s="31" t="n">
        <v>1629.72</v>
      </c>
      <c r="R258" s="30" t="inlineStr">
        <is>
          <t>Earnings / Momentum Support</t>
        </is>
      </c>
      <c r="S258" s="30" t="inlineStr">
        <is>
          <t>Nifty Auto</t>
        </is>
      </c>
      <c r="T258" s="31" t="n">
        <v>10.49</v>
      </c>
      <c r="U258" s="31" t="n">
        <v>78.55</v>
      </c>
      <c r="V258" s="31" t="n">
        <v>61.6</v>
      </c>
      <c r="W258" s="31" t="n">
        <v>17.28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0 to 20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Negative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Less than 1.5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IF(B259=0,"",RANK(B259,$B$2:$B$314,0))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PTL</t>
        </is>
      </c>
      <c r="D259" s="30" t="inlineStr">
        <is>
          <t>Ptl Enterprises Limited</t>
        </is>
      </c>
      <c r="E259" s="30" t="inlineStr">
        <is>
          <t>miscellaneous</t>
        </is>
      </c>
      <c r="F259" s="30" t="inlineStr">
        <is>
          <t>miscellaneous</t>
        </is>
      </c>
      <c r="G259" s="30" t="inlineStr">
        <is>
          <t>smallcap</t>
        </is>
      </c>
      <c r="H259" s="31" t="n">
        <v>527.26</v>
      </c>
      <c r="I259" s="31" t="n">
        <v>39.88</v>
      </c>
      <c r="J259" s="31" t="n">
        <v>0.13</v>
      </c>
      <c r="K259" s="31" t="n">
        <v>27728</v>
      </c>
      <c r="L259" s="30" t="n">
        <v>4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55.79</v>
      </c>
      <c r="P259" s="31" t="n">
        <v>11.89</v>
      </c>
      <c r="Q259" s="31" t="n">
        <v>34.88</v>
      </c>
      <c r="R259" s="30" t="inlineStr">
        <is>
          <t>Earnings / Momentum Support</t>
        </is>
      </c>
      <c r="S259" s="30" t="inlineStr">
        <is>
          <t>Nifty 50</t>
        </is>
      </c>
      <c r="T259" s="31" t="n">
        <v>-6.35</v>
      </c>
      <c r="U259" s="31" t="n">
        <v>4.23</v>
      </c>
      <c r="V259" s="31" t="n">
        <v>11.29</v>
      </c>
      <c r="W259" s="31" t="n">
        <v>1.78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Negative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No</t>
        </is>
      </c>
      <c r="BS259" s="30">
        <f>IF(BR259="NO",5,0)</f>
        <v/>
      </c>
      <c r="BT259" s="30" t="inlineStr">
        <is>
          <t>Less than 1.5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IF(B260=0,"",RANK(B260,$B$2:$B$314,0))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NEOGEN</t>
        </is>
      </c>
      <c r="D260" s="30" t="inlineStr">
        <is>
          <t>Neogen Chemicals Ltd</t>
        </is>
      </c>
      <c r="E260" s="30" t="inlineStr">
        <is>
          <t>chemicals</t>
        </is>
      </c>
      <c r="F260" s="30" t="inlineStr">
        <is>
          <t>chemicals</t>
        </is>
      </c>
      <c r="G260" s="30" t="inlineStr">
        <is>
          <t>midcap</t>
        </is>
      </c>
      <c r="H260" s="31" t="n">
        <v>5205.8</v>
      </c>
      <c r="I260" s="31" t="n">
        <v>1882.9</v>
      </c>
      <c r="J260" s="31" t="n">
        <v>-0.96</v>
      </c>
      <c r="K260" s="31" t="n">
        <v>84433</v>
      </c>
      <c r="L260" s="30" t="n">
        <v>51</v>
      </c>
      <c r="M260" s="30" t="inlineStr">
        <is>
          <t>Outperforming</t>
        </is>
      </c>
      <c r="N260" s="31">
        <f>IF(M260="Underperforming",-5,IF(L260&gt;=95,15,IF(L260&gt;=90,10,IF(L260&gt;=80,5,0))))</f>
        <v/>
      </c>
      <c r="O260" s="31" t="n">
        <v>67.64</v>
      </c>
      <c r="P260" s="31" t="n">
        <v>30.84</v>
      </c>
      <c r="Q260" s="31" t="n">
        <v>1374.57</v>
      </c>
      <c r="R260" s="30" t="inlineStr">
        <is>
          <t>Near 52W High Breakout</t>
        </is>
      </c>
      <c r="S260" s="30" t="inlineStr">
        <is>
          <t>Nifty 50</t>
        </is>
      </c>
      <c r="T260" s="31" t="n">
        <v>-6.35</v>
      </c>
      <c r="U260" s="31" t="n">
        <v>14.07</v>
      </c>
      <c r="V260" s="31" t="n">
        <v>21.8</v>
      </c>
      <c r="W260" s="31" t="n">
        <v>14.03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Negative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More than 1.2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IF(B261=0,"",RANK(B261,$B$2:$B$314,0))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INDOTECH</t>
        </is>
      </c>
      <c r="D261" s="30" t="inlineStr">
        <is>
          <t>Indo Tech Transformers Limited</t>
        </is>
      </c>
      <c r="E261" s="30" t="inlineStr">
        <is>
          <t>industrials</t>
        </is>
      </c>
      <c r="F261" s="30" t="inlineStr">
        <is>
          <t>electric equipment</t>
        </is>
      </c>
      <c r="G261" s="30" t="inlineStr">
        <is>
          <t>smallcap</t>
        </is>
      </c>
      <c r="H261" s="31" t="n">
        <v>2986.03</v>
      </c>
      <c r="I261" s="31" t="n">
        <v>2782.8</v>
      </c>
      <c r="J261" s="31" t="n">
        <v>-1.03</v>
      </c>
      <c r="K261" s="31" t="n">
        <v>18184</v>
      </c>
      <c r="L261" s="30" t="n">
        <v>87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67.77</v>
      </c>
      <c r="P261" s="31" t="n">
        <v>32.11</v>
      </c>
      <c r="Q261" s="31" t="n">
        <v>1923.03</v>
      </c>
      <c r="R261" s="30" t="inlineStr">
        <is>
          <t>Near 52W High Breakout</t>
        </is>
      </c>
      <c r="S261" s="30" t="inlineStr">
        <is>
          <t>Nifty 50</t>
        </is>
      </c>
      <c r="T261" s="31" t="n">
        <v>-6.35</v>
      </c>
      <c r="U261" s="31" t="n">
        <v>33.54</v>
      </c>
      <c r="V261" s="31" t="n">
        <v>42.59</v>
      </c>
      <c r="W261" s="31" t="n">
        <v>33.01</v>
      </c>
      <c r="X261" s="30" t="inlineStr">
        <is>
          <t>Cyclical in an Upturn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Negative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Between 12 to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No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Less than 50%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IF(B262=0,"",RANK(B262,$B$2:$B$314,0))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NEULANDLAB</t>
        </is>
      </c>
      <c r="D262" s="30" t="inlineStr">
        <is>
          <t>Neuland Laboratories Limited</t>
        </is>
      </c>
      <c r="E262" s="30" t="inlineStr">
        <is>
          <t>healthcare</t>
        </is>
      </c>
      <c r="F262" s="30" t="inlineStr">
        <is>
          <t>pharmaceuticals - indian - bulk drugs</t>
        </is>
      </c>
      <c r="G262" s="30" t="inlineStr">
        <is>
          <t>largecap</t>
        </is>
      </c>
      <c r="H262" s="31" t="n">
        <v>21800.55</v>
      </c>
      <c r="I262" s="31" t="n">
        <v>16860</v>
      </c>
      <c r="J262" s="31" t="n">
        <v>-0.78</v>
      </c>
      <c r="K262" s="31" t="n">
        <v>30574</v>
      </c>
      <c r="L262" s="30" t="n">
        <v>48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60.84</v>
      </c>
      <c r="P262" s="31" t="n">
        <v>29.47</v>
      </c>
      <c r="Q262" s="31" t="n">
        <v>13749.04</v>
      </c>
      <c r="R262" s="30" t="inlineStr">
        <is>
          <t>Earnings / Momentum Support</t>
        </is>
      </c>
      <c r="S262" s="30" t="inlineStr">
        <is>
          <t>Nifty Pharma</t>
        </is>
      </c>
      <c r="T262" s="31" t="n">
        <v>11.5</v>
      </c>
      <c r="U262" s="31" t="n">
        <v>29.5</v>
      </c>
      <c r="V262" s="31" t="n">
        <v>16.15</v>
      </c>
      <c r="W262" s="31" t="n">
        <v>12.75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Yes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Annuity, Lower One Time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20 to 40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Negative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IF(B263=0,"",RANK(B263,$B$2:$B$314,0))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SGIL</t>
        </is>
      </c>
      <c r="D263" s="30" t="inlineStr">
        <is>
          <t>Synergy Green Industries Ltd</t>
        </is>
      </c>
      <c r="E263" s="30" t="inlineStr">
        <is>
          <t>industrials</t>
        </is>
      </c>
      <c r="F263" s="30" t="inlineStr">
        <is>
          <t>castings &amp; forgings</t>
        </is>
      </c>
      <c r="G263" s="30" t="inlineStr">
        <is>
          <t>smallcap</t>
        </is>
      </c>
      <c r="H263" s="31" t="n">
        <v>867.0700000000001</v>
      </c>
      <c r="I263" s="31" t="n">
        <v>593.9</v>
      </c>
      <c r="J263" s="31" t="n">
        <v>6.46</v>
      </c>
      <c r="K263" s="31" t="n">
        <v>83544</v>
      </c>
      <c r="L263" s="30" t="n">
        <v>24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61.46</v>
      </c>
      <c r="P263" s="31" t="n">
        <v>21.4</v>
      </c>
      <c r="Q263" s="31" t="n">
        <v>439.78</v>
      </c>
      <c r="R263" s="30" t="inlineStr">
        <is>
          <t>Volume Spike &amp; Near 52W High Breakout</t>
        </is>
      </c>
      <c r="S263" s="30" t="inlineStr">
        <is>
          <t>Nifty 50</t>
        </is>
      </c>
      <c r="T263" s="31" t="n">
        <v>-6.35</v>
      </c>
      <c r="U263" s="31" t="n">
        <v>14.39</v>
      </c>
      <c r="V263" s="31" t="n">
        <v>22.14</v>
      </c>
      <c r="W263" s="31" t="n">
        <v>6.6</v>
      </c>
      <c r="X263" s="30" t="inlineStr">
        <is>
          <t>Cyclical in an Upturn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Blue sky scenario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Less than 50% and Borrowings are increasing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More than 1.2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IF(B264=0,"",RANK(B264,$B$2:$B$314,0))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AZAD</t>
        </is>
      </c>
      <c r="D264" s="30" t="inlineStr">
        <is>
          <t>Azad Engineering Ltd</t>
        </is>
      </c>
      <c r="E264" s="30" t="inlineStr">
        <is>
          <t>aerospace &amp; defence</t>
        </is>
      </c>
      <c r="F264" s="30" t="inlineStr">
        <is>
          <t>engineering</t>
        </is>
      </c>
      <c r="G264" s="30" t="inlineStr">
        <is>
          <t>midcap</t>
        </is>
      </c>
      <c r="H264" s="31" t="n">
        <v>13503.4</v>
      </c>
      <c r="I264" s="31" t="n">
        <v>2200.5</v>
      </c>
      <c r="J264" s="31" t="n">
        <v>5.24</v>
      </c>
      <c r="K264" s="31" t="n">
        <v>837789</v>
      </c>
      <c r="L264" s="30" t="n">
        <v>51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65.31999999999999</v>
      </c>
      <c r="P264" s="31" t="n">
        <v>23.49</v>
      </c>
      <c r="Q264" s="31" t="n">
        <v>1771.18</v>
      </c>
      <c r="R264" s="30" t="inlineStr">
        <is>
          <t>Near 52W High Breakout</t>
        </is>
      </c>
      <c r="S264" s="30" t="inlineStr">
        <is>
          <t>Nifty 50</t>
        </is>
      </c>
      <c r="T264" s="31" t="n">
        <v>-6.35</v>
      </c>
      <c r="U264" s="31" t="n">
        <v>33.39</v>
      </c>
      <c r="V264" s="31" t="n">
        <v>42.43</v>
      </c>
      <c r="W264" s="31" t="n">
        <v>14.2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Negative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Blue sky scenario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Negative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IF(B265=0,"",RANK(B265,$B$2:$B$314,0))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ACMESOLAR</t>
        </is>
      </c>
      <c r="D265" s="30" t="inlineStr">
        <is>
          <t>ACME Solar Holdings Ltd</t>
        </is>
      </c>
      <c r="E265" s="30" t="inlineStr">
        <is>
          <t>realty</t>
        </is>
      </c>
      <c r="F265" s="30" t="inlineStr">
        <is>
          <t>engineering - turnkey services</t>
        </is>
      </c>
      <c r="G265" s="30" t="inlineStr">
        <is>
          <t>midcap</t>
        </is>
      </c>
      <c r="H265" s="31" t="n">
        <v>19939.5</v>
      </c>
      <c r="I265" s="31" t="n">
        <v>345.85</v>
      </c>
      <c r="J265" s="31" t="n">
        <v>5.11</v>
      </c>
      <c r="K265" s="31" t="n">
        <v>4610275</v>
      </c>
      <c r="L265" s="30" t="n">
        <v>69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70.44</v>
      </c>
      <c r="P265" s="31" t="n">
        <v>18.4</v>
      </c>
      <c r="Q265" s="31" t="n">
        <v>267.19</v>
      </c>
      <c r="R265" s="30" t="inlineStr">
        <is>
          <t>Volume Spike &amp; Near 52W High Breakout</t>
        </is>
      </c>
      <c r="S265" s="30" t="inlineStr">
        <is>
          <t>Nifty Realty</t>
        </is>
      </c>
      <c r="T265" s="31" t="n">
        <v>-26.45</v>
      </c>
      <c r="U265" s="31" t="n">
        <v>37.99</v>
      </c>
      <c r="V265" s="31" t="n">
        <v>87.62</v>
      </c>
      <c r="W265" s="31" t="n">
        <v>20.05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Yes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Blue sky scenario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Less than 12%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Between 50% to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More than 1.2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IF(B266=0,"",RANK(B266,$B$2:$B$314,0))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2" t="inlineStr">
        <is>
          <t>GANDHAR</t>
        </is>
      </c>
      <c r="D266" s="32" t="inlineStr">
        <is>
          <t>Gandhar Oil Refinery (India) Ltd</t>
        </is>
      </c>
      <c r="E266" s="30" t="inlineStr">
        <is>
          <t>energy</t>
        </is>
      </c>
      <c r="F266" s="30" t="inlineStr">
        <is>
          <t>refineries</t>
        </is>
      </c>
      <c r="G266" s="30" t="inlineStr">
        <is>
          <t>smallcap</t>
        </is>
      </c>
      <c r="H266" s="31" t="n">
        <v>1538.47</v>
      </c>
      <c r="I266" s="31" t="n">
        <v>161.85</v>
      </c>
      <c r="J266" s="31" t="n">
        <v>2.97</v>
      </c>
      <c r="K266" s="31" t="n">
        <v>1641710</v>
      </c>
      <c r="L266" s="30" t="n">
        <v>8</v>
      </c>
      <c r="M266" s="30" t="inlineStr">
        <is>
          <t>Underperforming</t>
        </is>
      </c>
      <c r="N266" s="31">
        <f>IF(M266="Underperforming",-5,IF(L266&gt;=95,15,IF(L266&gt;=90,10,IF(L266&gt;=80,5,0))))</f>
        <v/>
      </c>
      <c r="O266" s="31" t="n">
        <v>58.94</v>
      </c>
      <c r="P266" s="31" t="n">
        <v>20.76</v>
      </c>
      <c r="Q266" s="31" t="n">
        <v>119.49</v>
      </c>
      <c r="R266" s="30" t="inlineStr">
        <is>
          <t>Earnings / Momentum Support</t>
        </is>
      </c>
      <c r="S266" s="30" t="inlineStr">
        <is>
          <t>Nifty Energy</t>
        </is>
      </c>
      <c r="T266" s="31" t="n">
        <v>12.59</v>
      </c>
      <c r="U266" s="31" t="n">
        <v>-8.07</v>
      </c>
      <c r="V266" s="31" t="n">
        <v>-18.35</v>
      </c>
      <c r="W266" s="31" t="n">
        <v>3.41</v>
      </c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Oligopoly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Yes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Cyclical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Volatile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No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Between 50% to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IF(B267=0,"",RANK(B267,$B$2:$B$314,0))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ASHAPURMIN</t>
        </is>
      </c>
      <c r="D267" s="30" t="inlineStr">
        <is>
          <t>Ashapura Minechem Limited</t>
        </is>
      </c>
      <c r="E267" s="30" t="inlineStr">
        <is>
          <t>metals &amp; mining</t>
        </is>
      </c>
      <c r="F267" s="30" t="inlineStr">
        <is>
          <t>mining / minerals / metals</t>
        </is>
      </c>
      <c r="G267" s="30" t="inlineStr">
        <is>
          <t>midcap</t>
        </is>
      </c>
      <c r="H267" s="31" t="n">
        <v>6901.76</v>
      </c>
      <c r="I267" s="31" t="n">
        <v>740.6</v>
      </c>
      <c r="J267" s="31" t="n">
        <v>2.51</v>
      </c>
      <c r="K267" s="31" t="n">
        <v>865242</v>
      </c>
      <c r="L267" s="30" t="n">
        <v>75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62.53</v>
      </c>
      <c r="P267" s="31" t="n">
        <v>20.79</v>
      </c>
      <c r="Q267" s="31" t="n">
        <v>526.08</v>
      </c>
      <c r="R267" s="30" t="inlineStr">
        <is>
          <t>Earnings / Momentum Support</t>
        </is>
      </c>
      <c r="S267" s="30" t="inlineStr">
        <is>
          <t>Nifty Metal</t>
        </is>
      </c>
      <c r="T267" s="31" t="n">
        <v>42.84</v>
      </c>
      <c r="U267" s="31" t="n">
        <v>82.93000000000001</v>
      </c>
      <c r="V267" s="31" t="n">
        <v>28.07</v>
      </c>
      <c r="W267" s="31" t="n">
        <v>24.08</v>
      </c>
      <c r="X267" s="30" t="inlineStr">
        <is>
          <t>Cyclical in an Upturn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Headwind</t>
        </is>
      </c>
      <c r="AE267" s="30">
        <f>IF(AD267="Tailwind",10,0)</f>
        <v/>
      </c>
      <c r="AF267" s="30" t="inlineStr">
        <is>
          <t>Cyclical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Volatile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No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20 to 40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Less than 1.5</t>
        </is>
      </c>
      <c r="BU267" s="30">
        <f>IF(BT267="Above 2",0,IF(BT267="Between 1.5 to 2",5,IF(BT267="Less than 1.5",10,0)))</f>
        <v/>
      </c>
      <c r="BV267" s="30" t="inlineStr">
        <is>
          <t>Between 50% to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Between 0.7 to 1.2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IF(B268=0,"",RANK(B268,$B$2:$B$314,0))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KENNAMET</t>
        </is>
      </c>
      <c r="D268" s="30" t="inlineStr">
        <is>
          <t>Kennametal India Ltd</t>
        </is>
      </c>
      <c r="E268" s="30" t="inlineStr">
        <is>
          <t>industrials</t>
        </is>
      </c>
      <c r="F268" s="30" t="inlineStr">
        <is>
          <t>castings &amp; forgings</t>
        </is>
      </c>
      <c r="G268" s="30" t="inlineStr">
        <is>
          <t>midcap</t>
        </is>
      </c>
      <c r="H268" s="31" t="n">
        <v>6319.18</v>
      </c>
      <c r="I268" s="31" t="n">
        <v>2944.4</v>
      </c>
      <c r="J268" s="31" t="n">
        <v>2.41</v>
      </c>
      <c r="K268" s="31" t="n">
        <v>8614</v>
      </c>
      <c r="L268" s="30" t="n">
        <v>38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67.48999999999999</v>
      </c>
      <c r="P268" s="31" t="n">
        <v>38.79</v>
      </c>
      <c r="Q268" s="31" t="n">
        <v>2405.45</v>
      </c>
      <c r="R268" s="30" t="inlineStr">
        <is>
          <t>Earnings / Momentum Support</t>
        </is>
      </c>
      <c r="S268" s="30" t="inlineStr">
        <is>
          <t>Nifty Infra</t>
        </is>
      </c>
      <c r="T268" s="31" t="n">
        <v>1.41</v>
      </c>
      <c r="U268" s="31" t="n">
        <v>22.07</v>
      </c>
      <c r="V268" s="31" t="n">
        <v>20.37</v>
      </c>
      <c r="W268" s="31" t="n">
        <v>10.56</v>
      </c>
      <c r="X268" s="30" t="inlineStr">
        <is>
          <t>Cyclical in an Upturn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No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20 to 40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Negative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More than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IF(B269=0,"",RANK(B269,$B$2:$B$314,0))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JSWENERGY</t>
        </is>
      </c>
      <c r="D269" s="30" t="inlineStr">
        <is>
          <t>Jsw Energy Limited</t>
        </is>
      </c>
      <c r="E269" s="30" t="inlineStr">
        <is>
          <t>power &amp; utilities</t>
        </is>
      </c>
      <c r="F269" s="30" t="inlineStr">
        <is>
          <t>power generation and supply</t>
        </is>
      </c>
      <c r="G269" s="30" t="inlineStr">
        <is>
          <t>largecap</t>
        </is>
      </c>
      <c r="H269" s="31" t="n">
        <v>101958.1</v>
      </c>
      <c r="I269" s="31" t="n">
        <v>590.05</v>
      </c>
      <c r="J269" s="31" t="n">
        <v>1.7</v>
      </c>
      <c r="K269" s="31" t="n">
        <v>2592199</v>
      </c>
      <c r="L269" s="30" t="n">
        <v>26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62.48</v>
      </c>
      <c r="P269" s="31" t="n">
        <v>14.02</v>
      </c>
      <c r="Q269" s="31" t="n">
        <v>477.3</v>
      </c>
      <c r="R269" s="30" t="inlineStr">
        <is>
          <t>Near 52W High Breakout</t>
        </is>
      </c>
      <c r="S269" s="30" t="inlineStr">
        <is>
          <t>Nifty IT</t>
        </is>
      </c>
      <c r="T269" s="31" t="n">
        <v>-21.44</v>
      </c>
      <c r="U269" s="31" t="n">
        <v>13.3</v>
      </c>
      <c r="V269" s="31" t="n">
        <v>44.21</v>
      </c>
      <c r="W269" s="31" t="n">
        <v>7.17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Less than 12%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Above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More than 1.2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IF(B270=0,"",RANK(B270,$B$2:$B$314,0))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2" t="inlineStr">
        <is>
          <t>VARROC</t>
        </is>
      </c>
      <c r="D270" s="32" t="inlineStr">
        <is>
          <t>Varroc Engineering Ltd</t>
        </is>
      </c>
      <c r="E270" s="30" t="inlineStr">
        <is>
          <t>auto</t>
        </is>
      </c>
      <c r="F270" s="30" t="inlineStr">
        <is>
          <t>auto ancillaries</t>
        </is>
      </c>
      <c r="G270" s="30" t="inlineStr">
        <is>
          <t>midcap</t>
        </is>
      </c>
      <c r="H270" s="31" t="n">
        <v>9069.4</v>
      </c>
      <c r="I270" s="31" t="n">
        <v>601.6</v>
      </c>
      <c r="J270" s="31" t="n">
        <v>1.35</v>
      </c>
      <c r="K270" s="31" t="n">
        <v>193736</v>
      </c>
      <c r="L270" s="30" t="n">
        <v>20</v>
      </c>
      <c r="M270" s="30" t="inlineStr">
        <is>
          <t>Underperforming</t>
        </is>
      </c>
      <c r="N270" s="31">
        <f>IF(M270="Underperforming",-5,IF(L270&gt;=95,15,IF(L270&gt;=90,10,IF(L270&gt;=80,5,0))))</f>
        <v/>
      </c>
      <c r="O270" s="31" t="n">
        <v>60.95</v>
      </c>
      <c r="P270" s="31" t="n">
        <v>13.24</v>
      </c>
      <c r="Q270" s="31" t="n">
        <v>477.79</v>
      </c>
      <c r="R270" s="30" t="inlineStr">
        <is>
          <t>Earnings / Momentum Support</t>
        </is>
      </c>
      <c r="S270" s="30" t="inlineStr">
        <is>
          <t>Nifty Auto</t>
        </is>
      </c>
      <c r="T270" s="31" t="n">
        <v>10.49</v>
      </c>
      <c r="U270" s="31" t="n">
        <v>9.58</v>
      </c>
      <c r="V270" s="31" t="n">
        <v>-0.83</v>
      </c>
      <c r="W270" s="31" t="n">
        <v>6.02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Headwind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No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0 to 20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Yes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Between 50% to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IF(B271=0,"",RANK(B271,$B$2:$B$314,0))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2" t="inlineStr">
        <is>
          <t>TIINDIA</t>
        </is>
      </c>
      <c r="D271" s="32" t="inlineStr">
        <is>
          <t>Tube Investments of India Ltd</t>
        </is>
      </c>
      <c r="E271" s="30" t="inlineStr">
        <is>
          <t>industrials</t>
        </is>
      </c>
      <c r="F271" s="30" t="inlineStr">
        <is>
          <t>steel - large</t>
        </is>
      </c>
      <c r="G271" s="30" t="inlineStr">
        <is>
          <t>largecap</t>
        </is>
      </c>
      <c r="H271" s="31" t="n">
        <v>59424.6</v>
      </c>
      <c r="I271" s="31" t="n">
        <v>3098.4</v>
      </c>
      <c r="J271" s="31" t="n">
        <v>0.92</v>
      </c>
      <c r="K271" s="31" t="n">
        <v>207106</v>
      </c>
      <c r="L271" s="30" t="n">
        <v>8</v>
      </c>
      <c r="M271" s="30" t="inlineStr">
        <is>
          <t>Underperforming</t>
        </is>
      </c>
      <c r="N271" s="31">
        <f>IF(M271="Underperforming",-5,IF(L271&gt;=95,15,IF(L271&gt;=90,10,IF(L271&gt;=80,5,0))))</f>
        <v/>
      </c>
      <c r="O271" s="31" t="n">
        <v>60.72</v>
      </c>
      <c r="P271" s="31" t="n">
        <v>16.51</v>
      </c>
      <c r="Q271" s="31" t="n">
        <v>2447.19</v>
      </c>
      <c r="R271" s="30" t="inlineStr">
        <is>
          <t>Earnings / Momentum Support</t>
        </is>
      </c>
      <c r="S271" s="30" t="inlineStr">
        <is>
          <t>Nifty Metal</t>
        </is>
      </c>
      <c r="T271" s="31" t="n">
        <v>42.84</v>
      </c>
      <c r="U271" s="31" t="n">
        <v>1.16</v>
      </c>
      <c r="V271" s="31" t="n">
        <v>-29.18</v>
      </c>
      <c r="W271" s="31" t="n">
        <v>3.3</v>
      </c>
      <c r="X271" s="30" t="inlineStr">
        <is>
          <t>Cyclical in an Upturn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No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0 to 20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Less than 12%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Yes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IF(B272=0,"",RANK(B272,$B$2:$B$314,0))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TBZ</t>
        </is>
      </c>
      <c r="D272" s="30" t="inlineStr">
        <is>
          <t>Tribhovandas Bhimji Zaveri Limited</t>
        </is>
      </c>
      <c r="E272" s="30" t="inlineStr">
        <is>
          <t>consumer discretionary</t>
        </is>
      </c>
      <c r="F272" s="30" t="inlineStr">
        <is>
          <t>diamond cutting / jewellery</t>
        </is>
      </c>
      <c r="G272" s="30" t="inlineStr">
        <is>
          <t>smallcap</t>
        </is>
      </c>
      <c r="H272" s="31" t="n">
        <v>1184.4</v>
      </c>
      <c r="I272" s="31" t="n">
        <v>175.51</v>
      </c>
      <c r="J272" s="31" t="n">
        <v>-1.12</v>
      </c>
      <c r="K272" s="31" t="n">
        <v>370294</v>
      </c>
      <c r="L272" s="30" t="n">
        <v>17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59.26</v>
      </c>
      <c r="P272" s="31" t="n">
        <v>12.15</v>
      </c>
      <c r="Q272" s="31" t="n">
        <v>127.58</v>
      </c>
      <c r="R272" s="30" t="inlineStr">
        <is>
          <t>Volume Spike / Accumulation</t>
        </is>
      </c>
      <c r="S272" s="30" t="inlineStr">
        <is>
          <t>Nifty 50</t>
        </is>
      </c>
      <c r="T272" s="31" t="n">
        <v>-6.35</v>
      </c>
      <c r="U272" s="31" t="n">
        <v>-5.81</v>
      </c>
      <c r="V272" s="31" t="n">
        <v>0.58</v>
      </c>
      <c r="W272" s="31" t="n">
        <v>5.25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Yes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0 to 20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1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More than 20%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No</t>
        </is>
      </c>
      <c r="BS272" s="30">
        <f>IF(BR272="NO",5,0)</f>
        <v/>
      </c>
      <c r="BT272" s="30" t="inlineStr">
        <is>
          <t>Less than 1.5</t>
        </is>
      </c>
      <c r="BU272" s="30">
        <f>IF(BT272="Above 2",0,IF(BT272="Between 1.5 to 2",5,IF(BT272="Less than 1.5",10,0)))</f>
        <v/>
      </c>
      <c r="BV272" s="30" t="inlineStr">
        <is>
          <t>Less than 50% and Borrowings are increasing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Between 0.7 to 1.2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IF(B273=0,"",RANK(B273,$B$2:$B$314,0))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AURUM</t>
        </is>
      </c>
      <c r="D273" s="30" t="inlineStr">
        <is>
          <t>Aurum Proptech Ltd</t>
        </is>
      </c>
      <c r="E273" s="30" t="inlineStr">
        <is>
          <t>i.t</t>
        </is>
      </c>
      <c r="F273" s="30" t="inlineStr">
        <is>
          <t>computers - software - medium / small</t>
        </is>
      </c>
      <c r="G273" s="30" t="inlineStr">
        <is>
          <t>smallcap</t>
        </is>
      </c>
      <c r="H273" s="31" t="n">
        <v>1381.62</v>
      </c>
      <c r="I273" s="31" t="n">
        <v>188.7</v>
      </c>
      <c r="J273" s="31" t="n">
        <v>4.7</v>
      </c>
      <c r="K273" s="31" t="n">
        <v>316232</v>
      </c>
      <c r="L273" s="30" t="n">
        <v>6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58.09</v>
      </c>
      <c r="P273" s="31" t="n">
        <v>14.92</v>
      </c>
      <c r="Q273" s="31" t="n">
        <v>145.18</v>
      </c>
      <c r="R273" s="30" t="inlineStr">
        <is>
          <t>Earnings / Momentum Support</t>
        </is>
      </c>
      <c r="S273" s="30" t="inlineStr">
        <is>
          <t>Nifty IT</t>
        </is>
      </c>
      <c r="T273" s="31" t="n">
        <v>-21.44</v>
      </c>
      <c r="U273" s="31" t="n">
        <v>-2.66</v>
      </c>
      <c r="V273" s="31" t="n">
        <v>23.9</v>
      </c>
      <c r="W273" s="31" t="n">
        <v>2.26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No</t>
        </is>
      </c>
      <c r="AQ273" s="30">
        <f>IF(AP273="Yes",10,0)</f>
        <v/>
      </c>
      <c r="AR273" s="30" t="inlineStr">
        <is>
          <t>Higher Annuity, Lower One Time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0 to 20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1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More than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Yes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Between 50% to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IF(B274=0,"",RANK(B274,$B$2:$B$314,0))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KIMS</t>
        </is>
      </c>
      <c r="D274" s="30" t="inlineStr">
        <is>
          <t>Krishna Institute of Medical Sciences Ltd</t>
        </is>
      </c>
      <c r="E274" s="30" t="inlineStr">
        <is>
          <t>healthcare</t>
        </is>
      </c>
      <c r="F274" s="30" t="inlineStr">
        <is>
          <t>healthcare</t>
        </is>
      </c>
      <c r="G274" s="30" t="inlineStr">
        <is>
          <t>largecap</t>
        </is>
      </c>
      <c r="H274" s="31" t="n">
        <v>29508.25</v>
      </c>
      <c r="I274" s="31" t="n">
        <v>764.9</v>
      </c>
      <c r="J274" s="31" t="n">
        <v>3.72</v>
      </c>
      <c r="K274" s="31" t="n">
        <v>728695</v>
      </c>
      <c r="L274" s="30" t="n">
        <v>12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62.24</v>
      </c>
      <c r="P274" s="31" t="n">
        <v>19.53</v>
      </c>
      <c r="Q274" s="31" t="n">
        <v>610.6</v>
      </c>
      <c r="R274" s="30" t="inlineStr">
        <is>
          <t>Near 52W High Breakout</t>
        </is>
      </c>
      <c r="S274" s="30" t="inlineStr">
        <is>
          <t>Nifty Pharma</t>
        </is>
      </c>
      <c r="T274" s="31" t="n">
        <v>11.5</v>
      </c>
      <c r="U274" s="31" t="n">
        <v>15.82</v>
      </c>
      <c r="V274" s="31" t="n">
        <v>3.88</v>
      </c>
      <c r="W274" s="31" t="n">
        <v>4.38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Yes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Yes</t>
        </is>
      </c>
      <c r="AQ274" s="30">
        <f>IF(AP274="Yes",10,0)</f>
        <v/>
      </c>
      <c r="AR274" s="30" t="inlineStr">
        <is>
          <t>Higher Annuity, Lower One Time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0 to 20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Blue sky scenario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Less than 12%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Yes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Between 50% to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More than 1.2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IF(B275=0,"",RANK(B275,$B$2:$B$314,0))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2" t="inlineStr">
        <is>
          <t>ONESOURCE</t>
        </is>
      </c>
      <c r="D275" s="32" t="inlineStr">
        <is>
          <t>OneSource Specialty Pharma Ltd</t>
        </is>
      </c>
      <c r="E275" s="30" t="inlineStr">
        <is>
          <t>healthcare</t>
        </is>
      </c>
      <c r="F275" s="30" t="inlineStr">
        <is>
          <t>pharmaceuticals - indian - bulk drugs &amp; formln</t>
        </is>
      </c>
      <c r="G275" s="30" t="inlineStr">
        <is>
          <t>largecap</t>
        </is>
      </c>
      <c r="H275" s="31" t="n">
        <v>20752.17</v>
      </c>
      <c r="I275" s="31" t="n">
        <v>1837.9</v>
      </c>
      <c r="J275" s="31" t="n">
        <v>1.51</v>
      </c>
      <c r="K275" s="31" t="n">
        <v>258567</v>
      </c>
      <c r="L275" s="30" t="n">
        <v>12</v>
      </c>
      <c r="M275" s="30" t="inlineStr">
        <is>
          <t>Underperforming</t>
        </is>
      </c>
      <c r="N275" s="31">
        <f>IF(M275="Underperforming",-5,IF(L275&gt;=95,15,IF(L275&gt;=90,10,IF(L275&gt;=80,5,0))))</f>
        <v/>
      </c>
      <c r="O275" s="31" t="n">
        <v>59.92</v>
      </c>
      <c r="P275" s="31" t="n">
        <v>17.24</v>
      </c>
      <c r="Q275" s="31" t="n">
        <v>1354.42</v>
      </c>
      <c r="R275" s="30" t="inlineStr">
        <is>
          <t>Earnings / Momentum Support</t>
        </is>
      </c>
      <c r="S275" s="30" t="inlineStr">
        <is>
          <t>Nifty Pharma</t>
        </is>
      </c>
      <c r="T275" s="31" t="n">
        <v>11.5</v>
      </c>
      <c r="U275" s="31" t="n">
        <v>-4.99</v>
      </c>
      <c r="V275" s="31" t="n">
        <v>-14.79</v>
      </c>
      <c r="W275" s="31" t="n">
        <v>4.59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Yes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Annuity, Lower One Time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0 to 20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Less than 12%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Less than 50%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IF(B276=0,"",RANK(B276,$B$2:$B$314,0))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2" t="inlineStr">
        <is>
          <t>SILVERTUC</t>
        </is>
      </c>
      <c r="D276" s="32" t="inlineStr">
        <is>
          <t>Silver Touch Technologies Ltd</t>
        </is>
      </c>
      <c r="E276" s="30" t="inlineStr">
        <is>
          <t>i.t</t>
        </is>
      </c>
      <c r="F276" s="30" t="inlineStr">
        <is>
          <t>computers - software - medium / small</t>
        </is>
      </c>
      <c r="G276" s="30" t="inlineStr">
        <is>
          <t>smallcap</t>
        </is>
      </c>
      <c r="H276" s="31" t="n">
        <v>2220.82</v>
      </c>
      <c r="I276" s="31" t="n">
        <v>173.08</v>
      </c>
      <c r="J276" s="31" t="n">
        <v>-1.17</v>
      </c>
      <c r="K276" s="31" t="n">
        <v>428381</v>
      </c>
      <c r="L276" s="30" t="n">
        <v>1</v>
      </c>
      <c r="M276" s="30" t="inlineStr">
        <is>
          <t>Underperforming</t>
        </is>
      </c>
      <c r="N276" s="31">
        <f>IF(M276="Underperforming",-5,IF(L276&gt;=95,15,IF(L276&gt;=90,10,IF(L276&gt;=80,5,0))))</f>
        <v/>
      </c>
      <c r="O276" s="31" t="n">
        <v>37.01</v>
      </c>
      <c r="P276" s="31" t="n">
        <v>45.38</v>
      </c>
      <c r="Q276" s="31" t="n">
        <v>48.07</v>
      </c>
      <c r="R276" s="30" t="inlineStr">
        <is>
          <t>Earnings / Momentum Support</t>
        </is>
      </c>
      <c r="S276" s="30" t="inlineStr">
        <is>
          <t>Nifty IT</t>
        </is>
      </c>
      <c r="T276" s="31" t="n">
        <v>-21.44</v>
      </c>
      <c r="U276" s="31" t="n">
        <v>-77.51000000000001</v>
      </c>
      <c r="V276" s="31" t="n">
        <v>-71.38</v>
      </c>
      <c r="W276" s="31" t="n">
        <v>-7.88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Headwind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No</t>
        </is>
      </c>
      <c r="AQ276" s="30">
        <f>IF(AP276="Yes",10,0)</f>
        <v/>
      </c>
      <c r="AR276" s="30" t="inlineStr">
        <is>
          <t>Higher Annuity, Lower One Time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Above 40</t>
        </is>
      </c>
      <c r="AY276" s="30">
        <f>IF(AX276="Above 40",20,IF(AX276="20 to 40",10,IF(AX276="0 to 20",-5,0)))</f>
        <v/>
      </c>
      <c r="AZ276" s="30" t="inlineStr">
        <is>
          <t>Below 45</t>
        </is>
      </c>
      <c r="BA276" s="30">
        <f>IF(AZ276="Between 50 to 75",10,IF(AZ276="Above 75",0,0))</f>
        <v/>
      </c>
      <c r="BB276" s="30" t="inlineStr">
        <is>
          <t>Stage 4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Yes</t>
        </is>
      </c>
      <c r="BS276" s="30">
        <f>IF(BR276="NO",5,0)</f>
        <v/>
      </c>
      <c r="BT276" s="30" t="inlineStr">
        <is>
          <t>Less than 1.5</t>
        </is>
      </c>
      <c r="BU276" s="30">
        <f>IF(BT276="Above 2",0,IF(BT276="Between 1.5 to 2",5,IF(BT276="Less than 1.5",10,0)))</f>
        <v/>
      </c>
      <c r="BV276" s="30" t="inlineStr">
        <is>
          <t>Less than 50%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IF(B277=0,"",RANK(B277,$B$2:$B$314,0))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2" t="inlineStr">
        <is>
          <t>SUNFLAG</t>
        </is>
      </c>
      <c r="D277" s="32" t="inlineStr">
        <is>
          <t>Sunflag Iron And Steel Company Limited</t>
        </is>
      </c>
      <c r="E277" s="30" t="inlineStr">
        <is>
          <t>metals &amp; mining</t>
        </is>
      </c>
      <c r="F277" s="30" t="inlineStr">
        <is>
          <t>steel - medium / small</t>
        </is>
      </c>
      <c r="G277" s="30" t="inlineStr">
        <is>
          <t>midcap</t>
        </is>
      </c>
      <c r="H277" s="31" t="n">
        <v>6902.4</v>
      </c>
      <c r="I277" s="31" t="n">
        <v>406.85</v>
      </c>
      <c r="J277" s="31" t="n">
        <v>6.23</v>
      </c>
      <c r="K277" s="31" t="n">
        <v>1358071</v>
      </c>
      <c r="L277" s="30" t="n">
        <v>77</v>
      </c>
      <c r="M277" s="30" t="inlineStr">
        <is>
          <t>Underperforming</t>
        </is>
      </c>
      <c r="N277" s="31">
        <f>IF(M277="Underperforming",-5,IF(L277&gt;=95,15,IF(L277&gt;=90,10,IF(L277&gt;=80,5,0))))</f>
        <v/>
      </c>
      <c r="O277" s="31" t="n">
        <v>72.04000000000001</v>
      </c>
      <c r="P277" s="31" t="n">
        <v>35.48</v>
      </c>
      <c r="Q277" s="31" t="n">
        <v>309.18</v>
      </c>
      <c r="R277" s="30" t="inlineStr">
        <is>
          <t>Near 52W High Breakout</t>
        </is>
      </c>
      <c r="S277" s="30" t="inlineStr">
        <is>
          <t>Nifty Metal</t>
        </is>
      </c>
      <c r="T277" s="31" t="n">
        <v>42.84</v>
      </c>
      <c r="U277" s="31" t="n">
        <v>37.38</v>
      </c>
      <c r="V277" s="31" t="n">
        <v>-3.82</v>
      </c>
      <c r="W277" s="31" t="n">
        <v>24.47</v>
      </c>
      <c r="X277" s="30" t="inlineStr">
        <is>
          <t>Cyclical in an Upturn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Cyclical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Volatile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Negative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Blue sky scenario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Between 12 to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No</t>
        </is>
      </c>
      <c r="BS277" s="30">
        <f>IF(BR277="NO",5,0)</f>
        <v/>
      </c>
      <c r="BT277" s="30" t="inlineStr">
        <is>
          <t>Between 1.5 to 2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IF(B278=0,"",RANK(B278,$B$2:$B$314,0))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PVP</t>
        </is>
      </c>
      <c r="D278" s="30" t="inlineStr">
        <is>
          <t>Pvp Ventures Limited</t>
        </is>
      </c>
      <c r="E278" s="30" t="inlineStr">
        <is>
          <t>realty</t>
        </is>
      </c>
      <c r="F278" s="30" t="inlineStr">
        <is>
          <t>construction</t>
        </is>
      </c>
      <c r="G278" s="30" t="inlineStr">
        <is>
          <t>smallcap</t>
        </is>
      </c>
      <c r="H278" s="31" t="n">
        <v>783.8200000000001</v>
      </c>
      <c r="I278" s="31" t="n">
        <v>31.85</v>
      </c>
      <c r="J278" s="31" t="n">
        <v>5.81</v>
      </c>
      <c r="K278" s="31" t="n">
        <v>2299249</v>
      </c>
      <c r="L278" s="30" t="n">
        <v>39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54.91</v>
      </c>
      <c r="P278" s="31" t="n">
        <v>17.97</v>
      </c>
      <c r="Q278" s="31" t="n">
        <v>20.98</v>
      </c>
      <c r="R278" s="30" t="inlineStr">
        <is>
          <t>Earnings / Momentum Support</t>
        </is>
      </c>
      <c r="S278" s="30" t="inlineStr">
        <is>
          <t>Nifty Realty</t>
        </is>
      </c>
      <c r="T278" s="31" t="n">
        <v>-26.45</v>
      </c>
      <c r="U278" s="31" t="n">
        <v>34.16</v>
      </c>
      <c r="V278" s="31" t="n">
        <v>82.42</v>
      </c>
      <c r="W278" s="31" t="n">
        <v>10.68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Headwind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1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No</t>
        </is>
      </c>
      <c r="BS278" s="30">
        <f>IF(BR278="NO",5,0)</f>
        <v/>
      </c>
      <c r="BT278" s="30" t="inlineStr">
        <is>
          <t>Less than 1.5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Between 0.7 to 1.2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IF(B279=0,"",RANK(B279,$B$2:$B$314,0))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2" t="inlineStr">
        <is>
          <t>TEJASNET</t>
        </is>
      </c>
      <c r="D279" s="32" t="inlineStr">
        <is>
          <t>Tejas Networks Ltd</t>
        </is>
      </c>
      <c r="E279" s="30" t="inlineStr">
        <is>
          <t>telecom</t>
        </is>
      </c>
      <c r="F279" s="30" t="inlineStr">
        <is>
          <t>telecommunications - equipment</t>
        </is>
      </c>
      <c r="G279" s="30" t="inlineStr">
        <is>
          <t>midcap</t>
        </is>
      </c>
      <c r="H279" s="31" t="n">
        <v>10117.96</v>
      </c>
      <c r="I279" s="31" t="n">
        <v>601.95</v>
      </c>
      <c r="J279" s="31" t="n">
        <v>5.74</v>
      </c>
      <c r="K279" s="31" t="n">
        <v>46078716</v>
      </c>
      <c r="L279" s="30" t="n">
        <v>9</v>
      </c>
      <c r="M279" s="30" t="inlineStr">
        <is>
          <t>Underperforming</t>
        </is>
      </c>
      <c r="N279" s="31">
        <f>IF(M279="Underperforming",-5,IF(L279&gt;=95,15,IF(L279&gt;=90,10,IF(L279&gt;=80,5,0))))</f>
        <v/>
      </c>
      <c r="O279" s="31" t="n">
        <v>64.29000000000001</v>
      </c>
      <c r="P279" s="31" t="n">
        <v>14.51</v>
      </c>
      <c r="Q279" s="31" t="n">
        <v>421.85</v>
      </c>
      <c r="R279" s="30" t="inlineStr">
        <is>
          <t>Volume Spike / Accumulation</t>
        </is>
      </c>
      <c r="S279" s="30" t="inlineStr">
        <is>
          <t>Nifty 50</t>
        </is>
      </c>
      <c r="T279" s="31" t="n">
        <v>-6.35</v>
      </c>
      <c r="U279" s="31" t="n">
        <v>-16.87</v>
      </c>
      <c r="V279" s="31" t="n">
        <v>-11.24</v>
      </c>
      <c r="W279" s="31" t="n">
        <v>3.65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Oligopoly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Yes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0 to 20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Less than 1.5</t>
        </is>
      </c>
      <c r="BU279" s="30">
        <f>IF(BT279="Above 2",0,IF(BT279="Between 1.5 to 2",5,IF(BT279="Less than 1.5",10,0)))</f>
        <v/>
      </c>
      <c r="BV279" s="30" t="inlineStr">
        <is>
          <t>Negative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More than 1.2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IF(B280=0,"",RANK(B280,$B$2:$B$314,0))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VENUSPIPES</t>
        </is>
      </c>
      <c r="D280" s="32" t="inlineStr">
        <is>
          <t>Venus Pipes &amp; Tubes Ltd</t>
        </is>
      </c>
      <c r="E280" s="30" t="inlineStr">
        <is>
          <t>metals &amp; mining</t>
        </is>
      </c>
      <c r="F280" s="30" t="inlineStr">
        <is>
          <t>steel - medium / small</t>
        </is>
      </c>
      <c r="G280" s="30" t="inlineStr">
        <is>
          <t>smallcap</t>
        </is>
      </c>
      <c r="H280" s="31" t="n">
        <v>2940.44</v>
      </c>
      <c r="I280" s="31" t="n">
        <v>1467.8</v>
      </c>
      <c r="J280" s="31" t="n">
        <v>3.41</v>
      </c>
      <c r="K280" s="31" t="n">
        <v>190283</v>
      </c>
      <c r="L280" s="30" t="n">
        <v>41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63.52</v>
      </c>
      <c r="P280" s="31" t="n">
        <v>21.42</v>
      </c>
      <c r="Q280" s="31" t="n">
        <v>1073.97</v>
      </c>
      <c r="R280" s="30" t="inlineStr">
        <is>
          <t>Earnings / Momentum Support</t>
        </is>
      </c>
      <c r="S280" s="30" t="inlineStr">
        <is>
          <t>Nifty Metal</t>
        </is>
      </c>
      <c r="T280" s="31" t="n">
        <v>42.84</v>
      </c>
      <c r="U280" s="31" t="n">
        <v>2.77</v>
      </c>
      <c r="V280" s="31" t="n">
        <v>-28.05</v>
      </c>
      <c r="W280" s="31" t="n">
        <v>11.28</v>
      </c>
      <c r="X280" s="30" t="inlineStr">
        <is>
          <t>Cyclical in an Upturn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Cyclical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Volatile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No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20 to 40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Less than 12%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No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Between 50% to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IF(B281=0,"",RANK(B281,$B$2:$B$314,0))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IMFA</t>
        </is>
      </c>
      <c r="D281" s="30" t="inlineStr">
        <is>
          <t>Indian Metals &amp; Ferro Alloys Limited</t>
        </is>
      </c>
      <c r="E281" s="30" t="inlineStr">
        <is>
          <t>metals &amp; mining</t>
        </is>
      </c>
      <c r="F281" s="30" t="inlineStr">
        <is>
          <t>mining / minerals / metals</t>
        </is>
      </c>
      <c r="G281" s="30" t="inlineStr">
        <is>
          <t>midcap</t>
        </is>
      </c>
      <c r="H281" s="31" t="n">
        <v>8103.37</v>
      </c>
      <c r="I281" s="31" t="n">
        <v>1536.3</v>
      </c>
      <c r="J281" s="31" t="n">
        <v>2.29</v>
      </c>
      <c r="K281" s="31" t="n">
        <v>260476</v>
      </c>
      <c r="L281" s="30" t="n">
        <v>73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61.62</v>
      </c>
      <c r="P281" s="31" t="n">
        <v>22.87</v>
      </c>
      <c r="Q281" s="31" t="n">
        <v>1137.54</v>
      </c>
      <c r="R281" s="30" t="inlineStr">
        <is>
          <t>Near 52W High Breakout</t>
        </is>
      </c>
      <c r="S281" s="30" t="inlineStr">
        <is>
          <t>Nifty Metal</t>
        </is>
      </c>
      <c r="T281" s="31" t="n">
        <v>42.84</v>
      </c>
      <c r="U281" s="31" t="n">
        <v>111.34</v>
      </c>
      <c r="V281" s="31" t="n">
        <v>47.96</v>
      </c>
      <c r="W281" s="31" t="n">
        <v>23.11</v>
      </c>
      <c r="X281" s="30" t="inlineStr">
        <is>
          <t>Cyclical in an Upturn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Cyclical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Volatile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20 to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Negative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Blue sky scenario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Between 50% to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IF(B282=0,"",RANK(B282,$B$2:$B$314,0))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2" t="inlineStr">
        <is>
          <t>TMPV</t>
        </is>
      </c>
      <c r="D282" s="32" t="inlineStr">
        <is>
          <t>Tata Motors Passenger Vehicles Ltd</t>
        </is>
      </c>
      <c r="E282" s="30" t="inlineStr">
        <is>
          <t>auto</t>
        </is>
      </c>
      <c r="F282" s="30" t="inlineStr">
        <is>
          <t>automobiles - passenger cars</t>
        </is>
      </c>
      <c r="G282" s="30" t="inlineStr">
        <is>
          <t>largecap</t>
        </is>
      </c>
      <c r="H282" s="31" t="n">
        <v>146613.86</v>
      </c>
      <c r="I282" s="31" t="n">
        <v>399.7</v>
      </c>
      <c r="J282" s="31" t="n">
        <v>0.39</v>
      </c>
      <c r="K282" s="31" t="n">
        <v>12067304</v>
      </c>
      <c r="L282" s="30" t="n">
        <v>1</v>
      </c>
      <c r="M282" s="30" t="inlineStr">
        <is>
          <t>Underperforming</t>
        </is>
      </c>
      <c r="N282" s="31">
        <f>IF(M282="Underperforming",-5,IF(L282&gt;=95,15,IF(L282&gt;=90,10,IF(L282&gt;=80,5,0))))</f>
        <v/>
      </c>
      <c r="O282" s="31" t="n">
        <v>53.86</v>
      </c>
      <c r="P282" s="31" t="n">
        <v>26.16</v>
      </c>
      <c r="Q282" s="31" t="n">
        <v>313.38</v>
      </c>
      <c r="R282" s="30" t="inlineStr">
        <is>
          <t>Earnings / Momentum Support</t>
        </is>
      </c>
      <c r="S282" s="30" t="inlineStr">
        <is>
          <t>Nifty Auto</t>
        </is>
      </c>
      <c r="T282" s="31" t="n">
        <v>10.49</v>
      </c>
      <c r="U282" s="31" t="n">
        <v>-43.3</v>
      </c>
      <c r="V282" s="31" t="n">
        <v>-48.69</v>
      </c>
      <c r="W282" s="31" t="n">
        <v>-4.73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No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20 to 40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1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Less than 12%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Less than 50%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IF(B283=0,"",RANK(B283,$B$2:$B$314,0))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AVANTEL</t>
        </is>
      </c>
      <c r="D283" s="30" t="inlineStr">
        <is>
          <t>Avantel Ltd</t>
        </is>
      </c>
      <c r="E283" s="30" t="inlineStr">
        <is>
          <t>aerospace &amp; defence</t>
        </is>
      </c>
      <c r="F283" s="30" t="inlineStr">
        <is>
          <t>telecommunications - equipment</t>
        </is>
      </c>
      <c r="G283" s="30" t="inlineStr">
        <is>
          <t>smallcap</t>
        </is>
      </c>
      <c r="H283" s="31" t="n">
        <v>4668.54</v>
      </c>
      <c r="I283" s="31" t="n">
        <v>176</v>
      </c>
      <c r="J283" s="31" t="n">
        <v>0.17</v>
      </c>
      <c r="K283" s="31" t="n">
        <v>1990127</v>
      </c>
      <c r="L283" s="30" t="n">
        <v>18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59.81</v>
      </c>
      <c r="P283" s="31" t="n">
        <v>14.86</v>
      </c>
      <c r="Q283" s="31" t="n">
        <v>125.78</v>
      </c>
      <c r="R283" s="30" t="inlineStr">
        <is>
          <t>Earnings / Momentum Support</t>
        </is>
      </c>
      <c r="S283" s="30" t="inlineStr">
        <is>
          <t>Nifty Infra</t>
        </is>
      </c>
      <c r="T283" s="31" t="n">
        <v>1.41</v>
      </c>
      <c r="U283" s="31" t="n">
        <v>2.83</v>
      </c>
      <c r="V283" s="31" t="n">
        <v>1.4</v>
      </c>
      <c r="W283" s="31" t="n">
        <v>5.52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Oligopoly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Yes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No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0 to 20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Less than 12%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Less than 50%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IF(B284=0,"",RANK(B284,$B$2:$B$314,0))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PIDILITIND</t>
        </is>
      </c>
      <c r="D284" s="30" t="inlineStr">
        <is>
          <t>Pidilite Industries Limited</t>
        </is>
      </c>
      <c r="E284" s="30" t="inlineStr">
        <is>
          <t>chemicals</t>
        </is>
      </c>
      <c r="F284" s="30" t="inlineStr">
        <is>
          <t>chemicals</t>
        </is>
      </c>
      <c r="G284" s="30" t="inlineStr">
        <is>
          <t>largecap</t>
        </is>
      </c>
      <c r="H284" s="31" t="n">
        <v>149530.22</v>
      </c>
      <c r="I284" s="31" t="n">
        <v>1471.1</v>
      </c>
      <c r="J284" s="31" t="n">
        <v>0.13</v>
      </c>
      <c r="K284" s="31" t="n">
        <v>646986</v>
      </c>
      <c r="L284" s="30" t="n">
        <v>2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54.72</v>
      </c>
      <c r="P284" s="31" t="n">
        <v>19.74</v>
      </c>
      <c r="Q284" s="31" t="n">
        <v>1276.83</v>
      </c>
      <c r="R284" s="30" t="inlineStr">
        <is>
          <t>Near 52W High Breakout</t>
        </is>
      </c>
      <c r="S284" s="30" t="inlineStr">
        <is>
          <t>Nifty 500</t>
        </is>
      </c>
      <c r="T284" s="31" t="n">
        <v>-2.88</v>
      </c>
      <c r="U284" s="31" t="n">
        <v>-2.55</v>
      </c>
      <c r="V284" s="31" t="n">
        <v>0.34</v>
      </c>
      <c r="W284" s="31" t="n">
        <v>0.05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Headwind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0 to 20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Negative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Between 1.5 to 2</t>
        </is>
      </c>
      <c r="BU284" s="30">
        <f>IF(BT284="Above 2",0,IF(BT284="Between 1.5 to 2",5,IF(BT284="Less than 1.5",10,0)))</f>
        <v/>
      </c>
      <c r="BV284" s="30" t="inlineStr">
        <is>
          <t>Above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IF(B285=0,"",RANK(B285,$B$2:$B$314,0))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2" t="inlineStr">
        <is>
          <t>AKUMS</t>
        </is>
      </c>
      <c r="D285" s="32" t="inlineStr">
        <is>
          <t>Akums Drugs &amp; Pharmaceuticals Ltd</t>
        </is>
      </c>
      <c r="E285" s="30" t="inlineStr">
        <is>
          <t>healthcare</t>
        </is>
      </c>
      <c r="F285" s="30" t="inlineStr">
        <is>
          <t>pharmaceuticals - indian - bulk drugs &amp; formln</t>
        </is>
      </c>
      <c r="G285" s="30" t="inlineStr">
        <is>
          <t>midcap</t>
        </is>
      </c>
      <c r="H285" s="31" t="n">
        <v>8506.360000000001</v>
      </c>
      <c r="I285" s="31" t="n">
        <v>555.5</v>
      </c>
      <c r="J285" s="31" t="n">
        <v>2.78</v>
      </c>
      <c r="K285" s="31" t="n">
        <v>324949</v>
      </c>
      <c r="L285" s="30" t="n">
        <v>10</v>
      </c>
      <c r="M285" s="30" t="inlineStr">
        <is>
          <t>Underperforming</t>
        </is>
      </c>
      <c r="N285" s="31">
        <f>IF(M285="Underperforming",-5,IF(L285&gt;=95,15,IF(L285&gt;=90,10,IF(L285&gt;=80,5,0))))</f>
        <v/>
      </c>
      <c r="O285" s="31" t="n">
        <v>63.19</v>
      </c>
      <c r="P285" s="31" t="n">
        <v>34.35</v>
      </c>
      <c r="Q285" s="31" t="n">
        <v>443.91</v>
      </c>
      <c r="R285" s="30" t="inlineStr">
        <is>
          <t>Earnings / Momentum Support</t>
        </is>
      </c>
      <c r="S285" s="30" t="inlineStr">
        <is>
          <t>Nifty Pharma</t>
        </is>
      </c>
      <c r="T285" s="31" t="n">
        <v>11.5</v>
      </c>
      <c r="U285" s="31" t="n">
        <v>-1.53</v>
      </c>
      <c r="V285" s="31" t="n">
        <v>-11.69</v>
      </c>
      <c r="W285" s="31" t="n">
        <v>4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Yes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Annuity, Lower One Time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20 to 40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Negative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Less than 12%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IF(B286=0,"",RANK(B286,$B$2:$B$314,0))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2" t="inlineStr">
        <is>
          <t>PANAMAPET</t>
        </is>
      </c>
      <c r="D286" s="32" t="inlineStr">
        <is>
          <t>Panama Petrochem Limited</t>
        </is>
      </c>
      <c r="E286" s="30" t="inlineStr">
        <is>
          <t>energy</t>
        </is>
      </c>
      <c r="F286" s="30" t="inlineStr">
        <is>
          <t>petrochemicals</t>
        </is>
      </c>
      <c r="G286" s="30" t="inlineStr">
        <is>
          <t>smallcap</t>
        </is>
      </c>
      <c r="H286" s="31" t="n">
        <v>2043.47</v>
      </c>
      <c r="I286" s="31" t="n">
        <v>349.6</v>
      </c>
      <c r="J286" s="31" t="n">
        <v>3.49</v>
      </c>
      <c r="K286" s="31" t="n">
        <v>540803</v>
      </c>
      <c r="L286" s="30" t="n">
        <v>19</v>
      </c>
      <c r="M286" s="30" t="inlineStr">
        <is>
          <t>Underperforming</t>
        </is>
      </c>
      <c r="N286" s="31">
        <f>IF(M286="Underperforming",-5,IF(L286&gt;=95,15,IF(L286&gt;=90,10,IF(L286&gt;=80,5,0))))</f>
        <v/>
      </c>
      <c r="O286" s="31" t="n">
        <v>65.62</v>
      </c>
      <c r="P286" s="31" t="n">
        <v>18.32</v>
      </c>
      <c r="Q286" s="31" t="n">
        <v>261.61</v>
      </c>
      <c r="R286" s="30" t="inlineStr">
        <is>
          <t>Volume Spike &amp; Near 52W High Breakout</t>
        </is>
      </c>
      <c r="S286" s="30" t="inlineStr">
        <is>
          <t>Nifty Energy</t>
        </is>
      </c>
      <c r="T286" s="31" t="n">
        <v>12.59</v>
      </c>
      <c r="U286" s="31" t="n">
        <v>-3.41</v>
      </c>
      <c r="V286" s="31" t="n">
        <v>-14.21</v>
      </c>
      <c r="W286" s="31" t="n">
        <v>5.68</v>
      </c>
      <c r="X286" s="30" t="inlineStr">
        <is>
          <t>Cyclical in an Upturn</t>
        </is>
      </c>
      <c r="Y286" s="30">
        <f>IF(X286="Growing Industry",10,IF(X286="Cyclical in an Upturn",5,0))</f>
        <v/>
      </c>
      <c r="Z286" s="30" t="inlineStr">
        <is>
          <t>Oligopoly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Yes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Cyclical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Volatile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0 to 20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More than 20%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No</t>
        </is>
      </c>
      <c r="BS286" s="30">
        <f>IF(BR286="NO",5,0)</f>
        <v/>
      </c>
      <c r="BT286" s="30" t="inlineStr">
        <is>
          <t>Less than 1.5</t>
        </is>
      </c>
      <c r="BU286" s="30">
        <f>IF(BT286="Above 2",0,IF(BT286="Between 1.5 to 2",5,IF(BT286="Less than 1.5",10,0)))</f>
        <v/>
      </c>
      <c r="BV286" s="30" t="inlineStr">
        <is>
          <t>Negative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IF(B287=0,"",RANK(B287,$B$2:$B$314,0))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TVSSRICHAK</t>
        </is>
      </c>
      <c r="D287" s="30" t="inlineStr">
        <is>
          <t>Tvs Srichakra Limited</t>
        </is>
      </c>
      <c r="E287" s="30" t="inlineStr">
        <is>
          <t>auto</t>
        </is>
      </c>
      <c r="F287" s="30" t="inlineStr">
        <is>
          <t>tyres</t>
        </is>
      </c>
      <c r="G287" s="30" t="inlineStr">
        <is>
          <t>smallcap</t>
        </is>
      </c>
      <c r="H287" s="31" t="n">
        <v>3039.01</v>
      </c>
      <c r="I287" s="31" t="n">
        <v>4066.8</v>
      </c>
      <c r="J287" s="31" t="n">
        <v>2.47</v>
      </c>
      <c r="K287" s="31" t="n">
        <v>9538</v>
      </c>
      <c r="L287" s="30" t="n">
        <v>42</v>
      </c>
      <c r="M287" s="30" t="inlineStr">
        <is>
          <t>Outperforming</t>
        </is>
      </c>
      <c r="N287" s="31">
        <f>IF(M287="Underperforming",-5,IF(L287&gt;=95,15,IF(L287&gt;=90,10,IF(L287&gt;=80,5,0))))</f>
        <v/>
      </c>
      <c r="O287" s="31" t="n">
        <v>55.99</v>
      </c>
      <c r="P287" s="31" t="n">
        <v>9.58</v>
      </c>
      <c r="Q287" s="31" t="n">
        <v>3073.28</v>
      </c>
      <c r="R287" s="30" t="inlineStr">
        <is>
          <t>Earnings / Momentum Support</t>
        </is>
      </c>
      <c r="S287" s="30" t="inlineStr">
        <is>
          <t>Nifty Auto</t>
        </is>
      </c>
      <c r="T287" s="31" t="n">
        <v>10.49</v>
      </c>
      <c r="U287" s="31" t="n">
        <v>38.34</v>
      </c>
      <c r="V287" s="31" t="n">
        <v>25.2</v>
      </c>
      <c r="W287" s="31" t="n">
        <v>11.54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Headwind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0 to 20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1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More than 20%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IF(B288=0,"",RANK(B288,$B$2:$B$314,0))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BHARATFORG</t>
        </is>
      </c>
      <c r="D288" s="30" t="inlineStr">
        <is>
          <t>Bharat Forge Limited</t>
        </is>
      </c>
      <c r="E288" s="30" t="inlineStr">
        <is>
          <t>industrials</t>
        </is>
      </c>
      <c r="F288" s="30" t="inlineStr">
        <is>
          <t>castings &amp; forgings</t>
        </is>
      </c>
      <c r="G288" s="30" t="inlineStr">
        <is>
          <t>largecap</t>
        </is>
      </c>
      <c r="H288" s="31" t="n">
        <v>92581.86</v>
      </c>
      <c r="I288" s="31" t="n">
        <v>1937.5</v>
      </c>
      <c r="J288" s="31" t="n">
        <v>0.05</v>
      </c>
      <c r="K288" s="31" t="n">
        <v>1347808</v>
      </c>
      <c r="L288" s="30" t="n">
        <v>36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64.39</v>
      </c>
      <c r="P288" s="31" t="n">
        <v>35.9</v>
      </c>
      <c r="Q288" s="31" t="n">
        <v>1631.47</v>
      </c>
      <c r="R288" s="30" t="inlineStr">
        <is>
          <t>Near 52W High Breakout</t>
        </is>
      </c>
      <c r="S288" s="30" t="inlineStr">
        <is>
          <t>Nifty 50</t>
        </is>
      </c>
      <c r="T288" s="31" t="n">
        <v>-6.35</v>
      </c>
      <c r="U288" s="31" t="n">
        <v>50.32</v>
      </c>
      <c r="V288" s="31" t="n">
        <v>60.5</v>
      </c>
      <c r="W288" s="31" t="n">
        <v>10.04</v>
      </c>
      <c r="X288" s="30" t="inlineStr">
        <is>
          <t>Cyclical in an Upturn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20 to 40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Negative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Blue sky scenario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Less than 12%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Between 50% to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Between 0.7 to 1.2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IF(B289=0,"",RANK(B289,$B$2:$B$314,0))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2" t="inlineStr">
        <is>
          <t>LLOYDSME</t>
        </is>
      </c>
      <c r="D289" s="32" t="inlineStr">
        <is>
          <t>Lloyds Metals &amp; Energy Ltd</t>
        </is>
      </c>
      <c r="E289" s="30" t="inlineStr">
        <is>
          <t>metals &amp; mining</t>
        </is>
      </c>
      <c r="F289" s="30" t="inlineStr">
        <is>
          <t>mining / minerals / metals</t>
        </is>
      </c>
      <c r="G289" s="30" t="inlineStr">
        <is>
          <t>largecap</t>
        </is>
      </c>
      <c r="H289" s="31" t="n">
        <v>100896.11</v>
      </c>
      <c r="I289" s="31" t="n">
        <v>1775.5</v>
      </c>
      <c r="J289" s="31" t="n">
        <v>-0.97</v>
      </c>
      <c r="K289" s="31" t="n">
        <v>472979</v>
      </c>
      <c r="L289" s="30" t="n">
        <v>58</v>
      </c>
      <c r="M289" s="30" t="inlineStr">
        <is>
          <t>Underperforming</t>
        </is>
      </c>
      <c r="N289" s="31">
        <f>IF(M289="Underperforming",-5,IF(L289&gt;=95,15,IF(L289&gt;=90,10,IF(L289&gt;=80,5,0))))</f>
        <v/>
      </c>
      <c r="O289" s="31" t="n">
        <v>70.17</v>
      </c>
      <c r="P289" s="31" t="n">
        <v>35.52</v>
      </c>
      <c r="Q289" s="31" t="n">
        <v>1448.95</v>
      </c>
      <c r="R289" s="30" t="inlineStr">
        <is>
          <t>Near 52W High Breakout</t>
        </is>
      </c>
      <c r="S289" s="30" t="inlineStr">
        <is>
          <t>Nifty Metal</t>
        </is>
      </c>
      <c r="T289" s="31" t="n">
        <v>42.84</v>
      </c>
      <c r="U289" s="31" t="n">
        <v>21.7</v>
      </c>
      <c r="V289" s="31" t="n">
        <v>-14.8</v>
      </c>
      <c r="W289" s="31" t="n">
        <v>15.99</v>
      </c>
      <c r="X289" s="30" t="inlineStr">
        <is>
          <t>Cyclical in an Upturn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Cyclical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Volatile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Blue sky scenario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No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Less than 50% and Borrowings are increasing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More than 1.2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IF(B290=0,"",RANK(B290,$B$2:$B$314,0))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ASAHIINDIA</t>
        </is>
      </c>
      <c r="D290" s="30" t="inlineStr">
        <is>
          <t>Asahi India Glass Limited</t>
        </is>
      </c>
      <c r="E290" s="30" t="inlineStr">
        <is>
          <t>building materials</t>
        </is>
      </c>
      <c r="F290" s="30" t="inlineStr">
        <is>
          <t>glass &amp; glass products</t>
        </is>
      </c>
      <c r="G290" s="30" t="inlineStr">
        <is>
          <t>largecap</t>
        </is>
      </c>
      <c r="H290" s="31" t="n">
        <v>23032.67</v>
      </c>
      <c r="I290" s="31" t="n">
        <v>891.4</v>
      </c>
      <c r="J290" s="31" t="n">
        <v>-1.34</v>
      </c>
      <c r="K290" s="31" t="n">
        <v>56363</v>
      </c>
      <c r="L290" s="30" t="n">
        <v>23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52.57</v>
      </c>
      <c r="P290" s="31" t="n">
        <v>11.5</v>
      </c>
      <c r="Q290" s="31" t="n">
        <v>700.55</v>
      </c>
      <c r="R290" s="30" t="inlineStr">
        <is>
          <t>Earnings / Momentum Support</t>
        </is>
      </c>
      <c r="S290" s="30" t="inlineStr">
        <is>
          <t>Nifty Infra</t>
        </is>
      </c>
      <c r="T290" s="31" t="n">
        <v>1.41</v>
      </c>
      <c r="U290" s="31" t="n">
        <v>20.35</v>
      </c>
      <c r="V290" s="31" t="n">
        <v>18.67</v>
      </c>
      <c r="W290" s="31" t="n">
        <v>6.4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Headwind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0 to 20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1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Yes</t>
        </is>
      </c>
      <c r="BS290" s="30">
        <f>IF(BR290="NO",5,0)</f>
        <v/>
      </c>
      <c r="BT290" s="30" t="inlineStr">
        <is>
          <t>Between 1.5 to 2</t>
        </is>
      </c>
      <c r="BU290" s="30">
        <f>IF(BT290="Above 2",0,IF(BT290="Between 1.5 to 2",5,IF(BT290="Less than 1.5",10,0)))</f>
        <v/>
      </c>
      <c r="BV290" s="30" t="inlineStr">
        <is>
          <t>Between 50% to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IF(B291=0,"",RANK(B291,$B$2:$B$314,0))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STEELXIND</t>
        </is>
      </c>
      <c r="D291" s="30" t="inlineStr">
        <is>
          <t>Steel Exchange India Ltd</t>
        </is>
      </c>
      <c r="E291" s="30" t="inlineStr">
        <is>
          <t>metals &amp; mining</t>
        </is>
      </c>
      <c r="F291" s="30" t="inlineStr">
        <is>
          <t>steel - medium / small</t>
        </is>
      </c>
      <c r="G291" s="30" t="inlineStr">
        <is>
          <t>smallcap</t>
        </is>
      </c>
      <c r="H291" s="31" t="n">
        <v>1572.71</v>
      </c>
      <c r="I291" s="31" t="n">
        <v>12.14</v>
      </c>
      <c r="J291" s="31" t="n">
        <v>-1.54</v>
      </c>
      <c r="K291" s="31" t="n">
        <v>4082904</v>
      </c>
      <c r="L291" s="30" t="n">
        <v>63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68.12</v>
      </c>
      <c r="P291" s="31" t="n">
        <v>21.78</v>
      </c>
      <c r="Q291" s="31" t="n">
        <v>9.09</v>
      </c>
      <c r="R291" s="30" t="inlineStr">
        <is>
          <t>Earnings / Momentum Support</t>
        </is>
      </c>
      <c r="S291" s="30" t="inlineStr">
        <is>
          <t>Nifty Metal</t>
        </is>
      </c>
      <c r="T291" s="31" t="n">
        <v>42.84</v>
      </c>
      <c r="U291" s="31" t="n">
        <v>45.56</v>
      </c>
      <c r="V291" s="31" t="n">
        <v>1.91</v>
      </c>
      <c r="W291" s="31" t="n">
        <v>17.52</v>
      </c>
      <c r="X291" s="30" t="inlineStr">
        <is>
          <t>Cyclical in an Upturn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Cyclical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Volatile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No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20 to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Yes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Negative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IF(B292=0,"",RANK(B292,$B$2:$B$314,0))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HNDFDS</t>
        </is>
      </c>
      <c r="D292" s="30" t="inlineStr">
        <is>
          <t>Hindustan Foods Ltd</t>
        </is>
      </c>
      <c r="E292" s="30" t="inlineStr">
        <is>
          <t>fmcg</t>
        </is>
      </c>
      <c r="F292" s="30" t="inlineStr">
        <is>
          <t>diversified - large</t>
        </is>
      </c>
      <c r="G292" s="30" t="inlineStr">
        <is>
          <t>midcap</t>
        </is>
      </c>
      <c r="H292" s="31" t="n">
        <v>6412.59</v>
      </c>
      <c r="I292" s="31" t="n">
        <v>536.7</v>
      </c>
      <c r="J292" s="31" t="n">
        <v>0</v>
      </c>
      <c r="K292" s="31" t="n">
        <v>72186</v>
      </c>
      <c r="L292" s="30" t="n">
        <v>7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56.66</v>
      </c>
      <c r="P292" s="31" t="n">
        <v>17.32</v>
      </c>
      <c r="Q292" s="31" t="n">
        <v>448.08</v>
      </c>
      <c r="R292" s="30" t="inlineStr">
        <is>
          <t>Earnings / Momentum Support</t>
        </is>
      </c>
      <c r="S292" s="30" t="inlineStr">
        <is>
          <t>Nifty FMCG</t>
        </is>
      </c>
      <c r="T292" s="31" t="n">
        <v>-13.6</v>
      </c>
      <c r="U292" s="31" t="n">
        <v>-0.59</v>
      </c>
      <c r="V292" s="31" t="n">
        <v>15.05</v>
      </c>
      <c r="W292" s="31" t="n">
        <v>2.61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B2C</t>
        </is>
      </c>
      <c r="AO292" s="30">
        <f>IF(AN292="B2C",10,IF(AN292="B2B",5,0))</f>
        <v/>
      </c>
      <c r="AP292" s="30" t="inlineStr">
        <is>
          <t>No</t>
        </is>
      </c>
      <c r="AQ292" s="30">
        <f>IF(AP292="Yes",10,0)</f>
        <v/>
      </c>
      <c r="AR292" s="30" t="inlineStr">
        <is>
          <t>Higher Annuity, Lower One Time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0 to 20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Negative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More than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Yes</t>
        </is>
      </c>
      <c r="BS292" s="30">
        <f>IF(BR292="NO",5,0)</f>
        <v/>
      </c>
      <c r="BT292" s="30" t="inlineStr">
        <is>
          <t>Less than 1.5</t>
        </is>
      </c>
      <c r="BU292" s="30">
        <f>IF(BT292="Above 2",0,IF(BT292="Between 1.5 to 2",5,IF(BT292="Less than 1.5",10,0)))</f>
        <v/>
      </c>
      <c r="BV292" s="30" t="inlineStr">
        <is>
          <t>Less than 50%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Between 0.7 to 1.2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IF(B293=0,"",RANK(B293,$B$2:$B$314,0))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KRN</t>
        </is>
      </c>
      <c r="D293" s="30" t="inlineStr">
        <is>
          <t>KRN Heat Exchanger and Refrigeration Ltd</t>
        </is>
      </c>
      <c r="E293" s="30" t="inlineStr">
        <is>
          <t>industrials</t>
        </is>
      </c>
      <c r="F293" s="30" t="inlineStr">
        <is>
          <t>engineering</t>
        </is>
      </c>
      <c r="G293" s="30" t="inlineStr">
        <is>
          <t>midcap</t>
        </is>
      </c>
      <c r="H293" s="31" t="n">
        <v>7208.92</v>
      </c>
      <c r="I293" s="31" t="n">
        <v>1217.7</v>
      </c>
      <c r="J293" s="31" t="n">
        <v>4.99</v>
      </c>
      <c r="K293" s="31" t="n">
        <v>232966</v>
      </c>
      <c r="L293" s="30" t="n">
        <v>61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63.48</v>
      </c>
      <c r="P293" s="31" t="n">
        <v>39.68</v>
      </c>
      <c r="Q293" s="31" t="n">
        <v>892.71</v>
      </c>
      <c r="R293" s="30" t="inlineStr">
        <is>
          <t>Earnings / Momentum Support</t>
        </is>
      </c>
      <c r="S293" s="30" t="inlineStr">
        <is>
          <t>Nifty 50</t>
        </is>
      </c>
      <c r="T293" s="31" t="n">
        <v>-6.35</v>
      </c>
      <c r="U293" s="31" t="n">
        <v>61.62</v>
      </c>
      <c r="V293" s="31" t="n">
        <v>72.56999999999999</v>
      </c>
      <c r="W293" s="31" t="n">
        <v>17.36</v>
      </c>
      <c r="X293" s="30" t="inlineStr">
        <is>
          <t>Cyclical in an Upturn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No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20 to 40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Negative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Yes</t>
        </is>
      </c>
      <c r="BS293" s="30">
        <f>IF(BR293="NO",5,0)</f>
        <v/>
      </c>
      <c r="BT293" s="30" t="inlineStr">
        <is>
          <t>Between 1.5 to 2</t>
        </is>
      </c>
      <c r="BU293" s="30">
        <f>IF(BT293="Above 2",0,IF(BT293="Between 1.5 to 2",5,IF(BT293="Less than 1.5",10,0)))</f>
        <v/>
      </c>
      <c r="BV293" s="30" t="inlineStr">
        <is>
          <t>Negative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IF(B294=0,"",RANK(B294,$B$2:$B$314,0))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0" t="inlineStr">
        <is>
          <t>TEGA</t>
        </is>
      </c>
      <c r="D294" s="30" t="inlineStr">
        <is>
          <t>Tega Industries Ltd</t>
        </is>
      </c>
      <c r="E294" s="30" t="inlineStr">
        <is>
          <t>industrials</t>
        </is>
      </c>
      <c r="F294" s="30" t="inlineStr">
        <is>
          <t>engineering</t>
        </is>
      </c>
      <c r="G294" s="30" t="inlineStr">
        <is>
          <t>midcap</t>
        </is>
      </c>
      <c r="H294" s="31" t="n">
        <v>13681.51</v>
      </c>
      <c r="I294" s="31" t="n">
        <v>1872.2</v>
      </c>
      <c r="J294" s="31" t="n">
        <v>2.81</v>
      </c>
      <c r="K294" s="31" t="n">
        <v>156628</v>
      </c>
      <c r="L294" s="30" t="n">
        <v>19</v>
      </c>
      <c r="M294" s="30" t="inlineStr">
        <is>
          <t>Outperforming</t>
        </is>
      </c>
      <c r="N294" s="31">
        <f>IF(M294="Underperforming",-5,IF(L294&gt;=95,15,IF(L294&gt;=90,10,IF(L294&gt;=80,5,0))))</f>
        <v/>
      </c>
      <c r="O294" s="31" t="n">
        <v>58.44</v>
      </c>
      <c r="P294" s="31" t="n">
        <v>8.75</v>
      </c>
      <c r="Q294" s="31" t="n">
        <v>1465.56</v>
      </c>
      <c r="R294" s="30" t="inlineStr">
        <is>
          <t>Volume Spike / Accumulation</t>
        </is>
      </c>
      <c r="S294" s="30" t="inlineStr">
        <is>
          <t>Nifty 50</t>
        </is>
      </c>
      <c r="T294" s="31" t="n">
        <v>-6.35</v>
      </c>
      <c r="U294" s="31" t="n">
        <v>17.17</v>
      </c>
      <c r="V294" s="31" t="n">
        <v>25.11</v>
      </c>
      <c r="W294" s="31" t="n">
        <v>5.54</v>
      </c>
      <c r="X294" s="30" t="inlineStr">
        <is>
          <t>Cyclical in an Upturn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Headwind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0 to 20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1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Less than 12%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Yes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Above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IF(B295=0,"",RANK(B295,$B$2:$B$314,0))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VINCOFE</t>
        </is>
      </c>
      <c r="D295" s="30" t="inlineStr">
        <is>
          <t>Vintage Coffee &amp; Beverages Ltd</t>
        </is>
      </c>
      <c r="E295" s="30" t="inlineStr">
        <is>
          <t>consumer discretionary</t>
        </is>
      </c>
      <c r="F295" s="30" t="inlineStr">
        <is>
          <t>trading</t>
        </is>
      </c>
      <c r="G295" s="30" t="inlineStr">
        <is>
          <t>smallcap</t>
        </is>
      </c>
      <c r="H295" s="31" t="n">
        <v>2167.99</v>
      </c>
      <c r="I295" s="31" t="n">
        <v>150.33</v>
      </c>
      <c r="J295" s="31" t="n">
        <v>1.02</v>
      </c>
      <c r="K295" s="31" t="n">
        <v>1113678</v>
      </c>
      <c r="L295" s="30" t="n">
        <v>30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56.03</v>
      </c>
      <c r="P295" s="31" t="n">
        <v>10.57</v>
      </c>
      <c r="Q295" s="31" t="n">
        <v>111.98</v>
      </c>
      <c r="R295" s="30" t="inlineStr">
        <is>
          <t>Earnings / Momentum Support</t>
        </is>
      </c>
      <c r="S295" s="30" t="inlineStr">
        <is>
          <t>Nifty 50</t>
        </is>
      </c>
      <c r="T295" s="31" t="n">
        <v>-6.35</v>
      </c>
      <c r="U295" s="31" t="n">
        <v>25.2</v>
      </c>
      <c r="V295" s="31" t="n">
        <v>33.68</v>
      </c>
      <c r="W295" s="31" t="n">
        <v>7.98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Headwind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0 to 20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1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Between 12 to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Between 1.5 to 2</t>
        </is>
      </c>
      <c r="BU295" s="30">
        <f>IF(BT295="Above 2",0,IF(BT295="Between 1.5 to 2",5,IF(BT295="Less than 1.5",10,0)))</f>
        <v/>
      </c>
      <c r="BV295" s="30" t="inlineStr">
        <is>
          <t>Less than 50%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IF(B296=0,"",RANK(B296,$B$2:$B$314,0))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2" t="inlineStr">
        <is>
          <t>JINDRILL</t>
        </is>
      </c>
      <c r="D296" s="32" t="inlineStr">
        <is>
          <t>Jindal Drilling And Industries Limited</t>
        </is>
      </c>
      <c r="E296" s="30" t="inlineStr">
        <is>
          <t>energy</t>
        </is>
      </c>
      <c r="F296" s="30" t="inlineStr">
        <is>
          <t>oil drilling / allied services</t>
        </is>
      </c>
      <c r="G296" s="30" t="inlineStr">
        <is>
          <t>smallcap</t>
        </is>
      </c>
      <c r="H296" s="31" t="n">
        <v>1820.3</v>
      </c>
      <c r="I296" s="31" t="n">
        <v>631.1</v>
      </c>
      <c r="J296" s="31" t="n">
        <v>0.48</v>
      </c>
      <c r="K296" s="31" t="n">
        <v>378128</v>
      </c>
      <c r="L296" s="30" t="n">
        <v>10</v>
      </c>
      <c r="M296" s="30" t="inlineStr">
        <is>
          <t>Underperforming</t>
        </is>
      </c>
      <c r="N296" s="31">
        <f>IF(M296="Underperforming",-5,IF(L296&gt;=95,15,IF(L296&gt;=90,10,IF(L296&gt;=80,5,0))))</f>
        <v/>
      </c>
      <c r="O296" s="31" t="n">
        <v>59.72</v>
      </c>
      <c r="P296" s="31" t="n">
        <v>37.84</v>
      </c>
      <c r="Q296" s="31" t="n">
        <v>471.31</v>
      </c>
      <c r="R296" s="30" t="inlineStr">
        <is>
          <t>Earnings / Momentum Support</t>
        </is>
      </c>
      <c r="S296" s="30" t="inlineStr">
        <is>
          <t>Nifty Energy</t>
        </is>
      </c>
      <c r="T296" s="31" t="n">
        <v>12.59</v>
      </c>
      <c r="U296" s="31" t="n">
        <v>1.21</v>
      </c>
      <c r="V296" s="31" t="n">
        <v>-10.11</v>
      </c>
      <c r="W296" s="31" t="n">
        <v>3.92</v>
      </c>
      <c r="X296" s="30" t="inlineStr">
        <is>
          <t>Cyclical in an Upturn</t>
        </is>
      </c>
      <c r="Y296" s="30">
        <f>IF(X296="Growing Industry",10,IF(X296="Cyclical in an Upturn",5,0))</f>
        <v/>
      </c>
      <c r="Z296" s="30" t="inlineStr">
        <is>
          <t>Oligopoly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Yes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Cyclical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Volatile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20 to 40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Less than 12%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Less than 50%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IF(B297=0,"",RANK(B297,$B$2:$B$314,0))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KRISHANA</t>
        </is>
      </c>
      <c r="D297" s="30" t="inlineStr">
        <is>
          <t>Krishana Phoschem Ltd</t>
        </is>
      </c>
      <c r="E297" s="30" t="inlineStr">
        <is>
          <t>chemicals</t>
        </is>
      </c>
      <c r="F297" s="30" t="inlineStr">
        <is>
          <t>fertilizers</t>
        </is>
      </c>
      <c r="G297" s="30" t="inlineStr">
        <is>
          <t>smallcap</t>
        </is>
      </c>
      <c r="H297" s="31" t="n">
        <v>4220.66</v>
      </c>
      <c r="I297" s="31" t="n">
        <v>684.55</v>
      </c>
      <c r="J297" s="31" t="n">
        <v>0.28</v>
      </c>
      <c r="K297" s="31" t="n">
        <v>198629</v>
      </c>
      <c r="L297" s="30" t="n">
        <v>67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67.90000000000001</v>
      </c>
      <c r="P297" s="31" t="n">
        <v>34.03</v>
      </c>
      <c r="Q297" s="31" t="n">
        <v>536.66</v>
      </c>
      <c r="R297" s="30" t="inlineStr">
        <is>
          <t>Near 52W High Breakout</t>
        </is>
      </c>
      <c r="S297" s="30" t="inlineStr">
        <is>
          <t>Nifty 50</t>
        </is>
      </c>
      <c r="T297" s="31" t="n">
        <v>-6.35</v>
      </c>
      <c r="U297" s="31" t="n">
        <v>53.84</v>
      </c>
      <c r="V297" s="31" t="n">
        <v>64.26000000000001</v>
      </c>
      <c r="W297" s="31" t="n">
        <v>18.84</v>
      </c>
      <c r="X297" s="30" t="inlineStr">
        <is>
          <t>Growing Industry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Yes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20 to 40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Negative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Blue sky scenario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More than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No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Negative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More than 1.2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IF(B298=0,"",RANK(B298,$B$2:$B$314,0))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2" t="inlineStr">
        <is>
          <t>AEROENTER</t>
        </is>
      </c>
      <c r="D298" s="32" t="inlineStr">
        <is>
          <t>Aeroflex Enterprises Ltd</t>
        </is>
      </c>
      <c r="E298" s="30" t="inlineStr">
        <is>
          <t>metals &amp; mining</t>
        </is>
      </c>
      <c r="F298" s="30" t="inlineStr">
        <is>
          <t>steel - medium / small</t>
        </is>
      </c>
      <c r="G298" s="30" t="inlineStr">
        <is>
          <t>smallcap</t>
        </is>
      </c>
      <c r="H298" s="31" t="n">
        <v>1112.76</v>
      </c>
      <c r="I298" s="31" t="n">
        <v>101.13</v>
      </c>
      <c r="J298" s="31" t="n">
        <v>2.77</v>
      </c>
      <c r="K298" s="31" t="n">
        <v>755189</v>
      </c>
      <c r="L298" s="30" t="n">
        <v>41</v>
      </c>
      <c r="M298" s="30" t="inlineStr">
        <is>
          <t>Underperforming</t>
        </is>
      </c>
      <c r="N298" s="31">
        <f>IF(M298="Underperforming",-5,IF(L298&gt;=95,15,IF(L298&gt;=90,10,IF(L298&gt;=80,5,0))))</f>
        <v/>
      </c>
      <c r="O298" s="31" t="n">
        <v>60.27</v>
      </c>
      <c r="P298" s="31" t="n">
        <v>28.86</v>
      </c>
      <c r="Q298" s="31" t="n">
        <v>80.76000000000001</v>
      </c>
      <c r="R298" s="30" t="inlineStr">
        <is>
          <t>Earnings / Momentum Support</t>
        </is>
      </c>
      <c r="S298" s="30" t="inlineStr">
        <is>
          <t>Nifty Metal</t>
        </is>
      </c>
      <c r="T298" s="31" t="n">
        <v>42.84</v>
      </c>
      <c r="U298" s="31" t="n">
        <v>13.72</v>
      </c>
      <c r="V298" s="31" t="n">
        <v>-20.39</v>
      </c>
      <c r="W298" s="31" t="n">
        <v>11.08</v>
      </c>
      <c r="X298" s="30" t="inlineStr">
        <is>
          <t>Cyclical in an Upturn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Cyclical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Volatile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20 to 40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Negative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No</t>
        </is>
      </c>
      <c r="BS298" s="30">
        <f>IF(BR298="NO",5,0)</f>
        <v/>
      </c>
      <c r="BT298" s="30" t="inlineStr">
        <is>
          <t>Less than 1.5</t>
        </is>
      </c>
      <c r="BU298" s="30">
        <f>IF(BT298="Above 2",0,IF(BT298="Between 1.5 to 2",5,IF(BT298="Less than 1.5",10,0)))</f>
        <v/>
      </c>
      <c r="BV298" s="30" t="inlineStr">
        <is>
          <t>Less than 50%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IF(B299=0,"",RANK(B299,$B$2:$B$314,0))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2" t="inlineStr">
        <is>
          <t>TVSSCS</t>
        </is>
      </c>
      <c r="D299" s="32" t="inlineStr">
        <is>
          <t>TVS Supply Chain Solutions Ltd</t>
        </is>
      </c>
      <c r="E299" s="30" t="inlineStr">
        <is>
          <t>transportation</t>
        </is>
      </c>
      <c r="F299" s="30" t="inlineStr">
        <is>
          <t>miscellaneous</t>
        </is>
      </c>
      <c r="G299" s="30" t="inlineStr">
        <is>
          <t>midcap</t>
        </is>
      </c>
      <c r="H299" s="31" t="n">
        <v>5153.42</v>
      </c>
      <c r="I299" s="31" t="n">
        <v>122.65</v>
      </c>
      <c r="J299" s="31" t="n">
        <v>5</v>
      </c>
      <c r="K299" s="31" t="n">
        <v>925107</v>
      </c>
      <c r="L299" s="30" t="n">
        <v>3</v>
      </c>
      <c r="M299" s="30" t="inlineStr">
        <is>
          <t>Underperforming</t>
        </is>
      </c>
      <c r="N299" s="31">
        <f>IF(M299="Underperforming",-5,IF(L299&gt;=95,15,IF(L299&gt;=90,10,IF(L299&gt;=80,5,0))))</f>
        <v/>
      </c>
      <c r="O299" s="31" t="n">
        <v>54.85</v>
      </c>
      <c r="P299" s="31" t="n">
        <v>10.42</v>
      </c>
      <c r="Q299" s="31" t="n">
        <v>92.59999999999999</v>
      </c>
      <c r="R299" s="30" t="inlineStr">
        <is>
          <t>Volume Spike / Accumulation</t>
        </is>
      </c>
      <c r="S299" s="30" t="inlineStr">
        <is>
          <t>Nifty 50</t>
        </is>
      </c>
      <c r="T299" s="31" t="n">
        <v>-6.35</v>
      </c>
      <c r="U299" s="31" t="n">
        <v>-6.53</v>
      </c>
      <c r="V299" s="31" t="n">
        <v>-0.2</v>
      </c>
      <c r="W299" s="31" t="n">
        <v>1.2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Yes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0 to 20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Negative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More than 20%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Yes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Above 70%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More than 1.2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IF(B300=0,"",RANK(B300,$B$2:$B$314,0))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2" t="inlineStr">
        <is>
          <t>JBMA</t>
        </is>
      </c>
      <c r="D300" s="32" t="inlineStr">
        <is>
          <t>Jbm Auto Limited</t>
        </is>
      </c>
      <c r="E300" s="30" t="inlineStr">
        <is>
          <t>auto</t>
        </is>
      </c>
      <c r="F300" s="30" t="inlineStr">
        <is>
          <t>auto ancillaries</t>
        </is>
      </c>
      <c r="G300" s="30" t="inlineStr">
        <is>
          <t>midcap</t>
        </is>
      </c>
      <c r="H300" s="31" t="n">
        <v>15827.38</v>
      </c>
      <c r="I300" s="31" t="n">
        <v>692.8</v>
      </c>
      <c r="J300" s="31" t="n">
        <v>3.52</v>
      </c>
      <c r="K300" s="31" t="n">
        <v>16349825</v>
      </c>
      <c r="L300" s="30" t="n">
        <v>28</v>
      </c>
      <c r="M300" s="30" t="inlineStr">
        <is>
          <t>Underperforming</t>
        </is>
      </c>
      <c r="N300" s="31">
        <f>IF(M300="Underperforming",-5,IF(L300&gt;=95,15,IF(L300&gt;=90,10,IF(L300&gt;=80,5,0))))</f>
        <v/>
      </c>
      <c r="O300" s="31" t="n">
        <v>62.09</v>
      </c>
      <c r="P300" s="31" t="n">
        <v>15.71</v>
      </c>
      <c r="Q300" s="31" t="n">
        <v>519.78</v>
      </c>
      <c r="R300" s="30" t="inlineStr">
        <is>
          <t>Volume Spike &amp; Near 52W High Breakout</t>
        </is>
      </c>
      <c r="S300" s="30" t="inlineStr">
        <is>
          <t>Nifty Auto</t>
        </is>
      </c>
      <c r="T300" s="31" t="n">
        <v>10.49</v>
      </c>
      <c r="U300" s="31" t="n">
        <v>-1.98</v>
      </c>
      <c r="V300" s="31" t="n">
        <v>-11.29</v>
      </c>
      <c r="W300" s="31" t="n">
        <v>7.38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0 to 20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Less than 12%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Yes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Negative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More than 1.2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IF(B301=0,"",RANK(B301,$B$2:$B$314,0))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SVLL</t>
        </is>
      </c>
      <c r="D301" s="32" t="inlineStr">
        <is>
          <t>Shree Vasu Logistics Ltd</t>
        </is>
      </c>
      <c r="E301" s="30" t="inlineStr">
        <is>
          <t>transportation</t>
        </is>
      </c>
      <c r="F301" s="30" t="inlineStr">
        <is>
          <t>miscellaneous</t>
        </is>
      </c>
      <c r="G301" s="30" t="inlineStr">
        <is>
          <t>smallcap</t>
        </is>
      </c>
      <c r="H301" s="31" t="n">
        <v>790.71</v>
      </c>
      <c r="I301" s="31" t="n">
        <v>710.95</v>
      </c>
      <c r="J301" s="31" t="n">
        <v>3.34</v>
      </c>
      <c r="K301" s="31" t="n">
        <v>3084</v>
      </c>
      <c r="L301" s="30" t="n">
        <v>15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61.5</v>
      </c>
      <c r="P301" s="31" t="n">
        <v>29.99</v>
      </c>
      <c r="Q301" s="31" t="n">
        <v>464.82</v>
      </c>
      <c r="R301" s="30" t="inlineStr">
        <is>
          <t>Earnings / Momentum Support</t>
        </is>
      </c>
      <c r="S301" s="30" t="inlineStr">
        <is>
          <t>Nifty 50</t>
        </is>
      </c>
      <c r="T301" s="31" t="n">
        <v>-6.35</v>
      </c>
      <c r="U301" s="31" t="n">
        <v>-8.66</v>
      </c>
      <c r="V301" s="31" t="n">
        <v>-2.47</v>
      </c>
      <c r="W301" s="31" t="n">
        <v>4.96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Headwind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20 to 40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1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Between 50% to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More than 1.2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IF(B302=0,"",RANK(B302,$B$2:$B$314,0))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2" t="inlineStr">
        <is>
          <t>RML</t>
        </is>
      </c>
      <c r="D302" s="32" t="inlineStr">
        <is>
          <t>Rane (madras) Limited</t>
        </is>
      </c>
      <c r="E302" s="30" t="inlineStr">
        <is>
          <t>auto</t>
        </is>
      </c>
      <c r="F302" s="30" t="inlineStr">
        <is>
          <t>auto ancillaries</t>
        </is>
      </c>
      <c r="G302" s="30" t="inlineStr">
        <is>
          <t>smallcap</t>
        </is>
      </c>
      <c r="H302" s="31" t="n">
        <v>2503.23</v>
      </c>
      <c r="I302" s="31" t="n">
        <v>913.35</v>
      </c>
      <c r="J302" s="31" t="n">
        <v>0.84</v>
      </c>
      <c r="K302" s="31" t="n">
        <v>13588</v>
      </c>
      <c r="L302" s="30" t="n">
        <v>7</v>
      </c>
      <c r="M302" s="30" t="inlineStr">
        <is>
          <t>Underperforming</t>
        </is>
      </c>
      <c r="N302" s="31">
        <f>IF(M302="Underperforming",-5,IF(L302&gt;=95,15,IF(L302&gt;=90,10,IF(L302&gt;=80,5,0))))</f>
        <v/>
      </c>
      <c r="O302" s="31" t="n">
        <v>60.91</v>
      </c>
      <c r="P302" s="31" t="n">
        <v>18.82</v>
      </c>
      <c r="Q302" s="31" t="n">
        <v>719.83</v>
      </c>
      <c r="R302" s="30" t="inlineStr">
        <is>
          <t>Near 52W High Breakout</t>
        </is>
      </c>
      <c r="S302" s="30" t="inlineStr">
        <is>
          <t>Nifty Auto</t>
        </is>
      </c>
      <c r="T302" s="31" t="n">
        <v>10.49</v>
      </c>
      <c r="U302" s="31" t="n">
        <v>2.05</v>
      </c>
      <c r="V302" s="31" t="n">
        <v>-7.65</v>
      </c>
      <c r="W302" s="31" t="n">
        <v>2.66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Yes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0 to 20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Negative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Less than 12%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Between 50% to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Between 0.7 to 1.2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IF(B303=0,"",RANK(B303,$B$2:$B$314,0))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VEDL</t>
        </is>
      </c>
      <c r="D303" s="32" t="inlineStr">
        <is>
          <t>Vedanta Limited</t>
        </is>
      </c>
      <c r="E303" s="30" t="inlineStr">
        <is>
          <t>metals &amp; mining</t>
        </is>
      </c>
      <c r="F303" s="30" t="inlineStr">
        <is>
          <t>mining / minerals / metals</t>
        </is>
      </c>
      <c r="G303" s="30" t="inlineStr">
        <is>
          <t>largecap</t>
        </is>
      </c>
      <c r="H303" s="31" t="n">
        <v>128338.94</v>
      </c>
      <c r="I303" s="31" t="n">
        <v>327.5</v>
      </c>
      <c r="J303" s="31" t="n">
        <v>-0.21</v>
      </c>
      <c r="K303" s="31" t="n">
        <v>13730888</v>
      </c>
      <c r="L303" s="30" t="n">
        <v>1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34.13</v>
      </c>
      <c r="P303" s="31" t="n">
        <v>47.89</v>
      </c>
      <c r="Q303" s="31" t="n">
        <v>584.29</v>
      </c>
      <c r="R303" s="30" t="inlineStr">
        <is>
          <t>Earnings / Momentum Support</t>
        </is>
      </c>
      <c r="S303" s="30" t="inlineStr">
        <is>
          <t>Nifty Metal</t>
        </is>
      </c>
      <c r="T303" s="31" t="n">
        <v>42.84</v>
      </c>
      <c r="U303" s="31" t="n">
        <v>-21.73</v>
      </c>
      <c r="V303" s="31" t="n">
        <v>-45.2</v>
      </c>
      <c r="W303" s="31" t="n">
        <v>-9.539999999999999</v>
      </c>
      <c r="X303" s="30" t="inlineStr">
        <is>
          <t>Cyclical in an Upturn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Headwind</t>
        </is>
      </c>
      <c r="AE303" s="30">
        <f>IF(AD303="Tailwind",10,0)</f>
        <v/>
      </c>
      <c r="AF303" s="30" t="inlineStr">
        <is>
          <t>Cyclical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Volatile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No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Above 40</t>
        </is>
      </c>
      <c r="AY303" s="30">
        <f>IF(AX303="Above 40",20,IF(AX303="20 to 40",10,IF(AX303="0 to 20",-5,0)))</f>
        <v/>
      </c>
      <c r="AZ303" s="30" t="inlineStr">
        <is>
          <t>Below 45</t>
        </is>
      </c>
      <c r="BA303" s="30">
        <f>IF(AZ303="Between 50 to 75",10,IF(AZ303="Above 75",0,0))</f>
        <v/>
      </c>
      <c r="BB303" s="30" t="inlineStr">
        <is>
          <t>Stage 4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No</t>
        </is>
      </c>
      <c r="BM303" s="30">
        <f>IF(BL303="Yes",10,0)</f>
        <v/>
      </c>
      <c r="BN303" s="30" t="inlineStr">
        <is>
          <t>More than 20%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Less than 1.5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IF(B304=0,"",RANK(B304,$B$2:$B$314,0))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2" t="inlineStr">
        <is>
          <t>RITCO</t>
        </is>
      </c>
      <c r="D304" s="32" t="inlineStr">
        <is>
          <t>Ritco Logistics Ltd</t>
        </is>
      </c>
      <c r="E304" s="30" t="inlineStr">
        <is>
          <t>transportation</t>
        </is>
      </c>
      <c r="F304" s="30" t="inlineStr">
        <is>
          <t>miscellaneous</t>
        </is>
      </c>
      <c r="G304" s="30" t="inlineStr">
        <is>
          <t>smallcap</t>
        </is>
      </c>
      <c r="H304" s="31" t="n">
        <v>747.48</v>
      </c>
      <c r="I304" s="31" t="n">
        <v>259.05</v>
      </c>
      <c r="J304" s="31" t="n">
        <v>-0.8</v>
      </c>
      <c r="K304" s="31" t="n">
        <v>37974</v>
      </c>
      <c r="L304" s="30" t="n">
        <v>23</v>
      </c>
      <c r="M304" s="30" t="inlineStr">
        <is>
          <t>Underperforming</t>
        </is>
      </c>
      <c r="N304" s="31">
        <f>IF(M304="Underperforming",-5,IF(L304&gt;=95,15,IF(L304&gt;=90,10,IF(L304&gt;=80,5,0))))</f>
        <v/>
      </c>
      <c r="O304" s="31" t="n">
        <v>56.32</v>
      </c>
      <c r="P304" s="31" t="n">
        <v>27.1</v>
      </c>
      <c r="Q304" s="31" t="n">
        <v>192.92</v>
      </c>
      <c r="R304" s="30" t="inlineStr">
        <is>
          <t>Earnings / Momentum Support</t>
        </is>
      </c>
      <c r="S304" s="30" t="inlineStr">
        <is>
          <t>Nifty 50</t>
        </is>
      </c>
      <c r="T304" s="31" t="n">
        <v>-6.35</v>
      </c>
      <c r="U304" s="31" t="n">
        <v>-12.57</v>
      </c>
      <c r="V304" s="31" t="n">
        <v>-6.65</v>
      </c>
      <c r="W304" s="31" t="n">
        <v>6.42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Headwind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No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20 to 40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Less than 12%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No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Negative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More than 1.2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IF(B305=0,"",RANK(B305,$B$2:$B$314,0))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0" t="inlineStr">
        <is>
          <t>ARVINDFASN</t>
        </is>
      </c>
      <c r="D305" s="30" t="inlineStr">
        <is>
          <t>Arvind Fashions Ltd</t>
        </is>
      </c>
      <c r="E305" s="30" t="inlineStr">
        <is>
          <t>consumer discretionary</t>
        </is>
      </c>
      <c r="F305" s="30" t="inlineStr">
        <is>
          <t>trading</t>
        </is>
      </c>
      <c r="G305" s="30" t="inlineStr">
        <is>
          <t>midcap</t>
        </is>
      </c>
      <c r="H305" s="31" t="n">
        <v>6378.02</v>
      </c>
      <c r="I305" s="31" t="n">
        <v>471.1</v>
      </c>
      <c r="J305" s="31" t="n">
        <v>-1.28</v>
      </c>
      <c r="K305" s="31" t="n">
        <v>117793</v>
      </c>
      <c r="L305" s="30" t="n">
        <v>9</v>
      </c>
      <c r="M305" s="30" t="inlineStr">
        <is>
          <t>Outperforming</t>
        </is>
      </c>
      <c r="N305" s="31">
        <f>IF(M305="Underperforming",-5,IF(L305&gt;=95,15,IF(L305&gt;=90,10,IF(L305&gt;=80,5,0))))</f>
        <v/>
      </c>
      <c r="O305" s="31" t="n">
        <v>52.47</v>
      </c>
      <c r="P305" s="31" t="n">
        <v>12.1</v>
      </c>
      <c r="Q305" s="31" t="n">
        <v>360.17</v>
      </c>
      <c r="R305" s="30" t="inlineStr">
        <is>
          <t>Earnings / Momentum Support</t>
        </is>
      </c>
      <c r="S305" s="30" t="inlineStr">
        <is>
          <t>Nifty 50</t>
        </is>
      </c>
      <c r="T305" s="31" t="n">
        <v>-6.35</v>
      </c>
      <c r="U305" s="31" t="n">
        <v>4.5</v>
      </c>
      <c r="V305" s="31" t="n">
        <v>11.58</v>
      </c>
      <c r="W305" s="31" t="n">
        <v>3.64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Headwind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0 to 20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1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More than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Yes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Between 50% to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Between 0.7 to 1.2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IF(B306=0,"",RANK(B306,$B$2:$B$314,0))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2" t="inlineStr">
        <is>
          <t>MAITHANALL</t>
        </is>
      </c>
      <c r="D306" s="32" t="inlineStr">
        <is>
          <t>Maithan Alloys Limited</t>
        </is>
      </c>
      <c r="E306" s="30" t="inlineStr">
        <is>
          <t>metals &amp; mining</t>
        </is>
      </c>
      <c r="F306" s="30" t="inlineStr">
        <is>
          <t>mining / minerals / metals</t>
        </is>
      </c>
      <c r="G306" s="30" t="inlineStr">
        <is>
          <t>smallcap</t>
        </is>
      </c>
      <c r="H306" s="31" t="n">
        <v>3117.26</v>
      </c>
      <c r="I306" s="31" t="n">
        <v>1035.8</v>
      </c>
      <c r="J306" s="31" t="n">
        <v>-3.27</v>
      </c>
      <c r="K306" s="31" t="n">
        <v>52384</v>
      </c>
      <c r="L306" s="30" t="n">
        <v>3</v>
      </c>
      <c r="M306" s="30" t="inlineStr">
        <is>
          <t>Underperforming</t>
        </is>
      </c>
      <c r="N306" s="31">
        <f>IF(M306="Underperforming",-5,IF(L306&gt;=95,15,IF(L306&gt;=90,10,IF(L306&gt;=80,5,0))))</f>
        <v/>
      </c>
      <c r="O306" s="31" t="n">
        <v>54.32</v>
      </c>
      <c r="P306" s="31" t="n">
        <v>14.12</v>
      </c>
      <c r="Q306" s="31" t="n">
        <v>802.48</v>
      </c>
      <c r="R306" s="30" t="inlineStr">
        <is>
          <t>Volume Spike / Accumulation</t>
        </is>
      </c>
      <c r="S306" s="30" t="inlineStr">
        <is>
          <t>Nifty Metal</t>
        </is>
      </c>
      <c r="T306" s="31" t="n">
        <v>42.84</v>
      </c>
      <c r="U306" s="31" t="n">
        <v>-2.79</v>
      </c>
      <c r="V306" s="31" t="n">
        <v>-31.95</v>
      </c>
      <c r="W306" s="31" t="n">
        <v>1.35</v>
      </c>
      <c r="X306" s="30" t="inlineStr">
        <is>
          <t>Cyclical in an Upturn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Cyclical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Volatile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Yes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0 to 20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1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Less than 12%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Above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IF(B307=0,"",RANK(B307,$B$2:$B$314,0))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0" t="inlineStr">
        <is>
          <t>ABDL</t>
        </is>
      </c>
      <c r="D307" s="30" t="inlineStr">
        <is>
          <t>Allied Blenders &amp; Distillers Ltd</t>
        </is>
      </c>
      <c r="E307" s="30" t="inlineStr">
        <is>
          <t>fmcg</t>
        </is>
      </c>
      <c r="F307" s="30" t="inlineStr">
        <is>
          <t>breweries &amp; distilleries</t>
        </is>
      </c>
      <c r="G307" s="30" t="inlineStr">
        <is>
          <t>midcap</t>
        </is>
      </c>
      <c r="H307" s="31" t="n">
        <v>16005.01</v>
      </c>
      <c r="I307" s="31" t="n">
        <v>571.85</v>
      </c>
      <c r="J307" s="31" t="n">
        <v>-0.06</v>
      </c>
      <c r="K307" s="31" t="n">
        <v>377233</v>
      </c>
      <c r="L307" s="30" t="n">
        <v>44</v>
      </c>
      <c r="M307" s="30" t="inlineStr">
        <is>
          <t>Outperforming</t>
        </is>
      </c>
      <c r="N307" s="31">
        <f>IF(M307="Underperforming",-5,IF(L307&gt;=95,15,IF(L307&gt;=90,10,IF(L307&gt;=80,5,0))))</f>
        <v/>
      </c>
      <c r="O307" s="31" t="n">
        <v>56.14</v>
      </c>
      <c r="P307" s="31" t="n">
        <v>18.86</v>
      </c>
      <c r="Q307" s="31" t="n">
        <v>439.87</v>
      </c>
      <c r="R307" s="30" t="inlineStr">
        <is>
          <t>Earnings / Momentum Support</t>
        </is>
      </c>
      <c r="S307" s="30" t="inlineStr">
        <is>
          <t>Nifty FMCG</t>
        </is>
      </c>
      <c r="T307" s="31" t="n">
        <v>-13.6</v>
      </c>
      <c r="U307" s="31" t="n">
        <v>34.58</v>
      </c>
      <c r="V307" s="31" t="n">
        <v>55.76</v>
      </c>
      <c r="W307" s="31" t="n">
        <v>11.97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Headwind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B2C</t>
        </is>
      </c>
      <c r="AO307" s="30">
        <f>IF(AN307="B2C",10,IF(AN307="B2B",5,0))</f>
        <v/>
      </c>
      <c r="AP307" s="30" t="inlineStr">
        <is>
          <t>No</t>
        </is>
      </c>
      <c r="AQ307" s="30">
        <f>IF(AP307="Yes",10,0)</f>
        <v/>
      </c>
      <c r="AR307" s="30" t="inlineStr">
        <is>
          <t>Higher Annuity, Lower One Time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Negative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Less than 12%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Yes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Between 50% to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IF(B308=0,"",RANK(B308,$B$2:$B$314,0))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2" t="inlineStr">
        <is>
          <t>ITI</t>
        </is>
      </c>
      <c r="D308" s="32" t="inlineStr">
        <is>
          <t>Iti Limited</t>
        </is>
      </c>
      <c r="E308" s="30" t="inlineStr">
        <is>
          <t>aerospace &amp; defence</t>
        </is>
      </c>
      <c r="F308" s="30" t="inlineStr">
        <is>
          <t>telecommunications - equipment</t>
        </is>
      </c>
      <c r="G308" s="30" t="inlineStr">
        <is>
          <t>largecap</t>
        </is>
      </c>
      <c r="H308" s="31" t="n">
        <v>28649.66</v>
      </c>
      <c r="I308" s="31" t="n">
        <v>301.8</v>
      </c>
      <c r="J308" s="31" t="n">
        <v>1.43</v>
      </c>
      <c r="K308" s="31" t="n">
        <v>1206671</v>
      </c>
      <c r="L308" s="30" t="n">
        <v>6</v>
      </c>
      <c r="M308" s="30" t="inlineStr">
        <is>
          <t>Underperforming</t>
        </is>
      </c>
      <c r="N308" s="31">
        <f>IF(M308="Underperforming",-5,IF(L308&gt;=95,15,IF(L308&gt;=90,10,IF(L308&gt;=80,5,0))))</f>
        <v/>
      </c>
      <c r="O308" s="31" t="n">
        <v>54.62</v>
      </c>
      <c r="P308" s="31" t="n">
        <v>17.91</v>
      </c>
      <c r="Q308" s="31" t="n">
        <v>229.07</v>
      </c>
      <c r="R308" s="30" t="inlineStr">
        <is>
          <t>Earnings / Momentum Support</t>
        </is>
      </c>
      <c r="S308" s="30" t="inlineStr">
        <is>
          <t>Nifty 50</t>
        </is>
      </c>
      <c r="T308" s="31" t="n">
        <v>-6.35</v>
      </c>
      <c r="U308" s="31" t="n">
        <v>-7.22</v>
      </c>
      <c r="V308" s="31" t="n">
        <v>-0.9399999999999999</v>
      </c>
      <c r="W308" s="31" t="n">
        <v>2.29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Oligopoly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Yes</t>
        </is>
      </c>
      <c r="AC308" s="30">
        <f>IF(AB308="No",5,0)</f>
        <v/>
      </c>
      <c r="AD308" s="30" t="inlineStr">
        <is>
          <t>Headwind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No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0 to 20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1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More than 20%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Yes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Above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Between 0.7 to 1.2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IF(B309=0,"",RANK(B309,$B$2:$B$314,0))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0" t="inlineStr">
        <is>
          <t>MSPL</t>
        </is>
      </c>
      <c r="D309" s="30" t="inlineStr">
        <is>
          <t>Msp Steel &amp; Power Limited</t>
        </is>
      </c>
      <c r="E309" s="30" t="inlineStr">
        <is>
          <t>metals &amp; mining</t>
        </is>
      </c>
      <c r="F309" s="30" t="inlineStr">
        <is>
          <t>steel - medium / small</t>
        </is>
      </c>
      <c r="G309" s="30" t="inlineStr">
        <is>
          <t>smallcap</t>
        </is>
      </c>
      <c r="H309" s="31" t="n">
        <v>2332.37</v>
      </c>
      <c r="I309" s="31" t="n">
        <v>40.94</v>
      </c>
      <c r="J309" s="31" t="n">
        <v>-0.51</v>
      </c>
      <c r="K309" s="31" t="n">
        <v>3730841</v>
      </c>
      <c r="L309" s="30" t="n">
        <v>59</v>
      </c>
      <c r="M309" s="30" t="inlineStr">
        <is>
          <t>Outperforming</t>
        </is>
      </c>
      <c r="N309" s="31">
        <f>IF(M309="Underperforming",-5,IF(L309&gt;=95,15,IF(L309&gt;=90,10,IF(L309&gt;=80,5,0))))</f>
        <v/>
      </c>
      <c r="O309" s="31" t="n">
        <v>62.11</v>
      </c>
      <c r="P309" s="31" t="n">
        <v>19.59</v>
      </c>
      <c r="Q309" s="31" t="n">
        <v>32.04</v>
      </c>
      <c r="R309" s="30" t="inlineStr">
        <is>
          <t>Volume Spike &amp; Near 52W High Breakout</t>
        </is>
      </c>
      <c r="S309" s="30" t="inlineStr">
        <is>
          <t>Nifty Metal</t>
        </is>
      </c>
      <c r="T309" s="31" t="n">
        <v>42.84</v>
      </c>
      <c r="U309" s="31" t="n">
        <v>54.96</v>
      </c>
      <c r="V309" s="31" t="n">
        <v>8.49</v>
      </c>
      <c r="W309" s="31" t="n">
        <v>16.47</v>
      </c>
      <c r="X309" s="30" t="inlineStr">
        <is>
          <t>Cyclical in an Upturn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Cyclical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Volatile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Yes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0 to 20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Negative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Less than 12%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Yes</t>
        </is>
      </c>
      <c r="BS309" s="30">
        <f>IF(BR309="NO",5,0)</f>
        <v/>
      </c>
      <c r="BT309" s="30" t="inlineStr">
        <is>
          <t>Above 2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IF(B310=0,"",RANK(B310,$B$2:$B$314,0))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0" t="inlineStr">
        <is>
          <t>GUJTHEM</t>
        </is>
      </c>
      <c r="D310" s="30" t="inlineStr">
        <is>
          <t>Gujarat Themis Biosyn Ltd</t>
        </is>
      </c>
      <c r="E310" s="30" t="inlineStr">
        <is>
          <t>healthcare</t>
        </is>
      </c>
      <c r="F310" s="30" t="inlineStr">
        <is>
          <t>pharmaceuticals - indian - bulk drugs</t>
        </is>
      </c>
      <c r="G310" s="30" t="inlineStr">
        <is>
          <t>smallcap</t>
        </is>
      </c>
      <c r="H310" s="31" t="n">
        <v>4378.22</v>
      </c>
      <c r="I310" s="31" t="n">
        <v>411.65</v>
      </c>
      <c r="J310" s="31" t="n">
        <v>2.45</v>
      </c>
      <c r="K310" s="31" t="n">
        <v>236235</v>
      </c>
      <c r="L310" s="30" t="n">
        <v>52</v>
      </c>
      <c r="M310" s="30" t="inlineStr">
        <is>
          <t>Outperforming</t>
        </is>
      </c>
      <c r="N310" s="31">
        <f>IF(M310="Underperforming",-5,IF(L310&gt;=95,15,IF(L310&gt;=90,10,IF(L310&gt;=80,5,0))))</f>
        <v/>
      </c>
      <c r="O310" s="31" t="n">
        <v>61.94</v>
      </c>
      <c r="P310" s="31" t="n">
        <v>24.75</v>
      </c>
      <c r="Q310" s="31" t="n">
        <v>284.87</v>
      </c>
      <c r="R310" s="30" t="inlineStr">
        <is>
          <t>Earnings / Momentum Support</t>
        </is>
      </c>
      <c r="S310" s="30" t="inlineStr">
        <is>
          <t>Nifty Pharma</t>
        </is>
      </c>
      <c r="T310" s="31" t="n">
        <v>11.5</v>
      </c>
      <c r="U310" s="31" t="n">
        <v>27.84</v>
      </c>
      <c r="V310" s="31" t="n">
        <v>14.66</v>
      </c>
      <c r="W310" s="31" t="n">
        <v>14.55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Oligopoly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Shallow Cyclical (2 to 3 Years Growth)</t>
        </is>
      </c>
      <c r="AG310" s="30">
        <f>IF(AF310="Structural (10 Years Consistency)",10,IF(AF310="Shallow Cyclical (2 to 3 years growth)",5,0))</f>
        <v/>
      </c>
      <c r="AH310" s="30" t="inlineStr">
        <is>
          <t>Yes due to Product Mix change or Operating Leverage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Volatile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Yes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Allocated capital in Non-core Areas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Above 40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3</t>
        </is>
      </c>
      <c r="BC310" s="30">
        <f>IF(BB310="Stage 2",20,IF(BB310="Stage 1",0,IF(BB310="Stage 3",5,IF(BB310="Stage 4",-5,0))))</f>
        <v/>
      </c>
      <c r="BD310" s="30" t="inlineStr">
        <is>
          <t>Negative Trend</t>
        </is>
      </c>
      <c r="BE310" s="30">
        <f>IF(BD310="Positive Trend",20,IF(BD310="Negative Trend",-10,0))</f>
        <v/>
      </c>
      <c r="BF310" s="30" t="inlineStr">
        <is>
          <t>Sideways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Overhead supply in last 2 years in last 2 years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More than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No</t>
        </is>
      </c>
      <c r="BS310" s="30">
        <f>IF(BR310="NO",5,0)</f>
        <v/>
      </c>
      <c r="BT310" s="30" t="inlineStr">
        <is>
          <t>Less than 1.5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More than 15%</t>
        </is>
      </c>
      <c r="CC310" s="30">
        <f>IF(CB310="More than 15%",-10,IF(CB310="Less than 15%",10,0))</f>
        <v/>
      </c>
      <c r="CD310" s="30" t="inlineStr">
        <is>
          <t>Yes Upto 10%</t>
        </is>
      </c>
      <c r="CE310" s="30">
        <f>IF(CD310="Yes, more than 10%",-10,IF(CD310="No",10,0))</f>
        <v/>
      </c>
    </row>
    <row r="311">
      <c r="A311" s="30">
        <f>IF(B311=0,"",RANK(B311,$B$2:$B$314,0))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2" t="inlineStr">
        <is>
          <t>GAIL</t>
        </is>
      </c>
      <c r="D311" s="32" t="inlineStr">
        <is>
          <t>Gail (india) Limited</t>
        </is>
      </c>
      <c r="E311" s="30" t="inlineStr">
        <is>
          <t>energy</t>
        </is>
      </c>
      <c r="F311" s="30" t="inlineStr">
        <is>
          <t>miscellaneous</t>
        </is>
      </c>
      <c r="G311" s="30" t="inlineStr">
        <is>
          <t>largecap</t>
        </is>
      </c>
      <c r="H311" s="31" t="n">
        <v>107739.58</v>
      </c>
      <c r="I311" s="31" t="n">
        <v>167.55</v>
      </c>
      <c r="J311" s="31" t="n">
        <v>2.25</v>
      </c>
      <c r="K311" s="31" t="n">
        <v>11510123</v>
      </c>
      <c r="L311" s="30" t="n">
        <v>1</v>
      </c>
      <c r="M311" s="30" t="inlineStr">
        <is>
          <t>Underperforming</t>
        </is>
      </c>
      <c r="N311" s="31">
        <f>IF(M311="Underperforming",-5,IF(L311&gt;=95,15,IF(L311&gt;=90,10,IF(L311&gt;=80,5,0))))</f>
        <v/>
      </c>
      <c r="O311" s="31" t="n">
        <v>55.2</v>
      </c>
      <c r="P311" s="31" t="n">
        <v>14.72</v>
      </c>
      <c r="Q311" s="31" t="n">
        <v>140.2</v>
      </c>
      <c r="R311" s="30" t="inlineStr">
        <is>
          <t>Earnings / Momentum Support</t>
        </is>
      </c>
      <c r="S311" s="30" t="inlineStr">
        <is>
          <t>Nifty Energy</t>
        </is>
      </c>
      <c r="T311" s="31" t="n">
        <v>12.59</v>
      </c>
      <c r="U311" s="31" t="n">
        <v>-9.09</v>
      </c>
      <c r="V311" s="31" t="n">
        <v>-19.26</v>
      </c>
      <c r="W311" s="31" t="n">
        <v>-0.22</v>
      </c>
      <c r="X311" s="30" t="inlineStr">
        <is>
          <t>Cyclical in an Upturn</t>
        </is>
      </c>
      <c r="Y311" s="30">
        <f>IF(X311="Growing Industry",10,IF(X311="Cyclical in an Upturn",5,0))</f>
        <v/>
      </c>
      <c r="Z311" s="30" t="inlineStr">
        <is>
          <t>Oligopoly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Yes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Cyclical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Volatile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1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Less than 12%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IF(B312=0,"",RANK(B312,$B$2:$B$314,0))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BALAMINES</t>
        </is>
      </c>
      <c r="D312" s="30" t="inlineStr">
        <is>
          <t>Balaji Amines Limited</t>
        </is>
      </c>
      <c r="E312" s="30" t="inlineStr">
        <is>
          <t>chemicals</t>
        </is>
      </c>
      <c r="F312" s="30" t="inlineStr">
        <is>
          <t>chemicals</t>
        </is>
      </c>
      <c r="G312" s="30" t="inlineStr">
        <is>
          <t>midcap</t>
        </is>
      </c>
      <c r="H312" s="31" t="n">
        <v>6876.14</v>
      </c>
      <c r="I312" s="31" t="n">
        <v>2099.9</v>
      </c>
      <c r="J312" s="31" t="n">
        <v>-1.05</v>
      </c>
      <c r="K312" s="31" t="n">
        <v>487135</v>
      </c>
      <c r="L312" s="30" t="n">
        <v>88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81.95999999999999</v>
      </c>
      <c r="P312" s="31" t="n">
        <v>34.39</v>
      </c>
      <c r="Q312" s="31" t="n">
        <v>1582.88</v>
      </c>
      <c r="R312" s="30" t="inlineStr">
        <is>
          <t>Volume Spike &amp; Near 52W High Breakout</t>
        </is>
      </c>
      <c r="S312" s="30" t="inlineStr">
        <is>
          <t>Nifty 50</t>
        </is>
      </c>
      <c r="T312" s="31" t="n">
        <v>-6.35</v>
      </c>
      <c r="U312" s="31" t="n">
        <v>42.76</v>
      </c>
      <c r="V312" s="31" t="n">
        <v>52.44</v>
      </c>
      <c r="W312" s="31" t="n">
        <v>34.34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Duopoly That Cooperate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Headwind</t>
        </is>
      </c>
      <c r="AE312" s="30">
        <f>IF(AD312="Tailwind",10,0)</f>
        <v/>
      </c>
      <c r="AF312" s="30" t="inlineStr">
        <is>
          <t>Shallow Cyclical (2 to 3 Years Growth)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Yes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20 to 40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4</t>
        </is>
      </c>
      <c r="BC312" s="30">
        <f>IF(BB312="Stage 2",20,IF(BB312="Stage 1",0,IF(BB312="Stage 3",5,IF(BB312="Stage 4",-5,0))))</f>
        <v/>
      </c>
      <c r="BD312" s="30" t="inlineStr">
        <is>
          <t>Negative Trend</t>
        </is>
      </c>
      <c r="BE312" s="30">
        <f>IF(BD312="Positive Trend",20,IF(BD312="Negative Trend",-10,0))</f>
        <v/>
      </c>
      <c r="BF312" s="30" t="inlineStr">
        <is>
          <t>Downtrend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Overhead supply in last 2 years in last 2 years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No</t>
        </is>
      </c>
      <c r="BM312" s="30">
        <f>IF(BL312="Yes",10,0)</f>
        <v/>
      </c>
      <c r="BN312" s="30" t="inlineStr">
        <is>
          <t>More than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Yes</t>
        </is>
      </c>
      <c r="BS312" s="30">
        <f>IF(BR312="NO",5,0)</f>
        <v/>
      </c>
      <c r="BT312" s="30" t="inlineStr">
        <is>
          <t>Less than 1.5</t>
        </is>
      </c>
      <c r="BU312" s="30">
        <f>IF(BT312="Above 2",0,IF(BT312="Between 1.5 to 2",5,IF(BT312="Less than 1.5",10,0)))</f>
        <v/>
      </c>
      <c r="BV312" s="30" t="inlineStr">
        <is>
          <t>Between 50% to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IF(B313=0,"",RANK(B313,$B$2:$B$314,0))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2" t="inlineStr">
        <is>
          <t>KOVAI</t>
        </is>
      </c>
      <c r="D313" s="32" t="inlineStr">
        <is>
          <t>Kovai Medical Center &amp; Hospital Ltd</t>
        </is>
      </c>
      <c r="E313" s="30" t="inlineStr">
        <is>
          <t>healthcare</t>
        </is>
      </c>
      <c r="F313" s="30" t="inlineStr">
        <is>
          <t>healthcare</t>
        </is>
      </c>
      <c r="G313" s="30" t="inlineStr">
        <is>
          <t>midcap</t>
        </is>
      </c>
      <c r="H313" s="31" t="n">
        <v>5874.9</v>
      </c>
      <c r="I313" s="31" t="n">
        <v>5389</v>
      </c>
      <c r="J313" s="31" t="n">
        <v>0.37</v>
      </c>
      <c r="K313" s="31" t="n">
        <v>1081</v>
      </c>
      <c r="L313" s="30" t="n">
        <v>1</v>
      </c>
      <c r="M313" s="30" t="inlineStr">
        <is>
          <t>Underperforming</t>
        </is>
      </c>
      <c r="N313" s="31">
        <f>IF(M313="Underperforming",-5,IF(L313&gt;=95,15,IF(L313&gt;=90,10,IF(L313&gt;=80,5,0))))</f>
        <v/>
      </c>
      <c r="O313" s="31" t="n">
        <v>43.73</v>
      </c>
      <c r="P313" s="31" t="n">
        <v>19.97</v>
      </c>
      <c r="Q313" s="31" t="n">
        <v>4760.5</v>
      </c>
      <c r="R313" s="30" t="inlineStr">
        <is>
          <t>Earnings / Momentum Support</t>
        </is>
      </c>
      <c r="S313" s="30" t="inlineStr">
        <is>
          <t>Nifty Pharma</t>
        </is>
      </c>
      <c r="T313" s="31" t="n">
        <v>11.5</v>
      </c>
      <c r="U313" s="31" t="n">
        <v>-11.83</v>
      </c>
      <c r="V313" s="31" t="n">
        <v>-20.93</v>
      </c>
      <c r="W313" s="31" t="n">
        <v>-1.95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Yes</t>
        </is>
      </c>
      <c r="AC313" s="30">
        <f>IF(AB313="No",5,0)</f>
        <v/>
      </c>
      <c r="AD313" s="30" t="inlineStr">
        <is>
          <t>Headwind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Annuity, Lower One Time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Below 45</t>
        </is>
      </c>
      <c r="BA313" s="30">
        <f>IF(AZ313="Between 50 to 75",10,IF(AZ313="Above 75",0,0))</f>
        <v/>
      </c>
      <c r="BB313" s="30" t="inlineStr">
        <is>
          <t>Stage 4</t>
        </is>
      </c>
      <c r="BC313" s="30">
        <f>IF(BB313="Stage 2",20,IF(BB313="Stage 1",0,IF(BB313="Stage 3",5,IF(BB313="Stage 4",-5,0))))</f>
        <v/>
      </c>
      <c r="BD313" s="30" t="inlineStr">
        <is>
          <t>Negative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Between 12 to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No</t>
        </is>
      </c>
      <c r="BS313" s="30">
        <f>IF(BR313="NO",5,0)</f>
        <v/>
      </c>
      <c r="BT313" s="30" t="inlineStr">
        <is>
          <t>Between 1.5 to 2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IF(B314=0,"",RANK(B314,$B$2:$B$314,0))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TEXINFRA</t>
        </is>
      </c>
      <c r="D314" s="30" t="inlineStr">
        <is>
          <t>Texmaco Infrastructure &amp; Holdings Limited</t>
        </is>
      </c>
      <c r="E314" s="30" t="inlineStr">
        <is>
          <t>realty</t>
        </is>
      </c>
      <c r="F314" s="30" t="inlineStr">
        <is>
          <t>construction</t>
        </is>
      </c>
      <c r="G314" s="30" t="inlineStr">
        <is>
          <t>smallcap</t>
        </is>
      </c>
      <c r="H314" s="31" t="n">
        <v>1258.85</v>
      </c>
      <c r="I314" s="31" t="n">
        <v>100.55</v>
      </c>
      <c r="J314" s="31" t="n">
        <v>1.78</v>
      </c>
      <c r="K314" s="31" t="n">
        <v>243490</v>
      </c>
      <c r="L314" s="30" t="n">
        <v>4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54.06</v>
      </c>
      <c r="P314" s="31" t="n">
        <v>14.33</v>
      </c>
      <c r="Q314" s="31" t="n">
        <v>81.62</v>
      </c>
      <c r="R314" s="30" t="inlineStr">
        <is>
          <t>Earnings / Momentum Support</t>
        </is>
      </c>
      <c r="S314" s="30" t="inlineStr">
        <is>
          <t>Nifty Realty</t>
        </is>
      </c>
      <c r="T314" s="31" t="n">
        <v>-26.45</v>
      </c>
      <c r="U314" s="31" t="n">
        <v>-4.62</v>
      </c>
      <c r="V314" s="31" t="n">
        <v>29.68</v>
      </c>
      <c r="W314" s="31" t="n">
        <v>1.91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Headwind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0 to 20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1</t>
        </is>
      </c>
      <c r="BC314" s="30">
        <f>IF(BB314="Stage 2",20,IF(BB314="Stage 1",0,IF(BB314="Stage 3",5,IF(BB314="Stage 4",-5,0))))</f>
        <v/>
      </c>
      <c r="BD314" s="30" t="inlineStr">
        <is>
          <t>Negative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Less than 12%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Yes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Negative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</sheetData>
  <autoFilter ref="A1:CE314"/>
  <conditionalFormatting sqref="B2:B31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1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1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1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1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1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1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1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1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1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1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1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1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1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1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1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1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1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1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1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1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1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1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1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1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14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14">
    <cfRule type="cellIs" priority="36" operator="equal" dxfId="3" stopIfTrue="1">
      <formula>"Underperforming"</formula>
    </cfRule>
  </conditionalFormatting>
  <conditionalFormatting sqref="N2:N314">
    <cfRule type="cellIs" priority="37" operator="equal" dxfId="3" stopIfTrue="1">
      <formula>-5</formula>
    </cfRule>
  </conditionalFormatting>
  <conditionalFormatting sqref="Q2:Q314">
    <cfRule type="expression" priority="38" dxfId="0" stopIfTrue="1">
      <formula>=AND(Q2&lt;&gt;"",Q2&gt;0,I2&gt;=Q2)</formula>
    </cfRule>
    <cfRule type="expression" priority="39" dxfId="3" stopIfTrue="1">
      <formula>=AND(Q2&lt;&gt;"",Q2&gt;0,I2&lt;Q2)</formula>
    </cfRule>
  </conditionalFormatting>
  <dataValidations count="30">
    <dataValidation sqref="X2:X314" showDropDown="0" showInputMessage="0" showErrorMessage="0" allowBlank="1" type="list">
      <formula1>"Growing Industry,Stagnant Industry,Cyclical in an Upturn"</formula1>
    </dataValidation>
    <dataValidation sqref="Z2:Z31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14" showDropDown="0" showInputMessage="0" showErrorMessage="0" allowBlank="1" type="list">
      <formula1>"Yes,No"</formula1>
    </dataValidation>
    <dataValidation sqref="AD2:AD314" showDropDown="0" showInputMessage="0" showErrorMessage="0" allowBlank="1" type="list">
      <formula1>"Tailwind,Headwind"</formula1>
    </dataValidation>
    <dataValidation sqref="AF2:AF314" showDropDown="0" showInputMessage="0" showErrorMessage="0" allowBlank="1" type="list">
      <formula1>"Structural (10 Years Consistency),Shallow Cyclical (2 to 3 Years Growth),Cyclical"</formula1>
    </dataValidation>
    <dataValidation sqref="AH2:AH314" showDropDown="0" showInputMessage="0" showErrorMessage="0" allowBlank="1" type="list">
      <formula1>"Yes due to Product Mix change or Operating Leverage,Yes, these are peak margins,No"</formula1>
    </dataValidation>
    <dataValidation sqref="AJ2:AJ314" showDropDown="0" showInputMessage="0" showErrorMessage="0" allowBlank="1" type="list">
      <formula1>"Stable,Volatile"</formula1>
    </dataValidation>
    <dataValidation sqref="AL2:AL314" showDropDown="0" showInputMessage="0" showErrorMessage="0" allowBlank="1" type="list">
      <formula1>"Yes,No"</formula1>
    </dataValidation>
    <dataValidation sqref="AN2:AN314" showDropDown="0" showInputMessage="0" showErrorMessage="0" allowBlank="1" type="list">
      <formula1>"B2C,B2B,B2G"</formula1>
    </dataValidation>
    <dataValidation sqref="AP2:AP314" showDropDown="0" showInputMessage="0" showErrorMessage="0" allowBlank="1" type="list">
      <formula1>"Yes,No"</formula1>
    </dataValidation>
    <dataValidation sqref="AR2:AR314" showDropDown="0" showInputMessage="0" showErrorMessage="0" allowBlank="1" type="list">
      <formula1>"Fully Annuity,Higher Annuity, Lower One time,Higher One Time, Lower Annuity,Fully One Time"</formula1>
    </dataValidation>
    <dataValidation sqref="AT2:AT314" showDropDown="0" showInputMessage="0" showErrorMessage="0" allowBlank="1" type="list">
      <formula1>"Good,Allocated capital in Non-core Areas"</formula1>
    </dataValidation>
    <dataValidation sqref="AV2:AV314" showDropDown="0" showInputMessage="0" showErrorMessage="0" allowBlank="1" type="list">
      <formula1>"Yes for more than 2 years,Yes only for next 1 to 2 years,No"</formula1>
    </dataValidation>
    <dataValidation sqref="AX2:AX314" showDropDown="0" showInputMessage="0" showErrorMessage="0" allowBlank="1" type="list">
      <formula1>"Above 40,20 to 40,0 to 20"</formula1>
    </dataValidation>
    <dataValidation sqref="AZ2:AZ314" showDropDown="0" showInputMessage="0" showErrorMessage="0" allowBlank="1" type="list">
      <formula1>"Between 50 to 75,Above 75,Below 45"</formula1>
    </dataValidation>
    <dataValidation sqref="BB2:BB314" showDropDown="0" showInputMessage="0" showErrorMessage="0" allowBlank="1" type="list">
      <formula1>"Stage 1,Stage 2,Stage 3,Stage 4"</formula1>
    </dataValidation>
    <dataValidation sqref="BD2:BD314" showDropDown="0" showInputMessage="0" showErrorMessage="0" allowBlank="1" type="list">
      <formula1>"Positive Trend,Negative Trend"</formula1>
    </dataValidation>
    <dataValidation sqref="BF2:BF314" showDropDown="0" showInputMessage="0" showErrorMessage="0" allowBlank="1" type="list">
      <formula1>"Uptrend,Sideways,Downtrend"</formula1>
    </dataValidation>
    <dataValidation sqref="BH2:BH314" showDropDown="0" showInputMessage="0" showErrorMessage="0" allowBlank="1" type="list">
      <formula1>"Uptrend,Sideways,Downtrend"</formula1>
    </dataValidation>
    <dataValidation sqref="BJ2:BJ31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14" showDropDown="0" showInputMessage="0" showErrorMessage="0" allowBlank="1" type="list">
      <formula1>"Yes,No"</formula1>
    </dataValidation>
    <dataValidation sqref="BN2:BN314" showDropDown="0" showInputMessage="0" showErrorMessage="0" allowBlank="1" type="list">
      <formula1>"More than 20%,Between 12 to 20%,Less than 12%"</formula1>
    </dataValidation>
    <dataValidation sqref="BP2:BP314" showDropDown="0" showInputMessage="0" showErrorMessage="0" allowBlank="1" type="list">
      <formula1>"Yes,No"</formula1>
    </dataValidation>
    <dataValidation sqref="BR2:BR314" showDropDown="0" showInputMessage="0" showErrorMessage="0" allowBlank="1" type="list">
      <formula1>"Yes,No"</formula1>
    </dataValidation>
    <dataValidation sqref="BT2:BT314" showDropDown="0" showInputMessage="0" showErrorMessage="0" allowBlank="1" type="list">
      <formula1>"Above 2,Between 1.5 to 2,Less than 1.5"</formula1>
    </dataValidation>
    <dataValidation sqref="BV2:BV314" showDropDown="0" showInputMessage="0" showErrorMessage="0" allowBlank="1" type="list">
      <formula1>"Above 70%,Between 50% to 70%,Less than 50%,Less than 50% and Borrowings are increasing,Negative"</formula1>
    </dataValidation>
    <dataValidation sqref="BX2:BX314" showDropDown="0" showInputMessage="0" showErrorMessage="0" allowBlank="1" type="list">
      <formula1>"More than 1.2,Between 0.7 to 1.2,Less than 0.7"</formula1>
    </dataValidation>
    <dataValidation sqref="BZ2:BZ314" showDropDown="0" showInputMessage="0" showErrorMessage="0" allowBlank="1" type="list">
      <formula1>"Yes,No"</formula1>
    </dataValidation>
    <dataValidation sqref="CB2:CB314" showDropDown="0" showInputMessage="0" showErrorMessage="0" allowBlank="1" type="list">
      <formula1>"More than 15%,Less than 15%"</formula1>
    </dataValidation>
    <dataValidation sqref="CD2:CD31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3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IF(B2=0,"",RANK(B2,$B$2:$B$32,0))</f>
        <v/>
      </c>
      <c r="B2" s="31">
        <f>SUM(N2,Y2,AA2,AC2,AE2,AG2,AI2,AK2,AM2,AO2,AQ2,AS2,AU2,AW2,AY2,BA2,BC2,BE2,BG2,BI2,BK2,BM2,BO2,BQ2,BS2,BU2,BW2,BY2,CA2)</f>
        <v/>
      </c>
      <c r="C2" s="30" t="inlineStr">
        <is>
          <t>FEDFINA</t>
        </is>
      </c>
      <c r="D2" s="30" t="inlineStr">
        <is>
          <t>Fedbank Financial Services Ltd</t>
        </is>
      </c>
      <c r="E2" s="30" t="inlineStr">
        <is>
          <t>financials</t>
        </is>
      </c>
      <c r="F2" s="30" t="inlineStr">
        <is>
          <t>finance &amp; investments</t>
        </is>
      </c>
      <c r="G2" s="30" t="inlineStr">
        <is>
          <t>midcap</t>
        </is>
      </c>
      <c r="H2" s="31" t="n">
        <v>5875.41</v>
      </c>
      <c r="I2" s="31" t="n">
        <v>162.05</v>
      </c>
      <c r="J2" s="31" t="n">
        <v>3.21</v>
      </c>
      <c r="K2" s="31" t="n">
        <v>663731</v>
      </c>
      <c r="L2" s="30" t="n">
        <v>58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66</v>
      </c>
      <c r="P2" s="31" t="n">
        <v>21.35</v>
      </c>
      <c r="Q2" s="31" t="n">
        <v>125.06</v>
      </c>
      <c r="R2" s="30" t="inlineStr">
        <is>
          <t>Near 52W High Breakout</t>
        </is>
      </c>
      <c r="S2" s="30" t="inlineStr">
        <is>
          <t>Nifty Bank</t>
        </is>
      </c>
      <c r="T2" s="31" t="n">
        <v>-4.01</v>
      </c>
      <c r="U2" s="31" t="n">
        <v>55.68</v>
      </c>
      <c r="V2" s="31" t="n">
        <v>62.19</v>
      </c>
      <c r="W2" s="31" t="n">
        <v>16.1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IF(B3=0,"",RANK(B3,$B$2:$B$32,0))</f>
        <v/>
      </c>
      <c r="B3" s="31">
        <f>SUM(N3,Y3,AA3,AC3,AE3,AG3,AI3,AK3,AM3,AO3,AQ3,AS3,AU3,AW3,AY3,BA3,BC3,BE3,BG3,BI3,BK3,BM3,BO3,BQ3,BS3,BU3,BW3,BY3,CA3)</f>
        <v/>
      </c>
      <c r="C3" s="30" t="inlineStr">
        <is>
          <t>RBLBANK</t>
        </is>
      </c>
      <c r="D3" s="30" t="inlineStr">
        <is>
          <t>Rbl Bank Limited</t>
        </is>
      </c>
      <c r="E3" s="30" t="inlineStr">
        <is>
          <t>bank</t>
        </is>
      </c>
      <c r="F3" s="30" t="inlineStr">
        <is>
          <t>banks - private sector</t>
        </is>
      </c>
      <c r="G3" s="30" t="inlineStr">
        <is>
          <t>largecap</t>
        </is>
      </c>
      <c r="H3" s="31" t="n">
        <v>21522.64</v>
      </c>
      <c r="I3" s="31" t="n">
        <v>353.75</v>
      </c>
      <c r="J3" s="31" t="n">
        <v>1.59</v>
      </c>
      <c r="K3" s="31" t="n">
        <v>5254858</v>
      </c>
      <c r="L3" s="30" t="n">
        <v>51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66.05</v>
      </c>
      <c r="P3" s="31" t="n">
        <v>27.24</v>
      </c>
      <c r="Q3" s="31" t="n">
        <v>292.3</v>
      </c>
      <c r="R3" s="30" t="inlineStr">
        <is>
          <t>Near 52W High Breakout</t>
        </is>
      </c>
      <c r="S3" s="30" t="inlineStr">
        <is>
          <t>Nifty Bank</t>
        </is>
      </c>
      <c r="T3" s="31" t="n">
        <v>-4.01</v>
      </c>
      <c r="U3" s="31" t="n">
        <v>63.14</v>
      </c>
      <c r="V3" s="31" t="n">
        <v>69.95999999999999</v>
      </c>
      <c r="W3" s="31" t="n">
        <v>14.05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IF(B4=0,"",RANK(B4,$B$2:$B$32,0))</f>
        <v/>
      </c>
      <c r="B4" s="31">
        <f>SUM(N4,Y4,AA4,AC4,AE4,AG4,AI4,AK4,AM4,AO4,AQ4,AS4,AU4,AW4,AY4,BA4,BC4,BE4,BG4,BI4,BK4,BM4,BO4,BQ4,BS4,BU4,BW4,BY4,CA4)</f>
        <v/>
      </c>
      <c r="C4" s="30" t="inlineStr">
        <is>
          <t>TMB</t>
        </is>
      </c>
      <c r="D4" s="30" t="inlineStr">
        <is>
          <t>Tamilnad Mercantile Bank Ltd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midcap</t>
        </is>
      </c>
      <c r="H4" s="31" t="n">
        <v>11725.13</v>
      </c>
      <c r="I4" s="31" t="n">
        <v>748.1</v>
      </c>
      <c r="J4" s="31" t="n">
        <v>1.03</v>
      </c>
      <c r="K4" s="31" t="n">
        <v>232194</v>
      </c>
      <c r="L4" s="30" t="n">
        <v>56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66.36</v>
      </c>
      <c r="P4" s="31" t="n">
        <v>29.63</v>
      </c>
      <c r="Q4" s="31" t="n">
        <v>589.3</v>
      </c>
      <c r="R4" s="30" t="inlineStr">
        <is>
          <t>Near 52W High Breakout</t>
        </is>
      </c>
      <c r="S4" s="30" t="inlineStr">
        <is>
          <t>Nifty Bank</t>
        </is>
      </c>
      <c r="T4" s="31" t="n">
        <v>-4.01</v>
      </c>
      <c r="U4" s="31" t="n">
        <v>68.12</v>
      </c>
      <c r="V4" s="31" t="n">
        <v>75.14</v>
      </c>
      <c r="W4" s="31" t="n">
        <v>15.34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IF(B5=0,"",RANK(B5,$B$2:$B$32,0))</f>
        <v/>
      </c>
      <c r="B5" s="31">
        <f>SUM(N5,Y5,AA5,AC5,AE5,AG5,AI5,AK5,AM5,AO5,AQ5,AS5,AU5,AW5,AY5,BA5,BC5,BE5,BG5,BI5,BK5,BM5,BO5,BQ5,BS5,BU5,BW5,BY5,CA5)</f>
        <v/>
      </c>
      <c r="C5" s="30" t="inlineStr">
        <is>
          <t>DHANBANK</t>
        </is>
      </c>
      <c r="D5" s="30" t="inlineStr">
        <is>
          <t>Dhanlaxmi Bank Limited</t>
        </is>
      </c>
      <c r="E5" s="30" t="inlineStr">
        <is>
          <t>bank</t>
        </is>
      </c>
      <c r="F5" s="30" t="inlineStr">
        <is>
          <t>banks - private sector</t>
        </is>
      </c>
      <c r="G5" s="30" t="inlineStr">
        <is>
          <t>smallcap</t>
        </is>
      </c>
      <c r="H5" s="31" t="n">
        <v>1341.58</v>
      </c>
      <c r="I5" s="31" t="n">
        <v>33.87</v>
      </c>
      <c r="J5" s="31" t="n">
        <v>-0.35</v>
      </c>
      <c r="K5" s="31" t="n">
        <v>1367599</v>
      </c>
      <c r="L5" s="30" t="n">
        <v>46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71.01000000000001</v>
      </c>
      <c r="P5" s="31" t="n">
        <v>28.77</v>
      </c>
      <c r="Q5" s="31" t="n">
        <v>25.85</v>
      </c>
      <c r="R5" s="30" t="inlineStr">
        <is>
          <t>Near 52W High Breakout</t>
        </is>
      </c>
      <c r="S5" s="30" t="inlineStr">
        <is>
          <t>Nifty Bank</t>
        </is>
      </c>
      <c r="T5" s="31" t="n">
        <v>-4.01</v>
      </c>
      <c r="U5" s="31" t="n">
        <v>6.81</v>
      </c>
      <c r="V5" s="31" t="n">
        <v>11.28</v>
      </c>
      <c r="W5" s="31" t="n">
        <v>12.5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IF(B6=0,"",RANK(B6,$B$2:$B$32,0))</f>
        <v/>
      </c>
      <c r="B6" s="31">
        <f>SUM(N6,Y6,AA6,AC6,AE6,AG6,AI6,AK6,AM6,AO6,AQ6,AS6,AU6,AW6,AY6,BA6,BC6,BE6,BG6,BI6,BK6,BM6,BO6,BQ6,BS6,BU6,BW6,BY6,CA6)</f>
        <v/>
      </c>
      <c r="C6" s="30" t="inlineStr">
        <is>
          <t>J&amp;KBANK</t>
        </is>
      </c>
      <c r="D6" s="30" t="inlineStr">
        <is>
          <t>The Jammu &amp; Kashmir Bank Limited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midcap</t>
        </is>
      </c>
      <c r="H6" s="31" t="n">
        <v>16369.08</v>
      </c>
      <c r="I6" s="31" t="n">
        <v>147.68</v>
      </c>
      <c r="J6" s="31" t="n">
        <v>-0.65</v>
      </c>
      <c r="K6" s="31" t="n">
        <v>4046091</v>
      </c>
      <c r="L6" s="30" t="n">
        <v>47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69.59999999999999</v>
      </c>
      <c r="P6" s="31" t="n">
        <v>48.37</v>
      </c>
      <c r="Q6" s="31" t="n">
        <v>116.79</v>
      </c>
      <c r="R6" s="30" t="inlineStr">
        <is>
          <t>Near 52W High Breakout</t>
        </is>
      </c>
      <c r="S6" s="30" t="inlineStr">
        <is>
          <t>Nifty Bank</t>
        </is>
      </c>
      <c r="T6" s="31" t="n">
        <v>-4.01</v>
      </c>
      <c r="U6" s="31" t="n">
        <v>41.05</v>
      </c>
      <c r="V6" s="31" t="n">
        <v>46.95</v>
      </c>
      <c r="W6" s="31" t="n">
        <v>12.52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less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Above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IF(B7=0,"",RANK(B7,$B$2:$B$32,0))</f>
        <v/>
      </c>
      <c r="B7" s="31">
        <f>SUM(N7,Y7,AA7,AC7,AE7,AG7,AI7,AK7,AM7,AO7,AQ7,AS7,AU7,AW7,AY7,BA7,BC7,BE7,BG7,BI7,BK7,BM7,BO7,BQ7,BS7,BU7,BW7,BY7,CA7)</f>
        <v/>
      </c>
      <c r="C7" s="30" t="inlineStr">
        <is>
          <t>NORTHARC</t>
        </is>
      </c>
      <c r="D7" s="30" t="inlineStr">
        <is>
          <t>Northern ARC Capital Ltd</t>
        </is>
      </c>
      <c r="E7" s="30" t="inlineStr">
        <is>
          <t>financials</t>
        </is>
      </c>
      <c r="F7" s="30" t="inlineStr">
        <is>
          <t>finance &amp; investments</t>
        </is>
      </c>
      <c r="G7" s="30" t="inlineStr">
        <is>
          <t>smallcap</t>
        </is>
      </c>
      <c r="H7" s="31" t="n">
        <v>4734.86</v>
      </c>
      <c r="I7" s="31" t="n">
        <v>290.3</v>
      </c>
      <c r="J7" s="31" t="n">
        <v>-0.9399999999999999</v>
      </c>
      <c r="K7" s="31" t="n">
        <v>1051408</v>
      </c>
      <c r="L7" s="30" t="n">
        <v>39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63.47</v>
      </c>
      <c r="P7" s="31" t="n">
        <v>29.23</v>
      </c>
      <c r="Q7" s="31" t="n">
        <v>222.37</v>
      </c>
      <c r="R7" s="30" t="inlineStr">
        <is>
          <t>Near 52W High Breakout</t>
        </is>
      </c>
      <c r="S7" s="30" t="inlineStr">
        <is>
          <t>Nifty Bank</t>
        </is>
      </c>
      <c r="T7" s="31" t="n">
        <v>-4.01</v>
      </c>
      <c r="U7" s="31" t="n">
        <v>33.67</v>
      </c>
      <c r="V7" s="31" t="n">
        <v>39.26</v>
      </c>
      <c r="W7" s="31" t="n">
        <v>10.6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IF(B8=0,"",RANK(B8,$B$2:$B$32,0))</f>
        <v/>
      </c>
      <c r="B8" s="31">
        <f>SUM(N8,Y8,AA8,AC8,AE8,AG8,AI8,AK8,AM8,AO8,AQ8,AS8,AU8,AW8,AY8,BA8,BC8,BE8,BG8,BI8,BK8,BM8,BO8,BQ8,BS8,BU8,BW8,BY8,CA8)</f>
        <v/>
      </c>
      <c r="C8" s="30" t="inlineStr">
        <is>
          <t>WELINV</t>
        </is>
      </c>
      <c r="D8" s="30" t="inlineStr">
        <is>
          <t>Welspun Investments And Commercials Limited</t>
        </is>
      </c>
      <c r="E8" s="30" t="inlineStr">
        <is>
          <t>financials</t>
        </is>
      </c>
      <c r="F8" s="30" t="inlineStr">
        <is>
          <t>finance &amp; investments</t>
        </is>
      </c>
      <c r="G8" s="30" t="inlineStr">
        <is>
          <t>smallcap</t>
        </is>
      </c>
      <c r="H8" s="31" t="n">
        <v>678.97</v>
      </c>
      <c r="I8" s="31" t="n">
        <v>1773.8</v>
      </c>
      <c r="J8" s="31" t="n">
        <v>-4.53</v>
      </c>
      <c r="K8" s="31" t="n">
        <v>33</v>
      </c>
      <c r="L8" s="30" t="n">
        <v>65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71.09</v>
      </c>
      <c r="P8" s="31" t="n">
        <v>40.7</v>
      </c>
      <c r="Q8" s="31" t="n">
        <v>1417.85</v>
      </c>
      <c r="R8" s="30" t="inlineStr">
        <is>
          <t>Earnings / Momentum Support</t>
        </is>
      </c>
      <c r="S8" s="30" t="inlineStr">
        <is>
          <t>Nifty Bank</t>
        </is>
      </c>
      <c r="T8" s="31" t="n">
        <v>-4.01</v>
      </c>
      <c r="U8" s="31" t="n">
        <v>52.07</v>
      </c>
      <c r="V8" s="31" t="n">
        <v>58.43</v>
      </c>
      <c r="W8" s="31" t="n">
        <v>18.27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No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Above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IF(B9=0,"",RANK(B9,$B$2:$B$32,0))</f>
        <v/>
      </c>
      <c r="B9" s="31">
        <f>SUM(N9,Y9,AA9,AC9,AE9,AG9,AI9,AK9,AM9,AO9,AQ9,AS9,AU9,AW9,AY9,BA9,BC9,BE9,BG9,BI9,BK9,BM9,BO9,BQ9,BS9,BU9,BW9,BY9,CA9)</f>
        <v/>
      </c>
      <c r="C9" s="30" t="inlineStr">
        <is>
          <t>SATIN</t>
        </is>
      </c>
      <c r="D9" s="30" t="inlineStr">
        <is>
          <t>Satin Creditcare Network Limited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smallcap</t>
        </is>
      </c>
      <c r="H9" s="31" t="n">
        <v>2598.83</v>
      </c>
      <c r="I9" s="31" t="n">
        <v>241.93</v>
      </c>
      <c r="J9" s="31" t="n">
        <v>2.84</v>
      </c>
      <c r="K9" s="31" t="n">
        <v>2487322</v>
      </c>
      <c r="L9" s="30" t="n">
        <v>74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77.25</v>
      </c>
      <c r="P9" s="31" t="n">
        <v>37.11</v>
      </c>
      <c r="Q9" s="31" t="n">
        <v>189.94</v>
      </c>
      <c r="R9" s="30" t="inlineStr">
        <is>
          <t>Near 52W High Breakout</t>
        </is>
      </c>
      <c r="S9" s="30" t="inlineStr">
        <is>
          <t>Nifty Bank</t>
        </is>
      </c>
      <c r="T9" s="31" t="n">
        <v>-4.01</v>
      </c>
      <c r="U9" s="31" t="n">
        <v>53.21</v>
      </c>
      <c r="V9" s="31" t="n">
        <v>59.61</v>
      </c>
      <c r="W9" s="31" t="n">
        <v>23.26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Above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IF(B10=0,"",RANK(B10,$B$2:$B$32,0))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FEDERALBNK</t>
        </is>
      </c>
      <c r="D10" s="30" t="inlineStr">
        <is>
          <t>The Federal Bank  Limited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largecap</t>
        </is>
      </c>
      <c r="H10" s="31" t="n">
        <v>74187.22</v>
      </c>
      <c r="I10" s="31" t="n">
        <v>300.1</v>
      </c>
      <c r="J10" s="31" t="n">
        <v>-0.32</v>
      </c>
      <c r="K10" s="31" t="n">
        <v>11947303</v>
      </c>
      <c r="L10" s="30" t="n">
        <v>35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62.86</v>
      </c>
      <c r="P10" s="31" t="n">
        <v>19.64</v>
      </c>
      <c r="Q10" s="31" t="n">
        <v>253.53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-4.01</v>
      </c>
      <c r="U10" s="31" t="n">
        <v>45.31</v>
      </c>
      <c r="V10" s="31" t="n">
        <v>51.38</v>
      </c>
      <c r="W10" s="31" t="n">
        <v>9.66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0 to 20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IF(B11=0,"",RANK(B11,$B$2:$B$32,0))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STARHEALTH</t>
        </is>
      </c>
      <c r="D11" s="30" t="inlineStr">
        <is>
          <t>Star Health &amp; Allied Insurance Company Ltd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largecap</t>
        </is>
      </c>
      <c r="H11" s="31" t="n">
        <v>31188.33</v>
      </c>
      <c r="I11" s="31" t="n">
        <v>526.25</v>
      </c>
      <c r="J11" s="31" t="n">
        <v>-0.72</v>
      </c>
      <c r="K11" s="31" t="n">
        <v>222957</v>
      </c>
      <c r="L11" s="30" t="n">
        <v>17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62.63</v>
      </c>
      <c r="P11" s="31" t="n">
        <v>23.71</v>
      </c>
      <c r="Q11" s="31" t="n">
        <v>434.55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-4.01</v>
      </c>
      <c r="U11" s="31" t="n">
        <v>11.97</v>
      </c>
      <c r="V11" s="31" t="n">
        <v>16.65</v>
      </c>
      <c r="W11" s="31" t="n">
        <v>5.45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IF(B12=0,"",RANK(B12,$B$2:$B$32,0))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RANEHOLDIN</t>
        </is>
      </c>
      <c r="D12" s="30" t="inlineStr">
        <is>
          <t>Rane Holdings Limited</t>
        </is>
      </c>
      <c r="E12" s="30" t="inlineStr">
        <is>
          <t>financials</t>
        </is>
      </c>
      <c r="F12" s="30" t="inlineStr">
        <is>
          <t>finance &amp; investments</t>
        </is>
      </c>
      <c r="G12" s="30" t="inlineStr">
        <is>
          <t>smallcap</t>
        </is>
      </c>
      <c r="H12" s="31" t="n">
        <v>2118.54</v>
      </c>
      <c r="I12" s="31" t="n">
        <v>1459.4</v>
      </c>
      <c r="J12" s="31" t="n">
        <v>-1.64</v>
      </c>
      <c r="K12" s="31" t="n">
        <v>40357</v>
      </c>
      <c r="L12" s="30" t="n">
        <v>10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61.66</v>
      </c>
      <c r="P12" s="31" t="n">
        <v>24.35</v>
      </c>
      <c r="Q12" s="31" t="n">
        <v>1070.79</v>
      </c>
      <c r="R12" s="30" t="inlineStr">
        <is>
          <t>Earnings / Momentum Support</t>
        </is>
      </c>
      <c r="S12" s="30" t="inlineStr">
        <is>
          <t>Nifty Bank</t>
        </is>
      </c>
      <c r="T12" s="31" t="n">
        <v>-4.01</v>
      </c>
      <c r="U12" s="31" t="n">
        <v>-3.86</v>
      </c>
      <c r="V12" s="31" t="n">
        <v>0.16</v>
      </c>
      <c r="W12" s="31" t="n">
        <v>3.92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No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IF(B13=0,"",RANK(B13,$B$2:$B$32,0))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CONSOFINVT</t>
        </is>
      </c>
      <c r="D13" s="30" t="inlineStr">
        <is>
          <t>Consolidated Finvest &amp; Holdings Limited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smallcap</t>
        </is>
      </c>
      <c r="H13" s="31" t="n">
        <v>785.4299999999999</v>
      </c>
      <c r="I13" s="31" t="n">
        <v>238.68</v>
      </c>
      <c r="J13" s="31" t="n">
        <v>-1.77</v>
      </c>
      <c r="K13" s="31" t="n">
        <v>4986</v>
      </c>
      <c r="L13" s="30" t="n">
        <v>20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65.54000000000001</v>
      </c>
      <c r="P13" s="31" t="n">
        <v>23.63</v>
      </c>
      <c r="Q13" s="31" t="n">
        <v>185.74</v>
      </c>
      <c r="R13" s="30" t="inlineStr">
        <is>
          <t>Volume Spike &amp; Near 52W High Breakout</t>
        </is>
      </c>
      <c r="S13" s="30" t="inlineStr">
        <is>
          <t>Nifty Bank</t>
        </is>
      </c>
      <c r="T13" s="31" t="n">
        <v>-4.01</v>
      </c>
      <c r="U13" s="31" t="n">
        <v>19.41</v>
      </c>
      <c r="V13" s="31" t="n">
        <v>24.4</v>
      </c>
      <c r="W13" s="31" t="n">
        <v>6.05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less than 2.5x and Growth less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IF(B14=0,"",RANK(B14,$B$2:$B$32,0))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HEALTHX</t>
        </is>
      </c>
      <c r="D14" s="30" t="inlineStr">
        <is>
          <t>Health X Platform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961</v>
      </c>
      <c r="I14" s="31" t="n">
        <v>303</v>
      </c>
      <c r="J14" s="31" t="n">
        <v>0.3</v>
      </c>
      <c r="K14" s="31" t="n">
        <v>5084</v>
      </c>
      <c r="L14" s="30" t="n">
        <v>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56.12</v>
      </c>
      <c r="P14" s="31" t="n">
        <v>14.77</v>
      </c>
      <c r="Q14" s="31" t="n">
        <v>232.96</v>
      </c>
      <c r="R14" s="30" t="inlineStr">
        <is>
          <t>Volume Spike / Accumulation</t>
        </is>
      </c>
      <c r="S14" s="30" t="inlineStr">
        <is>
          <t>Nifty Bank</t>
        </is>
      </c>
      <c r="T14" s="31" t="n">
        <v>-4.01</v>
      </c>
      <c r="U14" s="31" t="n">
        <v>9.029999999999999</v>
      </c>
      <c r="V14" s="31" t="n">
        <v>13.59</v>
      </c>
      <c r="W14" s="31" t="n">
        <v>3.59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0 to 20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IF(B15=0,"",RANK(B15,$B$2:$B$32,0))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NAM-INDIA</t>
        </is>
      </c>
      <c r="D15" s="30" t="inlineStr">
        <is>
          <t>Nippon Life India Asset Management Ltd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largecap</t>
        </is>
      </c>
      <c r="H15" s="31" t="n">
        <v>68776.14</v>
      </c>
      <c r="I15" s="31" t="n">
        <v>1129.1</v>
      </c>
      <c r="J15" s="31" t="n">
        <v>4.76</v>
      </c>
      <c r="K15" s="31" t="n">
        <v>2576570</v>
      </c>
      <c r="L15" s="30" t="n">
        <v>53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69.27</v>
      </c>
      <c r="P15" s="31" t="n">
        <v>25.17</v>
      </c>
      <c r="Q15" s="31" t="n">
        <v>886.89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-4.01</v>
      </c>
      <c r="U15" s="31" t="n">
        <v>46.13</v>
      </c>
      <c r="V15" s="31" t="n">
        <v>52.23</v>
      </c>
      <c r="W15" s="31" t="n">
        <v>14.69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above 5x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IF(B16=0,"",RANK(B16,$B$2:$B$32,0))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PAISALO</t>
        </is>
      </c>
      <c r="D16" s="30" t="inlineStr">
        <is>
          <t>Paisalo Digital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smallcap</t>
        </is>
      </c>
      <c r="H16" s="31" t="n">
        <v>4904.14</v>
      </c>
      <c r="I16" s="31" t="n">
        <v>55.37</v>
      </c>
      <c r="J16" s="31" t="n">
        <v>2.69</v>
      </c>
      <c r="K16" s="31" t="n">
        <v>10904882</v>
      </c>
      <c r="L16" s="30" t="n">
        <v>83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74.37</v>
      </c>
      <c r="P16" s="31" t="n">
        <v>28.81</v>
      </c>
      <c r="Q16" s="31" t="n">
        <v>43.11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-4.01</v>
      </c>
      <c r="U16" s="31" t="n">
        <v>74.90000000000001</v>
      </c>
      <c r="V16" s="31" t="n">
        <v>82.20999999999999</v>
      </c>
      <c r="W16" s="31" t="n">
        <v>27.56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between 2.5x to 5x and Growth less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IF(B17=0,"",RANK(B17,$B$2:$B$32,0))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BSE</t>
        </is>
      </c>
      <c r="D17" s="30" t="inlineStr">
        <is>
          <t>BSE (Bombay stock exchange) Ltd</t>
        </is>
      </c>
      <c r="E17" s="30" t="inlineStr">
        <is>
          <t>financials</t>
        </is>
      </c>
      <c r="F17" s="30" t="inlineStr">
        <is>
          <t>miscellaneous</t>
        </is>
      </c>
      <c r="G17" s="30" t="inlineStr">
        <is>
          <t>largecap</t>
        </is>
      </c>
      <c r="H17" s="31" t="n">
        <v>161770.9</v>
      </c>
      <c r="I17" s="31" t="n">
        <v>4033.4</v>
      </c>
      <c r="J17" s="31" t="n">
        <v>1.7</v>
      </c>
      <c r="K17" s="31" t="n">
        <v>4245472</v>
      </c>
      <c r="L17" s="30" t="n">
        <v>65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73</v>
      </c>
      <c r="P17" s="31" t="n">
        <v>28.83</v>
      </c>
      <c r="Q17" s="31" t="n">
        <v>3366.19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-4.01</v>
      </c>
      <c r="U17" s="31" t="n">
        <v>37.51</v>
      </c>
      <c r="V17" s="31" t="n">
        <v>43.26</v>
      </c>
      <c r="W17" s="31" t="n">
        <v>18.27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above 5x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IF(B18=0,"",RANK(B18,$B$2:$B$32,0))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OFSS</t>
        </is>
      </c>
      <c r="D18" s="30" t="inlineStr">
        <is>
          <t>Oracle Financial Services Software Limited</t>
        </is>
      </c>
      <c r="E18" s="30" t="inlineStr">
        <is>
          <t>i.t</t>
        </is>
      </c>
      <c r="F18" s="30" t="inlineStr">
        <is>
          <t>computers - software - large</t>
        </is>
      </c>
      <c r="G18" s="30" t="inlineStr">
        <is>
          <t>largecap</t>
        </is>
      </c>
      <c r="H18" s="31" t="n">
        <v>87013.37</v>
      </c>
      <c r="I18" s="31" t="n">
        <v>10098</v>
      </c>
      <c r="J18" s="31" t="n">
        <v>1.01</v>
      </c>
      <c r="K18" s="31" t="n">
        <v>277226</v>
      </c>
      <c r="L18" s="30" t="n">
        <v>60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72.77</v>
      </c>
      <c r="P18" s="31" t="n">
        <v>36.84</v>
      </c>
      <c r="Q18" s="31" t="n">
        <v>8128.29</v>
      </c>
      <c r="R18" s="30" t="inlineStr">
        <is>
          <t>Near 52W High Breakout</t>
        </is>
      </c>
      <c r="S18" s="30" t="inlineStr">
        <is>
          <t>Nifty IT</t>
        </is>
      </c>
      <c r="T18" s="31" t="n">
        <v>-21.44</v>
      </c>
      <c r="U18" s="31" t="n">
        <v>20.06</v>
      </c>
      <c r="V18" s="31" t="n">
        <v>52.81</v>
      </c>
      <c r="W18" s="31" t="n">
        <v>17.2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above 5x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Close to 52 week high or retracement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IF(B19=0,"",RANK(B19,$B$2:$B$32,0))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ANGELONE</t>
        </is>
      </c>
      <c r="D19" s="30" t="inlineStr">
        <is>
          <t>Angel One Ltd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largecap</t>
        </is>
      </c>
      <c r="H19" s="31" t="n">
        <v>30491.01</v>
      </c>
      <c r="I19" s="31" t="n">
        <v>337.7</v>
      </c>
      <c r="J19" s="31" t="n">
        <v>0.88</v>
      </c>
      <c r="K19" s="31" t="n">
        <v>6699518</v>
      </c>
      <c r="L19" s="30" t="n">
        <v>58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65.14</v>
      </c>
      <c r="P19" s="31" t="n">
        <v>26.63</v>
      </c>
      <c r="Q19" s="31" t="n">
        <v>259.54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-4.01</v>
      </c>
      <c r="U19" s="31" t="n">
        <v>6.67</v>
      </c>
      <c r="V19" s="31" t="n">
        <v>11.13</v>
      </c>
      <c r="W19" s="31" t="n">
        <v>16.02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above 5x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Blue sky scenario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IF(B20=0,"",RANK(B20,$B$2:$B$32,0))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MONARCH</t>
        </is>
      </c>
      <c r="D20" s="30" t="inlineStr">
        <is>
          <t>Monarch Networth Capital Ltd</t>
        </is>
      </c>
      <c r="E20" s="30" t="inlineStr">
        <is>
          <t>financials</t>
        </is>
      </c>
      <c r="F20" s="30" t="inlineStr">
        <is>
          <t>finance &amp; investments</t>
        </is>
      </c>
      <c r="G20" s="30" t="inlineStr">
        <is>
          <t>smallcap</t>
        </is>
      </c>
      <c r="H20" s="31" t="n">
        <v>2685.61</v>
      </c>
      <c r="I20" s="31" t="n">
        <v>339.15</v>
      </c>
      <c r="J20" s="31" t="n">
        <v>0.1</v>
      </c>
      <c r="K20" s="31" t="n">
        <v>160036</v>
      </c>
      <c r="L20" s="30" t="n">
        <v>32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62.99</v>
      </c>
      <c r="P20" s="31" t="n">
        <v>20.84</v>
      </c>
      <c r="Q20" s="31" t="n">
        <v>267.24</v>
      </c>
      <c r="R20" s="30" t="inlineStr">
        <is>
          <t>Earnings / Momentum Support</t>
        </is>
      </c>
      <c r="S20" s="30" t="inlineStr">
        <is>
          <t>Nifty Bank</t>
        </is>
      </c>
      <c r="T20" s="31" t="n">
        <v>-4.01</v>
      </c>
      <c r="U20" s="31" t="n">
        <v>5.14</v>
      </c>
      <c r="V20" s="31" t="n">
        <v>9.529999999999999</v>
      </c>
      <c r="W20" s="31" t="n">
        <v>8.31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No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between 2.5x to 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IF(B21=0,"",RANK(B21,$B$2:$B$32,0))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SAMMAANCAP</t>
        </is>
      </c>
      <c r="D21" s="30" t="inlineStr">
        <is>
          <t>Sammaan Capital Ltd</t>
        </is>
      </c>
      <c r="E21" s="30" t="inlineStr">
        <is>
          <t>financials</t>
        </is>
      </c>
      <c r="F21" s="30" t="inlineStr">
        <is>
          <t>finance - housing</t>
        </is>
      </c>
      <c r="G21" s="30" t="inlineStr">
        <is>
          <t>largecap</t>
        </is>
      </c>
      <c r="H21" s="31" t="n">
        <v>20668.68</v>
      </c>
      <c r="I21" s="31" t="n">
        <v>183.12</v>
      </c>
      <c r="J21" s="31" t="n">
        <v>2.92</v>
      </c>
      <c r="K21" s="31" t="n">
        <v>22212655</v>
      </c>
      <c r="L21" s="30" t="n">
        <v>50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67</v>
      </c>
      <c r="P21" s="31" t="n">
        <v>15.91</v>
      </c>
      <c r="Q21" s="31" t="n">
        <v>143.07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-4.01</v>
      </c>
      <c r="U21" s="31" t="n">
        <v>44.71</v>
      </c>
      <c r="V21" s="31" t="n">
        <v>50.76</v>
      </c>
      <c r="W21" s="31" t="n">
        <v>13.95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less than 2.5x and Growth less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0 to 20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Blue sky scenario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IF(B22=0,"",RANK(B22,$B$2:$B$32,0))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SOUTHBANK</t>
        </is>
      </c>
      <c r="D22" s="30" t="inlineStr">
        <is>
          <t>The South Indian Bank Limited</t>
        </is>
      </c>
      <c r="E22" s="30" t="inlineStr">
        <is>
          <t>bank</t>
        </is>
      </c>
      <c r="F22" s="30" t="inlineStr">
        <is>
          <t>banks - private sector</t>
        </is>
      </c>
      <c r="G22" s="30" t="inlineStr">
        <is>
          <t>midcap</t>
        </is>
      </c>
      <c r="H22" s="31" t="n">
        <v>11412.6</v>
      </c>
      <c r="I22" s="31" t="n">
        <v>44.61</v>
      </c>
      <c r="J22" s="31" t="n">
        <v>2.32</v>
      </c>
      <c r="K22" s="31" t="n">
        <v>26453430</v>
      </c>
      <c r="L22" s="30" t="n">
        <v>47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64.43000000000001</v>
      </c>
      <c r="P22" s="31" t="n">
        <v>11.36</v>
      </c>
      <c r="Q22" s="31" t="n">
        <v>35.07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-4.01</v>
      </c>
      <c r="U22" s="31" t="n">
        <v>55.11</v>
      </c>
      <c r="V22" s="31" t="n">
        <v>61.6</v>
      </c>
      <c r="W22" s="31" t="n">
        <v>12.53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less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0 to 20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Blue sky scenario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IF(B23=0,"",RANK(B23,$B$2:$B$32,0))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EQUITASBNK</t>
        </is>
      </c>
      <c r="D23" s="30" t="inlineStr">
        <is>
          <t>Equitas Small Finance Bank Ltd</t>
        </is>
      </c>
      <c r="E23" s="30" t="inlineStr">
        <is>
          <t>bank</t>
        </is>
      </c>
      <c r="F23" s="30" t="inlineStr">
        <is>
          <t>banks - private sector</t>
        </is>
      </c>
      <c r="G23" s="30" t="inlineStr">
        <is>
          <t>midcap</t>
        </is>
      </c>
      <c r="H23" s="31" t="n">
        <v>8090</v>
      </c>
      <c r="I23" s="31" t="n">
        <v>72.3</v>
      </c>
      <c r="J23" s="31" t="n">
        <v>1.97</v>
      </c>
      <c r="K23" s="31" t="n">
        <v>8173933</v>
      </c>
      <c r="L23" s="30" t="n">
        <v>25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60.72</v>
      </c>
      <c r="P23" s="31" t="n">
        <v>19.41</v>
      </c>
      <c r="Q23" s="31" t="n">
        <v>57.14</v>
      </c>
      <c r="R23" s="30" t="inlineStr">
        <is>
          <t>Near 52W High Breakout</t>
        </is>
      </c>
      <c r="S23" s="30" t="inlineStr">
        <is>
          <t>Nifty Bank</t>
        </is>
      </c>
      <c r="T23" s="31" t="n">
        <v>-4.01</v>
      </c>
      <c r="U23" s="31" t="n">
        <v>8.48</v>
      </c>
      <c r="V23" s="31" t="n">
        <v>13.01</v>
      </c>
      <c r="W23" s="31" t="n">
        <v>6.98</v>
      </c>
      <c r="X23" s="30" t="inlineStr">
        <is>
          <t>Cyclical in an Upturn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Cyclical in an Uptick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inlineStr">
        <is>
          <t>Yes</t>
        </is>
      </c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No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No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IF(B24=0,"",RANK(B24,$B$2:$B$32,0))</f>
        <v/>
      </c>
      <c r="B24" s="31">
        <f>SUM(N24,Y24,AA24,AC24,AE24,AG24,AI24,AK24,AM24,AO24,AQ24,AS24,AU24,AW24,AY24,BA24,BC24,BE24,BG24,BI24,BK24,BM24,BO24,BQ24,BS24,BU24,BW24,BY24,CA24)</f>
        <v/>
      </c>
      <c r="C24" s="32" t="inlineStr">
        <is>
          <t>GEECEE</t>
        </is>
      </c>
      <c r="D24" s="32" t="inlineStr">
        <is>
          <t>Geecee Ventures Limited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smallcap</t>
        </is>
      </c>
      <c r="H24" s="31" t="n">
        <v>680.5700000000001</v>
      </c>
      <c r="I24" s="31" t="n">
        <v>330.2</v>
      </c>
      <c r="J24" s="31" t="n">
        <v>1.46</v>
      </c>
      <c r="K24" s="31" t="n">
        <v>8700</v>
      </c>
      <c r="L24" s="30" t="n">
        <v>4</v>
      </c>
      <c r="M24" s="30" t="inlineStr">
        <is>
          <t>Underperforming</t>
        </is>
      </c>
      <c r="N24" s="31">
        <f>IF(M24="Underperforming",-5,IF(L24&gt;=95,15,IF(L24&gt;=90,10,IF(L24&gt;=80,5,0))))</f>
        <v/>
      </c>
      <c r="O24" s="31" t="n">
        <v>56.31</v>
      </c>
      <c r="P24" s="31" t="n">
        <v>26.26</v>
      </c>
      <c r="Q24" s="31" t="n">
        <v>244.94</v>
      </c>
      <c r="R24" s="30" t="inlineStr">
        <is>
          <t>Earnings / Momentum Support</t>
        </is>
      </c>
      <c r="S24" s="30" t="inlineStr">
        <is>
          <t>Nifty Bank</t>
        </is>
      </c>
      <c r="T24" s="31" t="n">
        <v>-4.01</v>
      </c>
      <c r="U24" s="31" t="n">
        <v>-14.27</v>
      </c>
      <c r="V24" s="31" t="n">
        <v>-10.68</v>
      </c>
      <c r="W24" s="31" t="n">
        <v>1.7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Headwind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No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less than 2.5x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IF(B25=0,"",RANK(B25,$B$2:$B$32,0))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CGCL</t>
        </is>
      </c>
      <c r="D25" s="30" t="inlineStr">
        <is>
          <t>Capri Global Capital Limited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midcap</t>
        </is>
      </c>
      <c r="H25" s="31" t="n">
        <v>19373.93</v>
      </c>
      <c r="I25" s="31" t="n">
        <v>202.53</v>
      </c>
      <c r="J25" s="31" t="n">
        <v>0.58</v>
      </c>
      <c r="K25" s="31" t="n">
        <v>3552907</v>
      </c>
      <c r="L25" s="30" t="n">
        <v>45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62.92</v>
      </c>
      <c r="P25" s="31" t="n">
        <v>17.37</v>
      </c>
      <c r="Q25" s="31" t="n">
        <v>162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-4.01</v>
      </c>
      <c r="U25" s="31" t="n">
        <v>33.35</v>
      </c>
      <c r="V25" s="31" t="n">
        <v>38.93</v>
      </c>
      <c r="W25" s="31" t="n">
        <v>12.08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between 2.5x to 5x and Growth more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0 to 20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IF(B26=0,"",RANK(B26,$B$2:$B$32,0))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BANDHANBNK</t>
        </is>
      </c>
      <c r="D26" s="30" t="inlineStr">
        <is>
          <t>Bandhan Bank Ltd</t>
        </is>
      </c>
      <c r="E26" s="30" t="inlineStr">
        <is>
          <t>bank</t>
        </is>
      </c>
      <c r="F26" s="30" t="inlineStr">
        <is>
          <t>banks - private sector</t>
        </is>
      </c>
      <c r="G26" s="30" t="inlineStr">
        <is>
          <t>largecap</t>
        </is>
      </c>
      <c r="H26" s="31" t="n">
        <v>33447.01</v>
      </c>
      <c r="I26" s="31" t="n">
        <v>205.44</v>
      </c>
      <c r="J26" s="31" t="n">
        <v>-1.05</v>
      </c>
      <c r="K26" s="31" t="n">
        <v>4284782</v>
      </c>
      <c r="L26" s="30" t="n">
        <v>26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64.65000000000001</v>
      </c>
      <c r="P26" s="31" t="n">
        <v>28.23</v>
      </c>
      <c r="Q26" s="31" t="n">
        <v>167.51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-4.01</v>
      </c>
      <c r="U26" s="31" t="n">
        <v>19.46</v>
      </c>
      <c r="V26" s="31" t="n">
        <v>24.45</v>
      </c>
      <c r="W26" s="31" t="n">
        <v>7.18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less than 2.5x and Growth more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Negative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Blue sky scenario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IF(B27=0,"",RANK(B27,$B$2:$B$32,0))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SURYODAY</t>
        </is>
      </c>
      <c r="D27" s="30" t="inlineStr">
        <is>
          <t>Suryoday Small Finance Bank Ltd</t>
        </is>
      </c>
      <c r="E27" s="30" t="inlineStr">
        <is>
          <t>bank</t>
        </is>
      </c>
      <c r="F27" s="30" t="inlineStr">
        <is>
          <t>banks - private sector</t>
        </is>
      </c>
      <c r="G27" s="30" t="inlineStr">
        <is>
          <t>smallcap</t>
        </is>
      </c>
      <c r="H27" s="31" t="n">
        <v>1803.42</v>
      </c>
      <c r="I27" s="31" t="n">
        <v>171.39</v>
      </c>
      <c r="J27" s="31" t="n">
        <v>1.01</v>
      </c>
      <c r="K27" s="31" t="n">
        <v>393247</v>
      </c>
      <c r="L27" s="30" t="n">
        <v>41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63.71</v>
      </c>
      <c r="P27" s="31" t="n">
        <v>27.71</v>
      </c>
      <c r="Q27" s="31" t="n">
        <v>138.24</v>
      </c>
      <c r="R27" s="30" t="inlineStr">
        <is>
          <t>Near 52W High Breakout</t>
        </is>
      </c>
      <c r="S27" s="30" t="inlineStr">
        <is>
          <t>Nifty Bank</t>
        </is>
      </c>
      <c r="T27" s="31" t="n">
        <v>-4.01</v>
      </c>
      <c r="U27" s="31" t="n">
        <v>18.24</v>
      </c>
      <c r="V27" s="31" t="n">
        <v>23.18</v>
      </c>
      <c r="W27" s="31" t="n">
        <v>11.18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less than 2.5x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Negative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IF(B28=0,"",RANK(B28,$B$2:$B$32,0))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IFCI</t>
        </is>
      </c>
      <c r="D28" s="30" t="inlineStr">
        <is>
          <t>Ifci Limited</t>
        </is>
      </c>
      <c r="E28" s="30" t="inlineStr">
        <is>
          <t>financials</t>
        </is>
      </c>
      <c r="F28" s="30" t="inlineStr">
        <is>
          <t>finance - term-lending institutions</t>
        </is>
      </c>
      <c r="G28" s="30" t="inlineStr">
        <is>
          <t>largecap</t>
        </is>
      </c>
      <c r="H28" s="31" t="n">
        <v>21667.68</v>
      </c>
      <c r="I28" s="31" t="n">
        <v>81.98</v>
      </c>
      <c r="J28" s="31" t="n">
        <v>1.94</v>
      </c>
      <c r="K28" s="31" t="n">
        <v>202071793</v>
      </c>
      <c r="L28" s="30" t="n">
        <v>60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71.36</v>
      </c>
      <c r="P28" s="31" t="n">
        <v>19.96</v>
      </c>
      <c r="Q28" s="31" t="n">
        <v>61.41</v>
      </c>
      <c r="R28" s="30" t="inlineStr">
        <is>
          <t>Volume Spike &amp; Near 52W High Breakout</t>
        </is>
      </c>
      <c r="S28" s="30" t="inlineStr">
        <is>
          <t>Nifty Bank</t>
        </is>
      </c>
      <c r="T28" s="31" t="n">
        <v>-4.01</v>
      </c>
      <c r="U28" s="31" t="n">
        <v>24.16</v>
      </c>
      <c r="V28" s="31" t="n">
        <v>29.35</v>
      </c>
      <c r="W28" s="31" t="n">
        <v>16.9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between 2.5x to 5x and Growth less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Blue sky scenario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IF(B29=0,"",RANK(B29,$B$2:$B$32,0))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MUFIN</t>
        </is>
      </c>
      <c r="D29" s="30" t="inlineStr">
        <is>
          <t>Mufin Green Finance Ltd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smallcap</t>
        </is>
      </c>
      <c r="H29" s="31" t="n">
        <v>2427.09</v>
      </c>
      <c r="I29" s="31" t="n">
        <v>122.05</v>
      </c>
      <c r="J29" s="31" t="n">
        <v>-0.35</v>
      </c>
      <c r="K29" s="31" t="n">
        <v>1183401</v>
      </c>
      <c r="L29" s="30" t="n">
        <v>46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61.27</v>
      </c>
      <c r="P29" s="31" t="n">
        <v>15.5</v>
      </c>
      <c r="Q29" s="31" t="n">
        <v>97.33</v>
      </c>
      <c r="R29" s="30" t="inlineStr">
        <is>
          <t>Near 52W High Breakout</t>
        </is>
      </c>
      <c r="S29" s="30" t="inlineStr">
        <is>
          <t>Nifty Bank</t>
        </is>
      </c>
      <c r="T29" s="31" t="n">
        <v>-4.01</v>
      </c>
      <c r="U29" s="31" t="n">
        <v>54.14</v>
      </c>
      <c r="V29" s="31" t="n">
        <v>60.59</v>
      </c>
      <c r="W29" s="31" t="n">
        <v>12.24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above 5x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IF(B30=0,"",RANK(B30,$B$2:$B$32,0))</f>
        <v/>
      </c>
      <c r="B30" s="31">
        <f>SUM(N30,Y30,AA30,AC30,AE30,AG30,AI30,AK30,AM30,AO30,AQ30,AS30,AU30,AW30,AY30,BA30,BC30,BE30,BG30,BI30,BK30,BM30,BO30,BQ30,BS30,BU30,BW30,BY30,CA30)</f>
        <v/>
      </c>
      <c r="C30" s="32" t="inlineStr">
        <is>
          <t>BFINVEST</t>
        </is>
      </c>
      <c r="D30" s="32" t="inlineStr">
        <is>
          <t>Bf Investment Limited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smallcap</t>
        </is>
      </c>
      <c r="H30" s="31" t="n">
        <v>1660.39</v>
      </c>
      <c r="I30" s="31" t="n">
        <v>448.25</v>
      </c>
      <c r="J30" s="31" t="n">
        <v>1.69</v>
      </c>
      <c r="K30" s="31" t="n">
        <v>119074</v>
      </c>
      <c r="L30" s="30" t="n">
        <v>3</v>
      </c>
      <c r="M30" s="30" t="inlineStr">
        <is>
          <t>Underperforming</t>
        </is>
      </c>
      <c r="N30" s="31">
        <f>IF(M30="Underperforming",-5,IF(L30&gt;=95,15,IF(L30&gt;=90,10,IF(L30&gt;=80,5,0))))</f>
        <v/>
      </c>
      <c r="O30" s="31" t="n">
        <v>57.46</v>
      </c>
      <c r="P30" s="31" t="n">
        <v>19.14</v>
      </c>
      <c r="Q30" s="31" t="n">
        <v>341.87</v>
      </c>
      <c r="R30" s="30" t="inlineStr">
        <is>
          <t>Earnings / Momentum Support</t>
        </is>
      </c>
      <c r="S30" s="30" t="inlineStr">
        <is>
          <t>Nifty Bank</t>
        </is>
      </c>
      <c r="T30" s="31" t="n">
        <v>-4.01</v>
      </c>
      <c r="U30" s="31" t="n">
        <v>-12.51</v>
      </c>
      <c r="V30" s="31" t="n">
        <v>-8.85</v>
      </c>
      <c r="W30" s="31" t="n">
        <v>1.15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No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less than 2.5x and Growth more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1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IF(B31=0,"",RANK(B31,$B$2:$B$32,0))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NUVAMA</t>
        </is>
      </c>
      <c r="D31" s="30" t="inlineStr">
        <is>
          <t>Nuvama Wealth Management Ltd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largecap</t>
        </is>
      </c>
      <c r="H31" s="31" t="n">
        <v>28363.89</v>
      </c>
      <c r="I31" s="31" t="n">
        <v>1566.6</v>
      </c>
      <c r="J31" s="31" t="n">
        <v>0.55</v>
      </c>
      <c r="K31" s="31" t="n">
        <v>260107</v>
      </c>
      <c r="L31" s="30" t="n">
        <v>33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60.06</v>
      </c>
      <c r="P31" s="31" t="n">
        <v>28.92</v>
      </c>
      <c r="Q31" s="31" t="n">
        <v>1259.66</v>
      </c>
      <c r="R31" s="30" t="inlineStr">
        <is>
          <t>Near 52W High Breakout</t>
        </is>
      </c>
      <c r="S31" s="30" t="inlineStr">
        <is>
          <t>Nifty Bank</t>
        </is>
      </c>
      <c r="T31" s="31" t="n">
        <v>-4.01</v>
      </c>
      <c r="U31" s="31" t="n">
        <v>9.41</v>
      </c>
      <c r="V31" s="31" t="n">
        <v>13.98</v>
      </c>
      <c r="W31" s="31" t="n">
        <v>8.81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above 5x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Negative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Blue sky scenario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IF(B32=0,"",RANK(B32,$B$2:$B$32,0))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YESBANK</t>
        </is>
      </c>
      <c r="D32" s="30" t="inlineStr">
        <is>
          <t>Yes Bank Limited</t>
        </is>
      </c>
      <c r="E32" s="30" t="inlineStr">
        <is>
          <t>bank</t>
        </is>
      </c>
      <c r="F32" s="30" t="inlineStr">
        <is>
          <t>banks - private sector</t>
        </is>
      </c>
      <c r="G32" s="30" t="inlineStr">
        <is>
          <t>largecap</t>
        </is>
      </c>
      <c r="H32" s="31" t="n">
        <v>71950.77</v>
      </c>
      <c r="I32" s="31" t="n">
        <v>22.77</v>
      </c>
      <c r="J32" s="31" t="n">
        <v>-0.7</v>
      </c>
      <c r="K32" s="31" t="n">
        <v>77191326</v>
      </c>
      <c r="L32" s="30" t="n">
        <v>13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59.09</v>
      </c>
      <c r="P32" s="31" t="n">
        <v>20.62</v>
      </c>
      <c r="Q32" s="31" t="n">
        <v>19.12</v>
      </c>
      <c r="R32" s="30" t="inlineStr">
        <is>
          <t>Earnings / Momentum Support</t>
        </is>
      </c>
      <c r="S32" s="30" t="inlineStr">
        <is>
          <t>Nifty Bank</t>
        </is>
      </c>
      <c r="T32" s="31" t="n">
        <v>-4.01</v>
      </c>
      <c r="U32" s="31" t="n">
        <v>9.210000000000001</v>
      </c>
      <c r="V32" s="31" t="n">
        <v>13.77</v>
      </c>
      <c r="W32" s="31" t="n">
        <v>4.79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No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less than 2.5x and Growth less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20 to 40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Negative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</sheetData>
  <autoFilter ref="A1:CA32"/>
  <conditionalFormatting sqref="B2:B3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2">
    <cfRule type="cellIs" priority="34" operator="equal" dxfId="3" stopIfTrue="1">
      <formula>"Underperforming"</formula>
    </cfRule>
  </conditionalFormatting>
  <conditionalFormatting sqref="N2:N32">
    <cfRule type="cellIs" priority="35" operator="equal" dxfId="3" stopIfTrue="1">
      <formula>-5</formula>
    </cfRule>
  </conditionalFormatting>
  <conditionalFormatting sqref="Q2:Q32">
    <cfRule type="expression" priority="36" dxfId="0" stopIfTrue="1">
      <formula>=AND(Q2&lt;&gt;"",Q2&gt;0,I2&gt;=Q2)</formula>
    </cfRule>
    <cfRule type="expression" priority="37" dxfId="3" stopIfTrue="1">
      <formula>=AND(Q2&lt;&gt;"",Q2&gt;0,I2&lt;Q2)</formula>
    </cfRule>
  </conditionalFormatting>
  <dataValidations count="28">
    <dataValidation sqref="X2:X32" showDropDown="0" showInputMessage="0" showErrorMessage="0" allowBlank="1" type="list">
      <formula1>"Growing Industry,Stagnant Industry,Cyclical in an Upturn"</formula1>
    </dataValidation>
    <dataValidation sqref="Z2:Z32" showDropDown="0" showInputMessage="0" showErrorMessage="0" allowBlank="1" type="list">
      <formula1>"Fragmented with Low ROE,Fragmented with High ROE,Highly Cyclical"</formula1>
    </dataValidation>
    <dataValidation sqref="AB2:AB32" showDropDown="0" showInputMessage="0" showErrorMessage="0" allowBlank="1" type="list">
      <formula1>"Yes,No"</formula1>
    </dataValidation>
    <dataValidation sqref="AD2:AD32" showDropDown="0" showInputMessage="0" showErrorMessage="0" allowBlank="1" type="list">
      <formula1>"Tailwind,Headwind"</formula1>
    </dataValidation>
    <dataValidation sqref="AF2:AF3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2" showDropDown="0" showInputMessage="0" showErrorMessage="0" allowBlank="1" type="list">
      <formula1>"Yes,No"</formula1>
    </dataValidation>
    <dataValidation sqref="AJ2:AJ32" showDropDown="0" showInputMessage="0" showErrorMessage="0" allowBlank="1" type="list">
      <formula1>"Yes,No,Not Applicable"</formula1>
    </dataValidation>
    <dataValidation sqref="AL2:AL32" showDropDown="0" showInputMessage="0" showErrorMessage="0" allowBlank="1" type="list">
      <formula1>"Yes,No"</formula1>
    </dataValidation>
    <dataValidation sqref="AN2:AN32" showDropDown="0" showInputMessage="0" showErrorMessage="0" allowBlank="1" type="list">
      <formula1>"Yes,No"</formula1>
    </dataValidation>
    <dataValidation sqref="AP2:AP32" showDropDown="0" showInputMessage="0" showErrorMessage="0" allowBlank="1" type="list">
      <formula1>"Yes,No"</formula1>
    </dataValidation>
    <dataValidation sqref="AR2:AR32" showDropDown="0" showInputMessage="0" showErrorMessage="0" allowBlank="1" type="list">
      <formula1>"Yes,No"</formula1>
    </dataValidation>
    <dataValidation sqref="AT2:AT32" showDropDown="0" showInputMessage="0" showErrorMessage="0" allowBlank="1" type="list">
      <formula1>"No,Yes"</formula1>
    </dataValidation>
    <dataValidation sqref="AV2:AV32" showDropDown="0" showInputMessage="0" showErrorMessage="0" allowBlank="1" type="list">
      <formula1>"No,Yes"</formula1>
    </dataValidation>
    <dataValidation sqref="AX2:AX32" showDropDown="0" showInputMessage="0" showErrorMessage="0" allowBlank="1" type="list">
      <formula1>"No,Yes CEO Resignation,Yes CEO Retirement"</formula1>
    </dataValidation>
    <dataValidation sqref="AZ2:AZ32" showDropDown="0" showInputMessage="0" showErrorMessage="0" allowBlank="1" type="list">
      <formula1>"No,Yes"</formula1>
    </dataValidation>
    <dataValidation sqref="BB2:BB32" showDropDown="0" showInputMessage="0" showErrorMessage="0" allowBlank="1" type="list">
      <formula1>"No,Yes"</formula1>
    </dataValidation>
    <dataValidation sqref="BD2:BD32" showDropDown="0" showInputMessage="0" showErrorMessage="0" allowBlank="1" type="list">
      <formula1>"Yes,No"</formula1>
    </dataValidation>
    <dataValidation sqref="BF2:BF32" showDropDown="0" showInputMessage="0" showErrorMessage="0" allowBlank="1" type="list">
      <formula1>"Yes,No"</formula1>
    </dataValidation>
    <dataValidation sqref="BH2:BH32" showDropDown="0" showInputMessage="0" showErrorMessage="0" allowBlank="1" type="list">
      <formula1>"Yes,No"</formula1>
    </dataValidation>
    <dataValidation sqref="BJ2:BJ3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2" showDropDown="0" showInputMessage="0" showErrorMessage="0" allowBlank="1" type="list">
      <formula1>"Above 40,20 to 40,0 to 20"</formula1>
    </dataValidation>
    <dataValidation sqref="BN2:BN32" showDropDown="0" showInputMessage="0" showErrorMessage="0" allowBlank="1" type="list">
      <formula1>"Between 50 to 75,Above 75,Below 45"</formula1>
    </dataValidation>
    <dataValidation sqref="BP2:BP32" showDropDown="0" showInputMessage="0" showErrorMessage="0" allowBlank="1" type="list">
      <formula1>"Stage 1,Stage 2,Stage 3,Stage 4"</formula1>
    </dataValidation>
    <dataValidation sqref="BR2:BR32" showDropDown="0" showInputMessage="0" showErrorMessage="0" allowBlank="1" type="list">
      <formula1>"Positive Trend,Negative Trend"</formula1>
    </dataValidation>
    <dataValidation sqref="BT2:BT32" showDropDown="0" showInputMessage="0" showErrorMessage="0" allowBlank="1" type="list">
      <formula1>"Uptrend,Sideways,Downtrend"</formula1>
    </dataValidation>
    <dataValidation sqref="BV2:BV32" showDropDown="0" showInputMessage="0" showErrorMessage="0" allowBlank="1" type="list">
      <formula1>"Uptrend,Sideways,Downtrend"</formula1>
    </dataValidation>
    <dataValidation sqref="BX2:BX3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IF(B2=0,"",RANK(B2,$B$2:$B$22,0))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139.1</v>
      </c>
      <c r="E2" s="31" t="inlineStr">
        <is>
          <t>5%</t>
        </is>
      </c>
      <c r="F2" s="31" t="n">
        <v>50000</v>
      </c>
      <c r="G2" s="31" t="n">
        <v>2392</v>
      </c>
      <c r="H2" s="30" t="inlineStr">
        <is>
          <t>GAYAPROJ</t>
        </is>
      </c>
      <c r="I2" s="30" t="inlineStr">
        <is>
          <t>Gayatri Projects Limited</t>
        </is>
      </c>
      <c r="J2" s="30" t="inlineStr">
        <is>
          <t>realty</t>
        </is>
      </c>
      <c r="K2" s="30" t="inlineStr">
        <is>
          <t>construction</t>
        </is>
      </c>
      <c r="L2" s="30" t="inlineStr">
        <is>
          <t>smallcap</t>
        </is>
      </c>
      <c r="M2" s="31" t="n">
        <v>595.36</v>
      </c>
      <c r="N2" s="31" t="n">
        <v>20.9</v>
      </c>
      <c r="O2" s="31" t="n">
        <v>3.98</v>
      </c>
      <c r="P2" s="31" t="n">
        <v>779784</v>
      </c>
      <c r="Q2" s="30" t="n">
        <v>89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73.63</v>
      </c>
      <c r="U2" s="31" t="n">
        <v>62.92</v>
      </c>
      <c r="V2" s="31" t="n">
        <v>16.78</v>
      </c>
      <c r="W2" s="30" t="inlineStr">
        <is>
          <t>Volume Spike &amp; Near 52W High Breakout</t>
        </is>
      </c>
      <c r="X2" s="30" t="inlineStr">
        <is>
          <t>Nifty Realty</t>
        </is>
      </c>
      <c r="Y2" s="31" t="n">
        <v>-26.45</v>
      </c>
      <c r="Z2" s="31" t="n">
        <v>144.73</v>
      </c>
      <c r="AA2" s="31" t="n">
        <v>232.75</v>
      </c>
      <c r="AB2" s="31" t="n">
        <v>34.94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Above 2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IF(B3=0,"",RANK(B3,$B$2:$B$22,0))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140</v>
      </c>
      <c r="E3" s="31" t="inlineStr">
        <is>
          <t>5%</t>
        </is>
      </c>
      <c r="F3" s="31" t="n">
        <v>50000</v>
      </c>
      <c r="G3" s="31" t="n">
        <v>32</v>
      </c>
      <c r="H3" s="30" t="inlineStr">
        <is>
          <t>VENUSREM</t>
        </is>
      </c>
      <c r="I3" s="30" t="inlineStr">
        <is>
          <t>Venus Remedies Limited</t>
        </is>
      </c>
      <c r="J3" s="30" t="inlineStr">
        <is>
          <t>healthcare</t>
        </is>
      </c>
      <c r="K3" s="30" t="inlineStr">
        <is>
          <t>pharmaceuticals - indian - formulations</t>
        </is>
      </c>
      <c r="L3" s="30" t="inlineStr">
        <is>
          <t>smallcap</t>
        </is>
      </c>
      <c r="M3" s="31" t="n">
        <v>1980.72</v>
      </c>
      <c r="N3" s="31" t="n">
        <v>1555.8</v>
      </c>
      <c r="O3" s="31" t="n">
        <v>4.99</v>
      </c>
      <c r="P3" s="31" t="n">
        <v>282923</v>
      </c>
      <c r="Q3" s="30" t="n">
        <v>97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79.06</v>
      </c>
      <c r="U3" s="31" t="n">
        <v>45.62</v>
      </c>
      <c r="V3" s="31" t="n">
        <v>1173.22</v>
      </c>
      <c r="W3" s="30" t="inlineStr">
        <is>
          <t>Volume Spike &amp; Near 52W High Breakout</t>
        </is>
      </c>
      <c r="X3" s="30" t="inlineStr">
        <is>
          <t>Nifty Pharma</t>
        </is>
      </c>
      <c r="Y3" s="31" t="n">
        <v>11.5</v>
      </c>
      <c r="Z3" s="31" t="n">
        <v>261.81</v>
      </c>
      <c r="AA3" s="31" t="n">
        <v>224.5</v>
      </c>
      <c r="AB3" s="31" t="n">
        <v>61.02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Above 2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IF(B4=0,"",RANK(B4,$B$2:$B$22,0))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139.4</v>
      </c>
      <c r="E4" s="31" t="inlineStr">
        <is>
          <t>5%</t>
        </is>
      </c>
      <c r="F4" s="31" t="n">
        <v>50000</v>
      </c>
      <c r="G4" s="31" t="n">
        <v>10</v>
      </c>
      <c r="H4" s="30" t="inlineStr">
        <is>
          <t>NETWEB</t>
        </is>
      </c>
      <c r="I4" s="30" t="inlineStr">
        <is>
          <t>Netweb Technologies India Ltd</t>
        </is>
      </c>
      <c r="J4" s="30" t="inlineStr">
        <is>
          <t>i.t</t>
        </is>
      </c>
      <c r="K4" s="30" t="inlineStr">
        <is>
          <t>computers - hardware</t>
        </is>
      </c>
      <c r="L4" s="30" t="inlineStr">
        <is>
          <t>largecap</t>
        </is>
      </c>
      <c r="M4" s="31" t="n">
        <v>26792.3</v>
      </c>
      <c r="N4" s="31" t="n">
        <v>4934.2</v>
      </c>
      <c r="O4" s="31" t="n">
        <v>4.86</v>
      </c>
      <c r="P4" s="31" t="n">
        <v>2758303</v>
      </c>
      <c r="Q4" s="30" t="n">
        <v>88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68.63</v>
      </c>
      <c r="U4" s="31" t="n">
        <v>43.6</v>
      </c>
      <c r="V4" s="31" t="n">
        <v>3523.58</v>
      </c>
      <c r="W4" s="30" t="inlineStr">
        <is>
          <t>Volume Spike &amp; Near 52W High Breakout</t>
        </is>
      </c>
      <c r="X4" s="30" t="inlineStr">
        <is>
          <t>Nifty IT</t>
        </is>
      </c>
      <c r="Y4" s="31" t="n">
        <v>-21.44</v>
      </c>
      <c r="Z4" s="31" t="n">
        <v>149.93</v>
      </c>
      <c r="AA4" s="31" t="n">
        <v>218.12</v>
      </c>
      <c r="AB4" s="31" t="n">
        <v>33.37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Between 50 to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Yes</t>
        </is>
      </c>
      <c r="BX4" s="30">
        <f>IF(BW4="NO",5,0)</f>
        <v/>
      </c>
      <c r="BY4" s="30" t="inlineStr">
        <is>
          <t>Above 2</t>
        </is>
      </c>
      <c r="BZ4" s="30">
        <f>IF(BY4="Above 2",0,IF(BY4="Between 1.5 to 2",5,IF(BY4="Less than 1.5",10,0)))</f>
        <v/>
      </c>
      <c r="CA4" s="30" t="inlineStr">
        <is>
          <t>Between 50% to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IF(B5=0,"",RANK(B5,$B$2:$B$22,0))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139.5</v>
      </c>
      <c r="E5" s="31" t="inlineStr">
        <is>
          <t>5%</t>
        </is>
      </c>
      <c r="F5" s="31" t="n">
        <v>50000</v>
      </c>
      <c r="G5" s="31" t="n">
        <v>55</v>
      </c>
      <c r="H5" s="30" t="inlineStr">
        <is>
          <t>GVPIL</t>
        </is>
      </c>
      <c r="I5" s="30" t="inlineStr">
        <is>
          <t>GE Power India Ltd</t>
        </is>
      </c>
      <c r="J5" s="30" t="inlineStr">
        <is>
          <t>realty</t>
        </is>
      </c>
      <c r="K5" s="30" t="inlineStr">
        <is>
          <t>engineering - turnkey services</t>
        </is>
      </c>
      <c r="L5" s="30" t="inlineStr">
        <is>
          <t>midcap</t>
        </is>
      </c>
      <c r="M5" s="31" t="n">
        <v>5838.37</v>
      </c>
      <c r="N5" s="31" t="n">
        <v>907.55</v>
      </c>
      <c r="O5" s="31" t="n">
        <v>4.5</v>
      </c>
      <c r="P5" s="31" t="n">
        <v>687596</v>
      </c>
      <c r="Q5" s="30" t="n">
        <v>95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87.66</v>
      </c>
      <c r="U5" s="31" t="n">
        <v>53.88</v>
      </c>
      <c r="V5" s="31" t="n">
        <v>695.02</v>
      </c>
      <c r="W5" s="30" t="inlineStr">
        <is>
          <t>Volume Spike &amp; Near 52W High Breakout</t>
        </is>
      </c>
      <c r="X5" s="30" t="inlineStr">
        <is>
          <t>Nifty Realty</t>
        </is>
      </c>
      <c r="Y5" s="31" t="n">
        <v>-26.45</v>
      </c>
      <c r="Z5" s="31" t="n">
        <v>232.86</v>
      </c>
      <c r="AA5" s="31" t="n">
        <v>352.58</v>
      </c>
      <c r="AB5" s="31" t="n">
        <v>52.68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Duopoly That Cooperate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Shallow Cyclical (2 to 3 Years Growth)</t>
        </is>
      </c>
      <c r="AL5" s="30">
        <f>IF(AK5="Structural (10 Years Consistency)",10,IF(AK5="Shallow Cyclical (2 to 3 years growth)",5,0))</f>
        <v/>
      </c>
      <c r="AM5" s="30" t="inlineStr">
        <is>
          <t>Yes due to Product Mix change or Operating Leverage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B2C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Fully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only for next 1 to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Close to 52 week high or retracement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Above 2</t>
        </is>
      </c>
      <c r="BZ5" s="30">
        <f>IF(BY5="Above 2",0,IF(BY5="Between 1.5 to 2",5,IF(BY5="Less than 1.5",10,0)))</f>
        <v/>
      </c>
      <c r="CA5" s="30" t="inlineStr">
        <is>
          <t>Between 50% to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Between 0.7 to 1.2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IF(B6=0,"",RANK(B6,$B$2:$B$22,0))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140</v>
      </c>
      <c r="E6" s="31" t="inlineStr">
        <is>
          <t>5%</t>
        </is>
      </c>
      <c r="F6" s="31" t="n">
        <v>50000</v>
      </c>
      <c r="G6" s="31" t="n">
        <v>144</v>
      </c>
      <c r="H6" s="30" t="inlineStr">
        <is>
          <t>MODISONLTD</t>
        </is>
      </c>
      <c r="I6" s="30" t="inlineStr">
        <is>
          <t>Modison Ltd</t>
        </is>
      </c>
      <c r="J6" s="30" t="inlineStr">
        <is>
          <t>industrials</t>
        </is>
      </c>
      <c r="K6" s="30" t="inlineStr">
        <is>
          <t>electric equipment</t>
        </is>
      </c>
      <c r="L6" s="30" t="inlineStr">
        <is>
          <t>smallcap</t>
        </is>
      </c>
      <c r="M6" s="31" t="n">
        <v>1067.61</v>
      </c>
      <c r="N6" s="31" t="n">
        <v>345.45</v>
      </c>
      <c r="O6" s="31" t="n">
        <v>5</v>
      </c>
      <c r="P6" s="31" t="n">
        <v>247079</v>
      </c>
      <c r="Q6" s="30" t="n">
        <v>98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86.51000000000001</v>
      </c>
      <c r="U6" s="31" t="n">
        <v>28.93</v>
      </c>
      <c r="V6" s="31" t="n">
        <v>265.88</v>
      </c>
      <c r="W6" s="30" t="inlineStr">
        <is>
          <t>Near 52W High Breakout</t>
        </is>
      </c>
      <c r="X6" s="30" t="inlineStr">
        <is>
          <t>Nifty 50</t>
        </is>
      </c>
      <c r="Y6" s="31" t="n">
        <v>-6.35</v>
      </c>
      <c r="Z6" s="31" t="n">
        <v>118.85</v>
      </c>
      <c r="AA6" s="31" t="n">
        <v>133.68</v>
      </c>
      <c r="AB6" s="31" t="n">
        <v>62.19</v>
      </c>
      <c r="AC6" s="30" t="inlineStr">
        <is>
          <t>Cyclical in an Upturn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20 to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No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IF(B7=0,"",RANK(B7,$B$2:$B$22,0))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139.2</v>
      </c>
      <c r="E7" s="31" t="inlineStr">
        <is>
          <t>5%</t>
        </is>
      </c>
      <c r="F7" s="31" t="n">
        <v>50000</v>
      </c>
      <c r="G7" s="31" t="n">
        <v>92</v>
      </c>
      <c r="H7" s="30" t="inlineStr">
        <is>
          <t>NITINSPIN</t>
        </is>
      </c>
      <c r="I7" s="30" t="inlineStr">
        <is>
          <t>Nitin Spinners Limited</t>
        </is>
      </c>
      <c r="J7" s="30" t="inlineStr">
        <is>
          <t>textiles</t>
        </is>
      </c>
      <c r="K7" s="30" t="inlineStr">
        <is>
          <t>textiles - cotton/blended</t>
        </is>
      </c>
      <c r="L7" s="30" t="inlineStr">
        <is>
          <t>smallcap</t>
        </is>
      </c>
      <c r="M7" s="31" t="n">
        <v>2854.85</v>
      </c>
      <c r="N7" s="31" t="n">
        <v>541.55</v>
      </c>
      <c r="O7" s="31" t="n">
        <v>6.65</v>
      </c>
      <c r="P7" s="31" t="n">
        <v>485090</v>
      </c>
      <c r="Q7" s="30" t="n">
        <v>62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79.56</v>
      </c>
      <c r="U7" s="31" t="n">
        <v>51.26</v>
      </c>
      <c r="V7" s="31" t="n">
        <v>421.48</v>
      </c>
      <c r="W7" s="30" t="inlineStr">
        <is>
          <t>Near 52W High Breakout</t>
        </is>
      </c>
      <c r="X7" s="30" t="inlineStr">
        <is>
          <t>Nifty 50</t>
        </is>
      </c>
      <c r="Y7" s="31" t="n">
        <v>-6.35</v>
      </c>
      <c r="Z7" s="31" t="n">
        <v>37.4</v>
      </c>
      <c r="AA7" s="31" t="n">
        <v>46.71</v>
      </c>
      <c r="AB7" s="31" t="n">
        <v>17.51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No</t>
        </is>
      </c>
      <c r="BX7" s="30">
        <f>IF(BW7="NO",5,0)</f>
        <v/>
      </c>
      <c r="BY7" s="30" t="inlineStr">
        <is>
          <t>Less than 1.5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Between 0.7 to 1.2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IF(B8=0,"",RANK(B8,$B$2:$B$22,0))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</v>
      </c>
      <c r="E8" s="31" t="inlineStr">
        <is>
          <t>5%</t>
        </is>
      </c>
      <c r="F8" s="31" t="n">
        <v>50000</v>
      </c>
      <c r="G8" s="31" t="n">
        <v>40</v>
      </c>
      <c r="H8" s="30" t="inlineStr">
        <is>
          <t>SYRMA</t>
        </is>
      </c>
      <c r="I8" s="30" t="inlineStr">
        <is>
          <t>Syrma SGS Technology Ltd</t>
        </is>
      </c>
      <c r="J8" s="30" t="inlineStr">
        <is>
          <t>consumer discretionary</t>
        </is>
      </c>
      <c r="K8" s="30" t="inlineStr">
        <is>
          <t>electronics - components</t>
        </is>
      </c>
      <c r="L8" s="30" t="inlineStr">
        <is>
          <t>largecap</t>
        </is>
      </c>
      <c r="M8" s="31" t="n">
        <v>23049.03</v>
      </c>
      <c r="N8" s="31" t="n">
        <v>1221.6</v>
      </c>
      <c r="O8" s="31" t="n">
        <v>2.2</v>
      </c>
      <c r="P8" s="31" t="n">
        <v>1378327</v>
      </c>
      <c r="Q8" s="30" t="n">
        <v>88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72.83</v>
      </c>
      <c r="U8" s="31" t="n">
        <v>29.35</v>
      </c>
      <c r="V8" s="31" t="n">
        <v>937.22</v>
      </c>
      <c r="W8" s="30" t="inlineStr">
        <is>
          <t>Near 52W High Breakout</t>
        </is>
      </c>
      <c r="X8" s="30" t="inlineStr">
        <is>
          <t>Nifty 50</t>
        </is>
      </c>
      <c r="Y8" s="31" t="n">
        <v>-6.35</v>
      </c>
      <c r="Z8" s="31" t="n">
        <v>128.8</v>
      </c>
      <c r="AA8" s="31" t="n">
        <v>144.3</v>
      </c>
      <c r="AB8" s="31" t="n">
        <v>33.65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20 to 40</t>
        </is>
      </c>
      <c r="BD8" s="30">
        <f>IF(BC8="Above 40",20,IF(BC8="20 to 40",10,IF(BC8="0 to 20",-5,0)))</f>
        <v/>
      </c>
      <c r="BE8" s="30" t="inlineStr">
        <is>
          <t>Between 50 to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Yes</t>
        </is>
      </c>
      <c r="BX8" s="30">
        <f>IF(BW8="NO",5,0)</f>
        <v/>
      </c>
      <c r="BY8" s="30" t="inlineStr">
        <is>
          <t>Between 1.5 to 2</t>
        </is>
      </c>
      <c r="BZ8" s="30">
        <f>IF(BY8="Above 2",0,IF(BY8="Between 1.5 to 2",5,IF(BY8="Less than 1.5",10,0)))</f>
        <v/>
      </c>
      <c r="CA8" s="30" t="inlineStr">
        <is>
          <t>Between 50% to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IF(B9=0,"",RANK(B9,$B$2:$B$22,0))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140</v>
      </c>
      <c r="E9" s="31" t="inlineStr">
        <is>
          <t>5%</t>
        </is>
      </c>
      <c r="F9" s="31" t="n">
        <v>50000</v>
      </c>
      <c r="G9" s="31" t="n">
        <v>76</v>
      </c>
      <c r="H9" s="30" t="inlineStr">
        <is>
          <t>STLTECH</t>
        </is>
      </c>
      <c r="I9" s="30" t="inlineStr">
        <is>
          <t>Sterlite Technologies Limited</t>
        </is>
      </c>
      <c r="J9" s="30" t="inlineStr">
        <is>
          <t>industrials</t>
        </is>
      </c>
      <c r="K9" s="30" t="inlineStr">
        <is>
          <t>cables - telephone</t>
        </is>
      </c>
      <c r="L9" s="30" t="inlineStr">
        <is>
          <t>largecap</t>
        </is>
      </c>
      <c r="M9" s="31" t="n">
        <v>30293.51</v>
      </c>
      <c r="N9" s="31" t="n">
        <v>651.6</v>
      </c>
      <c r="O9" s="31" t="n">
        <v>5</v>
      </c>
      <c r="P9" s="31" t="n">
        <v>6119470</v>
      </c>
      <c r="Q9" s="30" t="n">
        <v>99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96.36</v>
      </c>
      <c r="U9" s="31" t="n">
        <v>76.45999999999999</v>
      </c>
      <c r="V9" s="31" t="n">
        <v>522.62</v>
      </c>
      <c r="W9" s="30" t="inlineStr">
        <is>
          <t>Near 52W High Breakout</t>
        </is>
      </c>
      <c r="X9" s="30" t="inlineStr">
        <is>
          <t>Nifty Infra</t>
        </is>
      </c>
      <c r="Y9" s="31" t="n">
        <v>1.41</v>
      </c>
      <c r="Z9" s="31" t="n">
        <v>759.63</v>
      </c>
      <c r="AA9" s="31" t="n">
        <v>747.6799999999999</v>
      </c>
      <c r="AB9" s="31" t="n">
        <v>127.42</v>
      </c>
      <c r="AC9" s="30" t="inlineStr">
        <is>
          <t>Cyclical in an Upturn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Between 0.7 to 1.2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IF(B10=0,"",RANK(B10,$B$2:$B$22,0))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139.3</v>
      </c>
      <c r="E10" s="31" t="inlineStr">
        <is>
          <t>5%</t>
        </is>
      </c>
      <c r="F10" s="31" t="n">
        <v>50000</v>
      </c>
      <c r="G10" s="31" t="n">
        <v>15</v>
      </c>
      <c r="H10" s="30" t="inlineStr">
        <is>
          <t>ACUTAAS</t>
        </is>
      </c>
      <c r="I10" s="30" t="inlineStr">
        <is>
          <t>Acutaas Chemicals Ltd</t>
        </is>
      </c>
      <c r="J10" s="30" t="inlineStr">
        <is>
          <t>healthcare</t>
        </is>
      </c>
      <c r="K10" s="30" t="inlineStr">
        <is>
          <t>pharmaceuticals - indian - bulk drugs</t>
        </is>
      </c>
      <c r="L10" s="30" t="inlineStr">
        <is>
          <t>largecap</t>
        </is>
      </c>
      <c r="M10" s="31" t="n">
        <v>25672.33</v>
      </c>
      <c r="N10" s="31" t="n">
        <v>3164.7</v>
      </c>
      <c r="O10" s="31" t="n">
        <v>0.92</v>
      </c>
      <c r="P10" s="31" t="n">
        <v>250577</v>
      </c>
      <c r="Q10" s="30" t="n">
        <v>85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77.44</v>
      </c>
      <c r="U10" s="31" t="n">
        <v>64.17</v>
      </c>
      <c r="V10" s="31" t="n">
        <v>2474.32</v>
      </c>
      <c r="W10" s="30" t="inlineStr">
        <is>
          <t>Near 52W High Breakout</t>
        </is>
      </c>
      <c r="X10" s="30" t="inlineStr">
        <is>
          <t>Nifty Pharma</t>
        </is>
      </c>
      <c r="Y10" s="31" t="n">
        <v>11.5</v>
      </c>
      <c r="Z10" s="31" t="n">
        <v>177.77</v>
      </c>
      <c r="AA10" s="31" t="n">
        <v>149.12</v>
      </c>
      <c r="AB10" s="31" t="n">
        <v>31.65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Yes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Annuity, Lower One Time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Between 50% to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IF(B11=0,"",RANK(B11,$B$2:$B$22,0))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140</v>
      </c>
      <c r="E11" s="31" t="inlineStr">
        <is>
          <t>5%</t>
        </is>
      </c>
      <c r="F11" s="31" t="n">
        <v>50000</v>
      </c>
      <c r="G11" s="31" t="n">
        <v>44</v>
      </c>
      <c r="H11" s="30" t="inlineStr">
        <is>
          <t>CEMPRO</t>
        </is>
      </c>
      <c r="I11" s="30" t="inlineStr">
        <is>
          <t>Cemindia Projects Ltd</t>
        </is>
      </c>
      <c r="J11" s="30" t="inlineStr">
        <is>
          <t>realty</t>
        </is>
      </c>
      <c r="K11" s="30" t="inlineStr">
        <is>
          <t>construction</t>
        </is>
      </c>
      <c r="L11" s="30" t="inlineStr">
        <is>
          <t>midcap</t>
        </is>
      </c>
      <c r="M11" s="31" t="n">
        <v>17606.51</v>
      </c>
      <c r="N11" s="31" t="n">
        <v>1127.3</v>
      </c>
      <c r="O11" s="31" t="n">
        <v>9.99</v>
      </c>
      <c r="P11" s="31" t="n">
        <v>1435282</v>
      </c>
      <c r="Q11" s="30" t="n">
        <v>90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75.31999999999999</v>
      </c>
      <c r="U11" s="31" t="n">
        <v>35.28</v>
      </c>
      <c r="V11" s="31" t="n">
        <v>860.77</v>
      </c>
      <c r="W11" s="30" t="inlineStr">
        <is>
          <t>Near 52W High Breakout</t>
        </is>
      </c>
      <c r="X11" s="30" t="inlineStr">
        <is>
          <t>Nifty Realty</t>
        </is>
      </c>
      <c r="Y11" s="31" t="n">
        <v>-26.45</v>
      </c>
      <c r="Z11" s="31" t="n">
        <v>51.12</v>
      </c>
      <c r="AA11" s="31" t="n">
        <v>105.48</v>
      </c>
      <c r="AB11" s="31" t="n">
        <v>35.59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No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Less than 50%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IF(B12=0,"",RANK(B12,$B$2:$B$22,0))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140</v>
      </c>
      <c r="E12" s="31" t="inlineStr">
        <is>
          <t>5%</t>
        </is>
      </c>
      <c r="F12" s="31" t="n">
        <v>50000</v>
      </c>
      <c r="G12" s="31" t="n">
        <v>109</v>
      </c>
      <c r="H12" s="30" t="inlineStr">
        <is>
          <t>SIGMAADV</t>
        </is>
      </c>
      <c r="I12" s="30" t="inlineStr">
        <is>
          <t>Sigma Advanced System Ltd</t>
        </is>
      </c>
      <c r="J12" s="30" t="inlineStr">
        <is>
          <t>aerospace &amp; defence</t>
        </is>
      </c>
      <c r="K12" s="30" t="inlineStr">
        <is>
          <t>electronics - components</t>
        </is>
      </c>
      <c r="L12" s="30" t="inlineStr">
        <is>
          <t>midcap</t>
        </is>
      </c>
      <c r="M12" s="31" t="n">
        <v>7699.91</v>
      </c>
      <c r="N12" s="31" t="n">
        <v>458.7</v>
      </c>
      <c r="O12" s="31" t="n">
        <v>4.99</v>
      </c>
      <c r="P12" s="31" t="n">
        <v>224154</v>
      </c>
      <c r="Q12" s="30" t="n">
        <v>99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85.09</v>
      </c>
      <c r="U12" s="31" t="n">
        <v>34.03</v>
      </c>
      <c r="V12" s="31" t="n">
        <v>352.92</v>
      </c>
      <c r="W12" s="30" t="inlineStr">
        <is>
          <t>Volume Spike &amp; Near 52W High Breakout</t>
        </is>
      </c>
      <c r="X12" s="30" t="inlineStr">
        <is>
          <t>Nifty 50</t>
        </is>
      </c>
      <c r="Y12" s="31" t="n">
        <v>-6.35</v>
      </c>
      <c r="Z12" s="31" t="n">
        <v>396.75</v>
      </c>
      <c r="AA12" s="31" t="n">
        <v>430.41</v>
      </c>
      <c r="AB12" s="31" t="n">
        <v>89.41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20 to 40</t>
        </is>
      </c>
      <c r="BD12" s="30">
        <f>IF(BC12="Above 40",20,IF(BC12="20 to 40",10,IF(BC12="0 to 20",-5,0)))</f>
        <v/>
      </c>
      <c r="BE12" s="30" t="inlineStr">
        <is>
          <t>Above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No</t>
        </is>
      </c>
      <c r="BX12" s="30">
        <f>IF(BW12="NO",5,0)</f>
        <v/>
      </c>
      <c r="BY12" s="30" t="inlineStr">
        <is>
          <t>Less than 1.5</t>
        </is>
      </c>
      <c r="BZ12" s="30">
        <f>IF(BY12="Above 2",0,IF(BY12="Between 1.5 to 2",5,IF(BY12="Less than 1.5",10,0)))</f>
        <v/>
      </c>
      <c r="CA12" s="30" t="inlineStr">
        <is>
          <t>Negative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Between 0.7 to 1.2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IF(B13=0,"",RANK(B13,$B$2:$B$22,0))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139.5</v>
      </c>
      <c r="E13" s="31" t="inlineStr">
        <is>
          <t>5%</t>
        </is>
      </c>
      <c r="F13" s="31" t="n">
        <v>50000</v>
      </c>
      <c r="G13" s="31" t="n">
        <v>35</v>
      </c>
      <c r="H13" s="30" t="inlineStr">
        <is>
          <t>LAURUSLABS</t>
        </is>
      </c>
      <c r="I13" s="30" t="inlineStr">
        <is>
          <t>Laurus Labs Limited</t>
        </is>
      </c>
      <c r="J13" s="30" t="inlineStr">
        <is>
          <t>healthcare</t>
        </is>
      </c>
      <c r="K13" s="30" t="inlineStr">
        <is>
          <t>pharmaceuticals - indian - bulk drugs &amp; formln</t>
        </is>
      </c>
      <c r="L13" s="30" t="inlineStr">
        <is>
          <t>largecap</t>
        </is>
      </c>
      <c r="M13" s="31" t="n">
        <v>75272.2</v>
      </c>
      <c r="N13" s="31" t="n">
        <v>1427.2</v>
      </c>
      <c r="O13" s="31" t="n">
        <v>2.36</v>
      </c>
      <c r="P13" s="31" t="n">
        <v>1983191</v>
      </c>
      <c r="Q13" s="30" t="n">
        <v>82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79.20999999999999</v>
      </c>
      <c r="U13" s="31" t="n">
        <v>29.88</v>
      </c>
      <c r="V13" s="31" t="n">
        <v>1208.41</v>
      </c>
      <c r="W13" s="30" t="inlineStr">
        <is>
          <t>Near 52W High Breakout</t>
        </is>
      </c>
      <c r="X13" s="30" t="inlineStr">
        <is>
          <t>Nifty Pharma</t>
        </is>
      </c>
      <c r="Y13" s="31" t="n">
        <v>11.5</v>
      </c>
      <c r="Z13" s="31" t="n">
        <v>122.69</v>
      </c>
      <c r="AA13" s="31" t="n">
        <v>99.73</v>
      </c>
      <c r="AB13" s="31" t="n">
        <v>26.44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Yes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Annuity, Lower One Time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20 to 40</t>
        </is>
      </c>
      <c r="BD13" s="30">
        <f>IF(BC13="Above 40",20,IF(BC13="20 to 40",10,IF(BC13="0 to 20",-5,0)))</f>
        <v/>
      </c>
      <c r="BE13" s="30" t="inlineStr">
        <is>
          <t>Above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Between 12 to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IF(B14=0,"",RANK(B14,$B$2:$B$22,0))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138.8</v>
      </c>
      <c r="E14" s="31" t="inlineStr">
        <is>
          <t>5%</t>
        </is>
      </c>
      <c r="F14" s="31" t="n">
        <v>50000</v>
      </c>
      <c r="G14" s="31" t="n">
        <v>95</v>
      </c>
      <c r="H14" s="30" t="inlineStr">
        <is>
          <t>SHILPAMED</t>
        </is>
      </c>
      <c r="I14" s="30" t="inlineStr">
        <is>
          <t>Shilpa Medicare Limited</t>
        </is>
      </c>
      <c r="J14" s="30" t="inlineStr">
        <is>
          <t>healthcare</t>
        </is>
      </c>
      <c r="K14" s="30" t="inlineStr">
        <is>
          <t>pharmaceuticals - indian - formulations</t>
        </is>
      </c>
      <c r="L14" s="30" t="inlineStr">
        <is>
          <t>midcap</t>
        </is>
      </c>
      <c r="M14" s="31" t="n">
        <v>10080.29</v>
      </c>
      <c r="N14" s="31" t="n">
        <v>525.8</v>
      </c>
      <c r="O14" s="31" t="n">
        <v>2.02</v>
      </c>
      <c r="P14" s="31" t="n">
        <v>1316326</v>
      </c>
      <c r="Q14" s="30" t="n">
        <v>62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77.72</v>
      </c>
      <c r="U14" s="31" t="n">
        <v>39.57</v>
      </c>
      <c r="V14" s="31" t="n">
        <v>408.47</v>
      </c>
      <c r="W14" s="30" t="inlineStr">
        <is>
          <t>Volume Spike &amp; Near 52W High Breakout</t>
        </is>
      </c>
      <c r="X14" s="30" t="inlineStr">
        <is>
          <t>Nifty Pharma</t>
        </is>
      </c>
      <c r="Y14" s="31" t="n">
        <v>11.5</v>
      </c>
      <c r="Z14" s="31" t="n">
        <v>15.14</v>
      </c>
      <c r="AA14" s="31" t="n">
        <v>3.26</v>
      </c>
      <c r="AB14" s="31" t="n">
        <v>17.43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Yes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Annuity, Lower One Time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20 to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IF(B15=0,"",RANK(B15,$B$2:$B$22,0))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140</v>
      </c>
      <c r="E15" s="31" t="inlineStr">
        <is>
          <t>5%</t>
        </is>
      </c>
      <c r="F15" s="31" t="n">
        <v>50000</v>
      </c>
      <c r="G15" s="31" t="n">
        <v>55</v>
      </c>
      <c r="H15" s="30" t="inlineStr">
        <is>
          <t>IDEAFORGE</t>
        </is>
      </c>
      <c r="I15" s="30" t="inlineStr">
        <is>
          <t>Ideaforge Technology Ltd</t>
        </is>
      </c>
      <c r="J15" s="30" t="inlineStr">
        <is>
          <t>aerospace &amp; defence</t>
        </is>
      </c>
      <c r="K15" s="30" t="inlineStr">
        <is>
          <t>engineering</t>
        </is>
      </c>
      <c r="L15" s="30" t="inlineStr">
        <is>
          <t>smallcap</t>
        </is>
      </c>
      <c r="M15" s="31" t="n">
        <v>3709.4</v>
      </c>
      <c r="N15" s="31" t="n">
        <v>900</v>
      </c>
      <c r="O15" s="31" t="n">
        <v>5</v>
      </c>
      <c r="P15" s="31" t="n">
        <v>456053</v>
      </c>
      <c r="Q15" s="30" t="n">
        <v>90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79.23999999999999</v>
      </c>
      <c r="U15" s="31" t="n">
        <v>36.89</v>
      </c>
      <c r="V15" s="31" t="n">
        <v>646.9299999999999</v>
      </c>
      <c r="W15" s="30" t="inlineStr">
        <is>
          <t>Near 52W High Breakout</t>
        </is>
      </c>
      <c r="X15" s="30" t="inlineStr">
        <is>
          <t>Nifty Infra</t>
        </is>
      </c>
      <c r="Y15" s="31" t="n">
        <v>1.41</v>
      </c>
      <c r="Z15" s="31" t="n">
        <v>52.19</v>
      </c>
      <c r="AA15" s="31" t="n">
        <v>50.08</v>
      </c>
      <c r="AB15" s="31" t="n">
        <v>36.13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20 to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No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Negative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IF(B16=0,"",RANK(B16,$B$2:$B$22,0))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139.4</v>
      </c>
      <c r="E16" s="31" t="inlineStr">
        <is>
          <t>5%</t>
        </is>
      </c>
      <c r="F16" s="31" t="n">
        <v>50000</v>
      </c>
      <c r="G16" s="31" t="n">
        <v>5</v>
      </c>
      <c r="H16" s="30" t="inlineStr">
        <is>
          <t>POLYCAB</t>
        </is>
      </c>
      <c r="I16" s="30" t="inlineStr">
        <is>
          <t>Polycab India Ltd</t>
        </is>
      </c>
      <c r="J16" s="30" t="inlineStr">
        <is>
          <t>industrials</t>
        </is>
      </c>
      <c r="K16" s="30" t="inlineStr">
        <is>
          <t>cables - power</t>
        </is>
      </c>
      <c r="L16" s="30" t="inlineStr">
        <is>
          <t>largecap</t>
        </is>
      </c>
      <c r="M16" s="31" t="n">
        <v>144099.42</v>
      </c>
      <c r="N16" s="31" t="n">
        <v>9717.5</v>
      </c>
      <c r="O16" s="31" t="n">
        <v>1.53</v>
      </c>
      <c r="P16" s="31" t="n">
        <v>259390</v>
      </c>
      <c r="Q16" s="30" t="n">
        <v>48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70.62</v>
      </c>
      <c r="U16" s="31" t="n">
        <v>22.54</v>
      </c>
      <c r="V16" s="31" t="n">
        <v>8094.43</v>
      </c>
      <c r="W16" s="30" t="inlineStr">
        <is>
          <t>Near 52W High Breakout</t>
        </is>
      </c>
      <c r="X16" s="30" t="inlineStr">
        <is>
          <t>Nifty Energy</t>
        </is>
      </c>
      <c r="Y16" s="31" t="n">
        <v>12.59</v>
      </c>
      <c r="Z16" s="31" t="n">
        <v>59.97</v>
      </c>
      <c r="AA16" s="31" t="n">
        <v>42.09</v>
      </c>
      <c r="AB16" s="31" t="n">
        <v>12.9</v>
      </c>
      <c r="AC16" s="30" t="inlineStr">
        <is>
          <t>Cyclical in an Upturn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Less than 12%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IF(B17=0,"",RANK(B17,$B$2:$B$22,0))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139.3</v>
      </c>
      <c r="E17" s="31" t="inlineStr">
        <is>
          <t>5%</t>
        </is>
      </c>
      <c r="F17" s="31" t="n">
        <v>50000</v>
      </c>
      <c r="G17" s="31" t="n">
        <v>22</v>
      </c>
      <c r="H17" s="30" t="inlineStr">
        <is>
          <t>RRKABEL</t>
        </is>
      </c>
      <c r="I17" s="30" t="inlineStr">
        <is>
          <t>R R Kabel Ltd</t>
        </is>
      </c>
      <c r="J17" s="30" t="inlineStr">
        <is>
          <t>industrials</t>
        </is>
      </c>
      <c r="K17" s="30" t="inlineStr">
        <is>
          <t>cables - power</t>
        </is>
      </c>
      <c r="L17" s="30" t="inlineStr">
        <is>
          <t>largecap</t>
        </is>
      </c>
      <c r="M17" s="31" t="n">
        <v>24384.42</v>
      </c>
      <c r="N17" s="31" t="n">
        <v>2223</v>
      </c>
      <c r="O17" s="31" t="n">
        <v>3.11</v>
      </c>
      <c r="P17" s="31" t="n">
        <v>1089810</v>
      </c>
      <c r="Q17" s="30" t="n">
        <v>69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78.59</v>
      </c>
      <c r="U17" s="31" t="n">
        <v>32.21</v>
      </c>
      <c r="V17" s="31" t="n">
        <v>1757.72</v>
      </c>
      <c r="W17" s="30" t="inlineStr">
        <is>
          <t>Near 52W High Breakout</t>
        </is>
      </c>
      <c r="X17" s="30" t="inlineStr">
        <is>
          <t>Nifty Energy</t>
        </is>
      </c>
      <c r="Y17" s="31" t="n">
        <v>12.59</v>
      </c>
      <c r="Z17" s="31" t="n">
        <v>58.1</v>
      </c>
      <c r="AA17" s="31" t="n">
        <v>40.43</v>
      </c>
      <c r="AB17" s="31" t="n">
        <v>20.38</v>
      </c>
      <c r="AC17" s="30" t="inlineStr">
        <is>
          <t>Cyclical in an Upturn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20 to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Between 1.5 to 2</t>
        </is>
      </c>
      <c r="BZ17" s="30">
        <f>IF(BY17="Above 2",0,IF(BY17="Between 1.5 to 2",5,IF(BY17="Less than 1.5",10,0)))</f>
        <v/>
      </c>
      <c r="CA17" s="30" t="inlineStr">
        <is>
          <t>Less than 50%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IF(B18=0,"",RANK(B18,$B$2:$B$22,0))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138.7</v>
      </c>
      <c r="E18" s="31" t="inlineStr">
        <is>
          <t>5%</t>
        </is>
      </c>
      <c r="F18" s="31" t="n">
        <v>50000</v>
      </c>
      <c r="G18" s="31" t="n">
        <v>148</v>
      </c>
      <c r="H18" s="30" t="inlineStr">
        <is>
          <t>RUBYMILLS</t>
        </is>
      </c>
      <c r="I18" s="30" t="inlineStr">
        <is>
          <t>The Ruby Mills Limited</t>
        </is>
      </c>
      <c r="J18" s="30" t="inlineStr">
        <is>
          <t>textiles</t>
        </is>
      </c>
      <c r="K18" s="30" t="inlineStr">
        <is>
          <t>textiles - composite</t>
        </is>
      </c>
      <c r="L18" s="30" t="inlineStr">
        <is>
          <t>smallcap</t>
        </is>
      </c>
      <c r="M18" s="31" t="n">
        <v>949.7</v>
      </c>
      <c r="N18" s="31" t="n">
        <v>336.2</v>
      </c>
      <c r="O18" s="31" t="n">
        <v>18.38</v>
      </c>
      <c r="P18" s="31" t="n">
        <v>1383749</v>
      </c>
      <c r="Q18" s="30" t="n">
        <v>72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76.56</v>
      </c>
      <c r="U18" s="31" t="n">
        <v>34.84</v>
      </c>
      <c r="V18" s="31" t="n">
        <v>253.66</v>
      </c>
      <c r="W18" s="30" t="inlineStr">
        <is>
          <t>Volume Spike &amp; Near 52W High Breakout</t>
        </is>
      </c>
      <c r="X18" s="30" t="inlineStr">
        <is>
          <t>Nifty 50</t>
        </is>
      </c>
      <c r="Y18" s="31" t="n">
        <v>-6.35</v>
      </c>
      <c r="Z18" s="31" t="n">
        <v>55.51</v>
      </c>
      <c r="AA18" s="31" t="n">
        <v>66.05</v>
      </c>
      <c r="AB18" s="31" t="n">
        <v>22.54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Above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Less than 12%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No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Between 50% to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IF(B19=0,"",RANK(B19,$B$2:$B$22,0))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139.6</v>
      </c>
      <c r="E19" s="31" t="inlineStr">
        <is>
          <t>5%</t>
        </is>
      </c>
      <c r="F19" s="31" t="n">
        <v>50000</v>
      </c>
      <c r="G19" s="31" t="n">
        <v>46</v>
      </c>
      <c r="H19" s="30" t="inlineStr">
        <is>
          <t>BBOX</t>
        </is>
      </c>
      <c r="I19" s="30" t="inlineStr">
        <is>
          <t>Black Box Ltd</t>
        </is>
      </c>
      <c r="J19" s="30" t="inlineStr">
        <is>
          <t>i.t</t>
        </is>
      </c>
      <c r="K19" s="30" t="inlineStr">
        <is>
          <t>computers - software - medium / small</t>
        </is>
      </c>
      <c r="L19" s="30" t="inlineStr">
        <is>
          <t>midcap</t>
        </is>
      </c>
      <c r="M19" s="31" t="n">
        <v>18748.82</v>
      </c>
      <c r="N19" s="31" t="n">
        <v>1078.2</v>
      </c>
      <c r="O19" s="31" t="n">
        <v>2.07</v>
      </c>
      <c r="P19" s="31" t="n">
        <v>689171</v>
      </c>
      <c r="Q19" s="30" t="n">
        <v>93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86.03</v>
      </c>
      <c r="U19" s="31" t="n">
        <v>31.33</v>
      </c>
      <c r="V19" s="31" t="n">
        <v>855.54</v>
      </c>
      <c r="W19" s="30" t="inlineStr">
        <is>
          <t>Near 52W High Breakout</t>
        </is>
      </c>
      <c r="X19" s="30" t="inlineStr">
        <is>
          <t>Nifty IT</t>
        </is>
      </c>
      <c r="Y19" s="31" t="n">
        <v>-21.44</v>
      </c>
      <c r="Z19" s="31" t="n">
        <v>92.77</v>
      </c>
      <c r="AA19" s="31" t="n">
        <v>145.36</v>
      </c>
      <c r="AB19" s="31" t="n">
        <v>43.26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Annuity, Lower One Time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20 to 40</t>
        </is>
      </c>
      <c r="BD19" s="30">
        <f>IF(BC19="Above 40",20,IF(BC19="20 to 40",10,IF(BC19="0 to 20",-5,0)))</f>
        <v/>
      </c>
      <c r="BE19" s="30" t="inlineStr">
        <is>
          <t>Above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Less than 12%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Yes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Less than 50%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Between 0.7 to 1.2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IF(B20=0,"",RANK(B20,$B$2:$B$22,0))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138.9</v>
      </c>
      <c r="E20" s="31" t="inlineStr">
        <is>
          <t>5%</t>
        </is>
      </c>
      <c r="F20" s="31" t="n">
        <v>50000</v>
      </c>
      <c r="G20" s="31" t="n">
        <v>195</v>
      </c>
      <c r="H20" s="30" t="inlineStr">
        <is>
          <t>V2RETAIL</t>
        </is>
      </c>
      <c r="I20" s="30" t="inlineStr">
        <is>
          <t>V2 Retail Limited</t>
        </is>
      </c>
      <c r="J20" s="30" t="inlineStr">
        <is>
          <t>consumer discretionary</t>
        </is>
      </c>
      <c r="K20" s="30" t="inlineStr">
        <is>
          <t>textiles - products</t>
        </is>
      </c>
      <c r="L20" s="30" t="inlineStr">
        <is>
          <t>midcap</t>
        </is>
      </c>
      <c r="M20" s="31" t="n">
        <v>8957.32</v>
      </c>
      <c r="N20" s="31" t="n">
        <v>256.4</v>
      </c>
      <c r="O20" s="31" t="n">
        <v>4.38</v>
      </c>
      <c r="P20" s="31" t="n">
        <v>4139382</v>
      </c>
      <c r="Q20" s="30" t="n">
        <v>57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68.67</v>
      </c>
      <c r="U20" s="31" t="n">
        <v>26.15</v>
      </c>
      <c r="V20" s="31" t="n">
        <v>191.32</v>
      </c>
      <c r="W20" s="30" t="inlineStr">
        <is>
          <t>Volume Spike &amp; Near 52W High Breakout</t>
        </is>
      </c>
      <c r="X20" s="30" t="inlineStr">
        <is>
          <t>Nifty 50</t>
        </is>
      </c>
      <c r="Y20" s="31" t="n">
        <v>-6.35</v>
      </c>
      <c r="Z20" s="31" t="n">
        <v>40.82</v>
      </c>
      <c r="AA20" s="31" t="n">
        <v>50.36</v>
      </c>
      <c r="AB20" s="31" t="n">
        <v>15.6</v>
      </c>
      <c r="AC20" s="30" t="inlineStr">
        <is>
          <t>Growing Industry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20 to 40</t>
        </is>
      </c>
      <c r="BD20" s="30">
        <f>IF(BC20="Above 40",20,IF(BC20="20 to 40",10,IF(BC20="0 to 20",-5,0)))</f>
        <v/>
      </c>
      <c r="BE20" s="30" t="inlineStr">
        <is>
          <t>Between 50 to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Blue sky scenario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More than 20%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Negative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Between 0.7 to 1.2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IF(B21=0,"",RANK(B21,$B$2:$B$22,0))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138.8</v>
      </c>
      <c r="E21" s="31" t="inlineStr">
        <is>
          <t>5%</t>
        </is>
      </c>
      <c r="F21" s="31" t="n">
        <v>50000</v>
      </c>
      <c r="G21" s="31" t="n">
        <v>49</v>
      </c>
      <c r="H21" s="32" t="inlineStr">
        <is>
          <t>SHYAMMETL</t>
        </is>
      </c>
      <c r="I21" s="32" t="inlineStr">
        <is>
          <t>Shyam Metalics &amp; Energy Ltd</t>
        </is>
      </c>
      <c r="J21" s="30" t="inlineStr">
        <is>
          <t>metals &amp; mining</t>
        </is>
      </c>
      <c r="K21" s="30" t="inlineStr">
        <is>
          <t>steel - large</t>
        </is>
      </c>
      <c r="L21" s="30" t="inlineStr">
        <is>
          <t>largecap</t>
        </is>
      </c>
      <c r="M21" s="31" t="n">
        <v>27353.53</v>
      </c>
      <c r="N21" s="31" t="n">
        <v>1002</v>
      </c>
      <c r="O21" s="31" t="n">
        <v>2.25</v>
      </c>
      <c r="P21" s="31" t="n">
        <v>1083978</v>
      </c>
      <c r="Q21" s="30" t="n">
        <v>34</v>
      </c>
      <c r="R21" s="30" t="inlineStr">
        <is>
          <t>Underperforming</t>
        </is>
      </c>
      <c r="S21" s="31">
        <f>IF(R21="Underperforming",-5,IF(Q21&gt;=95,15,IF(Q21&gt;=90,10,IF(Q21&gt;=80,5,0))))</f>
        <v/>
      </c>
      <c r="T21" s="31" t="n">
        <v>65.86</v>
      </c>
      <c r="U21" s="31" t="n">
        <v>14.17</v>
      </c>
      <c r="V21" s="31" t="n">
        <v>807.55</v>
      </c>
      <c r="W21" s="30" t="inlineStr">
        <is>
          <t>Near 52W High Breakout</t>
        </is>
      </c>
      <c r="X21" s="30" t="inlineStr">
        <is>
          <t>Nifty Metal</t>
        </is>
      </c>
      <c r="Y21" s="31" t="n">
        <v>42.84</v>
      </c>
      <c r="Z21" s="31" t="n">
        <v>15.66</v>
      </c>
      <c r="AA21" s="31" t="n">
        <v>-19.03</v>
      </c>
      <c r="AB21" s="31" t="n">
        <v>8.949999999999999</v>
      </c>
      <c r="AC21" s="30" t="inlineStr">
        <is>
          <t>Cyclical in an Upturn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Cyclical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Volatile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0 to 20</t>
        </is>
      </c>
      <c r="BD21" s="30">
        <f>IF(BC21="Above 40",20,IF(BC21="20 to 40",10,IF(BC21="0 to 20",-5,0)))</f>
        <v/>
      </c>
      <c r="BE21" s="30" t="inlineStr">
        <is>
          <t>Between 50 to 75</t>
        </is>
      </c>
      <c r="BF21" s="30">
        <f>IF(BE21="Between 50 to 75",10,IF(BE21="Above 75",0,0))</f>
        <v/>
      </c>
      <c r="BG21" s="30" t="inlineStr">
        <is>
          <t>Stage 2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Blue sky scenario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More than 20%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No</t>
        </is>
      </c>
      <c r="BX21" s="30">
        <f>IF(BW21="NO",5,0)</f>
        <v/>
      </c>
      <c r="BY21" s="30" t="inlineStr">
        <is>
          <t>Less than 1.5</t>
        </is>
      </c>
      <c r="BZ21" s="30">
        <f>IF(BY21="Above 2",0,IF(BY21="Between 1.5 to 2",5,IF(BY21="Less than 1.5",10,0)))</f>
        <v/>
      </c>
      <c r="CA21" s="30" t="inlineStr">
        <is>
          <t>Above 70%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Less than 0.7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  <row r="22">
      <c r="A22" s="30">
        <f>IF(B22=0,"",RANK(B22,$B$2:$B$22,0))</f>
        <v/>
      </c>
      <c r="B22" s="31">
        <f>SUM(S22,AD22,AF22,AH22,AJ22,AL22,AN22,AP22,AR22,AT22,AV22,AX22,AZ22,BB22,BD22,BF22,BH22,BJ22,BL22,BN22,BP22,BR22,BT22,BV22,BX22,BZ22,CB22,CD22,CF22,CH22,CJ22)</f>
        <v/>
      </c>
      <c r="C22" s="30" t="inlineStr">
        <is>
          <t>52W Breakout</t>
        </is>
      </c>
      <c r="D22" s="31" t="n">
        <v>139.5</v>
      </c>
      <c r="E22" s="31" t="inlineStr">
        <is>
          <t>5%</t>
        </is>
      </c>
      <c r="F22" s="31" t="n">
        <v>50000</v>
      </c>
      <c r="G22" s="31" t="n">
        <v>144</v>
      </c>
      <c r="H22" s="30" t="inlineStr">
        <is>
          <t>ACMESOLAR</t>
        </is>
      </c>
      <c r="I22" s="30" t="inlineStr">
        <is>
          <t>ACME Solar Holdings Ltd</t>
        </is>
      </c>
      <c r="J22" s="30" t="inlineStr">
        <is>
          <t>realty</t>
        </is>
      </c>
      <c r="K22" s="30" t="inlineStr">
        <is>
          <t>engineering - turnkey services</t>
        </is>
      </c>
      <c r="L22" s="30" t="inlineStr">
        <is>
          <t>midcap</t>
        </is>
      </c>
      <c r="M22" s="31" t="n">
        <v>19939.5</v>
      </c>
      <c r="N22" s="31" t="n">
        <v>345.85</v>
      </c>
      <c r="O22" s="31" t="n">
        <v>5.11</v>
      </c>
      <c r="P22" s="31" t="n">
        <v>4610275</v>
      </c>
      <c r="Q22" s="30" t="n">
        <v>69</v>
      </c>
      <c r="R22" s="30" t="inlineStr">
        <is>
          <t>Outperforming</t>
        </is>
      </c>
      <c r="S22" s="31">
        <f>IF(R22="Underperforming",-5,IF(Q22&gt;=95,15,IF(Q22&gt;=90,10,IF(Q22&gt;=80,5,0))))</f>
        <v/>
      </c>
      <c r="T22" s="31" t="n">
        <v>70.44</v>
      </c>
      <c r="U22" s="31" t="n">
        <v>18.4</v>
      </c>
      <c r="V22" s="31" t="n">
        <v>267.19</v>
      </c>
      <c r="W22" s="30" t="inlineStr">
        <is>
          <t>Volume Spike &amp; Near 52W High Breakout</t>
        </is>
      </c>
      <c r="X22" s="30" t="inlineStr">
        <is>
          <t>Nifty Realty</t>
        </is>
      </c>
      <c r="Y22" s="31" t="n">
        <v>-26.45</v>
      </c>
      <c r="Z22" s="31" t="n">
        <v>37.99</v>
      </c>
      <c r="AA22" s="31" t="n">
        <v>87.62</v>
      </c>
      <c r="AB22" s="31" t="n">
        <v>20.05</v>
      </c>
      <c r="AC22" s="30" t="inlineStr">
        <is>
          <t>Growing Industry</t>
        </is>
      </c>
      <c r="AD22" s="30">
        <f>IF(AC22="Growing Industry",10,IF(AC22="Cyclical in an Upturn",5,0))</f>
        <v/>
      </c>
      <c r="AE22" s="30" t="inlineStr">
        <is>
          <t>Too Many Players with High ROCE</t>
        </is>
      </c>
      <c r="AF22" s="30">
        <f>IF(AE22="Monopoly",10,IF(AE22="Oligopoly",5,IF(AE22="Duopoly that cooperate",10,IF(AE22="Duopoly that compete",5,IF(AE22="Too many players with High ROCE",5,0)))))</f>
        <v/>
      </c>
      <c r="AG22" s="30" t="inlineStr">
        <is>
          <t>No</t>
        </is>
      </c>
      <c r="AH22" s="30">
        <f>IF(AG22="No",5,0)</f>
        <v/>
      </c>
      <c r="AI22" s="30" t="inlineStr">
        <is>
          <t>Tailwind</t>
        </is>
      </c>
      <c r="AJ22" s="30">
        <f>IF(AI22="Tailwind",10,0)</f>
        <v/>
      </c>
      <c r="AK22" s="30" t="inlineStr">
        <is>
          <t>Structural (10 Years Consistency)</t>
        </is>
      </c>
      <c r="AL22" s="30">
        <f>IF(AK22="Structural (10 Years Consistency)",10,IF(AK22="Shallow Cyclical (2 to 3 years growth)",5,0))</f>
        <v/>
      </c>
      <c r="AM22" s="30" t="inlineStr">
        <is>
          <t>No</t>
        </is>
      </c>
      <c r="AN22" s="30">
        <f>IF(AM22="Yes due to Product Mix change or Operating Leverage",10,IF(AM22="Yes, these are peak margins",-5,IF(AM22="No",5,0)))</f>
        <v/>
      </c>
      <c r="AO22" s="30" t="inlineStr">
        <is>
          <t>Stable</t>
        </is>
      </c>
      <c r="AP22" s="30">
        <f>IF(AO22="Stable",10,0)</f>
        <v/>
      </c>
      <c r="AQ22" s="30" t="inlineStr">
        <is>
          <t>Yes</t>
        </is>
      </c>
      <c r="AR22" s="30">
        <f>IF(AQ22="Yes",10,0)</f>
        <v/>
      </c>
      <c r="AS22" s="30" t="inlineStr">
        <is>
          <t>B2B</t>
        </is>
      </c>
      <c r="AT22" s="30">
        <f>IF(AS22="B2C",10,IF(AS22="B2B",5,0))</f>
        <v/>
      </c>
      <c r="AU22" s="30" t="inlineStr">
        <is>
          <t>Yes</t>
        </is>
      </c>
      <c r="AV22" s="30">
        <f>IF(AU22="Yes",10,0)</f>
        <v/>
      </c>
      <c r="AW22" s="30" t="inlineStr">
        <is>
          <t>Higher One Time, Lower Annuity</t>
        </is>
      </c>
      <c r="AX22" s="30">
        <f>IF(AW22="Fully Annuity",10,IF(AW22="Higher Annuity, Lower One Time",5,IF(AW22="Higher One Time, Lower Annuity",3,0)))</f>
        <v/>
      </c>
      <c r="AY22" s="30" t="inlineStr">
        <is>
          <t>Good</t>
        </is>
      </c>
      <c r="AZ22" s="30">
        <f>IF(AY22="Good",10,0)</f>
        <v/>
      </c>
      <c r="BA22" s="30" t="inlineStr">
        <is>
          <t>Yes for more than 2 years</t>
        </is>
      </c>
      <c r="BB22" s="30">
        <f>IF(BA22="Yes for more than 2 years",10,IF(BA22="Yes only for next 1 to 2 years",5,0))</f>
        <v/>
      </c>
      <c r="BC22" s="30" t="inlineStr">
        <is>
          <t>0 to 20</t>
        </is>
      </c>
      <c r="BD22" s="30">
        <f>IF(BC22="Above 40",20,IF(BC22="20 to 40",10,IF(BC22="0 to 20",-5,0)))</f>
        <v/>
      </c>
      <c r="BE22" s="30" t="inlineStr">
        <is>
          <t>Between 50 to 75</t>
        </is>
      </c>
      <c r="BF22" s="30">
        <f>IF(BE22="Between 50 to 75",10,IF(BE22="Above 75",0,0))</f>
        <v/>
      </c>
      <c r="BG22" s="30" t="inlineStr">
        <is>
          <t>Stage 2</t>
        </is>
      </c>
      <c r="BH22" s="30">
        <f>IF(BG22="Stage 2",20,IF(BG22="Stage 1",0,IF(BG22="Stage 3",5,IF(BG22="Stage 4",-5,0))))</f>
        <v/>
      </c>
      <c r="BI22" s="30" t="inlineStr">
        <is>
          <t>Positive Trend</t>
        </is>
      </c>
      <c r="BJ22" s="30">
        <f>IF(BI22="Positive Trend",20,IF(BI22="Negative Trend",-10,0))</f>
        <v/>
      </c>
      <c r="BK22" s="30" t="inlineStr">
        <is>
          <t>Uptrend</t>
        </is>
      </c>
      <c r="BL22" s="30">
        <f>IF(BK22="Uptrend",10,IF(BK22="Sideways",5,0))</f>
        <v/>
      </c>
      <c r="BM22" s="30" t="inlineStr">
        <is>
          <t>Uptrend</t>
        </is>
      </c>
      <c r="BN22" s="30">
        <f>IF(BM22="Uptrend",10,IF(BM22="Sideways",5,0))</f>
        <v/>
      </c>
      <c r="BO22" s="30" t="inlineStr">
        <is>
          <t>Blue sky scenario</t>
        </is>
      </c>
      <c r="BP22" s="30">
        <f>IF(BO22="Overhead supply in last 2 years in last 2 years",-5,IF(BO22="Close to 52 week high or retracement",5,IF(BO22="Blue sky scenario",10,IF(BO22="Long term Downtrend",-10,0))))</f>
        <v/>
      </c>
      <c r="BQ22" s="30" t="inlineStr">
        <is>
          <t>Yes</t>
        </is>
      </c>
      <c r="BR22" s="30">
        <f>IF(BQ22="Yes",10,0)</f>
        <v/>
      </c>
      <c r="BS22" s="30" t="inlineStr">
        <is>
          <t>Less than 12%</t>
        </is>
      </c>
      <c r="BT22" s="30">
        <f>IF(BS22="More than 20%",10,IF(BS22="Between 12 to 20%",5,IF(BS22="Less than 12%",0,0)))</f>
        <v/>
      </c>
      <c r="BU22" s="30" t="inlineStr">
        <is>
          <t>No</t>
        </is>
      </c>
      <c r="BV22" s="30">
        <f>IF(BU22="No",10,0)</f>
        <v/>
      </c>
      <c r="BW22" s="30" t="inlineStr">
        <is>
          <t>Yes</t>
        </is>
      </c>
      <c r="BX22" s="30">
        <f>IF(BW22="NO",5,0)</f>
        <v/>
      </c>
      <c r="BY22" s="30" t="inlineStr">
        <is>
          <t>Above 2</t>
        </is>
      </c>
      <c r="BZ22" s="30">
        <f>IF(BY22="Above 2",0,IF(BY22="Between 1.5 to 2",5,IF(BY22="Less than 1.5",10,0)))</f>
        <v/>
      </c>
      <c r="CA22" s="30" t="inlineStr">
        <is>
          <t>Between 50% to 70%</t>
        </is>
      </c>
      <c r="CB22" s="30">
        <f>IF(CA22="Above 70%",10,IF(CA22="Between 50% to 70%",5,IF(CA22="Less than 50%",0,IF(CA22="Negative",-10,IF(CA22="Less than 50% and Borrowings are increasing",-5,0)))))</f>
        <v/>
      </c>
      <c r="CC22" s="30" t="inlineStr">
        <is>
          <t>More than 1.2</t>
        </is>
      </c>
      <c r="CD22" s="30">
        <f>IF(CC22="More than 1.2",-10,IF(CC22="Between 0.7 to 1.2",0,IF(CC22="Less than 0.7",10,0)))</f>
        <v/>
      </c>
      <c r="CE22" s="30" t="inlineStr">
        <is>
          <t>No</t>
        </is>
      </c>
      <c r="CF22" s="30">
        <f>IF(CE22="Yes",-10,0)</f>
        <v/>
      </c>
      <c r="CG22" s="30" t="inlineStr">
        <is>
          <t>Less than 15%</t>
        </is>
      </c>
      <c r="CH22" s="30">
        <f>IF(CG22="More than 15%",-10,IF(CG22="Less than 15%",10,0))</f>
        <v/>
      </c>
      <c r="CI22" s="30" t="inlineStr">
        <is>
          <t>No</t>
        </is>
      </c>
      <c r="CJ22" s="30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expression" priority="38" dxfId="0" stopIfTrue="1">
      <formula>=AND(V2&lt;&gt;"",V2&gt;0,N2&gt;=V2)</formula>
    </cfRule>
    <cfRule type="expression" priority="39" dxfId="3" stopIfTrue="1">
      <formula>=AND(V2&lt;&gt;"",V2&gt;0,N2&lt;V2)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IF(B2=0,"",RANK(B2,$B$2:$B$2,0))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139.4</v>
      </c>
      <c r="E2" s="31" t="inlineStr">
        <is>
          <t>5%</t>
        </is>
      </c>
      <c r="F2" s="31" t="n">
        <v>50000</v>
      </c>
      <c r="G2" s="31" t="n">
        <v>141</v>
      </c>
      <c r="H2" s="30" t="inlineStr">
        <is>
          <t>RBLBANK</t>
        </is>
      </c>
      <c r="I2" s="30" t="inlineStr">
        <is>
          <t>Rbl Bank Limited</t>
        </is>
      </c>
      <c r="J2" s="30" t="inlineStr">
        <is>
          <t>bank</t>
        </is>
      </c>
      <c r="K2" s="30" t="inlineStr">
        <is>
          <t>banks - private sector</t>
        </is>
      </c>
      <c r="L2" s="30" t="inlineStr">
        <is>
          <t>largecap</t>
        </is>
      </c>
      <c r="M2" s="31" t="n">
        <v>21522.64</v>
      </c>
      <c r="N2" s="31" t="n">
        <v>353.75</v>
      </c>
      <c r="O2" s="31" t="n">
        <v>1.59</v>
      </c>
      <c r="P2" s="31" t="n">
        <v>5254858</v>
      </c>
      <c r="Q2" s="30" t="n">
        <v>51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66.05</v>
      </c>
      <c r="U2" s="31" t="n">
        <v>27.24</v>
      </c>
      <c r="V2" s="31" t="n">
        <v>292.3</v>
      </c>
      <c r="W2" s="30" t="inlineStr">
        <is>
          <t>Near 52W High Breakout</t>
        </is>
      </c>
      <c r="X2" s="30" t="inlineStr">
        <is>
          <t>Nifty Bank</t>
        </is>
      </c>
      <c r="Y2" s="31" t="n">
        <v>-4.01</v>
      </c>
      <c r="Z2" s="31" t="n">
        <v>63.14</v>
      </c>
      <c r="AA2" s="31" t="n">
        <v>69.95999999999999</v>
      </c>
      <c r="AB2" s="31" t="n">
        <v>14.05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expression" priority="36" dxfId="0" stopIfTrue="1">
      <formula>=AND(V2&lt;&gt;"",V2&gt;0,N2&gt;=V2)</formula>
    </cfRule>
    <cfRule type="expression" priority="37" dxfId="3" stopIfTrue="1">
      <formula>=AND(V2&lt;&gt;"",V2&gt;0,N2&lt;V2)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G11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IF(B2=0,"",RANK(B2,$B$2:$B$94,0))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BAJAJCON</t>
        </is>
      </c>
      <c r="D2" s="30" t="inlineStr">
        <is>
          <t>Bajaj Consumer Care Ltd</t>
        </is>
      </c>
      <c r="E2" s="30" t="inlineStr">
        <is>
          <t>fmcg</t>
        </is>
      </c>
      <c r="F2" s="30" t="inlineStr">
        <is>
          <t>FMCG - Personal Care</t>
        </is>
      </c>
      <c r="G2" s="30" t="inlineStr">
        <is>
          <t>midcap</t>
        </is>
      </c>
      <c r="H2" s="31" t="n">
        <v>7298.95</v>
      </c>
      <c r="I2" s="31" t="n">
        <v>558.8</v>
      </c>
      <c r="J2" s="31" t="n">
        <v>0.61</v>
      </c>
      <c r="K2" s="31" t="n">
        <v>0</v>
      </c>
      <c r="L2" s="30" t="n">
        <v>91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74.91</v>
      </c>
      <c r="P2" s="31" t="n">
        <v>51.77</v>
      </c>
      <c r="Q2" s="31" t="n">
        <v>441.56</v>
      </c>
      <c r="R2" s="30" t="inlineStr">
        <is>
          <t>Near 52W High Breakout</t>
        </is>
      </c>
      <c r="S2" s="30" t="inlineStr">
        <is>
          <t>Nifty FMCG</t>
        </is>
      </c>
      <c r="T2" s="31" t="n">
        <v>-13.6</v>
      </c>
      <c r="U2" s="31" t="n">
        <v>221.06</v>
      </c>
      <c r="V2" s="31" t="n">
        <v>271.57</v>
      </c>
      <c r="W2" s="31" t="n">
        <v>37.53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Above 2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25</t>
        </is>
      </c>
      <c r="CG2" s="30">
        <f>IF(CF2&gt;20,10,IF(CF2&gt;=10,5,2))</f>
        <v/>
      </c>
    </row>
    <row r="3">
      <c r="A3" s="30">
        <f>IF(B3=0,"",RANK(B3,$B$2:$B$94,0))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IBULLSLTD</t>
        </is>
      </c>
      <c r="D3" s="30" t="inlineStr">
        <is>
          <t>Indiabulls Limited</t>
        </is>
      </c>
      <c r="E3" s="30" t="inlineStr">
        <is>
          <t>miscellaneous</t>
        </is>
      </c>
      <c r="F3" s="30" t="inlineStr">
        <is>
          <t>Diversified</t>
        </is>
      </c>
      <c r="G3" s="30" t="inlineStr">
        <is>
          <t>midcap</t>
        </is>
      </c>
      <c r="H3" s="31" t="n">
        <v>5480.89</v>
      </c>
      <c r="I3" s="31" t="n">
        <v>23.58</v>
      </c>
      <c r="J3" s="31" t="n">
        <v>-3.08</v>
      </c>
      <c r="K3" s="31" t="n">
        <v>0</v>
      </c>
      <c r="L3" s="30" t="n">
        <v>96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72.16</v>
      </c>
      <c r="P3" s="31" t="n">
        <v>35.91</v>
      </c>
      <c r="Q3" s="31" t="n">
        <v>16.54</v>
      </c>
      <c r="R3" s="30" t="inlineStr">
        <is>
          <t>Near 52W High Breakout</t>
        </is>
      </c>
      <c r="S3" s="30" t="inlineStr">
        <is>
          <t>Nifty 50</t>
        </is>
      </c>
      <c r="T3" s="31" t="n">
        <v>-6.35</v>
      </c>
      <c r="U3" s="31" t="n">
        <v>49.9</v>
      </c>
      <c r="V3" s="31" t="n">
        <v>60.06</v>
      </c>
      <c r="W3" s="31" t="n">
        <v>53.19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Between 50% to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22</t>
        </is>
      </c>
      <c r="CG3" s="30">
        <f>IF(CF3&gt;20,10,IF(CF3&gt;=10,5,2))</f>
        <v/>
      </c>
    </row>
    <row r="4">
      <c r="A4" s="30">
        <f>IF(B4=0,"",RANK(B4,$B$2:$B$94,0))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VMARCIND</t>
        </is>
      </c>
      <c r="D4" s="30" t="inlineStr">
        <is>
          <t>V-Marc India Ltd</t>
        </is>
      </c>
      <c r="E4" s="30" t="inlineStr">
        <is>
          <t>unknown</t>
        </is>
      </c>
      <c r="F4" s="30" t="inlineStr">
        <is>
          <t>Cables - Power</t>
        </is>
      </c>
      <c r="G4" s="30" t="inlineStr">
        <is>
          <t>smallcap</t>
        </is>
      </c>
      <c r="H4" s="31" t="n">
        <v>3720.74</v>
      </c>
      <c r="I4" s="31" t="n">
        <v>1523.6</v>
      </c>
      <c r="J4" s="31" t="n">
        <v>5.79</v>
      </c>
      <c r="K4" s="31" t="n">
        <v>0</v>
      </c>
      <c r="L4" s="30" t="n">
        <v>97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86.8</v>
      </c>
      <c r="P4" s="31" t="n">
        <v>36.8</v>
      </c>
      <c r="Q4" s="31" t="n">
        <v>1086.06</v>
      </c>
      <c r="R4" s="30" t="inlineStr">
        <is>
          <t>Near 52W High Breakout</t>
        </is>
      </c>
      <c r="S4" s="30" t="inlineStr">
        <is>
          <t>Nifty 50</t>
        </is>
      </c>
      <c r="T4" s="31" t="n">
        <v>-6.35</v>
      </c>
      <c r="U4" s="31" t="n">
        <v>351.49</v>
      </c>
      <c r="V4" s="31" t="n">
        <v>382.08</v>
      </c>
      <c r="W4" s="31" t="n">
        <v>60.96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20 to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24</t>
        </is>
      </c>
      <c r="CG4" s="30">
        <f>IF(CF4&gt;20,10,IF(CF4&gt;=10,5,2))</f>
        <v/>
      </c>
    </row>
    <row r="5">
      <c r="A5" s="30">
        <f>IF(B5=0,"",RANK(B5,$B$2:$B$94,0))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VENUSREM</t>
        </is>
      </c>
      <c r="D5" s="30" t="inlineStr">
        <is>
          <t>Venus Remedies Ltd</t>
        </is>
      </c>
      <c r="E5" s="30" t="inlineStr">
        <is>
          <t>healthcare</t>
        </is>
      </c>
      <c r="F5" s="30" t="inlineStr">
        <is>
          <t>Pharmaceuticals - I V Fluids</t>
        </is>
      </c>
      <c r="G5" s="30" t="inlineStr">
        <is>
          <t>smallcap</t>
        </is>
      </c>
      <c r="H5" s="31" t="n">
        <v>2079.64</v>
      </c>
      <c r="I5" s="31" t="n">
        <v>1555.8</v>
      </c>
      <c r="J5" s="31" t="n">
        <v>4.99</v>
      </c>
      <c r="K5" s="31" t="n">
        <v>0</v>
      </c>
      <c r="L5" s="30" t="n">
        <v>97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79.06</v>
      </c>
      <c r="P5" s="31" t="n">
        <v>45.62</v>
      </c>
      <c r="Q5" s="31" t="n">
        <v>1173.22</v>
      </c>
      <c r="R5" s="30" t="inlineStr">
        <is>
          <t>Volume Spike &amp; Near 52W High Breakout</t>
        </is>
      </c>
      <c r="S5" s="30" t="inlineStr">
        <is>
          <t>Nifty Pharma</t>
        </is>
      </c>
      <c r="T5" s="31" t="n">
        <v>11.5</v>
      </c>
      <c r="U5" s="31" t="n">
        <v>261.81</v>
      </c>
      <c r="V5" s="31" t="n">
        <v>224.5</v>
      </c>
      <c r="W5" s="31" t="n">
        <v>61.02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Above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27</t>
        </is>
      </c>
      <c r="CG5" s="30">
        <f>IF(CF5&gt;20,10,IF(CF5&gt;=10,5,2))</f>
        <v/>
      </c>
    </row>
    <row r="6">
      <c r="A6" s="30">
        <f>IF(B6=0,"",RANK(B6,$B$2:$B$94,0))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MTARTECH</t>
        </is>
      </c>
      <c r="D6" s="30" t="inlineStr">
        <is>
          <t>MTAR Technologies Ltd</t>
        </is>
      </c>
      <c r="E6" s="30" t="inlineStr">
        <is>
          <t>aerospace &amp; defence</t>
        </is>
      </c>
      <c r="F6" s="30" t="inlineStr">
        <is>
          <t>Aerospace &amp; Defence - Equipments</t>
        </is>
      </c>
      <c r="G6" s="30" t="inlineStr">
        <is>
          <t>largecap</t>
        </is>
      </c>
      <c r="H6" s="31" t="n">
        <v>23855.6</v>
      </c>
      <c r="I6" s="31" t="n">
        <v>7755.5</v>
      </c>
      <c r="J6" s="31" t="n">
        <v>3.85</v>
      </c>
      <c r="K6" s="31" t="n">
        <v>0</v>
      </c>
      <c r="L6" s="30" t="n">
        <v>98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85.84999999999999</v>
      </c>
      <c r="P6" s="31" t="n">
        <v>64.09999999999999</v>
      </c>
      <c r="Q6" s="31" t="n">
        <v>5930.54</v>
      </c>
      <c r="R6" s="30" t="inlineStr">
        <is>
          <t>Near 52W High Breakout</t>
        </is>
      </c>
      <c r="S6" s="30" t="inlineStr">
        <is>
          <t>Nifty 50</t>
        </is>
      </c>
      <c r="T6" s="31" t="n">
        <v>-6.35</v>
      </c>
      <c r="U6" s="31" t="n">
        <v>337.99</v>
      </c>
      <c r="V6" s="31" t="n">
        <v>367.67</v>
      </c>
      <c r="W6" s="31" t="n">
        <v>63.52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24</t>
        </is>
      </c>
      <c r="CG6" s="30">
        <f>IF(CF6&gt;20,10,IF(CF6&gt;=10,5,2))</f>
        <v/>
      </c>
    </row>
    <row r="7">
      <c r="A7" s="30">
        <f>IF(B7=0,"",RANK(B7,$B$2:$B$94,0))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GVT&amp;D</t>
        </is>
      </c>
      <c r="D7" s="30" t="inlineStr">
        <is>
          <t>GE Vernova T&amp;D India Ltd</t>
        </is>
      </c>
      <c r="E7" s="30" t="inlineStr">
        <is>
          <t>industrials</t>
        </is>
      </c>
      <c r="F7" s="30" t="inlineStr">
        <is>
          <t>Electrical Equipments/HVDC</t>
        </is>
      </c>
      <c r="G7" s="30" t="inlineStr">
        <is>
          <t>largecap</t>
        </is>
      </c>
      <c r="H7" s="31" t="n">
        <v>130238.07</v>
      </c>
      <c r="I7" s="31" t="n">
        <v>5086.5</v>
      </c>
      <c r="J7" s="31" t="n">
        <v>2.46</v>
      </c>
      <c r="K7" s="31" t="n">
        <v>0</v>
      </c>
      <c r="L7" s="30" t="n">
        <v>77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73.43000000000001</v>
      </c>
      <c r="P7" s="31" t="n">
        <v>49.15</v>
      </c>
      <c r="Q7" s="31" t="n">
        <v>3909.14</v>
      </c>
      <c r="R7" s="30" t="inlineStr">
        <is>
          <t>Near 52W High Breakout</t>
        </is>
      </c>
      <c r="S7" s="30" t="inlineStr">
        <is>
          <t>Nifty 50</t>
        </is>
      </c>
      <c r="T7" s="31" t="n">
        <v>-6.35</v>
      </c>
      <c r="U7" s="31" t="n">
        <v>120.06</v>
      </c>
      <c r="V7" s="31" t="n">
        <v>134.96</v>
      </c>
      <c r="W7" s="31" t="n">
        <v>24.46</v>
      </c>
      <c r="X7" s="30" t="inlineStr">
        <is>
          <t>Cyclical in an Upturn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21</t>
        </is>
      </c>
      <c r="CG7" s="30">
        <f>IF(CF7&gt;20,10,IF(CF7&gt;=10,5,2))</f>
        <v/>
      </c>
    </row>
    <row r="8">
      <c r="A8" s="30">
        <f>IF(B8=0,"",RANK(B8,$B$2:$B$94,0))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INDOBORAX</t>
        </is>
      </c>
      <c r="D8" s="30" t="inlineStr">
        <is>
          <t>Indo Borax &amp; Chemicals Ltd</t>
        </is>
      </c>
      <c r="E8" s="30" t="inlineStr">
        <is>
          <t>chemicals</t>
        </is>
      </c>
      <c r="F8" s="30" t="inlineStr">
        <is>
          <t>Chemicals - Inorganic</t>
        </is>
      </c>
      <c r="G8" s="30" t="inlineStr">
        <is>
          <t>smallcap</t>
        </is>
      </c>
      <c r="H8" s="31" t="n">
        <v>1151.07</v>
      </c>
      <c r="I8" s="31" t="n">
        <v>358.7</v>
      </c>
      <c r="J8" s="31" t="n">
        <v>3.64</v>
      </c>
      <c r="K8" s="31" t="n">
        <v>0</v>
      </c>
      <c r="L8" s="30" t="n">
        <v>74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80.7</v>
      </c>
      <c r="P8" s="31" t="n">
        <v>45.78</v>
      </c>
      <c r="Q8" s="31" t="n">
        <v>283.7</v>
      </c>
      <c r="R8" s="30" t="inlineStr">
        <is>
          <t>Near 52W High Breakout</t>
        </is>
      </c>
      <c r="S8" s="30" t="inlineStr">
        <is>
          <t>Nifty 50</t>
        </is>
      </c>
      <c r="T8" s="31" t="n">
        <v>-6.35</v>
      </c>
      <c r="U8" s="31" t="n">
        <v>83.56</v>
      </c>
      <c r="V8" s="31" t="n">
        <v>96</v>
      </c>
      <c r="W8" s="31" t="n">
        <v>23.41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20</t>
        </is>
      </c>
      <c r="CG8" s="30">
        <f>IF(CF8&gt;20,10,IF(CF8&gt;=10,5,2))</f>
        <v/>
      </c>
    </row>
    <row r="9">
      <c r="A9" s="30">
        <f>IF(B9=0,"",RANK(B9,$B$2:$B$94,0))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SEAMECLTD</t>
        </is>
      </c>
      <c r="D9" s="30" t="inlineStr">
        <is>
          <t>SEAMEC Ltd</t>
        </is>
      </c>
      <c r="E9" s="30" t="inlineStr">
        <is>
          <t>miscellaneous</t>
        </is>
      </c>
      <c r="F9" s="30" t="inlineStr">
        <is>
          <t>Shipping</t>
        </is>
      </c>
      <c r="G9" s="30" t="inlineStr">
        <is>
          <t>smallcap</t>
        </is>
      </c>
      <c r="H9" s="31" t="n">
        <v>4154.95</v>
      </c>
      <c r="I9" s="31" t="n">
        <v>1634.2</v>
      </c>
      <c r="J9" s="31" t="n">
        <v>1.04</v>
      </c>
      <c r="K9" s="31" t="n">
        <v>0</v>
      </c>
      <c r="L9" s="30" t="n">
        <v>64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74.01000000000001</v>
      </c>
      <c r="P9" s="31" t="n">
        <v>55.66</v>
      </c>
      <c r="Q9" s="31" t="n">
        <v>1267.06</v>
      </c>
      <c r="R9" s="30" t="inlineStr">
        <is>
          <t>Near 52W High Breakout</t>
        </is>
      </c>
      <c r="S9" s="30" t="inlineStr">
        <is>
          <t>Nifty 50</t>
        </is>
      </c>
      <c r="T9" s="31" t="n">
        <v>-6.35</v>
      </c>
      <c r="U9" s="31" t="n">
        <v>86.01000000000001</v>
      </c>
      <c r="V9" s="31" t="n">
        <v>98.61</v>
      </c>
      <c r="W9" s="31" t="n">
        <v>18.11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Above 2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20</t>
        </is>
      </c>
      <c r="CG9" s="30">
        <f>IF(CF9&gt;20,10,IF(CF9&gt;=10,5,2))</f>
        <v/>
      </c>
    </row>
    <row r="10">
      <c r="A10" s="30">
        <f>IF(B10=0,"",RANK(B10,$B$2:$B$94,0))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KPL</t>
        </is>
      </c>
      <c r="D10" s="30" t="inlineStr">
        <is>
          <t>Kwality Pharmaceuticals Ltd</t>
        </is>
      </c>
      <c r="E10" s="30" t="inlineStr">
        <is>
          <t>Healthcare</t>
        </is>
      </c>
      <c r="F10" s="30" t="inlineStr">
        <is>
          <t>Pharma - Formulators</t>
        </is>
      </c>
      <c r="G10" s="30" t="inlineStr">
        <is>
          <t>smallcap</t>
        </is>
      </c>
      <c r="H10" s="31" t="n">
        <v>2468.96</v>
      </c>
      <c r="I10" s="31" t="n">
        <v>2379.45</v>
      </c>
      <c r="J10" s="31" t="n">
        <v>1.47</v>
      </c>
      <c r="K10" s="31" t="n">
        <v>0</v>
      </c>
      <c r="L10" s="30" t="n">
        <v>91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78.48</v>
      </c>
      <c r="P10" s="31" t="n">
        <v>52.16</v>
      </c>
      <c r="Q10" s="31" t="n">
        <v>1744.88</v>
      </c>
      <c r="R10" s="30" t="inlineStr">
        <is>
          <t>Near 52W High Breakout</t>
        </is>
      </c>
      <c r="S10" s="30" t="inlineStr">
        <is>
          <t>Nifty Pharma</t>
        </is>
      </c>
      <c r="T10" s="31" t="n">
        <v>11.5</v>
      </c>
      <c r="U10" s="31" t="n">
        <v>157.05</v>
      </c>
      <c r="V10" s="31" t="n">
        <v>130.54</v>
      </c>
      <c r="W10" s="31" t="n">
        <v>37.43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Less than 50%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27</t>
        </is>
      </c>
      <c r="CG10" s="30">
        <f>IF(CF10&gt;20,10,IF(CF10&gt;=10,5,2))</f>
        <v/>
      </c>
    </row>
    <row r="11">
      <c r="A11" s="30">
        <f>IF(B11=0,"",RANK(B11,$B$2:$B$94,0))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MODINSU</t>
        </is>
      </c>
      <c r="D11" s="30" t="inlineStr">
        <is>
          <t>Modern Insulators Ltd</t>
        </is>
      </c>
      <c r="E11" s="30" t="inlineStr">
        <is>
          <t>Technology</t>
        </is>
      </c>
      <c r="F11" s="30" t="inlineStr">
        <is>
          <t>Capital Goods - Electric General</t>
        </is>
      </c>
      <c r="G11" s="30" t="inlineStr">
        <is>
          <t>smallcap</t>
        </is>
      </c>
      <c r="H11" s="31" t="n">
        <v>1916.64</v>
      </c>
      <c r="I11" s="31" t="n">
        <v>406.55</v>
      </c>
      <c r="J11" s="31" t="n">
        <v>5</v>
      </c>
      <c r="K11" s="31" t="n">
        <v>0</v>
      </c>
      <c r="L11" s="30" t="n">
        <v>93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70.31999999999999</v>
      </c>
      <c r="P11" s="31" t="n">
        <v>42.05</v>
      </c>
      <c r="Q11" s="31" t="n">
        <v>325.15</v>
      </c>
      <c r="R11" s="30" t="inlineStr">
        <is>
          <t>Earnings / Momentum Support</t>
        </is>
      </c>
      <c r="S11" s="30" t="inlineStr">
        <is>
          <t>Nifty 50</t>
        </is>
      </c>
      <c r="T11" s="31" t="n">
        <v>-6.35</v>
      </c>
      <c r="U11" s="31" t="n">
        <v>261.38</v>
      </c>
      <c r="V11" s="31" t="n">
        <v>285.86</v>
      </c>
      <c r="W11" s="31" t="n">
        <v>46.15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No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20</t>
        </is>
      </c>
      <c r="CG11" s="30">
        <f>IF(CF11&gt;20,10,IF(CF11&gt;=10,5,2))</f>
        <v/>
      </c>
    </row>
    <row r="12">
      <c r="A12" s="30">
        <f>IF(B12=0,"",RANK(B12,$B$2:$B$94,0))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PGHL</t>
        </is>
      </c>
      <c r="D12" s="30" t="inlineStr">
        <is>
          <t>Procter &amp; Gamble Health Ltd</t>
        </is>
      </c>
      <c r="E12" s="30" t="inlineStr">
        <is>
          <t>healthcare</t>
        </is>
      </c>
      <c r="F12" s="30" t="inlineStr">
        <is>
          <t>Pharma - MNC bulk Drugs</t>
        </is>
      </c>
      <c r="G12" s="30" t="inlineStr">
        <is>
          <t>midcap</t>
        </is>
      </c>
      <c r="H12" s="31" t="n">
        <v>10293.28</v>
      </c>
      <c r="I12" s="31" t="n">
        <v>6201</v>
      </c>
      <c r="J12" s="31" t="n">
        <v>1.51</v>
      </c>
      <c r="K12" s="31" t="n">
        <v>0</v>
      </c>
      <c r="L12" s="30" t="n">
        <v>35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74.14</v>
      </c>
      <c r="P12" s="31" t="n">
        <v>29.9</v>
      </c>
      <c r="Q12" s="31" t="n">
        <v>5207.14</v>
      </c>
      <c r="R12" s="30" t="inlineStr">
        <is>
          <t>Near 52W High Breakout</t>
        </is>
      </c>
      <c r="S12" s="30" t="inlineStr">
        <is>
          <t>Nifty Pharma</t>
        </is>
      </c>
      <c r="T12" s="31" t="n">
        <v>11.5</v>
      </c>
      <c r="U12" s="31" t="n">
        <v>15.69</v>
      </c>
      <c r="V12" s="31" t="n">
        <v>3.76</v>
      </c>
      <c r="W12" s="31" t="n">
        <v>9.470000000000001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20 to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19</t>
        </is>
      </c>
      <c r="CG12" s="30">
        <f>IF(CF12&gt;20,10,IF(CF12&gt;=10,5,2))</f>
        <v/>
      </c>
    </row>
    <row r="13">
      <c r="A13" s="30">
        <f>IF(B13=0,"",RANK(B13,$B$2:$B$94,0))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SEKURITIND</t>
        </is>
      </c>
      <c r="D13" s="30" t="inlineStr">
        <is>
          <t>Saint-Gobain Sekurit India Ltd</t>
        </is>
      </c>
      <c r="E13" s="30" t="inlineStr">
        <is>
          <t>Consumer Cyclical</t>
        </is>
      </c>
      <c r="F13" s="30" t="inlineStr">
        <is>
          <t>Glass &amp; Glass Products</t>
        </is>
      </c>
      <c r="G13" s="30" t="inlineStr">
        <is>
          <t>smallcap</t>
        </is>
      </c>
      <c r="H13" s="31" t="n">
        <v>1152.03</v>
      </c>
      <c r="I13" s="31" t="n">
        <v>126.45</v>
      </c>
      <c r="J13" s="31" t="n">
        <v>1.81</v>
      </c>
      <c r="K13" s="31" t="n">
        <v>0</v>
      </c>
      <c r="L13" s="30" t="n">
        <v>38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72.91</v>
      </c>
      <c r="P13" s="31" t="n">
        <v>28.93</v>
      </c>
      <c r="Q13" s="31" t="n">
        <v>102.55</v>
      </c>
      <c r="R13" s="30" t="inlineStr">
        <is>
          <t>Volume Spike &amp; Near 52W High Breakout</t>
        </is>
      </c>
      <c r="S13" s="30" t="inlineStr">
        <is>
          <t>Nifty Auto</t>
        </is>
      </c>
      <c r="T13" s="31" t="n">
        <v>10.49</v>
      </c>
      <c r="U13" s="31" t="n">
        <v>17.38</v>
      </c>
      <c r="V13" s="31" t="n">
        <v>6.23</v>
      </c>
      <c r="W13" s="31" t="n">
        <v>10.49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B2C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20 to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Close to 52 week high or retracement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Between 50% to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25</t>
        </is>
      </c>
      <c r="CG13" s="30">
        <f>IF(CF13&gt;20,10,IF(CF13&gt;=10,5,2))</f>
        <v/>
      </c>
    </row>
    <row r="14">
      <c r="A14" s="30">
        <f>IF(B14=0,"",RANK(B14,$B$2:$B$94,0))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NETWEB</t>
        </is>
      </c>
      <c r="D14" s="30" t="inlineStr">
        <is>
          <t>Netweb Technologies India Ltd</t>
        </is>
      </c>
      <c r="E14" s="30" t="inlineStr">
        <is>
          <t>i.t</t>
        </is>
      </c>
      <c r="F14" s="30" t="inlineStr">
        <is>
          <t>Data Centre</t>
        </is>
      </c>
      <c r="G14" s="30" t="inlineStr">
        <is>
          <t>largecap</t>
        </is>
      </c>
      <c r="H14" s="31" t="n">
        <v>28095.67</v>
      </c>
      <c r="I14" s="31" t="n">
        <v>4934.2</v>
      </c>
      <c r="J14" s="31" t="n">
        <v>4.86</v>
      </c>
      <c r="K14" s="31" t="n">
        <v>0</v>
      </c>
      <c r="L14" s="30" t="n">
        <v>88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68.63</v>
      </c>
      <c r="P14" s="31" t="n">
        <v>43.6</v>
      </c>
      <c r="Q14" s="31" t="n">
        <v>3523.58</v>
      </c>
      <c r="R14" s="30" t="inlineStr">
        <is>
          <t>Volume Spike &amp; Near 52W High Breakout</t>
        </is>
      </c>
      <c r="S14" s="30" t="inlineStr">
        <is>
          <t>Nifty IT</t>
        </is>
      </c>
      <c r="T14" s="31" t="n">
        <v>-21.44</v>
      </c>
      <c r="U14" s="31" t="n">
        <v>149.93</v>
      </c>
      <c r="V14" s="31" t="n">
        <v>218.12</v>
      </c>
      <c r="W14" s="31" t="n">
        <v>33.37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Between 50% to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24</t>
        </is>
      </c>
      <c r="CG14" s="30">
        <f>IF(CF14&gt;20,10,IF(CF14&gt;=10,5,2))</f>
        <v/>
      </c>
    </row>
    <row r="15">
      <c r="A15" s="30">
        <f>IF(B15=0,"",RANK(B15,$B$2:$B$94,0))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BLISSGVS</t>
        </is>
      </c>
      <c r="D15" s="30" t="inlineStr">
        <is>
          <t>Bliss GVS Pharma Ltd</t>
        </is>
      </c>
      <c r="E15" s="30" t="inlineStr">
        <is>
          <t>healthcare</t>
        </is>
      </c>
      <c r="F15" s="30" t="inlineStr">
        <is>
          <t>Pharma - Formulators</t>
        </is>
      </c>
      <c r="G15" s="30" t="inlineStr">
        <is>
          <t>smallcap</t>
        </is>
      </c>
      <c r="H15" s="31" t="n">
        <v>4826.09</v>
      </c>
      <c r="I15" s="31" t="n">
        <v>456.2</v>
      </c>
      <c r="J15" s="31" t="n">
        <v>3.76</v>
      </c>
      <c r="K15" s="31" t="n">
        <v>0</v>
      </c>
      <c r="L15" s="30" t="n">
        <v>96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89.18000000000001</v>
      </c>
      <c r="P15" s="31" t="n">
        <v>57.32</v>
      </c>
      <c r="Q15" s="31" t="n">
        <v>352.07</v>
      </c>
      <c r="R15" s="30" t="inlineStr">
        <is>
          <t>Near 52W High Breakout</t>
        </is>
      </c>
      <c r="S15" s="30" t="inlineStr">
        <is>
          <t>Nifty Pharma</t>
        </is>
      </c>
      <c r="T15" s="31" t="n">
        <v>11.5</v>
      </c>
      <c r="U15" s="31" t="n">
        <v>236.06</v>
      </c>
      <c r="V15" s="31" t="n">
        <v>201.4</v>
      </c>
      <c r="W15" s="31" t="n">
        <v>55.24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Less than 12%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26</t>
        </is>
      </c>
      <c r="CG15" s="30">
        <f>IF(CF15&gt;20,10,IF(CF15&gt;=10,5,2))</f>
        <v/>
      </c>
    </row>
    <row r="16">
      <c r="A16" s="30">
        <f>IF(B16=0,"",RANK(B16,$B$2:$B$94,0))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GVPIL</t>
        </is>
      </c>
      <c r="D16" s="30" t="inlineStr">
        <is>
          <t>GE Power India Ltd</t>
        </is>
      </c>
      <c r="E16" s="30" t="inlineStr">
        <is>
          <t>realty</t>
        </is>
      </c>
      <c r="F16" s="30" t="inlineStr">
        <is>
          <t>Infra - General</t>
        </is>
      </c>
      <c r="G16" s="30" t="inlineStr">
        <is>
          <t>midcap</t>
        </is>
      </c>
      <c r="H16" s="31" t="n">
        <v>6101.23</v>
      </c>
      <c r="I16" s="31" t="n">
        <v>907.55</v>
      </c>
      <c r="J16" s="31" t="n">
        <v>4.5</v>
      </c>
      <c r="K16" s="31" t="n">
        <v>0</v>
      </c>
      <c r="L16" s="30" t="n">
        <v>95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87.66</v>
      </c>
      <c r="P16" s="31" t="n">
        <v>53.88</v>
      </c>
      <c r="Q16" s="31" t="n">
        <v>695.02</v>
      </c>
      <c r="R16" s="30" t="inlineStr">
        <is>
          <t>Volume Spike &amp; Near 52W High Breakout</t>
        </is>
      </c>
      <c r="S16" s="30" t="inlineStr">
        <is>
          <t>Nifty Realty</t>
        </is>
      </c>
      <c r="T16" s="31" t="n">
        <v>-26.45</v>
      </c>
      <c r="U16" s="31" t="n">
        <v>232.86</v>
      </c>
      <c r="V16" s="31" t="n">
        <v>352.58</v>
      </c>
      <c r="W16" s="31" t="n">
        <v>52.68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Duopoly That Cooperate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Shallow Cyclical (2 to 3 Years Growth)</t>
        </is>
      </c>
      <c r="AG16" s="30">
        <f>IF(AF16="Structural (10 Years Consistency)",10,IF(AF16="Shallow Cyclical (2 to 3 years growth)",5,0))</f>
        <v/>
      </c>
      <c r="AH16" s="30" t="inlineStr">
        <is>
          <t>Yes due to Product Mix change or Operating Leverage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B2C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Fully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only for next 1 to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Between 50% to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Between 0.7 to 1.2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22</t>
        </is>
      </c>
      <c r="CG16" s="30">
        <f>IF(CF16&gt;20,10,IF(CF16&gt;=10,5,2))</f>
        <v/>
      </c>
    </row>
    <row r="17">
      <c r="A17" s="30">
        <f>IF(B17=0,"",RANK(B17,$B$2:$B$94,0))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GLAND</t>
        </is>
      </c>
      <c r="D17" s="30" t="inlineStr">
        <is>
          <t>Gland Pharma Ltd</t>
        </is>
      </c>
      <c r="E17" s="30" t="inlineStr">
        <is>
          <t>healthcare</t>
        </is>
      </c>
      <c r="F17" s="30" t="inlineStr">
        <is>
          <t>Pharma - API &amp; CRAMS</t>
        </is>
      </c>
      <c r="G17" s="30" t="inlineStr">
        <is>
          <t>largecap</t>
        </is>
      </c>
      <c r="H17" s="31" t="n">
        <v>36612.8</v>
      </c>
      <c r="I17" s="31" t="n">
        <v>2219.5</v>
      </c>
      <c r="J17" s="31" t="n">
        <v>-0.57</v>
      </c>
      <c r="K17" s="31" t="n">
        <v>0</v>
      </c>
      <c r="L17" s="30" t="n">
        <v>51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66.59</v>
      </c>
      <c r="P17" s="31" t="n">
        <v>25.97</v>
      </c>
      <c r="Q17" s="31" t="n">
        <v>1882.98</v>
      </c>
      <c r="R17" s="30" t="inlineStr">
        <is>
          <t>Near 52W High Breakout</t>
        </is>
      </c>
      <c r="S17" s="30" t="inlineStr">
        <is>
          <t>Nifty Pharma</t>
        </is>
      </c>
      <c r="T17" s="31" t="n">
        <v>11.5</v>
      </c>
      <c r="U17" s="31" t="n">
        <v>36.43</v>
      </c>
      <c r="V17" s="31" t="n">
        <v>22.36</v>
      </c>
      <c r="W17" s="31" t="n">
        <v>14.03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Between 50% to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20</t>
        </is>
      </c>
      <c r="CG17" s="30">
        <f>IF(CF17&gt;20,10,IF(CF17&gt;=10,5,2))</f>
        <v/>
      </c>
    </row>
    <row r="18">
      <c r="A18" s="30">
        <f>IF(B18=0,"",RANK(B18,$B$2:$B$94,0))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IOLCP</t>
        </is>
      </c>
      <c r="D18" s="30" t="inlineStr">
        <is>
          <t>IOL Chemicals &amp; Pharmaceuticals Ltd</t>
        </is>
      </c>
      <c r="E18" s="30" t="inlineStr">
        <is>
          <t>healthcare</t>
        </is>
      </c>
      <c r="F18" s="30" t="inlineStr">
        <is>
          <t>Pharma - API &amp; CRAMS</t>
        </is>
      </c>
      <c r="G18" s="30" t="inlineStr">
        <is>
          <t>smallcap</t>
        </is>
      </c>
      <c r="H18" s="31" t="n">
        <v>3996.67</v>
      </c>
      <c r="I18" s="31" t="n">
        <v>136.16</v>
      </c>
      <c r="J18" s="31" t="n">
        <v>3.96</v>
      </c>
      <c r="K18" s="31" t="n">
        <v>0</v>
      </c>
      <c r="L18" s="30" t="n">
        <v>84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81.45</v>
      </c>
      <c r="P18" s="31" t="n">
        <v>35.4</v>
      </c>
      <c r="Q18" s="31" t="n">
        <v>103.32</v>
      </c>
      <c r="R18" s="30" t="inlineStr">
        <is>
          <t>Near 52W High Breakout</t>
        </is>
      </c>
      <c r="S18" s="30" t="inlineStr">
        <is>
          <t>Nifty Pharma</t>
        </is>
      </c>
      <c r="T18" s="31" t="n">
        <v>11.5</v>
      </c>
      <c r="U18" s="31" t="n">
        <v>55.52</v>
      </c>
      <c r="V18" s="31" t="n">
        <v>39.48</v>
      </c>
      <c r="W18" s="31" t="n">
        <v>30.65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20 to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20</t>
        </is>
      </c>
      <c r="CG18" s="30">
        <f>IF(CF18&gt;20,10,IF(CF18&gt;=10,5,2))</f>
        <v/>
      </c>
    </row>
    <row r="19">
      <c r="A19" s="30">
        <f>IF(B19=0,"",RANK(B19,$B$2:$B$94,0))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MODISONLTD</t>
        </is>
      </c>
      <c r="D19" s="30" t="inlineStr">
        <is>
          <t>Modison Ltd</t>
        </is>
      </c>
      <c r="E19" s="30" t="inlineStr">
        <is>
          <t>industrials</t>
        </is>
      </c>
      <c r="F19" s="30" t="inlineStr">
        <is>
          <t>Capital Goods - Electric General</t>
        </is>
      </c>
      <c r="G19" s="30" t="inlineStr">
        <is>
          <t>smallcap</t>
        </is>
      </c>
      <c r="H19" s="31" t="n">
        <v>1120.99</v>
      </c>
      <c r="I19" s="31" t="n">
        <v>345.45</v>
      </c>
      <c r="J19" s="31" t="n">
        <v>5</v>
      </c>
      <c r="K19" s="31" t="n">
        <v>0</v>
      </c>
      <c r="L19" s="30" t="n">
        <v>98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86.51000000000001</v>
      </c>
      <c r="P19" s="31" t="n">
        <v>28.93</v>
      </c>
      <c r="Q19" s="31" t="n">
        <v>265.88</v>
      </c>
      <c r="R19" s="30" t="inlineStr">
        <is>
          <t>Near 52W High Breakout</t>
        </is>
      </c>
      <c r="S19" s="30" t="inlineStr">
        <is>
          <t>Nifty 50</t>
        </is>
      </c>
      <c r="T19" s="31" t="n">
        <v>-6.35</v>
      </c>
      <c r="U19" s="31" t="n">
        <v>118.85</v>
      </c>
      <c r="V19" s="31" t="n">
        <v>133.68</v>
      </c>
      <c r="W19" s="31" t="n">
        <v>62.19</v>
      </c>
      <c r="X19" s="30" t="inlineStr">
        <is>
          <t>Cyclical in an Upturn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31</t>
        </is>
      </c>
      <c r="CG19" s="30">
        <f>IF(CF19&gt;20,10,IF(CF19&gt;=10,5,2))</f>
        <v/>
      </c>
    </row>
    <row r="20">
      <c r="A20" s="30">
        <f>IF(B20=0,"",RANK(B20,$B$2:$B$94,0))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TIMEX</t>
        </is>
      </c>
      <c r="D20" s="30" t="inlineStr">
        <is>
          <t>Timex Group India Ltd</t>
        </is>
      </c>
      <c r="E20" s="30" t="inlineStr">
        <is>
          <t>Consumer Cyclical</t>
        </is>
      </c>
      <c r="F20" s="30" t="inlineStr">
        <is>
          <t>Watches</t>
        </is>
      </c>
      <c r="G20" s="30" t="inlineStr">
        <is>
          <t>smallcap</t>
        </is>
      </c>
      <c r="H20" s="31" t="n">
        <v>4391.33</v>
      </c>
      <c r="I20" s="31" t="n">
        <v>435</v>
      </c>
      <c r="J20" s="31" t="n">
        <v>0.25</v>
      </c>
      <c r="K20" s="31" t="n">
        <v>0</v>
      </c>
      <c r="L20" s="30" t="n">
        <v>79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68.90000000000001</v>
      </c>
      <c r="P20" s="31" t="n">
        <v>25.86</v>
      </c>
      <c r="Q20" s="31" t="n">
        <v>334.27</v>
      </c>
      <c r="R20" s="30" t="inlineStr">
        <is>
          <t>Near 52W High Breakout</t>
        </is>
      </c>
      <c r="S20" s="30" t="inlineStr">
        <is>
          <t>Nifty 50</t>
        </is>
      </c>
      <c r="T20" s="31" t="n">
        <v>-6.35</v>
      </c>
      <c r="U20" s="31" t="n">
        <v>60.96</v>
      </c>
      <c r="V20" s="31" t="n">
        <v>71.87</v>
      </c>
      <c r="W20" s="31" t="n">
        <v>25.12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20 to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23</t>
        </is>
      </c>
      <c r="CG20" s="30">
        <f>IF(CF20&gt;20,10,IF(CF20&gt;=10,5,2))</f>
        <v/>
      </c>
    </row>
    <row r="21">
      <c r="A21" s="30">
        <f>IF(B21=0,"",RANK(B21,$B$2:$B$94,0))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SYRMA</t>
        </is>
      </c>
      <c r="D21" s="30" t="inlineStr">
        <is>
          <t>Syrma SGS Technology Ltd</t>
        </is>
      </c>
      <c r="E21" s="30" t="inlineStr">
        <is>
          <t>consumer discretionary</t>
        </is>
      </c>
      <c r="F21" s="30" t="inlineStr">
        <is>
          <t>Consumer Electronics - EMS</t>
        </is>
      </c>
      <c r="G21" s="30" t="inlineStr">
        <is>
          <t>largecap</t>
        </is>
      </c>
      <c r="H21" s="31" t="n">
        <v>23556.17</v>
      </c>
      <c r="I21" s="31" t="n">
        <v>1221.6</v>
      </c>
      <c r="J21" s="31" t="n">
        <v>2.2</v>
      </c>
      <c r="K21" s="31" t="n">
        <v>0</v>
      </c>
      <c r="L21" s="30" t="n">
        <v>88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72.83</v>
      </c>
      <c r="P21" s="31" t="n">
        <v>29.35</v>
      </c>
      <c r="Q21" s="31" t="n">
        <v>937.22</v>
      </c>
      <c r="R21" s="30" t="inlineStr">
        <is>
          <t>Near 52W High Breakout</t>
        </is>
      </c>
      <c r="S21" s="30" t="inlineStr">
        <is>
          <t>Nifty 50</t>
        </is>
      </c>
      <c r="T21" s="31" t="n">
        <v>-6.35</v>
      </c>
      <c r="U21" s="31" t="n">
        <v>128.8</v>
      </c>
      <c r="V21" s="31" t="n">
        <v>144.3</v>
      </c>
      <c r="W21" s="31" t="n">
        <v>33.65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Between 1.5 to 2</t>
        </is>
      </c>
      <c r="BU21" s="30">
        <f>IF(BT21="Above 2",0,IF(BT21="Between 1.5 to 2",5,IF(BT21="Less than 1.5",10,0)))</f>
        <v/>
      </c>
      <c r="BV21" s="30" t="inlineStr">
        <is>
          <t>Between 50% to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22</t>
        </is>
      </c>
      <c r="CG21" s="30">
        <f>IF(CF21&gt;20,10,IF(CF21&gt;=10,5,2))</f>
        <v/>
      </c>
    </row>
    <row r="22">
      <c r="A22" s="30">
        <f>IF(B22=0,"",RANK(B22,$B$2:$B$94,0))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BHAGYANGR</t>
        </is>
      </c>
      <c r="D22" s="30" t="inlineStr">
        <is>
          <t>Bhagyanagar India Ltd</t>
        </is>
      </c>
      <c r="E22" s="30" t="inlineStr">
        <is>
          <t>power &amp; utilities</t>
        </is>
      </c>
      <c r="F22" s="30" t="inlineStr">
        <is>
          <t>Recycling</t>
        </is>
      </c>
      <c r="G22" s="30" t="inlineStr">
        <is>
          <t>smallcap</t>
        </is>
      </c>
      <c r="H22" s="31" t="n">
        <v>1032.64</v>
      </c>
      <c r="I22" s="31" t="n">
        <v>322.75</v>
      </c>
      <c r="J22" s="31" t="n">
        <v>-4.89</v>
      </c>
      <c r="K22" s="31" t="n">
        <v>0</v>
      </c>
      <c r="L22" s="30" t="n">
        <v>97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76.47</v>
      </c>
      <c r="P22" s="31" t="n">
        <v>56.6</v>
      </c>
      <c r="Q22" s="31" t="n">
        <v>225.85</v>
      </c>
      <c r="R22" s="30" t="inlineStr">
        <is>
          <t>Near 52W High Breakout</t>
        </is>
      </c>
      <c r="S22" s="30" t="inlineStr">
        <is>
          <t>Nifty IT</t>
        </is>
      </c>
      <c r="T22" s="31" t="n">
        <v>-21.44</v>
      </c>
      <c r="U22" s="31" t="n">
        <v>308.96</v>
      </c>
      <c r="V22" s="31" t="n">
        <v>420.54</v>
      </c>
      <c r="W22" s="31" t="n">
        <v>56.81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Between 50% to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Between 0.7 to 1.2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22</t>
        </is>
      </c>
      <c r="CG22" s="30">
        <f>IF(CF22&gt;20,10,IF(CF22&gt;=10,5,2))</f>
        <v/>
      </c>
    </row>
    <row r="23">
      <c r="A23" s="30">
        <f>IF(B23=0,"",RANK(B23,$B$2:$B$94,0))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RPTECH</t>
        </is>
      </c>
      <c r="D23" s="30" t="inlineStr">
        <is>
          <t>Rashi Peripherals Ltd</t>
        </is>
      </c>
      <c r="E23" s="30" t="inlineStr">
        <is>
          <t>services</t>
        </is>
      </c>
      <c r="F23" s="30" t="inlineStr">
        <is>
          <t>Trading</t>
        </is>
      </c>
      <c r="G23" s="30" t="inlineStr">
        <is>
          <t>smallcap</t>
        </is>
      </c>
      <c r="H23" s="31" t="n">
        <v>3553.64</v>
      </c>
      <c r="I23" s="31" t="n">
        <v>539.25</v>
      </c>
      <c r="J23" s="31" t="n">
        <v>-0.55</v>
      </c>
      <c r="K23" s="31" t="n">
        <v>0</v>
      </c>
      <c r="L23" s="30" t="n">
        <v>75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75.78</v>
      </c>
      <c r="P23" s="31" t="n">
        <v>45.85</v>
      </c>
      <c r="Q23" s="31" t="n">
        <v>419.44</v>
      </c>
      <c r="R23" s="30" t="inlineStr">
        <is>
          <t>Near 52W High Breakout</t>
        </is>
      </c>
      <c r="S23" s="30" t="inlineStr">
        <is>
          <t>Nifty 50</t>
        </is>
      </c>
      <c r="T23" s="31" t="n">
        <v>-6.35</v>
      </c>
      <c r="U23" s="31" t="n">
        <v>71.79000000000001</v>
      </c>
      <c r="V23" s="31" t="n">
        <v>83.43000000000001</v>
      </c>
      <c r="W23" s="31" t="n">
        <v>23.81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Less than 50%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21</t>
        </is>
      </c>
      <c r="CG23" s="30">
        <f>IF(CF23&gt;20,10,IF(CF23&gt;=10,5,2))</f>
        <v/>
      </c>
    </row>
    <row r="24">
      <c r="A24" s="30">
        <f>IF(B24=0,"",RANK(B24,$B$2:$B$94,0))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ASTRAMICRO</t>
        </is>
      </c>
      <c r="D24" s="30" t="inlineStr">
        <is>
          <t>Astra Microwave Products Ltd</t>
        </is>
      </c>
      <c r="E24" s="30" t="inlineStr">
        <is>
          <t>aerospace &amp; defence</t>
        </is>
      </c>
      <c r="F24" s="30" t="inlineStr">
        <is>
          <t>Aerospace &amp; Defence - Equipments</t>
        </is>
      </c>
      <c r="G24" s="30" t="inlineStr">
        <is>
          <t>midcap</t>
        </is>
      </c>
      <c r="H24" s="31" t="n">
        <v>13080.57</v>
      </c>
      <c r="I24" s="31" t="n">
        <v>1377.7</v>
      </c>
      <c r="J24" s="31" t="n">
        <v>4.08</v>
      </c>
      <c r="K24" s="31" t="n">
        <v>0</v>
      </c>
      <c r="L24" s="30" t="n">
        <v>43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72.41</v>
      </c>
      <c r="P24" s="31" t="n">
        <v>26.7</v>
      </c>
      <c r="Q24" s="31" t="n">
        <v>1094.52</v>
      </c>
      <c r="R24" s="30" t="inlineStr">
        <is>
          <t>Near 52W High Breakout</t>
        </is>
      </c>
      <c r="S24" s="30" t="inlineStr">
        <is>
          <t>Nifty 50</t>
        </is>
      </c>
      <c r="T24" s="31" t="n">
        <v>-6.35</v>
      </c>
      <c r="U24" s="31" t="n">
        <v>21.96</v>
      </c>
      <c r="V24" s="31" t="n">
        <v>30.22</v>
      </c>
      <c r="W24" s="31" t="n">
        <v>11.81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Between 1.5 to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20</t>
        </is>
      </c>
      <c r="CG24" s="30">
        <f>IF(CF24&gt;20,10,IF(CF24&gt;=10,5,2))</f>
        <v/>
      </c>
    </row>
    <row r="25">
      <c r="A25" s="30">
        <f>IF(B25=0,"",RANK(B25,$B$2:$B$94,0))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POWERINDIA</t>
        </is>
      </c>
      <c r="D25" s="30" t="inlineStr">
        <is>
          <t>Hitachi Energy India Ltd</t>
        </is>
      </c>
      <c r="E25" s="30" t="inlineStr">
        <is>
          <t>industrials</t>
        </is>
      </c>
      <c r="F25" s="30" t="inlineStr">
        <is>
          <t>Electrical Equipments/HVDC</t>
        </is>
      </c>
      <c r="G25" s="30" t="inlineStr">
        <is>
          <t>largecap</t>
        </is>
      </c>
      <c r="H25" s="31" t="n">
        <v>162800.56</v>
      </c>
      <c r="I25" s="31" t="n">
        <v>36525</v>
      </c>
      <c r="J25" s="31" t="n">
        <v>3.79</v>
      </c>
      <c r="K25" s="31" t="n">
        <v>0</v>
      </c>
      <c r="L25" s="30" t="n">
        <v>77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73.3</v>
      </c>
      <c r="P25" s="31" t="n">
        <v>59.34</v>
      </c>
      <c r="Q25" s="31" t="n">
        <v>30707.38</v>
      </c>
      <c r="R25" s="30" t="inlineStr">
        <is>
          <t>Near 52W High Breakout</t>
        </is>
      </c>
      <c r="S25" s="30" t="inlineStr">
        <is>
          <t>Nifty 50</t>
        </is>
      </c>
      <c r="T25" s="31" t="n">
        <v>-6.35</v>
      </c>
      <c r="U25" s="31" t="n">
        <v>100.71</v>
      </c>
      <c r="V25" s="31" t="n">
        <v>114.31</v>
      </c>
      <c r="W25" s="31" t="n">
        <v>24.49</v>
      </c>
      <c r="X25" s="30" t="inlineStr">
        <is>
          <t>Cyclical in an Upturn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19</t>
        </is>
      </c>
      <c r="CG25" s="30">
        <f>IF(CF25&gt;20,10,IF(CF25&gt;=10,5,2))</f>
        <v/>
      </c>
    </row>
    <row r="26">
      <c r="A26" s="30">
        <f>IF(B26=0,"",RANK(B26,$B$2:$B$94,0))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THANGAMAYL</t>
        </is>
      </c>
      <c r="D26" s="30" t="inlineStr">
        <is>
          <t>Thangamayil Jewellery Ltd</t>
        </is>
      </c>
      <c r="E26" s="30" t="inlineStr">
        <is>
          <t>consumer discretionary</t>
        </is>
      </c>
      <c r="F26" s="30" t="inlineStr">
        <is>
          <t>Diamond, Gems &amp; Jewellery</t>
        </is>
      </c>
      <c r="G26" s="30" t="inlineStr">
        <is>
          <t>midcap</t>
        </is>
      </c>
      <c r="H26" s="31" t="n">
        <v>17159.14</v>
      </c>
      <c r="I26" s="31" t="n">
        <v>5520.6</v>
      </c>
      <c r="J26" s="31" t="n">
        <v>15.13</v>
      </c>
      <c r="K26" s="31" t="n">
        <v>0</v>
      </c>
      <c r="L26" s="30" t="n">
        <v>89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71.38</v>
      </c>
      <c r="P26" s="31" t="n">
        <v>39.59</v>
      </c>
      <c r="Q26" s="31" t="n">
        <v>4009.22</v>
      </c>
      <c r="R26" s="30" t="inlineStr">
        <is>
          <t>Volume Spike &amp; Near 52W High Breakout</t>
        </is>
      </c>
      <c r="S26" s="30" t="inlineStr">
        <is>
          <t>Nifty 50</t>
        </is>
      </c>
      <c r="T26" s="31" t="n">
        <v>-6.35</v>
      </c>
      <c r="U26" s="31" t="n">
        <v>190.35</v>
      </c>
      <c r="V26" s="31" t="n">
        <v>210.02</v>
      </c>
      <c r="W26" s="31" t="n">
        <v>35.14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Between 50% to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31</t>
        </is>
      </c>
      <c r="CG26" s="30">
        <f>IF(CF26&gt;20,10,IF(CF26&gt;=10,5,2))</f>
        <v/>
      </c>
    </row>
    <row r="27">
      <c r="A27" s="30">
        <f>IF(B27=0,"",RANK(B27,$B$2:$B$94,0))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RATEGAIN</t>
        </is>
      </c>
      <c r="D27" s="30" t="inlineStr">
        <is>
          <t>Rategain Travel Technologies Ltd</t>
        </is>
      </c>
      <c r="E27" s="30" t="inlineStr">
        <is>
          <t>i.t</t>
        </is>
      </c>
      <c r="F27" s="30" t="inlineStr">
        <is>
          <t>IT Product Companies</t>
        </is>
      </c>
      <c r="G27" s="30" t="inlineStr">
        <is>
          <t>midcap</t>
        </is>
      </c>
      <c r="H27" s="31" t="n">
        <v>9110.549999999999</v>
      </c>
      <c r="I27" s="31" t="n">
        <v>771</v>
      </c>
      <c r="J27" s="31" t="n">
        <v>0.75</v>
      </c>
      <c r="K27" s="31" t="n">
        <v>0</v>
      </c>
      <c r="L27" s="30" t="n">
        <v>83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71.41</v>
      </c>
      <c r="P27" s="31" t="n">
        <v>25.5</v>
      </c>
      <c r="Q27" s="31" t="n">
        <v>587.89</v>
      </c>
      <c r="R27" s="30" t="inlineStr">
        <is>
          <t>Near 52W High Breakout</t>
        </is>
      </c>
      <c r="S27" s="30" t="inlineStr">
        <is>
          <t>Nifty IT</t>
        </is>
      </c>
      <c r="T27" s="31" t="n">
        <v>-21.44</v>
      </c>
      <c r="U27" s="31" t="n">
        <v>73.26000000000001</v>
      </c>
      <c r="V27" s="31" t="n">
        <v>120.53</v>
      </c>
      <c r="W27" s="31" t="n">
        <v>27.99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Between 1.5 to 2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28</t>
        </is>
      </c>
      <c r="CG27" s="30">
        <f>IF(CF27&gt;20,10,IF(CF27&gt;=10,5,2))</f>
        <v/>
      </c>
    </row>
    <row r="28">
      <c r="A28" s="30">
        <f>IF(B28=0,"",RANK(B28,$B$2:$B$94,0))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UNIPARTS</t>
        </is>
      </c>
      <c r="D28" s="30" t="inlineStr">
        <is>
          <t>Uniparts India Ltd</t>
        </is>
      </c>
      <c r="E28" s="30" t="inlineStr">
        <is>
          <t>industrials</t>
        </is>
      </c>
      <c r="F28" s="30" t="inlineStr">
        <is>
          <t>Castings, Forgings &amp; Fastners</t>
        </is>
      </c>
      <c r="G28" s="30" t="inlineStr">
        <is>
          <t>smallcap</t>
        </is>
      </c>
      <c r="H28" s="31" t="n">
        <v>2822.35</v>
      </c>
      <c r="I28" s="31" t="n">
        <v>625.2</v>
      </c>
      <c r="J28" s="31" t="n">
        <v>-0.07000000000000001</v>
      </c>
      <c r="K28" s="31" t="n">
        <v>0</v>
      </c>
      <c r="L28" s="30" t="n">
        <v>69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70.92</v>
      </c>
      <c r="P28" s="31" t="n">
        <v>30.78</v>
      </c>
      <c r="Q28" s="31" t="n">
        <v>477.55</v>
      </c>
      <c r="R28" s="30" t="inlineStr">
        <is>
          <t>Near 52W High Breakout</t>
        </is>
      </c>
      <c r="S28" s="30" t="inlineStr">
        <is>
          <t>Nifty 50</t>
        </is>
      </c>
      <c r="T28" s="31" t="n">
        <v>-6.35</v>
      </c>
      <c r="U28" s="31" t="n">
        <v>80.02</v>
      </c>
      <c r="V28" s="31" t="n">
        <v>92.20999999999999</v>
      </c>
      <c r="W28" s="31" t="n">
        <v>20.64</v>
      </c>
      <c r="X28" s="30" t="inlineStr">
        <is>
          <t>Cyclical in an Upturn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28</t>
        </is>
      </c>
      <c r="CG28" s="30">
        <f>IF(CF28&gt;20,10,IF(CF28&gt;=10,5,2))</f>
        <v/>
      </c>
    </row>
    <row r="29">
      <c r="A29" s="30">
        <f>IF(B29=0,"",RANK(B29,$B$2:$B$94,0))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KERNEX</t>
        </is>
      </c>
      <c r="D29" s="30" t="inlineStr">
        <is>
          <t>Kernex Microsystems (India) Ltd</t>
        </is>
      </c>
      <c r="E29" s="30" t="inlineStr">
        <is>
          <t>consumer discretionary</t>
        </is>
      </c>
      <c r="F29" s="30" t="inlineStr">
        <is>
          <t>Railways - Kavach/Springs</t>
        </is>
      </c>
      <c r="G29" s="30" t="inlineStr">
        <is>
          <t>smallcap</t>
        </is>
      </c>
      <c r="H29" s="31" t="n">
        <v>3175.83</v>
      </c>
      <c r="I29" s="31" t="n">
        <v>1890.1</v>
      </c>
      <c r="J29" s="31" t="n">
        <v>0.65</v>
      </c>
      <c r="K29" s="31" t="n">
        <v>0</v>
      </c>
      <c r="L29" s="30" t="n">
        <v>84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71.3</v>
      </c>
      <c r="P29" s="31" t="n">
        <v>27.28</v>
      </c>
      <c r="Q29" s="31" t="n">
        <v>1372.67</v>
      </c>
      <c r="R29" s="30" t="inlineStr">
        <is>
          <t>Volume Spike &amp; Near 52W High Breakout</t>
        </is>
      </c>
      <c r="S29" s="30" t="inlineStr">
        <is>
          <t>Nifty 50</t>
        </is>
      </c>
      <c r="T29" s="31" t="n">
        <v>-6.35</v>
      </c>
      <c r="U29" s="31" t="n">
        <v>53.49</v>
      </c>
      <c r="V29" s="31" t="n">
        <v>63.89</v>
      </c>
      <c r="W29" s="31" t="n">
        <v>29.69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Less than 12%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27</t>
        </is>
      </c>
      <c r="CG29" s="30">
        <f>IF(CF29&gt;20,10,IF(CF29&gt;=10,5,2))</f>
        <v/>
      </c>
    </row>
    <row r="30">
      <c r="A30" s="30">
        <f>IF(B30=0,"",RANK(B30,$B$2:$B$94,0))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GOCLCORP</t>
        </is>
      </c>
      <c r="D30" s="30" t="inlineStr">
        <is>
          <t>GOCL Corporation Ltd</t>
        </is>
      </c>
      <c r="E30" s="30" t="inlineStr">
        <is>
          <t>miscellaneous</t>
        </is>
      </c>
      <c r="F30" s="30" t="inlineStr">
        <is>
          <t>Lubricants</t>
        </is>
      </c>
      <c r="G30" s="30" t="inlineStr">
        <is>
          <t>smallcap</t>
        </is>
      </c>
      <c r="H30" s="31" t="n">
        <v>2084.28</v>
      </c>
      <c r="I30" s="31" t="n">
        <v>420.45</v>
      </c>
      <c r="J30" s="31" t="n">
        <v>0.5600000000000001</v>
      </c>
      <c r="K30" s="31" t="n">
        <v>0</v>
      </c>
      <c r="L30" s="30" t="n">
        <v>76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72.65000000000001</v>
      </c>
      <c r="P30" s="31" t="n">
        <v>25.3</v>
      </c>
      <c r="Q30" s="31" t="n">
        <v>309.83</v>
      </c>
      <c r="R30" s="30" t="inlineStr">
        <is>
          <t>Volume Spike &amp; Near 52W High Breakout</t>
        </is>
      </c>
      <c r="S30" s="30" t="inlineStr">
        <is>
          <t>Nifty 50</t>
        </is>
      </c>
      <c r="T30" s="31" t="n">
        <v>-6.35</v>
      </c>
      <c r="U30" s="31" t="n">
        <v>36.45</v>
      </c>
      <c r="V30" s="31" t="n">
        <v>45.69</v>
      </c>
      <c r="W30" s="31" t="n">
        <v>24.26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21</t>
        </is>
      </c>
      <c r="CG30" s="30">
        <f>IF(CF30&gt;20,10,IF(CF30&gt;=10,5,2))</f>
        <v/>
      </c>
    </row>
    <row r="31">
      <c r="A31" s="30">
        <f>IF(B31=0,"",RANK(B31,$B$2:$B$94,0))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CPPLUS</t>
        </is>
      </c>
      <c r="D31" s="30" t="inlineStr">
        <is>
          <t>Aditya Infotech Ltd</t>
        </is>
      </c>
      <c r="E31" s="30" t="inlineStr">
        <is>
          <t>Industrials</t>
        </is>
      </c>
      <c r="F31" s="30" t="inlineStr">
        <is>
          <t>CCTV Camera</t>
        </is>
      </c>
      <c r="G31" s="30" t="inlineStr">
        <is>
          <t>largecap</t>
        </is>
      </c>
      <c r="H31" s="31" t="n">
        <v>41690.79</v>
      </c>
      <c r="I31" s="31" t="n">
        <v>3537.6</v>
      </c>
      <c r="J31" s="31" t="n">
        <v>5</v>
      </c>
      <c r="K31" s="31" t="n">
        <v>0</v>
      </c>
      <c r="L31" s="30" t="n">
        <v>95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88.17</v>
      </c>
      <c r="P31" s="31" t="n">
        <v>55.45</v>
      </c>
      <c r="Q31" s="31" t="n">
        <v>2800.19</v>
      </c>
      <c r="R31" s="30" t="inlineStr">
        <is>
          <t>Volume Spike &amp; Near 52W High Breakout</t>
        </is>
      </c>
      <c r="S31" s="30" t="inlineStr">
        <is>
          <t>Nifty 50</t>
        </is>
      </c>
      <c r="T31" s="31" t="n">
        <v>-3.89</v>
      </c>
      <c r="U31" s="31" t="n">
        <v>224.3</v>
      </c>
      <c r="V31" s="31" t="n">
        <v>237.41</v>
      </c>
      <c r="W31" s="31" t="n">
        <v>49.18</v>
      </c>
      <c r="X31" s="30" t="inlineStr">
        <is>
          <t>Cyclical in an Upturn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Less than 50%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21</t>
        </is>
      </c>
      <c r="CG31" s="30">
        <f>IF(CF31&gt;20,10,IF(CF31&gt;=10,5,2))</f>
        <v/>
      </c>
    </row>
    <row r="32">
      <c r="A32" s="30">
        <f>IF(B32=0,"",RANK(B32,$B$2:$B$94,0))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MOTHERSON</t>
        </is>
      </c>
      <c r="D32" s="30" t="inlineStr">
        <is>
          <t>Samvardhana Motherson International Ltd</t>
        </is>
      </c>
      <c r="E32" s="30" t="inlineStr">
        <is>
          <t>auto</t>
        </is>
      </c>
      <c r="F32" s="30" t="inlineStr">
        <is>
          <t>Auto Ancillaries - Diversified</t>
        </is>
      </c>
      <c r="G32" s="30" t="inlineStr">
        <is>
          <t>largecap</t>
        </is>
      </c>
      <c r="H32" s="31" t="n">
        <v>152311.16</v>
      </c>
      <c r="I32" s="31" t="n">
        <v>144.31</v>
      </c>
      <c r="J32" s="31" t="n">
        <v>-0.89</v>
      </c>
      <c r="K32" s="31" t="n">
        <v>0</v>
      </c>
      <c r="L32" s="30" t="n">
        <v>40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66.73999999999999</v>
      </c>
      <c r="P32" s="31" t="n">
        <v>18.72</v>
      </c>
      <c r="Q32" s="31" t="n">
        <v>115.47</v>
      </c>
      <c r="R32" s="30" t="inlineStr">
        <is>
          <t>Near 52W High Breakout</t>
        </is>
      </c>
      <c r="S32" s="30" t="inlineStr">
        <is>
          <t>Nifty Auto</t>
        </is>
      </c>
      <c r="T32" s="31" t="n">
        <v>10.49</v>
      </c>
      <c r="U32" s="31" t="n">
        <v>38.2</v>
      </c>
      <c r="V32" s="31" t="n">
        <v>25.07</v>
      </c>
      <c r="W32" s="31" t="n">
        <v>10.95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0 to 20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19</t>
        </is>
      </c>
      <c r="CG32" s="30">
        <f>IF(CF32&gt;20,10,IF(CF32&gt;=10,5,2))</f>
        <v/>
      </c>
    </row>
    <row r="33">
      <c r="A33" s="30">
        <f>IF(B33=0,"",RANK(B33,$B$2:$B$94,0))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ACUTAAS</t>
        </is>
      </c>
      <c r="D33" s="30" t="inlineStr">
        <is>
          <t>Acutaas Chemicals Ltd</t>
        </is>
      </c>
      <c r="E33" s="30" t="inlineStr">
        <is>
          <t>healthcare</t>
        </is>
      </c>
      <c r="F33" s="30" t="inlineStr">
        <is>
          <t>Pharma - API &amp; CRAMS</t>
        </is>
      </c>
      <c r="G33" s="30" t="inlineStr">
        <is>
          <t>largecap</t>
        </is>
      </c>
      <c r="H33" s="31" t="n">
        <v>25909.75</v>
      </c>
      <c r="I33" s="31" t="n">
        <v>3164.7</v>
      </c>
      <c r="J33" s="31" t="n">
        <v>0.92</v>
      </c>
      <c r="K33" s="31" t="n">
        <v>0</v>
      </c>
      <c r="L33" s="30" t="n">
        <v>85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77.44</v>
      </c>
      <c r="P33" s="31" t="n">
        <v>64.17</v>
      </c>
      <c r="Q33" s="31" t="n">
        <v>2474.32</v>
      </c>
      <c r="R33" s="30" t="inlineStr">
        <is>
          <t>Near 52W High Breakout</t>
        </is>
      </c>
      <c r="S33" s="30" t="inlineStr">
        <is>
          <t>Nifty Pharma</t>
        </is>
      </c>
      <c r="T33" s="31" t="n">
        <v>11.5</v>
      </c>
      <c r="U33" s="31" t="n">
        <v>177.77</v>
      </c>
      <c r="V33" s="31" t="n">
        <v>149.12</v>
      </c>
      <c r="W33" s="31" t="n">
        <v>31.65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Between 50% to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28</t>
        </is>
      </c>
      <c r="CG33" s="30">
        <f>IF(CF33&gt;20,10,IF(CF33&gt;=10,5,2))</f>
        <v/>
      </c>
    </row>
    <row r="34">
      <c r="A34" s="30">
        <f>IF(B34=0,"",RANK(B34,$B$2:$B$94,0))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KMCSHIL</t>
        </is>
      </c>
      <c r="D34" s="30" t="inlineStr">
        <is>
          <t>KMC Speciality Hospitals (India) Ltd</t>
        </is>
      </c>
      <c r="E34" s="30" t="inlineStr">
        <is>
          <t>Healthcare</t>
        </is>
      </c>
      <c r="F34" s="30" t="inlineStr">
        <is>
          <t>Hospitals</t>
        </is>
      </c>
      <c r="G34" s="30" t="inlineStr">
        <is>
          <t>smallcap</t>
        </is>
      </c>
      <c r="H34" s="31" t="n">
        <v>1920.33</v>
      </c>
      <c r="I34" s="31" t="n">
        <v>117.75</v>
      </c>
      <c r="J34" s="31" t="n">
        <v>0.21</v>
      </c>
      <c r="K34" s="31" t="n">
        <v>0</v>
      </c>
      <c r="L34" s="30" t="n">
        <v>71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83.36</v>
      </c>
      <c r="P34" s="31" t="n">
        <v>49.48</v>
      </c>
      <c r="Q34" s="31" t="n">
        <v>93.79000000000001</v>
      </c>
      <c r="R34" s="30" t="inlineStr">
        <is>
          <t>Volume Spike &amp; Near 52W High Breakout</t>
        </is>
      </c>
      <c r="S34" s="30" t="inlineStr">
        <is>
          <t>Nifty Pharma</t>
        </is>
      </c>
      <c r="T34" s="31" t="n">
        <v>11.5</v>
      </c>
      <c r="U34" s="31" t="n">
        <v>75.90000000000001</v>
      </c>
      <c r="V34" s="31" t="n">
        <v>57.76</v>
      </c>
      <c r="W34" s="31" t="n">
        <v>21.25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28</t>
        </is>
      </c>
      <c r="CG34" s="30">
        <f>IF(CF34&gt;20,10,IF(CF34&gt;=10,5,2))</f>
        <v/>
      </c>
    </row>
    <row r="35">
      <c r="A35" s="30">
        <f>IF(B35=0,"",RANK(B35,$B$2:$B$94,0))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SPARC</t>
        </is>
      </c>
      <c r="D35" s="30" t="inlineStr">
        <is>
          <t>Sun Pharma Advanced Research Company Ltd</t>
        </is>
      </c>
      <c r="E35" s="30" t="inlineStr">
        <is>
          <t>healthcare</t>
        </is>
      </c>
      <c r="F35" s="30" t="inlineStr">
        <is>
          <t>Pharma - Others</t>
        </is>
      </c>
      <c r="G35" s="30" t="inlineStr">
        <is>
          <t>midcap</t>
        </is>
      </c>
      <c r="H35" s="31" t="n">
        <v>6911.34</v>
      </c>
      <c r="I35" s="31" t="n">
        <v>212.97</v>
      </c>
      <c r="J35" s="31" t="n">
        <v>2.14</v>
      </c>
      <c r="K35" s="31" t="n">
        <v>0</v>
      </c>
      <c r="L35" s="30" t="n">
        <v>75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74.22</v>
      </c>
      <c r="P35" s="31" t="n">
        <v>43.38</v>
      </c>
      <c r="Q35" s="31" t="n">
        <v>146.95</v>
      </c>
      <c r="R35" s="30" t="inlineStr">
        <is>
          <t>Near 52W High Breakout</t>
        </is>
      </c>
      <c r="S35" s="30" t="inlineStr">
        <is>
          <t>Nifty Pharma</t>
        </is>
      </c>
      <c r="T35" s="31" t="n">
        <v>11.5</v>
      </c>
      <c r="U35" s="31" t="n">
        <v>28.64</v>
      </c>
      <c r="V35" s="31" t="n">
        <v>15.38</v>
      </c>
      <c r="W35" s="31" t="n">
        <v>23.55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Annuity, Lower One Time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Negative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24</t>
        </is>
      </c>
      <c r="CG35" s="30">
        <f>IF(CF35&gt;20,10,IF(CF35&gt;=10,5,2))</f>
        <v/>
      </c>
    </row>
    <row r="36">
      <c r="A36" s="30">
        <f>IF(B36=0,"",RANK(B36,$B$2:$B$94,0))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SUPRIYA</t>
        </is>
      </c>
      <c r="D36" s="30" t="inlineStr">
        <is>
          <t>Supriya Lifescience Ltd</t>
        </is>
      </c>
      <c r="E36" s="30" t="inlineStr">
        <is>
          <t>healthcare</t>
        </is>
      </c>
      <c r="F36" s="30" t="inlineStr">
        <is>
          <t>Pharma - API &amp; CRAMS</t>
        </is>
      </c>
      <c r="G36" s="30" t="inlineStr">
        <is>
          <t>midcap</t>
        </is>
      </c>
      <c r="H36" s="31" t="n">
        <v>7662.77</v>
      </c>
      <c r="I36" s="31" t="n">
        <v>952.1</v>
      </c>
      <c r="J36" s="31" t="n">
        <v>5.68</v>
      </c>
      <c r="K36" s="31" t="n">
        <v>0</v>
      </c>
      <c r="L36" s="30" t="n">
        <v>68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76.28</v>
      </c>
      <c r="P36" s="31" t="n">
        <v>31.75</v>
      </c>
      <c r="Q36" s="31" t="n">
        <v>735.54</v>
      </c>
      <c r="R36" s="30" t="inlineStr">
        <is>
          <t>Volume Spike &amp; Near 52W High Breakout</t>
        </is>
      </c>
      <c r="S36" s="30" t="inlineStr">
        <is>
          <t>Nifty Pharma</t>
        </is>
      </c>
      <c r="T36" s="31" t="n">
        <v>11.5</v>
      </c>
      <c r="U36" s="31" t="n">
        <v>38.08</v>
      </c>
      <c r="V36" s="31" t="n">
        <v>23.84</v>
      </c>
      <c r="W36" s="31" t="n">
        <v>19.28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24</t>
        </is>
      </c>
      <c r="CG36" s="30">
        <f>IF(CF36&gt;20,10,IF(CF36&gt;=10,5,2))</f>
        <v/>
      </c>
    </row>
    <row r="37">
      <c r="A37" s="30">
        <f>IF(B37=0,"",RANK(B37,$B$2:$B$94,0))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3" t="inlineStr">
        <is>
          <t>PANACEABIO</t>
        </is>
      </c>
      <c r="D37" s="33" t="inlineStr">
        <is>
          <t>Panacea Biotec Ltd</t>
        </is>
      </c>
      <c r="E37" s="30" t="inlineStr">
        <is>
          <t>healthcare</t>
        </is>
      </c>
      <c r="F37" s="30" t="inlineStr">
        <is>
          <t>Pharma - Others</t>
        </is>
      </c>
      <c r="G37" s="30" t="inlineStr">
        <is>
          <t>smallcap</t>
        </is>
      </c>
      <c r="H37" s="31" t="n">
        <v>3186.88</v>
      </c>
      <c r="I37" s="31" t="n">
        <v>520.3</v>
      </c>
      <c r="J37" s="31" t="n">
        <v>20</v>
      </c>
      <c r="K37" s="31" t="n">
        <v>0</v>
      </c>
      <c r="L37" s="30" t="n">
        <v>67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74.83</v>
      </c>
      <c r="P37" s="31" t="n">
        <v>20.05</v>
      </c>
      <c r="Q37" s="31" t="n">
        <v>379.41</v>
      </c>
      <c r="R37" s="30" t="inlineStr">
        <is>
          <t>Volume Spike &amp; Near 52W High Breakout</t>
        </is>
      </c>
      <c r="S37" s="30" t="inlineStr">
        <is>
          <t>Nifty Pharma</t>
        </is>
      </c>
      <c r="T37" s="31" t="n">
        <v>11.5</v>
      </c>
      <c r="U37" s="31" t="n">
        <v>16.27</v>
      </c>
      <c r="V37" s="31" t="n">
        <v>4.28</v>
      </c>
      <c r="W37" s="31" t="n">
        <v>18.67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Less than 12%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20</t>
        </is>
      </c>
      <c r="CG37" s="30">
        <f>IF(CF37&gt;20,10,IF(CF37&gt;=10,5,2))</f>
        <v/>
      </c>
    </row>
    <row r="38">
      <c r="A38" s="30">
        <f>IF(B38=0,"",RANK(B38,$B$2:$B$94,0))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NGLFINE</t>
        </is>
      </c>
      <c r="D38" s="30" t="inlineStr">
        <is>
          <t>NGL Fine Chem Ltd</t>
        </is>
      </c>
      <c r="E38" s="30" t="inlineStr">
        <is>
          <t>Healthcare</t>
        </is>
      </c>
      <c r="F38" s="30" t="inlineStr">
        <is>
          <t>Pharma - Animal</t>
        </is>
      </c>
      <c r="G38" s="30" t="inlineStr">
        <is>
          <t>smallcap</t>
        </is>
      </c>
      <c r="H38" s="31" t="n">
        <v>1594.98</v>
      </c>
      <c r="I38" s="31" t="n">
        <v>2581.7</v>
      </c>
      <c r="J38" s="31" t="n">
        <v>-2.4</v>
      </c>
      <c r="K38" s="31" t="n">
        <v>0</v>
      </c>
      <c r="L38" s="30" t="n">
        <v>80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66.52</v>
      </c>
      <c r="P38" s="31" t="n">
        <v>66.68000000000001</v>
      </c>
      <c r="Q38" s="31" t="n">
        <v>1819.51</v>
      </c>
      <c r="R38" s="30" t="inlineStr">
        <is>
          <t>Earnings / Momentum Support</t>
        </is>
      </c>
      <c r="S38" s="30" t="inlineStr">
        <is>
          <t>Nifty Pharma</t>
        </is>
      </c>
      <c r="T38" s="31" t="n">
        <v>11.5</v>
      </c>
      <c r="U38" s="31" t="n">
        <v>143.95</v>
      </c>
      <c r="V38" s="31" t="n">
        <v>118.79</v>
      </c>
      <c r="W38" s="31" t="n">
        <v>25.65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No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Between 50% to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20</t>
        </is>
      </c>
      <c r="CG38" s="30">
        <f>IF(CF38&gt;20,10,IF(CF38&gt;=10,5,2))</f>
        <v/>
      </c>
    </row>
    <row r="39">
      <c r="A39" s="30">
        <f>IF(B39=0,"",RANK(B39,$B$2:$B$94,0))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VALIANT</t>
        </is>
      </c>
      <c r="D39" s="30" t="inlineStr">
        <is>
          <t>Valiant Communications Ltd</t>
        </is>
      </c>
      <c r="E39" s="30" t="inlineStr">
        <is>
          <t>Technology</t>
        </is>
      </c>
      <c r="F39" s="30" t="inlineStr">
        <is>
          <t>Telecom Services</t>
        </is>
      </c>
      <c r="G39" s="30" t="inlineStr">
        <is>
          <t>smallcap</t>
        </is>
      </c>
      <c r="H39" s="31" t="n">
        <v>1370.14</v>
      </c>
      <c r="I39" s="31" t="n">
        <v>1171.85</v>
      </c>
      <c r="J39" s="31" t="n">
        <v>-2.92</v>
      </c>
      <c r="K39" s="31" t="n">
        <v>0</v>
      </c>
      <c r="L39" s="30" t="n">
        <v>80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63.05</v>
      </c>
      <c r="P39" s="31" t="n">
        <v>25.8</v>
      </c>
      <c r="Q39" s="31" t="n">
        <v>896.1900000000001</v>
      </c>
      <c r="R39" s="30" t="inlineStr">
        <is>
          <t>Earnings / Momentum Support</t>
        </is>
      </c>
      <c r="S39" s="30" t="inlineStr">
        <is>
          <t>Nifty 50</t>
        </is>
      </c>
      <c r="T39" s="31" t="n">
        <v>-6.35</v>
      </c>
      <c r="U39" s="31" t="n">
        <v>162.34</v>
      </c>
      <c r="V39" s="31" t="n">
        <v>180.12</v>
      </c>
      <c r="W39" s="31" t="n">
        <v>25.57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Oligopoly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No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19</t>
        </is>
      </c>
      <c r="CG39" s="30">
        <f>IF(CF39&gt;20,10,IF(CF39&gt;=10,5,2))</f>
        <v/>
      </c>
    </row>
    <row r="40">
      <c r="A40" s="30">
        <f>IF(B40=0,"",RANK(B40,$B$2:$B$94,0))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SKIPPER</t>
        </is>
      </c>
      <c r="D40" s="30" t="inlineStr">
        <is>
          <t>Skipper Ltd</t>
        </is>
      </c>
      <c r="E40" s="30" t="inlineStr">
        <is>
          <t>industrials</t>
        </is>
      </c>
      <c r="F40" s="30" t="inlineStr">
        <is>
          <t>Electrical Equipments/HVDC</t>
        </is>
      </c>
      <c r="G40" s="30" t="inlineStr">
        <is>
          <t>midcap</t>
        </is>
      </c>
      <c r="H40" s="31" t="n">
        <v>6489.94</v>
      </c>
      <c r="I40" s="31" t="n">
        <v>574.65</v>
      </c>
      <c r="J40" s="31" t="n">
        <v>0.73</v>
      </c>
      <c r="K40" s="31" t="n">
        <v>0</v>
      </c>
      <c r="L40" s="30" t="n">
        <v>70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72.63</v>
      </c>
      <c r="P40" s="31" t="n">
        <v>32.76</v>
      </c>
      <c r="Q40" s="31" t="n">
        <v>432.11</v>
      </c>
      <c r="R40" s="30" t="inlineStr">
        <is>
          <t>Volume Spike &amp; Near 52W High Breakout</t>
        </is>
      </c>
      <c r="S40" s="30" t="inlineStr">
        <is>
          <t>Nifty 50</t>
        </is>
      </c>
      <c r="T40" s="31" t="n">
        <v>-6.35</v>
      </c>
      <c r="U40" s="31" t="n">
        <v>18.08</v>
      </c>
      <c r="V40" s="31" t="n">
        <v>26.08</v>
      </c>
      <c r="W40" s="31" t="n">
        <v>20.99</v>
      </c>
      <c r="X40" s="30" t="inlineStr">
        <is>
          <t>Cyclical in an Upturn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Less than 50%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31</t>
        </is>
      </c>
      <c r="CG40" s="30">
        <f>IF(CF40&gt;20,10,IF(CF40&gt;=10,5,2))</f>
        <v/>
      </c>
    </row>
    <row r="41">
      <c r="A41" s="30">
        <f>IF(B41=0,"",RANK(B41,$B$2:$B$94,0))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AVALON</t>
        </is>
      </c>
      <c r="D41" s="30" t="inlineStr">
        <is>
          <t>Avalon Technologies Ltd</t>
        </is>
      </c>
      <c r="E41" s="30" t="inlineStr">
        <is>
          <t>consumer discretionary</t>
        </is>
      </c>
      <c r="F41" s="30" t="inlineStr">
        <is>
          <t>Consumer Electronics - EMS</t>
        </is>
      </c>
      <c r="G41" s="30" t="inlineStr">
        <is>
          <t>midcap</t>
        </is>
      </c>
      <c r="H41" s="31" t="n">
        <v>10937.82</v>
      </c>
      <c r="I41" s="31" t="n">
        <v>1637.7</v>
      </c>
      <c r="J41" s="31" t="n">
        <v>8.039999999999999</v>
      </c>
      <c r="K41" s="31" t="n">
        <v>0</v>
      </c>
      <c r="L41" s="30" t="n">
        <v>85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75.12</v>
      </c>
      <c r="P41" s="31" t="n">
        <v>28.26</v>
      </c>
      <c r="Q41" s="31" t="n">
        <v>1191.18</v>
      </c>
      <c r="R41" s="30" t="inlineStr">
        <is>
          <t>Near 52W High Breakout</t>
        </is>
      </c>
      <c r="S41" s="30" t="inlineStr">
        <is>
          <t>Nifty 50</t>
        </is>
      </c>
      <c r="T41" s="31" t="n">
        <v>-6.35</v>
      </c>
      <c r="U41" s="31" t="n">
        <v>89.03</v>
      </c>
      <c r="V41" s="31" t="n">
        <v>101.84</v>
      </c>
      <c r="W41" s="31" t="n">
        <v>31.99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Less than 50%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22</t>
        </is>
      </c>
      <c r="CG41" s="30">
        <f>IF(CF41&gt;20,10,IF(CF41&gt;=10,5,2))</f>
        <v/>
      </c>
    </row>
    <row r="42">
      <c r="A42" s="30">
        <f>IF(B42=0,"",RANK(B42,$B$2:$B$94,0))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SANSERA</t>
        </is>
      </c>
      <c r="D42" s="30" t="inlineStr">
        <is>
          <t>Sansera Engineering Ltd</t>
        </is>
      </c>
      <c r="E42" s="30" t="inlineStr">
        <is>
          <t>auto</t>
        </is>
      </c>
      <c r="F42" s="30" t="inlineStr">
        <is>
          <t>Auto Ancillaries - Diversified</t>
        </is>
      </c>
      <c r="G42" s="30" t="inlineStr">
        <is>
          <t>midcap</t>
        </is>
      </c>
      <c r="H42" s="31" t="n">
        <v>18237.11</v>
      </c>
      <c r="I42" s="31" t="n">
        <v>2925.8</v>
      </c>
      <c r="J42" s="31" t="n">
        <v>0.38</v>
      </c>
      <c r="K42" s="31" t="n">
        <v>0</v>
      </c>
      <c r="L42" s="30" t="n">
        <v>77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74.42</v>
      </c>
      <c r="P42" s="31" t="n">
        <v>39.79</v>
      </c>
      <c r="Q42" s="31" t="n">
        <v>2254.19</v>
      </c>
      <c r="R42" s="30" t="inlineStr">
        <is>
          <t>Near 52W High Breakout</t>
        </is>
      </c>
      <c r="S42" s="30" t="inlineStr">
        <is>
          <t>Nifty Auto</t>
        </is>
      </c>
      <c r="T42" s="31" t="n">
        <v>10.49</v>
      </c>
      <c r="U42" s="31" t="n">
        <v>116.95</v>
      </c>
      <c r="V42" s="31" t="n">
        <v>96.34</v>
      </c>
      <c r="W42" s="31" t="n">
        <v>24.31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Between 50% to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22</t>
        </is>
      </c>
      <c r="CG42" s="30">
        <f>IF(CF42&gt;20,10,IF(CF42&gt;=10,5,2))</f>
        <v/>
      </c>
    </row>
    <row r="43">
      <c r="A43" s="30">
        <f>IF(B43=0,"",RANK(B43,$B$2:$B$94,0))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WHEELS</t>
        </is>
      </c>
      <c r="D43" s="30" t="inlineStr">
        <is>
          <t>Wheels India Ltd</t>
        </is>
      </c>
      <c r="E43" s="30" t="inlineStr">
        <is>
          <t>auto</t>
        </is>
      </c>
      <c r="F43" s="30" t="inlineStr">
        <is>
          <t>Auto Ancillaries - Wheels</t>
        </is>
      </c>
      <c r="G43" s="30" t="inlineStr">
        <is>
          <t>smallcap</t>
        </is>
      </c>
      <c r="H43" s="31" t="n">
        <v>3735.07</v>
      </c>
      <c r="I43" s="31" t="n">
        <v>1528.7</v>
      </c>
      <c r="J43" s="31" t="n">
        <v>2.07</v>
      </c>
      <c r="K43" s="31" t="n">
        <v>0</v>
      </c>
      <c r="L43" s="30" t="n">
        <v>87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72.26000000000001</v>
      </c>
      <c r="P43" s="31" t="n">
        <v>46.71</v>
      </c>
      <c r="Q43" s="31" t="n">
        <v>1303.61</v>
      </c>
      <c r="R43" s="30" t="inlineStr">
        <is>
          <t>Earnings / Momentum Support</t>
        </is>
      </c>
      <c r="S43" s="30" t="inlineStr">
        <is>
          <t>Nifty Auto</t>
        </is>
      </c>
      <c r="T43" s="31" t="n">
        <v>10.49</v>
      </c>
      <c r="U43" s="31" t="n">
        <v>108.27</v>
      </c>
      <c r="V43" s="31" t="n">
        <v>88.48999999999999</v>
      </c>
      <c r="W43" s="31" t="n">
        <v>33.31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No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Less than 12%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22</t>
        </is>
      </c>
      <c r="CG43" s="30">
        <f>IF(CF43&gt;20,10,IF(CF43&gt;=10,5,2))</f>
        <v/>
      </c>
    </row>
    <row r="44">
      <c r="A44" s="30">
        <f>IF(B44=0,"",RANK(B44,$B$2:$B$94,0))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3" t="inlineStr">
        <is>
          <t>COCKERILL</t>
        </is>
      </c>
      <c r="D44" s="33" t="inlineStr">
        <is>
          <t>John Cockerill India Ltd</t>
        </is>
      </c>
      <c r="E44" s="30" t="inlineStr">
        <is>
          <t>Industrials</t>
        </is>
      </c>
      <c r="F44" s="30" t="inlineStr">
        <is>
          <t>Capital Goods - Engineering Heavy</t>
        </is>
      </c>
      <c r="G44" s="30" t="inlineStr">
        <is>
          <t>smallcap</t>
        </is>
      </c>
      <c r="H44" s="31" t="n">
        <v>4597.05</v>
      </c>
      <c r="I44" s="31" t="n">
        <v>9309.9</v>
      </c>
      <c r="J44" s="31" t="n">
        <v>2.16</v>
      </c>
      <c r="K44" s="31" t="n">
        <v>0</v>
      </c>
      <c r="L44" s="30" t="n">
        <v>93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81.78</v>
      </c>
      <c r="P44" s="31" t="n">
        <v>27.94</v>
      </c>
      <c r="Q44" s="31" t="n">
        <v>7154.69</v>
      </c>
      <c r="R44" s="30" t="inlineStr">
        <is>
          <t>Volume Spike &amp; Near 52W High Breakout</t>
        </is>
      </c>
      <c r="S44" s="30" t="inlineStr">
        <is>
          <t>Nifty Metal</t>
        </is>
      </c>
      <c r="T44" s="31" t="n">
        <v>42.84</v>
      </c>
      <c r="U44" s="31" t="n">
        <v>148.91</v>
      </c>
      <c r="V44" s="31" t="n">
        <v>74.26000000000001</v>
      </c>
      <c r="W44" s="31" t="n">
        <v>42.56</v>
      </c>
      <c r="X44" s="30" t="inlineStr">
        <is>
          <t>Cyclical in an Upturn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22</t>
        </is>
      </c>
      <c r="CG44" s="30">
        <f>IF(CF44&gt;20,10,IF(CF44&gt;=10,5,2))</f>
        <v/>
      </c>
    </row>
    <row r="45">
      <c r="A45" s="30">
        <f>IF(B45=0,"",RANK(B45,$B$2:$B$94,0))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3" t="inlineStr">
        <is>
          <t>PSPPROJECT</t>
        </is>
      </c>
      <c r="D45" s="33" t="inlineStr">
        <is>
          <t>PSP Projects Ltd</t>
        </is>
      </c>
      <c r="E45" s="30" t="inlineStr">
        <is>
          <t>realty</t>
        </is>
      </c>
      <c r="F45" s="30" t="inlineStr">
        <is>
          <t>Construction &amp; Contracting</t>
        </is>
      </c>
      <c r="G45" s="30" t="inlineStr">
        <is>
          <t>smallcap</t>
        </is>
      </c>
      <c r="H45" s="31" t="n">
        <v>3562.41</v>
      </c>
      <c r="I45" s="31" t="n">
        <v>898.65</v>
      </c>
      <c r="J45" s="31" t="n">
        <v>9.58</v>
      </c>
      <c r="K45" s="31" t="n">
        <v>0</v>
      </c>
      <c r="L45" s="30" t="n">
        <v>53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62.14</v>
      </c>
      <c r="P45" s="31" t="n">
        <v>23.15</v>
      </c>
      <c r="Q45" s="31" t="n">
        <v>657.47</v>
      </c>
      <c r="R45" s="30" t="inlineStr">
        <is>
          <t>Volume Spike / Accumulation</t>
        </is>
      </c>
      <c r="S45" s="30" t="inlineStr">
        <is>
          <t>Nifty Realty</t>
        </is>
      </c>
      <c r="T45" s="31" t="n">
        <v>-26.45</v>
      </c>
      <c r="U45" s="31" t="n">
        <v>39.17</v>
      </c>
      <c r="V45" s="31" t="n">
        <v>89.23</v>
      </c>
      <c r="W45" s="31" t="n">
        <v>14.67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21</t>
        </is>
      </c>
      <c r="CG45" s="30">
        <f>IF(CF45&gt;20,10,IF(CF45&gt;=10,5,2))</f>
        <v/>
      </c>
    </row>
    <row r="46">
      <c r="A46" s="30">
        <f>IF(B46=0,"",RANK(B46,$B$2:$B$94,0))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CEMPRO</t>
        </is>
      </c>
      <c r="D46" s="30" t="inlineStr">
        <is>
          <t>Cemindia Projects Ltd</t>
        </is>
      </c>
      <c r="E46" s="30" t="inlineStr">
        <is>
          <t>realty</t>
        </is>
      </c>
      <c r="F46" s="30" t="inlineStr">
        <is>
          <t>Infra - Construction &amp; Contracting</t>
        </is>
      </c>
      <c r="G46" s="30" t="inlineStr">
        <is>
          <t>midcap</t>
        </is>
      </c>
      <c r="H46" s="31" t="n">
        <v>19365.61</v>
      </c>
      <c r="I46" s="31" t="n">
        <v>1127.3</v>
      </c>
      <c r="J46" s="31" t="n">
        <v>9.99</v>
      </c>
      <c r="K46" s="31" t="n">
        <v>0</v>
      </c>
      <c r="L46" s="30" t="n">
        <v>90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75.31999999999999</v>
      </c>
      <c r="P46" s="31" t="n">
        <v>35.28</v>
      </c>
      <c r="Q46" s="31" t="n">
        <v>860.77</v>
      </c>
      <c r="R46" s="30" t="inlineStr">
        <is>
          <t>Near 52W High Breakout</t>
        </is>
      </c>
      <c r="S46" s="30" t="inlineStr">
        <is>
          <t>Nifty Realty</t>
        </is>
      </c>
      <c r="T46" s="31" t="n">
        <v>-26.45</v>
      </c>
      <c r="U46" s="31" t="n">
        <v>51.12</v>
      </c>
      <c r="V46" s="31" t="n">
        <v>105.48</v>
      </c>
      <c r="W46" s="31" t="n">
        <v>35.59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Less than 50%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21</t>
        </is>
      </c>
      <c r="CG46" s="30">
        <f>IF(CF46&gt;20,10,IF(CF46&gt;=10,5,2))</f>
        <v/>
      </c>
    </row>
    <row r="47">
      <c r="A47" s="30">
        <f>IF(B47=0,"",RANK(B47,$B$2:$B$94,0))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AEROFLEX</t>
        </is>
      </c>
      <c r="D47" s="30" t="inlineStr">
        <is>
          <t>Aeroflex Industries Ltd</t>
        </is>
      </c>
      <c r="E47" s="30" t="inlineStr">
        <is>
          <t>metals &amp; mining</t>
        </is>
      </c>
      <c r="F47" s="30" t="inlineStr">
        <is>
          <t>Stainless Steel</t>
        </is>
      </c>
      <c r="G47" s="30" t="inlineStr">
        <is>
          <t>midcap</t>
        </is>
      </c>
      <c r="H47" s="31" t="n">
        <v>5814.61</v>
      </c>
      <c r="I47" s="31" t="n">
        <v>439.4</v>
      </c>
      <c r="J47" s="31" t="n">
        <v>1.15</v>
      </c>
      <c r="K47" s="31" t="n">
        <v>0</v>
      </c>
      <c r="L47" s="30" t="n">
        <v>94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72.53</v>
      </c>
      <c r="P47" s="31" t="n">
        <v>53.8</v>
      </c>
      <c r="Q47" s="31" t="n">
        <v>304.83</v>
      </c>
      <c r="R47" s="30" t="inlineStr">
        <is>
          <t>Near 52W High Breakout</t>
        </is>
      </c>
      <c r="S47" s="30" t="inlineStr">
        <is>
          <t>Nifty Metal</t>
        </is>
      </c>
      <c r="T47" s="31" t="n">
        <v>42.84</v>
      </c>
      <c r="U47" s="31" t="n">
        <v>169.95</v>
      </c>
      <c r="V47" s="31" t="n">
        <v>88.98999999999999</v>
      </c>
      <c r="W47" s="31" t="n">
        <v>46.46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Cyclical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Volatile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Between 1.5 to 2</t>
        </is>
      </c>
      <c r="BU47" s="30">
        <f>IF(BT47="Above 2",0,IF(BT47="Between 1.5 to 2",5,IF(BT47="Less than 1.5",10,0)))</f>
        <v/>
      </c>
      <c r="BV47" s="30" t="inlineStr">
        <is>
          <t>Between 50% to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20</t>
        </is>
      </c>
      <c r="CG47" s="30">
        <f>IF(CF47&gt;20,10,IF(CF47&gt;=10,5,2))</f>
        <v/>
      </c>
    </row>
    <row r="48">
      <c r="A48" s="30">
        <f>IF(B48=0,"",RANK(B48,$B$2:$B$94,0))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STLTECH</t>
        </is>
      </c>
      <c r="D48" s="30" t="inlineStr">
        <is>
          <t>Sterlite Technologies Ltd</t>
        </is>
      </c>
      <c r="E48" s="30" t="inlineStr">
        <is>
          <t>industrials</t>
        </is>
      </c>
      <c r="F48" s="30" t="inlineStr">
        <is>
          <t>Cables - Telecom</t>
        </is>
      </c>
      <c r="G48" s="30" t="inlineStr">
        <is>
          <t>largecap</t>
        </is>
      </c>
      <c r="H48" s="31" t="n">
        <v>31809</v>
      </c>
      <c r="I48" s="31" t="n">
        <v>651.6</v>
      </c>
      <c r="J48" s="31" t="n">
        <v>5</v>
      </c>
      <c r="K48" s="31" t="n">
        <v>0</v>
      </c>
      <c r="L48" s="30" t="n">
        <v>99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96.36</v>
      </c>
      <c r="P48" s="31" t="n">
        <v>76.45999999999999</v>
      </c>
      <c r="Q48" s="31" t="n">
        <v>522.62</v>
      </c>
      <c r="R48" s="30" t="inlineStr">
        <is>
          <t>Near 52W High Breakout</t>
        </is>
      </c>
      <c r="S48" s="30" t="inlineStr">
        <is>
          <t>Nifty Infra</t>
        </is>
      </c>
      <c r="T48" s="31" t="n">
        <v>1.41</v>
      </c>
      <c r="U48" s="31" t="n">
        <v>759.63</v>
      </c>
      <c r="V48" s="31" t="n">
        <v>747.6799999999999</v>
      </c>
      <c r="W48" s="31" t="n">
        <v>127.42</v>
      </c>
      <c r="X48" s="30" t="inlineStr">
        <is>
          <t>Cyclical in an Upturn</t>
        </is>
      </c>
      <c r="Y48" s="30">
        <f>IF(X48="Growing Industry",10,IF(X48="Cyclical in an Upturn",5,0))</f>
        <v/>
      </c>
      <c r="Z48" s="30" t="inlineStr">
        <is>
          <t>Oligopoly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Between 0.7 to 1.2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20</t>
        </is>
      </c>
      <c r="CG48" s="30">
        <f>IF(CF48&gt;20,10,IF(CF48&gt;=10,5,2))</f>
        <v/>
      </c>
    </row>
    <row r="49">
      <c r="A49" s="30">
        <f>IF(B49=0,"",RANK(B49,$B$2:$B$94,0))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VERANDA</t>
        </is>
      </c>
      <c r="D49" s="30" t="inlineStr">
        <is>
          <t>Veranda Learning Solutions Ltd</t>
        </is>
      </c>
      <c r="E49" s="30" t="inlineStr">
        <is>
          <t>services</t>
        </is>
      </c>
      <c r="F49" s="30" t="inlineStr">
        <is>
          <t>Computer Education</t>
        </is>
      </c>
      <c r="G49" s="30" t="inlineStr">
        <is>
          <t>smallcap</t>
        </is>
      </c>
      <c r="H49" s="31" t="n">
        <v>2288.1</v>
      </c>
      <c r="I49" s="31" t="n">
        <v>237.55</v>
      </c>
      <c r="J49" s="31" t="n">
        <v>1.96</v>
      </c>
      <c r="K49" s="31" t="n">
        <v>0</v>
      </c>
      <c r="L49" s="30" t="n">
        <v>54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64.3</v>
      </c>
      <c r="P49" s="31" t="n">
        <v>31.62</v>
      </c>
      <c r="Q49" s="31" t="n">
        <v>170.78</v>
      </c>
      <c r="R49" s="30" t="inlineStr">
        <is>
          <t>Earnings / Momentum Support</t>
        </is>
      </c>
      <c r="S49" s="30" t="inlineStr">
        <is>
          <t>Nifty 50</t>
        </is>
      </c>
      <c r="T49" s="31" t="n">
        <v>-6.35</v>
      </c>
      <c r="U49" s="31" t="n">
        <v>19.96</v>
      </c>
      <c r="V49" s="31" t="n">
        <v>28.09</v>
      </c>
      <c r="W49" s="31" t="n">
        <v>15.04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Between 50% to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19</t>
        </is>
      </c>
      <c r="CG49" s="30">
        <f>IF(CF49&gt;20,10,IF(CF49&gt;=10,5,2))</f>
        <v/>
      </c>
    </row>
    <row r="50">
      <c r="A50" s="30">
        <f>IF(B50=0,"",RANK(B50,$B$2:$B$94,0))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SKMEGGPROD</t>
        </is>
      </c>
      <c r="D50" s="30" t="inlineStr">
        <is>
          <t>SKM Egg Products Export (India) Ltd</t>
        </is>
      </c>
      <c r="E50" s="30" t="inlineStr">
        <is>
          <t>fmcg</t>
        </is>
      </c>
      <c r="F50" s="30" t="inlineStr">
        <is>
          <t>FMCG - Animal/Polutry</t>
        </is>
      </c>
      <c r="G50" s="30" t="inlineStr">
        <is>
          <t>smallcap</t>
        </is>
      </c>
      <c r="H50" s="31" t="n">
        <v>1260.21</v>
      </c>
      <c r="I50" s="31" t="n">
        <v>239.31</v>
      </c>
      <c r="J50" s="31" t="n">
        <v>-1.72</v>
      </c>
      <c r="K50" s="31" t="n">
        <v>0</v>
      </c>
      <c r="L50" s="30" t="n">
        <v>85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70.25</v>
      </c>
      <c r="P50" s="31" t="n">
        <v>15.81</v>
      </c>
      <c r="Q50" s="31" t="n">
        <v>165.66</v>
      </c>
      <c r="R50" s="30" t="inlineStr">
        <is>
          <t>Volume Spike &amp; Near 52W High Breakout</t>
        </is>
      </c>
      <c r="S50" s="30" t="inlineStr">
        <is>
          <t>Nifty FMCG</t>
        </is>
      </c>
      <c r="T50" s="31" t="n">
        <v>-13.6</v>
      </c>
      <c r="U50" s="31" t="n">
        <v>113.14</v>
      </c>
      <c r="V50" s="31" t="n">
        <v>146.68</v>
      </c>
      <c r="W50" s="31" t="n">
        <v>31.68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B2C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Annuity, Lower One Time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0 to 20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Less than 50%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30</t>
        </is>
      </c>
      <c r="CG50" s="30">
        <f>IF(CF50&gt;20,10,IF(CF50&gt;=10,5,2))</f>
        <v/>
      </c>
    </row>
    <row r="51">
      <c r="A51" s="30">
        <f>IF(B51=0,"",RANK(B51,$B$2:$B$94,0))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2" t="inlineStr">
        <is>
          <t>MARKSANS</t>
        </is>
      </c>
      <c r="D51" s="32" t="inlineStr">
        <is>
          <t>Marksans Pharma Ltd</t>
        </is>
      </c>
      <c r="E51" s="30" t="inlineStr">
        <is>
          <t>healthcare</t>
        </is>
      </c>
      <c r="F51" s="30" t="inlineStr">
        <is>
          <t>Pharma - Formulators</t>
        </is>
      </c>
      <c r="G51" s="30" t="inlineStr">
        <is>
          <t>midcap</t>
        </is>
      </c>
      <c r="H51" s="31" t="n">
        <v>10836.96</v>
      </c>
      <c r="I51" s="31" t="n">
        <v>239.14</v>
      </c>
      <c r="J51" s="31" t="n">
        <v>-1.33</v>
      </c>
      <c r="K51" s="31" t="n">
        <v>0</v>
      </c>
      <c r="L51" s="30" t="n">
        <v>36</v>
      </c>
      <c r="M51" s="30" t="inlineStr">
        <is>
          <t>Underperforming</t>
        </is>
      </c>
      <c r="N51" s="31">
        <f>IF(M51="Underperforming",-5,IF(L51&gt;=95,15,IF(L51&gt;=90,10,IF(L51&gt;=80,5,0))))</f>
        <v/>
      </c>
      <c r="O51" s="31" t="n">
        <v>70.59999999999999</v>
      </c>
      <c r="P51" s="31" t="n">
        <v>25.72</v>
      </c>
      <c r="Q51" s="31" t="n">
        <v>191.22</v>
      </c>
      <c r="R51" s="30" t="inlineStr">
        <is>
          <t>Earnings / Momentum Support</t>
        </is>
      </c>
      <c r="S51" s="30" t="inlineStr">
        <is>
          <t>Nifty Pharma</t>
        </is>
      </c>
      <c r="T51" s="31" t="n">
        <v>11.5</v>
      </c>
      <c r="U51" s="31" t="n">
        <v>-4.75</v>
      </c>
      <c r="V51" s="31" t="n">
        <v>-14.57</v>
      </c>
      <c r="W51" s="31" t="n">
        <v>9.76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No</t>
        </is>
      </c>
      <c r="AQ51" s="30">
        <f>IF(AP51="Yes",10,0)</f>
        <v/>
      </c>
      <c r="AR51" s="30" t="inlineStr">
        <is>
          <t>Higher Annuity, Lower One Time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21</t>
        </is>
      </c>
      <c r="CG51" s="30">
        <f>IF(CF51&gt;20,10,IF(CF51&gt;=10,5,2))</f>
        <v/>
      </c>
    </row>
    <row r="52">
      <c r="A52" s="30">
        <f>IF(B52=0,"",RANK(B52,$B$2:$B$94,0))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SIGMAADV</t>
        </is>
      </c>
      <c r="D52" s="30" t="inlineStr">
        <is>
          <t>Sigma Advanced System Ltd</t>
        </is>
      </c>
      <c r="E52" s="30" t="inlineStr">
        <is>
          <t>aerospace &amp; defence</t>
        </is>
      </c>
      <c r="F52" s="30" t="inlineStr">
        <is>
          <t>Aerospace &amp; Defence - Equipments</t>
        </is>
      </c>
      <c r="G52" s="30" t="inlineStr">
        <is>
          <t>midcap</t>
        </is>
      </c>
      <c r="H52" s="31" t="n">
        <v>8084.12</v>
      </c>
      <c r="I52" s="31" t="n">
        <v>458.7</v>
      </c>
      <c r="J52" s="31" t="n">
        <v>4.99</v>
      </c>
      <c r="K52" s="31" t="n">
        <v>0</v>
      </c>
      <c r="L52" s="30" t="n">
        <v>99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85.09</v>
      </c>
      <c r="P52" s="31" t="n">
        <v>34.03</v>
      </c>
      <c r="Q52" s="31" t="n">
        <v>352.92</v>
      </c>
      <c r="R52" s="30" t="inlineStr">
        <is>
          <t>Volume Spike &amp; Near 52W High Breakout</t>
        </is>
      </c>
      <c r="S52" s="30" t="inlineStr">
        <is>
          <t>Nifty 50</t>
        </is>
      </c>
      <c r="T52" s="31" t="n">
        <v>-6.35</v>
      </c>
      <c r="U52" s="31" t="n">
        <v>396.75</v>
      </c>
      <c r="V52" s="31" t="n">
        <v>430.41</v>
      </c>
      <c r="W52" s="31" t="n">
        <v>89.41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Negative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Between 0.7 to 1.2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32</t>
        </is>
      </c>
      <c r="CG52" s="30">
        <f>IF(CF52&gt;20,10,IF(CF52&gt;=10,5,2))</f>
        <v/>
      </c>
    </row>
    <row r="53">
      <c r="A53" s="30">
        <f>IF(B53=0,"",RANK(B53,$B$2:$B$94,0))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NITTAGELA</t>
        </is>
      </c>
      <c r="D53" s="30" t="inlineStr">
        <is>
          <t>Nitta Gelatin India Ltd</t>
        </is>
      </c>
      <c r="E53" s="30" t="inlineStr">
        <is>
          <t>Basic Materials</t>
        </is>
      </c>
      <c r="F53" s="30" t="inlineStr">
        <is>
          <t>Chemicals - Organic</t>
        </is>
      </c>
      <c r="G53" s="30" t="inlineStr">
        <is>
          <t>smallcap</t>
        </is>
      </c>
      <c r="H53" s="31" t="n">
        <v>1660.58</v>
      </c>
      <c r="I53" s="31" t="n">
        <v>1829</v>
      </c>
      <c r="J53" s="31" t="n">
        <v>1.27</v>
      </c>
      <c r="K53" s="31" t="n">
        <v>0</v>
      </c>
      <c r="L53" s="30" t="n">
        <v>94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91.91</v>
      </c>
      <c r="P53" s="31" t="n">
        <v>39.12</v>
      </c>
      <c r="Q53" s="31" t="n">
        <v>1503.87</v>
      </c>
      <c r="R53" s="30" t="inlineStr">
        <is>
          <t>Near 52W High Breakout</t>
        </is>
      </c>
      <c r="S53" s="30" t="inlineStr">
        <is>
          <t>Nifty IT</t>
        </is>
      </c>
      <c r="T53" s="31" t="n">
        <v>-21.44</v>
      </c>
      <c r="U53" s="31" t="n">
        <v>117.96</v>
      </c>
      <c r="V53" s="31" t="n">
        <v>177.42</v>
      </c>
      <c r="W53" s="31" t="n">
        <v>49.05</v>
      </c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Cyclical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Volatile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25</t>
        </is>
      </c>
      <c r="CG53" s="30">
        <f>IF(CF53&gt;20,10,IF(CF53&gt;=10,5,2))</f>
        <v/>
      </c>
    </row>
    <row r="54">
      <c r="A54" s="30">
        <f>IF(B54=0,"",RANK(B54,$B$2:$B$94,0))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HFCL</t>
        </is>
      </c>
      <c r="D54" s="30" t="inlineStr">
        <is>
          <t>HFCL Ltd</t>
        </is>
      </c>
      <c r="E54" s="30" t="inlineStr">
        <is>
          <t>telecom</t>
        </is>
      </c>
      <c r="F54" s="30" t="inlineStr">
        <is>
          <t>Telecom Services</t>
        </is>
      </c>
      <c r="G54" s="30" t="inlineStr">
        <is>
          <t>largecap</t>
        </is>
      </c>
      <c r="H54" s="31" t="n">
        <v>30165.11</v>
      </c>
      <c r="I54" s="31" t="n">
        <v>197.08</v>
      </c>
      <c r="J54" s="31" t="n">
        <v>-1.17</v>
      </c>
      <c r="K54" s="31" t="n">
        <v>0</v>
      </c>
      <c r="L54" s="30" t="n">
        <v>98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92.38</v>
      </c>
      <c r="P54" s="31" t="n">
        <v>44.02</v>
      </c>
      <c r="Q54" s="31" t="n">
        <v>153.28</v>
      </c>
      <c r="R54" s="30" t="inlineStr">
        <is>
          <t>Near 52W High Breakout</t>
        </is>
      </c>
      <c r="S54" s="30" t="inlineStr">
        <is>
          <t>Nifty Infra</t>
        </is>
      </c>
      <c r="T54" s="31" t="n">
        <v>1.41</v>
      </c>
      <c r="U54" s="31" t="n">
        <v>115.89</v>
      </c>
      <c r="V54" s="31" t="n">
        <v>112.88</v>
      </c>
      <c r="W54" s="31" t="n">
        <v>68.45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Oligopoly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Negative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25</t>
        </is>
      </c>
      <c r="CG54" s="30">
        <f>IF(CF54&gt;20,10,IF(CF54&gt;=10,5,2))</f>
        <v/>
      </c>
    </row>
    <row r="55">
      <c r="A55" s="30">
        <f>IF(B55=0,"",RANK(B55,$B$2:$B$94,0))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SIS</t>
        </is>
      </c>
      <c r="D55" s="30" t="inlineStr">
        <is>
          <t>SIS Ltd</t>
        </is>
      </c>
      <c r="E55" s="30" t="inlineStr">
        <is>
          <t>miscellaneous</t>
        </is>
      </c>
      <c r="F55" s="30" t="inlineStr">
        <is>
          <t>Facility Management</t>
        </is>
      </c>
      <c r="G55" s="30" t="inlineStr">
        <is>
          <t>midcap</t>
        </is>
      </c>
      <c r="H55" s="31" t="n">
        <v>5990.91</v>
      </c>
      <c r="I55" s="31" t="n">
        <v>424</v>
      </c>
      <c r="J55" s="31" t="n">
        <v>1.1</v>
      </c>
      <c r="K55" s="31" t="n">
        <v>0</v>
      </c>
      <c r="L55" s="30" t="n">
        <v>48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76.44</v>
      </c>
      <c r="P55" s="31" t="n">
        <v>35.13</v>
      </c>
      <c r="Q55" s="31" t="n">
        <v>342.34</v>
      </c>
      <c r="R55" s="30" t="inlineStr">
        <is>
          <t>Volume Spike &amp; Near 52W High Breakout</t>
        </is>
      </c>
      <c r="S55" s="30" t="inlineStr">
        <is>
          <t>Nifty 50</t>
        </is>
      </c>
      <c r="T55" s="31" t="n">
        <v>-6.35</v>
      </c>
      <c r="U55" s="31" t="n">
        <v>16.94</v>
      </c>
      <c r="V55" s="31" t="n">
        <v>24.87</v>
      </c>
      <c r="W55" s="31" t="n">
        <v>13.14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Between 0.7 to 1.2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22</t>
        </is>
      </c>
      <c r="CG55" s="30">
        <f>IF(CF55&gt;20,10,IF(CF55&gt;=10,5,2))</f>
        <v/>
      </c>
    </row>
    <row r="56">
      <c r="A56" s="30">
        <f>IF(B56=0,"",RANK(B56,$B$2:$B$94,0))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3" t="inlineStr">
        <is>
          <t>UNIVCABLES</t>
        </is>
      </c>
      <c r="D56" s="33" t="inlineStr">
        <is>
          <t>Universal Cables Ltd</t>
        </is>
      </c>
      <c r="E56" s="30" t="inlineStr">
        <is>
          <t>industrials</t>
        </is>
      </c>
      <c r="F56" s="30" t="inlineStr">
        <is>
          <t>Cables - Power</t>
        </is>
      </c>
      <c r="G56" s="30" t="inlineStr">
        <is>
          <t>smallcap</t>
        </is>
      </c>
      <c r="H56" s="31" t="n">
        <v>4311.59</v>
      </c>
      <c r="I56" s="31" t="n">
        <v>1242.7</v>
      </c>
      <c r="J56" s="31" t="n">
        <v>4.44</v>
      </c>
      <c r="K56" s="31" t="n">
        <v>0</v>
      </c>
      <c r="L56" s="30" t="n">
        <v>90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70.31</v>
      </c>
      <c r="P56" s="31" t="n">
        <v>31.27</v>
      </c>
      <c r="Q56" s="31" t="n">
        <v>857.78</v>
      </c>
      <c r="R56" s="30" t="inlineStr">
        <is>
          <t>Volume Spike &amp; Near 52W High Breakout</t>
        </is>
      </c>
      <c r="S56" s="30" t="inlineStr">
        <is>
          <t>Nifty Energy</t>
        </is>
      </c>
      <c r="T56" s="31" t="n">
        <v>12.59</v>
      </c>
      <c r="U56" s="31" t="n">
        <v>104.14</v>
      </c>
      <c r="V56" s="31" t="n">
        <v>81.31999999999999</v>
      </c>
      <c r="W56" s="31" t="n">
        <v>37.14</v>
      </c>
      <c r="X56" s="30" t="inlineStr">
        <is>
          <t>Cyclical in an Upturn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Less than 12%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Less than 50%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20</t>
        </is>
      </c>
      <c r="CG56" s="30">
        <f>IF(CF56&gt;20,10,IF(CF56&gt;=10,5,2))</f>
        <v/>
      </c>
    </row>
    <row r="57">
      <c r="A57" s="30">
        <f>IF(B57=0,"",RANK(B57,$B$2:$B$94,0))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3" t="inlineStr">
        <is>
          <t>FIEMIND</t>
        </is>
      </c>
      <c r="D57" s="33" t="inlineStr">
        <is>
          <t>Fiem Industries Ltd</t>
        </is>
      </c>
      <c r="E57" s="30" t="inlineStr">
        <is>
          <t>auto</t>
        </is>
      </c>
      <c r="F57" s="30" t="inlineStr">
        <is>
          <t>Auto Ancillaries - 2&amp;3 Wheelers</t>
        </is>
      </c>
      <c r="G57" s="30" t="inlineStr">
        <is>
          <t>midcap</t>
        </is>
      </c>
      <c r="H57" s="31" t="n">
        <v>6142.48</v>
      </c>
      <c r="I57" s="31" t="n">
        <v>2333.8</v>
      </c>
      <c r="J57" s="31" t="n">
        <v>-0.5600000000000001</v>
      </c>
      <c r="K57" s="31" t="n">
        <v>0</v>
      </c>
      <c r="L57" s="30" t="n">
        <v>27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59.89</v>
      </c>
      <c r="P57" s="31" t="n">
        <v>14.14</v>
      </c>
      <c r="Q57" s="31" t="n">
        <v>1856.71</v>
      </c>
      <c r="R57" s="30" t="inlineStr">
        <is>
          <t>Volume Spike &amp; Near 52W High Breakout</t>
        </is>
      </c>
      <c r="S57" s="30" t="inlineStr">
        <is>
          <t>Nifty Auto</t>
        </is>
      </c>
      <c r="T57" s="31" t="n">
        <v>10.49</v>
      </c>
      <c r="U57" s="31" t="n">
        <v>25.94</v>
      </c>
      <c r="V57" s="31" t="n">
        <v>13.98</v>
      </c>
      <c r="W57" s="31" t="n">
        <v>7.27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0 to 20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Less than 50%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19</t>
        </is>
      </c>
      <c r="CG57" s="30">
        <f>IF(CF57&gt;20,10,IF(CF57&gt;=10,5,2))</f>
        <v/>
      </c>
    </row>
    <row r="58">
      <c r="A58" s="30">
        <f>IF(B58=0,"",RANK(B58,$B$2:$B$94,0))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APOLLO</t>
        </is>
      </c>
      <c r="D58" s="30" t="inlineStr">
        <is>
          <t>Apollo Micro Systems Ltd</t>
        </is>
      </c>
      <c r="E58" s="30" t="inlineStr">
        <is>
          <t>aerospace &amp; defence</t>
        </is>
      </c>
      <c r="F58" s="30" t="inlineStr">
        <is>
          <t>Aerospace &amp; Defence - Equipments</t>
        </is>
      </c>
      <c r="G58" s="30" t="inlineStr">
        <is>
          <t>midcap</t>
        </is>
      </c>
      <c r="H58" s="31" t="n">
        <v>14977.7</v>
      </c>
      <c r="I58" s="31" t="n">
        <v>419.2</v>
      </c>
      <c r="J58" s="31" t="n">
        <v>2.86</v>
      </c>
      <c r="K58" s="31" t="n">
        <v>0</v>
      </c>
      <c r="L58" s="30" t="n">
        <v>92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74.63</v>
      </c>
      <c r="P58" s="31" t="n">
        <v>30.38</v>
      </c>
      <c r="Q58" s="31" t="n">
        <v>299.35</v>
      </c>
      <c r="R58" s="30" t="inlineStr">
        <is>
          <t>Near 52W High Breakout</t>
        </is>
      </c>
      <c r="S58" s="30" t="inlineStr">
        <is>
          <t>Nifty 50</t>
        </is>
      </c>
      <c r="T58" s="31" t="n">
        <v>-6.35</v>
      </c>
      <c r="U58" s="31" t="n">
        <v>104.69</v>
      </c>
      <c r="V58" s="31" t="n">
        <v>118.55</v>
      </c>
      <c r="W58" s="31" t="n">
        <v>39.88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Oligopoly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Cyclical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B2C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Fully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Yes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Between 1.5 to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25</t>
        </is>
      </c>
      <c r="CG58" s="30">
        <f>IF(CF58&gt;20,10,IF(CF58&gt;=10,5,2))</f>
        <v/>
      </c>
    </row>
    <row r="59">
      <c r="A59" s="30">
        <f>IF(B59=0,"",RANK(B59,$B$2:$B$94,0))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SHILPAMED</t>
        </is>
      </c>
      <c r="D59" s="30" t="inlineStr">
        <is>
          <t>Shilpa Medicare Ltd</t>
        </is>
      </c>
      <c r="E59" s="30" t="inlineStr">
        <is>
          <t>healthcare</t>
        </is>
      </c>
      <c r="F59" s="30" t="inlineStr">
        <is>
          <t>Pharma - API &amp; CRAMS</t>
        </is>
      </c>
      <c r="G59" s="30" t="inlineStr">
        <is>
          <t>midcap</t>
        </is>
      </c>
      <c r="H59" s="31" t="n">
        <v>10283.69</v>
      </c>
      <c r="I59" s="31" t="n">
        <v>525.8</v>
      </c>
      <c r="J59" s="31" t="n">
        <v>2.02</v>
      </c>
      <c r="K59" s="31" t="n">
        <v>0</v>
      </c>
      <c r="L59" s="30" t="n">
        <v>62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77.72</v>
      </c>
      <c r="P59" s="31" t="n">
        <v>39.57</v>
      </c>
      <c r="Q59" s="31" t="n">
        <v>408.47</v>
      </c>
      <c r="R59" s="30" t="inlineStr">
        <is>
          <t>Volume Spike &amp; Near 52W High Breakout</t>
        </is>
      </c>
      <c r="S59" s="30" t="inlineStr">
        <is>
          <t>Nifty Pharma</t>
        </is>
      </c>
      <c r="T59" s="31" t="n">
        <v>11.5</v>
      </c>
      <c r="U59" s="31" t="n">
        <v>15.14</v>
      </c>
      <c r="V59" s="31" t="n">
        <v>3.26</v>
      </c>
      <c r="W59" s="31" t="n">
        <v>17.43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22</t>
        </is>
      </c>
      <c r="CG59" s="30">
        <f>IF(CF59&gt;20,10,IF(CF59&gt;=10,5,2))</f>
        <v/>
      </c>
    </row>
    <row r="60">
      <c r="A60" s="30">
        <f>IF(B60=0,"",RANK(B60,$B$2:$B$94,0))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SASKEN</t>
        </is>
      </c>
      <c r="D60" s="30" t="inlineStr">
        <is>
          <t>Sasken Technologies Ltd</t>
        </is>
      </c>
      <c r="E60" s="30" t="inlineStr">
        <is>
          <t>i.t</t>
        </is>
      </c>
      <c r="F60" s="30" t="inlineStr">
        <is>
          <t>IT - Software</t>
        </is>
      </c>
      <c r="G60" s="30" t="inlineStr">
        <is>
          <t>smallcap</t>
        </is>
      </c>
      <c r="H60" s="31" t="n">
        <v>3281.8</v>
      </c>
      <c r="I60" s="31" t="n">
        <v>2161</v>
      </c>
      <c r="J60" s="31" t="n">
        <v>-2.08</v>
      </c>
      <c r="K60" s="31" t="n">
        <v>0</v>
      </c>
      <c r="L60" s="30" t="n">
        <v>86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73.67</v>
      </c>
      <c r="P60" s="31" t="n">
        <v>27.93</v>
      </c>
      <c r="Q60" s="31" t="n">
        <v>1692.17</v>
      </c>
      <c r="R60" s="30" t="inlineStr">
        <is>
          <t>Near 52W High Breakout</t>
        </is>
      </c>
      <c r="S60" s="30" t="inlineStr">
        <is>
          <t>Nifty IT</t>
        </is>
      </c>
      <c r="T60" s="31" t="n">
        <v>-21.44</v>
      </c>
      <c r="U60" s="31" t="n">
        <v>50.43</v>
      </c>
      <c r="V60" s="31" t="n">
        <v>91.47</v>
      </c>
      <c r="W60" s="31" t="n">
        <v>32.53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Negative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22</t>
        </is>
      </c>
      <c r="CG60" s="30">
        <f>IF(CF60&gt;20,10,IF(CF60&gt;=10,5,2))</f>
        <v/>
      </c>
    </row>
    <row r="61">
      <c r="A61" s="30">
        <f>IF(B61=0,"",RANK(B61,$B$2:$B$94,0))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MINDACORP</t>
        </is>
      </c>
      <c r="D61" s="30" t="inlineStr">
        <is>
          <t>Minda Corporation Ltd</t>
        </is>
      </c>
      <c r="E61" s="30" t="inlineStr">
        <is>
          <t>auto</t>
        </is>
      </c>
      <c r="F61" s="30" t="inlineStr">
        <is>
          <t>Auto Ancillaries - Diversified</t>
        </is>
      </c>
      <c r="G61" s="30" t="inlineStr">
        <is>
          <t>midcap</t>
        </is>
      </c>
      <c r="H61" s="31" t="n">
        <v>15427.8</v>
      </c>
      <c r="I61" s="31" t="n">
        <v>645.3</v>
      </c>
      <c r="J61" s="31" t="n">
        <v>3.02</v>
      </c>
      <c r="K61" s="31" t="n">
        <v>0</v>
      </c>
      <c r="L61" s="30" t="n">
        <v>32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65.79000000000001</v>
      </c>
      <c r="P61" s="31" t="n">
        <v>19.59</v>
      </c>
      <c r="Q61" s="31" t="n">
        <v>512.51</v>
      </c>
      <c r="R61" s="30" t="inlineStr">
        <is>
          <t>Near 52W High Breakout</t>
        </is>
      </c>
      <c r="S61" s="30" t="inlineStr">
        <is>
          <t>Nifty Auto</t>
        </is>
      </c>
      <c r="T61" s="31" t="n">
        <v>10.49</v>
      </c>
      <c r="U61" s="31" t="n">
        <v>15.55</v>
      </c>
      <c r="V61" s="31" t="n">
        <v>4.58</v>
      </c>
      <c r="W61" s="31" t="n">
        <v>8.630000000000001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0 to 20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28</t>
        </is>
      </c>
      <c r="CG61" s="30">
        <f>IF(CF61&gt;20,10,IF(CF61&gt;=10,5,2))</f>
        <v/>
      </c>
    </row>
    <row r="62">
      <c r="A62" s="30">
        <f>IF(B62=0,"",RANK(B62,$B$2:$B$94,0))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JNKINDIA</t>
        </is>
      </c>
      <c r="D62" s="30" t="inlineStr">
        <is>
          <t>JNK India Ltd</t>
        </is>
      </c>
      <c r="E62" s="30" t="inlineStr">
        <is>
          <t>realty</t>
        </is>
      </c>
      <c r="F62" s="30" t="inlineStr">
        <is>
          <t>Capital Goods - Engineering Heavy</t>
        </is>
      </c>
      <c r="G62" s="30" t="inlineStr">
        <is>
          <t>smallcap</t>
        </is>
      </c>
      <c r="H62" s="31" t="n">
        <v>2359.02</v>
      </c>
      <c r="I62" s="31" t="n">
        <v>421.6</v>
      </c>
      <c r="J62" s="31" t="n">
        <v>9.99</v>
      </c>
      <c r="K62" s="31" t="n">
        <v>0</v>
      </c>
      <c r="L62" s="30" t="n">
        <v>81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70.81</v>
      </c>
      <c r="P62" s="31" t="n">
        <v>24.85</v>
      </c>
      <c r="Q62" s="31" t="n">
        <v>294.18</v>
      </c>
      <c r="R62" s="30" t="inlineStr">
        <is>
          <t>Near 52W High Breakout</t>
        </is>
      </c>
      <c r="S62" s="30" t="inlineStr">
        <is>
          <t>Nifty Realty</t>
        </is>
      </c>
      <c r="T62" s="31" t="n">
        <v>-26.45</v>
      </c>
      <c r="U62" s="31" t="n">
        <v>22.06</v>
      </c>
      <c r="V62" s="31" t="n">
        <v>65.95999999999999</v>
      </c>
      <c r="W62" s="31" t="n">
        <v>26.08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Negative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26</t>
        </is>
      </c>
      <c r="CG62" s="30">
        <f>IF(CF62&gt;20,10,IF(CF62&gt;=10,5,2))</f>
        <v/>
      </c>
    </row>
    <row r="63">
      <c r="A63" s="30">
        <f>IF(B63=0,"",RANK(B63,$B$2:$B$94,0))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HONASA</t>
        </is>
      </c>
      <c r="D63" s="30" t="inlineStr">
        <is>
          <t>Honasa Consumer Ltd</t>
        </is>
      </c>
      <c r="E63" s="30" t="inlineStr">
        <is>
          <t>services</t>
        </is>
      </c>
      <c r="F63" s="30" t="inlineStr">
        <is>
          <t>New age - Platform - E-Retail</t>
        </is>
      </c>
      <c r="G63" s="30" t="inlineStr">
        <is>
          <t>midcap</t>
        </is>
      </c>
      <c r="H63" s="31" t="n">
        <v>13569.55</v>
      </c>
      <c r="I63" s="31" t="n">
        <v>417.05</v>
      </c>
      <c r="J63" s="31" t="n">
        <v>3.72</v>
      </c>
      <c r="K63" s="31" t="n">
        <v>0</v>
      </c>
      <c r="L63" s="30" t="n">
        <v>57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76.51000000000001</v>
      </c>
      <c r="P63" s="31" t="n">
        <v>27.04</v>
      </c>
      <c r="Q63" s="31" t="n">
        <v>336.05</v>
      </c>
      <c r="R63" s="30" t="inlineStr">
        <is>
          <t>Near 52W High Breakout</t>
        </is>
      </c>
      <c r="S63" s="30" t="inlineStr">
        <is>
          <t>Nifty 50</t>
        </is>
      </c>
      <c r="T63" s="31" t="n">
        <v>-6.35</v>
      </c>
      <c r="U63" s="31" t="n">
        <v>30.33</v>
      </c>
      <c r="V63" s="31" t="n">
        <v>39.16</v>
      </c>
      <c r="W63" s="31" t="n">
        <v>15.6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B2C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Between 50% to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22</t>
        </is>
      </c>
      <c r="CG63" s="30">
        <f>IF(CF63&gt;20,10,IF(CF63&gt;=10,5,2))</f>
        <v/>
      </c>
    </row>
    <row r="64">
      <c r="A64" s="30">
        <f>IF(B64=0,"",RANK(B64,$B$2:$B$94,0))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CRAFTSMAN</t>
        </is>
      </c>
      <c r="D64" s="30" t="inlineStr">
        <is>
          <t>Craftsman Automation Ltd</t>
        </is>
      </c>
      <c r="E64" s="30" t="inlineStr">
        <is>
          <t>auto</t>
        </is>
      </c>
      <c r="F64" s="30" t="inlineStr">
        <is>
          <t>Auto &amp; Auto Ancl - CV</t>
        </is>
      </c>
      <c r="G64" s="30" t="inlineStr">
        <is>
          <t>largecap</t>
        </is>
      </c>
      <c r="H64" s="31" t="n">
        <v>21885.11</v>
      </c>
      <c r="I64" s="31" t="n">
        <v>9174</v>
      </c>
      <c r="J64" s="31" t="n">
        <v>3.1</v>
      </c>
      <c r="K64" s="31" t="n">
        <v>0</v>
      </c>
      <c r="L64" s="30" t="n">
        <v>56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67.40000000000001</v>
      </c>
      <c r="P64" s="31" t="n">
        <v>29.55</v>
      </c>
      <c r="Q64" s="31" t="n">
        <v>7121.13</v>
      </c>
      <c r="R64" s="30" t="inlineStr">
        <is>
          <t>Near 52W High Breakout</t>
        </is>
      </c>
      <c r="S64" s="30" t="inlineStr">
        <is>
          <t>Nifty Auto</t>
        </is>
      </c>
      <c r="T64" s="31" t="n">
        <v>10.49</v>
      </c>
      <c r="U64" s="31" t="n">
        <v>63.83</v>
      </c>
      <c r="V64" s="31" t="n">
        <v>48.27</v>
      </c>
      <c r="W64" s="31" t="n">
        <v>15.43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Less than 50% and Borrowings are increasing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Between 0.7 to 1.2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20</t>
        </is>
      </c>
      <c r="CG64" s="30">
        <f>IF(CF64&gt;20,10,IF(CF64&gt;=10,5,2))</f>
        <v/>
      </c>
    </row>
    <row r="65">
      <c r="A65" s="30">
        <f>IF(B65=0,"",RANK(B65,$B$2:$B$94,0))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IDEAFORGE</t>
        </is>
      </c>
      <c r="D65" s="30" t="inlineStr">
        <is>
          <t>Ideaforge Technology Ltd</t>
        </is>
      </c>
      <c r="E65" s="30" t="inlineStr">
        <is>
          <t>aerospace &amp; defence</t>
        </is>
      </c>
      <c r="F65" s="30" t="inlineStr">
        <is>
          <t>Aerospace &amp; Defence - Equipments</t>
        </is>
      </c>
      <c r="G65" s="30" t="inlineStr">
        <is>
          <t>smallcap</t>
        </is>
      </c>
      <c r="H65" s="31" t="n">
        <v>3905</v>
      </c>
      <c r="I65" s="31" t="n">
        <v>900</v>
      </c>
      <c r="J65" s="31" t="n">
        <v>5</v>
      </c>
      <c r="K65" s="31" t="n">
        <v>0</v>
      </c>
      <c r="L65" s="30" t="n">
        <v>90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79.23999999999999</v>
      </c>
      <c r="P65" s="31" t="n">
        <v>36.89</v>
      </c>
      <c r="Q65" s="31" t="n">
        <v>646.9299999999999</v>
      </c>
      <c r="R65" s="30" t="inlineStr">
        <is>
          <t>Near 52W High Breakout</t>
        </is>
      </c>
      <c r="S65" s="30" t="inlineStr">
        <is>
          <t>Nifty Infra</t>
        </is>
      </c>
      <c r="T65" s="31" t="n">
        <v>1.41</v>
      </c>
      <c r="U65" s="31" t="n">
        <v>52.19</v>
      </c>
      <c r="V65" s="31" t="n">
        <v>50.08</v>
      </c>
      <c r="W65" s="31" t="n">
        <v>36.13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Negative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19</t>
        </is>
      </c>
      <c r="CG65" s="30">
        <f>IF(CF65&gt;20,10,IF(CF65&gt;=10,5,2))</f>
        <v/>
      </c>
    </row>
    <row r="66">
      <c r="A66" s="30">
        <f>IF(B66=0,"",RANK(B66,$B$2:$B$94,0))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3" t="inlineStr">
        <is>
          <t>WOCKPHARMA</t>
        </is>
      </c>
      <c r="D66" s="33" t="inlineStr">
        <is>
          <t>Wockhardt Ltd</t>
        </is>
      </c>
      <c r="E66" s="30" t="inlineStr">
        <is>
          <t>healthcare</t>
        </is>
      </c>
      <c r="F66" s="30" t="inlineStr">
        <is>
          <t>Pharma - Formulators</t>
        </is>
      </c>
      <c r="G66" s="30" t="inlineStr">
        <is>
          <t>largecap</t>
        </is>
      </c>
      <c r="H66" s="31" t="n">
        <v>33683</v>
      </c>
      <c r="I66" s="31" t="n">
        <v>2072.9</v>
      </c>
      <c r="J66" s="31" t="n">
        <v>-0.05</v>
      </c>
      <c r="K66" s="31" t="n">
        <v>0</v>
      </c>
      <c r="L66" s="30" t="n">
        <v>70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78.19</v>
      </c>
      <c r="P66" s="31" t="n">
        <v>27.69</v>
      </c>
      <c r="Q66" s="31" t="n">
        <v>1508.63</v>
      </c>
      <c r="R66" s="30" t="inlineStr">
        <is>
          <t>Volume Spike &amp; Near 52W High Breakout</t>
        </is>
      </c>
      <c r="S66" s="30" t="inlineStr">
        <is>
          <t>Nifty Pharma</t>
        </is>
      </c>
      <c r="T66" s="31" t="n">
        <v>11.5</v>
      </c>
      <c r="U66" s="31" t="n">
        <v>37.7</v>
      </c>
      <c r="V66" s="31" t="n">
        <v>23.5</v>
      </c>
      <c r="W66" s="31" t="n">
        <v>20.95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Annuity, Lower One Time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Between 50% to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20</t>
        </is>
      </c>
      <c r="CG66" s="30">
        <f>IF(CF66&gt;20,10,IF(CF66&gt;=10,5,2))</f>
        <v/>
      </c>
    </row>
    <row r="67">
      <c r="A67" s="30">
        <f>IF(B67=0,"",RANK(B67,$B$2:$B$94,0))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CUPID</t>
        </is>
      </c>
      <c r="D67" s="30" t="inlineStr">
        <is>
          <t>Cupid Ltd</t>
        </is>
      </c>
      <c r="E67" s="30" t="inlineStr">
        <is>
          <t>fmcg</t>
        </is>
      </c>
      <c r="F67" s="30" t="inlineStr">
        <is>
          <t>Contraceptives/Protectives</t>
        </is>
      </c>
      <c r="G67" s="30" t="inlineStr">
        <is>
          <t>midcap</t>
        </is>
      </c>
      <c r="H67" s="31" t="n">
        <v>17896.09</v>
      </c>
      <c r="I67" s="31" t="n">
        <v>133.09</v>
      </c>
      <c r="J67" s="31" t="n">
        <v>2.53</v>
      </c>
      <c r="K67" s="31" t="n">
        <v>0</v>
      </c>
      <c r="L67" s="30" t="n">
        <v>98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75</v>
      </c>
      <c r="P67" s="31" t="n">
        <v>40.55</v>
      </c>
      <c r="Q67" s="31" t="n">
        <v>101.22</v>
      </c>
      <c r="R67" s="30" t="inlineStr">
        <is>
          <t>Near 52W High Breakout</t>
        </is>
      </c>
      <c r="S67" s="30" t="inlineStr">
        <is>
          <t>Nifty FMCG</t>
        </is>
      </c>
      <c r="T67" s="31" t="n">
        <v>-13.6</v>
      </c>
      <c r="U67" s="31" t="n">
        <v>516.16</v>
      </c>
      <c r="V67" s="31" t="n">
        <v>613.11</v>
      </c>
      <c r="W67" s="31" t="n">
        <v>62.33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B2C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Annuity, Lower One Time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Negative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Less than 50%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20</t>
        </is>
      </c>
      <c r="CG67" s="30">
        <f>IF(CF67&gt;20,10,IF(CF67&gt;=10,5,2))</f>
        <v/>
      </c>
    </row>
    <row r="68">
      <c r="A68" s="30">
        <f>IF(B68=0,"",RANK(B68,$B$2:$B$94,0))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SKYGOLD</t>
        </is>
      </c>
      <c r="D68" s="30" t="inlineStr">
        <is>
          <t>Sky Gold &amp; Diamonds Ltd</t>
        </is>
      </c>
      <c r="E68" s="30" t="inlineStr">
        <is>
          <t>consumer discretionary</t>
        </is>
      </c>
      <c r="F68" s="30" t="inlineStr">
        <is>
          <t>Diamond, Gems &amp; Jewellery</t>
        </is>
      </c>
      <c r="G68" s="30" t="inlineStr">
        <is>
          <t>midcap</t>
        </is>
      </c>
      <c r="H68" s="31" t="n">
        <v>8849.49</v>
      </c>
      <c r="I68" s="31" t="n">
        <v>571.4</v>
      </c>
      <c r="J68" s="31" t="n">
        <v>1.45</v>
      </c>
      <c r="K68" s="31" t="n">
        <v>0</v>
      </c>
      <c r="L68" s="30" t="n">
        <v>82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70.23</v>
      </c>
      <c r="P68" s="31" t="n">
        <v>31.29</v>
      </c>
      <c r="Q68" s="31" t="n">
        <v>414.5</v>
      </c>
      <c r="R68" s="30" t="inlineStr">
        <is>
          <t>Near 52W High Breakout</t>
        </is>
      </c>
      <c r="S68" s="30" t="inlineStr">
        <is>
          <t>Nifty 50</t>
        </is>
      </c>
      <c r="T68" s="31" t="n">
        <v>-6.35</v>
      </c>
      <c r="U68" s="31" t="n">
        <v>51.4</v>
      </c>
      <c r="V68" s="31" t="n">
        <v>61.66</v>
      </c>
      <c r="W68" s="31" t="n">
        <v>26.5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Negative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Between 0.7 to 1.2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30</t>
        </is>
      </c>
      <c r="CG68" s="30">
        <f>IF(CF68&gt;20,10,IF(CF68&gt;=10,5,2))</f>
        <v/>
      </c>
    </row>
    <row r="69">
      <c r="A69" s="30">
        <f>IF(B69=0,"",RANK(B69,$B$2:$B$94,0))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FCL</t>
        </is>
      </c>
      <c r="D69" s="30" t="inlineStr">
        <is>
          <t>Fineotex Chemical Ltd</t>
        </is>
      </c>
      <c r="E69" s="30" t="inlineStr">
        <is>
          <t>chemicals</t>
        </is>
      </c>
      <c r="F69" s="30" t="inlineStr">
        <is>
          <t>Speciality Chemicals</t>
        </is>
      </c>
      <c r="G69" s="30" t="inlineStr">
        <is>
          <t>smallcap</t>
        </is>
      </c>
      <c r="H69" s="31" t="n">
        <v>4777.95</v>
      </c>
      <c r="I69" s="31" t="n">
        <v>41.03</v>
      </c>
      <c r="J69" s="31" t="n">
        <v>-5.76</v>
      </c>
      <c r="K69" s="31" t="n">
        <v>0</v>
      </c>
      <c r="L69" s="30" t="n">
        <v>86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76.93000000000001</v>
      </c>
      <c r="P69" s="31" t="n">
        <v>27.71</v>
      </c>
      <c r="Q69" s="31" t="n">
        <v>30.55</v>
      </c>
      <c r="R69" s="30" t="inlineStr">
        <is>
          <t>Near 52W High Breakout</t>
        </is>
      </c>
      <c r="S69" s="30" t="inlineStr">
        <is>
          <t>Nifty IT</t>
        </is>
      </c>
      <c r="T69" s="31" t="n">
        <v>-21.44</v>
      </c>
      <c r="U69" s="31" t="n">
        <v>62.23</v>
      </c>
      <c r="V69" s="31" t="n">
        <v>106.5</v>
      </c>
      <c r="W69" s="31" t="n">
        <v>32.35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Negative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27</t>
        </is>
      </c>
      <c r="CG69" s="30">
        <f>IF(CF69&gt;20,10,IF(CF69&gt;=10,5,2))</f>
        <v/>
      </c>
    </row>
    <row r="70">
      <c r="A70" s="30">
        <f>IF(B70=0,"",RANK(B70,$B$2:$B$94,0))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SANDHAR</t>
        </is>
      </c>
      <c r="D70" s="30" t="inlineStr">
        <is>
          <t>Sandhar Technologies Limited</t>
        </is>
      </c>
      <c r="E70" s="30" t="inlineStr">
        <is>
          <t>auto</t>
        </is>
      </c>
      <c r="F70" s="30" t="inlineStr">
        <is>
          <t>Auto Ancillaries - 2&amp;3 Wheelers</t>
        </is>
      </c>
      <c r="G70" s="30" t="inlineStr">
        <is>
          <t>smallcap</t>
        </is>
      </c>
      <c r="H70" s="31" t="n">
        <v>4284.07</v>
      </c>
      <c r="I70" s="31" t="n">
        <v>711.75</v>
      </c>
      <c r="J70" s="31" t="n">
        <v>-0.9</v>
      </c>
      <c r="K70" s="31" t="n">
        <v>0</v>
      </c>
      <c r="L70" s="30" t="n">
        <v>61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71.94</v>
      </c>
      <c r="P70" s="31" t="n">
        <v>15.64</v>
      </c>
      <c r="Q70" s="31" t="n">
        <v>531.71</v>
      </c>
      <c r="R70" s="30" t="inlineStr">
        <is>
          <t>Near 52W High Breakout</t>
        </is>
      </c>
      <c r="S70" s="30" t="inlineStr">
        <is>
          <t>Nifty Auto</t>
        </is>
      </c>
      <c r="T70" s="31" t="n">
        <v>10.49</v>
      </c>
      <c r="U70" s="31" t="n">
        <v>39.73</v>
      </c>
      <c r="V70" s="31" t="n">
        <v>26.46</v>
      </c>
      <c r="W70" s="31" t="n">
        <v>17.29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0 to 20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Less than 50%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Between 0.7 to 1.2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24</t>
        </is>
      </c>
      <c r="CG70" s="30">
        <f>IF(CF70&gt;20,10,IF(CF70&gt;=10,5,2))</f>
        <v/>
      </c>
    </row>
    <row r="71">
      <c r="A71" s="30">
        <f>IF(B71=0,"",RANK(B71,$B$2:$B$94,0))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PTCIL</t>
        </is>
      </c>
      <c r="D71" s="30" t="inlineStr">
        <is>
          <t>PTC Industries Ltd</t>
        </is>
      </c>
      <c r="E71" s="30" t="inlineStr">
        <is>
          <t>industrials</t>
        </is>
      </c>
      <c r="F71" s="30" t="inlineStr">
        <is>
          <t>Castings - Steel/Alloy</t>
        </is>
      </c>
      <c r="G71" s="30" t="inlineStr">
        <is>
          <t>largecap</t>
        </is>
      </c>
      <c r="H71" s="31" t="n">
        <v>28018.08</v>
      </c>
      <c r="I71" s="31" t="n">
        <v>18688</v>
      </c>
      <c r="J71" s="31" t="n">
        <v>-1.22</v>
      </c>
      <c r="K71" s="31" t="n">
        <v>0</v>
      </c>
      <c r="L71" s="30" t="n">
        <v>28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61.16</v>
      </c>
      <c r="P71" s="31" t="n">
        <v>12.32</v>
      </c>
      <c r="Q71" s="31" t="n">
        <v>14562.58</v>
      </c>
      <c r="R71" s="30" t="inlineStr">
        <is>
          <t>Volume Spike &amp; Near 52W High Breakout</t>
        </is>
      </c>
      <c r="S71" s="30" t="inlineStr">
        <is>
          <t>Nifty 50</t>
        </is>
      </c>
      <c r="T71" s="31" t="n">
        <v>-6.35</v>
      </c>
      <c r="U71" s="31" t="n">
        <v>27.96</v>
      </c>
      <c r="V71" s="31" t="n">
        <v>36.63</v>
      </c>
      <c r="W71" s="31" t="n">
        <v>7.29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24</t>
        </is>
      </c>
      <c r="CG71" s="30">
        <f>IF(CF71&gt;20,10,IF(CF71&gt;=10,5,2))</f>
        <v/>
      </c>
    </row>
    <row r="72">
      <c r="A72" s="30">
        <f>IF(B72=0,"",RANK(B72,$B$2:$B$94,0))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RRKABEL</t>
        </is>
      </c>
      <c r="D72" s="30" t="inlineStr">
        <is>
          <t>R R Kabel Ltd</t>
        </is>
      </c>
      <c r="E72" s="30" t="inlineStr">
        <is>
          <t>industrials</t>
        </is>
      </c>
      <c r="F72" s="30" t="inlineStr">
        <is>
          <t>Cables - Power</t>
        </is>
      </c>
      <c r="G72" s="30" t="inlineStr">
        <is>
          <t>largecap</t>
        </is>
      </c>
      <c r="H72" s="31" t="n">
        <v>25143.35</v>
      </c>
      <c r="I72" s="31" t="n">
        <v>2223</v>
      </c>
      <c r="J72" s="31" t="n">
        <v>3.11</v>
      </c>
      <c r="K72" s="31" t="n">
        <v>0</v>
      </c>
      <c r="L72" s="30" t="n">
        <v>69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78.59</v>
      </c>
      <c r="P72" s="31" t="n">
        <v>32.21</v>
      </c>
      <c r="Q72" s="31" t="n">
        <v>1757.72</v>
      </c>
      <c r="R72" s="30" t="inlineStr">
        <is>
          <t>Near 52W High Breakout</t>
        </is>
      </c>
      <c r="S72" s="30" t="inlineStr">
        <is>
          <t>Nifty Energy</t>
        </is>
      </c>
      <c r="T72" s="31" t="n">
        <v>12.59</v>
      </c>
      <c r="U72" s="31" t="n">
        <v>58.1</v>
      </c>
      <c r="V72" s="31" t="n">
        <v>40.43</v>
      </c>
      <c r="W72" s="31" t="n">
        <v>20.38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Between 1.5 to 2</t>
        </is>
      </c>
      <c r="BU72" s="30">
        <f>IF(BT72="Above 2",0,IF(BT72="Between 1.5 to 2",5,IF(BT72="Less than 1.5",10,0)))</f>
        <v/>
      </c>
      <c r="BV72" s="30" t="inlineStr">
        <is>
          <t>Less than 50%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22</t>
        </is>
      </c>
      <c r="CG72" s="30">
        <f>IF(CF72&gt;20,10,IF(CF72&gt;=10,5,2))</f>
        <v/>
      </c>
    </row>
    <row r="73">
      <c r="A73" s="30">
        <f>IF(B73=0,"",RANK(B73,$B$2:$B$94,0))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RAIN</t>
        </is>
      </c>
      <c r="D73" s="30" t="inlineStr">
        <is>
          <t>Rain Industries Ltd</t>
        </is>
      </c>
      <c r="E73" s="30" t="inlineStr">
        <is>
          <t>miscellaneous</t>
        </is>
      </c>
      <c r="F73" s="30" t="inlineStr">
        <is>
          <t>Cement</t>
        </is>
      </c>
      <c r="G73" s="30" t="inlineStr">
        <is>
          <t>midcap</t>
        </is>
      </c>
      <c r="H73" s="31" t="n">
        <v>6575.89</v>
      </c>
      <c r="I73" s="31" t="n">
        <v>195.51</v>
      </c>
      <c r="J73" s="31" t="n">
        <v>-2.47</v>
      </c>
      <c r="K73" s="31" t="n">
        <v>0</v>
      </c>
      <c r="L73" s="30" t="n">
        <v>66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72.17</v>
      </c>
      <c r="P73" s="31" t="n">
        <v>18.85</v>
      </c>
      <c r="Q73" s="31" t="n">
        <v>145.4</v>
      </c>
      <c r="R73" s="30" t="inlineStr">
        <is>
          <t>Near 52W High Breakout</t>
        </is>
      </c>
      <c r="S73" s="30" t="inlineStr">
        <is>
          <t>Nifty 50</t>
        </is>
      </c>
      <c r="T73" s="31" t="n">
        <v>-6.35</v>
      </c>
      <c r="U73" s="31" t="n">
        <v>34.46</v>
      </c>
      <c r="V73" s="31" t="n">
        <v>43.57</v>
      </c>
      <c r="W73" s="31" t="n">
        <v>18.4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0 to 20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More than 1.2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22</t>
        </is>
      </c>
      <c r="CG73" s="30">
        <f>IF(CF73&gt;20,10,IF(CF73&gt;=10,5,2))</f>
        <v/>
      </c>
    </row>
    <row r="74">
      <c r="A74" s="30">
        <f>IF(B74=0,"",RANK(B74,$B$2:$B$94,0))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PREMIERENE</t>
        </is>
      </c>
      <c r="D74" s="30" t="inlineStr">
        <is>
          <t>Premier Energies Ltd</t>
        </is>
      </c>
      <c r="E74" s="30" t="inlineStr">
        <is>
          <t>services</t>
        </is>
      </c>
      <c r="F74" s="30" t="inlineStr">
        <is>
          <t>Capital Goods - Solar</t>
        </is>
      </c>
      <c r="G74" s="30" t="inlineStr">
        <is>
          <t>largecap</t>
        </is>
      </c>
      <c r="H74" s="31" t="n">
        <v>48926.89</v>
      </c>
      <c r="I74" s="31" t="n">
        <v>1077.8</v>
      </c>
      <c r="J74" s="31" t="n">
        <v>-1.03</v>
      </c>
      <c r="K74" s="31" t="n">
        <v>0</v>
      </c>
      <c r="L74" s="30" t="n">
        <v>48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65.27</v>
      </c>
      <c r="P74" s="31" t="n">
        <v>18.66</v>
      </c>
      <c r="Q74" s="31" t="n">
        <v>847.63</v>
      </c>
      <c r="R74" s="30" t="inlineStr">
        <is>
          <t>Near 52W High Breakout</t>
        </is>
      </c>
      <c r="S74" s="30" t="inlineStr">
        <is>
          <t>Nifty 500</t>
        </is>
      </c>
      <c r="T74" s="31" t="n">
        <v>-2.88</v>
      </c>
      <c r="U74" s="31" t="n">
        <v>2.44</v>
      </c>
      <c r="V74" s="31" t="n">
        <v>5.48</v>
      </c>
      <c r="W74" s="31" t="n">
        <v>12.7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0 to 20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Between 50% to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Between 0.7 to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20</t>
        </is>
      </c>
      <c r="CG74" s="30">
        <f>IF(CF74&gt;20,10,IF(CF74&gt;=10,5,2))</f>
        <v/>
      </c>
    </row>
    <row r="75">
      <c r="A75" s="30">
        <f>IF(B75=0,"",RANK(B75,$B$2:$B$94,0))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3" t="inlineStr">
        <is>
          <t>SANGHVIMOV</t>
        </is>
      </c>
      <c r="D75" s="33" t="inlineStr">
        <is>
          <t>Sanghvi Movers Ltd</t>
        </is>
      </c>
      <c r="E75" s="30" t="inlineStr">
        <is>
          <t>miscellaneous</t>
        </is>
      </c>
      <c r="F75" s="30" t="inlineStr">
        <is>
          <t>Capital Goods - EPC/Cranes</t>
        </is>
      </c>
      <c r="G75" s="30" t="inlineStr">
        <is>
          <t>smallcap</t>
        </is>
      </c>
      <c r="H75" s="31" t="n">
        <v>3175.17</v>
      </c>
      <c r="I75" s="31" t="n">
        <v>366.75</v>
      </c>
      <c r="J75" s="31" t="n">
        <v>2.07</v>
      </c>
      <c r="K75" s="31" t="n">
        <v>0</v>
      </c>
      <c r="L75" s="30" t="n">
        <v>60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61.21</v>
      </c>
      <c r="P75" s="31" t="n">
        <v>18.61</v>
      </c>
      <c r="Q75" s="31" t="n">
        <v>257.57</v>
      </c>
      <c r="R75" s="30" t="inlineStr">
        <is>
          <t>Earnings / Momentum Support</t>
        </is>
      </c>
      <c r="S75" s="30" t="inlineStr">
        <is>
          <t>Nifty 50</t>
        </is>
      </c>
      <c r="T75" s="31" t="n">
        <v>-6.35</v>
      </c>
      <c r="U75" s="31" t="n">
        <v>24.22</v>
      </c>
      <c r="V75" s="31" t="n">
        <v>32.63</v>
      </c>
      <c r="W75" s="31" t="n">
        <v>16.81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0 to 20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Between 50% to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19</t>
        </is>
      </c>
      <c r="CG75" s="30">
        <f>IF(CF75&gt;20,10,IF(CF75&gt;=10,5,2))</f>
        <v/>
      </c>
    </row>
    <row r="76">
      <c r="A76" s="30">
        <f>IF(B76=0,"",RANK(B76,$B$2:$B$94,0))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ROBU</t>
        </is>
      </c>
      <c r="D76" s="30" t="inlineStr">
        <is>
          <t>Macfos Ltd</t>
        </is>
      </c>
      <c r="E76" s="30" t="inlineStr">
        <is>
          <t>Technology</t>
        </is>
      </c>
      <c r="F76" s="30" t="inlineStr">
        <is>
          <t>E-Commerce - Platform - Utility</t>
        </is>
      </c>
      <c r="G76" s="30" t="inlineStr">
        <is>
          <t>smallcap</t>
        </is>
      </c>
      <c r="H76" s="31" t="n">
        <v>1323.76</v>
      </c>
      <c r="I76" s="31" t="n">
        <v>1277.95</v>
      </c>
      <c r="J76" s="31" t="n">
        <v>12.28</v>
      </c>
      <c r="K76" s="31" t="n">
        <v>0</v>
      </c>
      <c r="L76" s="30" t="n">
        <v>79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82.20999999999999</v>
      </c>
      <c r="P76" s="31" t="n">
        <v>67.84999999999999</v>
      </c>
      <c r="Q76" s="31" t="n">
        <v>984.85</v>
      </c>
      <c r="R76" s="30" t="inlineStr">
        <is>
          <t>Near 52W High Breakout</t>
        </is>
      </c>
      <c r="S76" s="30" t="inlineStr">
        <is>
          <t>Nifty 50</t>
        </is>
      </c>
      <c r="T76" s="31" t="n">
        <v>-6.35</v>
      </c>
      <c r="U76" s="31" t="n">
        <v>83.72</v>
      </c>
      <c r="V76" s="31" t="n">
        <v>96.17</v>
      </c>
      <c r="W76" s="31" t="n">
        <v>25.02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Oligopoly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Yes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Annuity, Lower One Time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Negative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20</t>
        </is>
      </c>
      <c r="CG76" s="30">
        <f>IF(CF76&gt;20,10,IF(CF76&gt;=10,5,2))</f>
        <v/>
      </c>
    </row>
    <row r="77">
      <c r="A77" s="30">
        <f>IF(B77=0,"",RANK(B77,$B$2:$B$94,0))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SENORES</t>
        </is>
      </c>
      <c r="D77" s="30" t="inlineStr">
        <is>
          <t>Senores Pharmaceuticals Ltd</t>
        </is>
      </c>
      <c r="E77" s="30" t="inlineStr">
        <is>
          <t>Healthcare</t>
        </is>
      </c>
      <c r="F77" s="30" t="inlineStr">
        <is>
          <t>Pharma - API</t>
        </is>
      </c>
      <c r="G77" s="30" t="inlineStr">
        <is>
          <t>smallcap</t>
        </is>
      </c>
      <c r="H77" s="31" t="n">
        <v>4809.84</v>
      </c>
      <c r="I77" s="31" t="n">
        <v>1044.4</v>
      </c>
      <c r="J77" s="31" t="n">
        <v>-0.07000000000000001</v>
      </c>
      <c r="K77" s="31" t="n">
        <v>0</v>
      </c>
      <c r="L77" s="30" t="n">
        <v>74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67</v>
      </c>
      <c r="P77" s="31" t="n">
        <v>36.77</v>
      </c>
      <c r="Q77" s="31" t="n">
        <v>868.1799999999999</v>
      </c>
      <c r="R77" s="30" t="inlineStr">
        <is>
          <t>Earnings / Momentum Support</t>
        </is>
      </c>
      <c r="S77" s="30" t="inlineStr">
        <is>
          <t>Nifty Pharma</t>
        </is>
      </c>
      <c r="T77" s="31" t="n">
        <v>11.5</v>
      </c>
      <c r="U77" s="31" t="n">
        <v>95.98</v>
      </c>
      <c r="V77" s="31" t="n">
        <v>75.77</v>
      </c>
      <c r="W77" s="31" t="n">
        <v>23.54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Annuity, Lower One Time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Less than 50%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20</t>
        </is>
      </c>
      <c r="CG77" s="30">
        <f>IF(CF77&gt;20,10,IF(CF77&gt;=10,5,2))</f>
        <v/>
      </c>
    </row>
    <row r="78">
      <c r="A78" s="30">
        <f>IF(B78=0,"",RANK(B78,$B$2:$B$94,0))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3" t="inlineStr">
        <is>
          <t>SOTL</t>
        </is>
      </c>
      <c r="D78" s="33" t="inlineStr">
        <is>
          <t>Savita Oil Technologies Ltd</t>
        </is>
      </c>
      <c r="E78" s="30" t="inlineStr">
        <is>
          <t>energy</t>
        </is>
      </c>
      <c r="F78" s="30" t="inlineStr">
        <is>
          <t>Petrochem - Others</t>
        </is>
      </c>
      <c r="G78" s="30" t="inlineStr">
        <is>
          <t>smallcap</t>
        </is>
      </c>
      <c r="H78" s="31" t="n">
        <v>3868.86</v>
      </c>
      <c r="I78" s="31" t="n">
        <v>564.3</v>
      </c>
      <c r="J78" s="31" t="n">
        <v>9.66</v>
      </c>
      <c r="K78" s="31" t="n">
        <v>0</v>
      </c>
      <c r="L78" s="30" t="n">
        <v>69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74.87</v>
      </c>
      <c r="P78" s="31" t="n">
        <v>23.58</v>
      </c>
      <c r="Q78" s="31" t="n">
        <v>426.03</v>
      </c>
      <c r="R78" s="30" t="inlineStr">
        <is>
          <t>Volume Spike &amp; Near 52W High Breakout</t>
        </is>
      </c>
      <c r="S78" s="30" t="inlineStr">
        <is>
          <t>Nifty Energy</t>
        </is>
      </c>
      <c r="T78" s="31" t="n">
        <v>12.59</v>
      </c>
      <c r="U78" s="31" t="n">
        <v>34.32</v>
      </c>
      <c r="V78" s="31" t="n">
        <v>19.3</v>
      </c>
      <c r="W78" s="31" t="n">
        <v>20.42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Oligopoly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Yes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Cyclical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Volatile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Between 50% to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26</t>
        </is>
      </c>
      <c r="CG78" s="30">
        <f>IF(CF78&gt;20,10,IF(CF78&gt;=10,5,2))</f>
        <v/>
      </c>
    </row>
    <row r="79">
      <c r="A79" s="30">
        <f>IF(B79=0,"",RANK(B79,$B$2:$B$94,0))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JAYBARMARU</t>
        </is>
      </c>
      <c r="D79" s="30" t="inlineStr">
        <is>
          <t>Jay Bharat Maruti Ltd</t>
        </is>
      </c>
      <c r="E79" s="30" t="inlineStr">
        <is>
          <t>auto</t>
        </is>
      </c>
      <c r="F79" s="30" t="inlineStr">
        <is>
          <t>Auto Ancillaries - Diversified</t>
        </is>
      </c>
      <c r="G79" s="30" t="inlineStr">
        <is>
          <t>smallcap</t>
        </is>
      </c>
      <c r="H79" s="31" t="n">
        <v>1370.45</v>
      </c>
      <c r="I79" s="31" t="n">
        <v>126.6</v>
      </c>
      <c r="J79" s="31" t="n">
        <v>-0.87</v>
      </c>
      <c r="K79" s="31" t="n">
        <v>0</v>
      </c>
      <c r="L79" s="30" t="n">
        <v>65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65</v>
      </c>
      <c r="P79" s="31" t="n">
        <v>15.35</v>
      </c>
      <c r="Q79" s="31" t="n">
        <v>88.76000000000001</v>
      </c>
      <c r="R79" s="30" t="inlineStr">
        <is>
          <t>Near 52W High Breakout</t>
        </is>
      </c>
      <c r="S79" s="30" t="inlineStr">
        <is>
          <t>Nifty Auto</t>
        </is>
      </c>
      <c r="T79" s="31" t="n">
        <v>10.49</v>
      </c>
      <c r="U79" s="31" t="n">
        <v>63.23</v>
      </c>
      <c r="V79" s="31" t="n">
        <v>47.73</v>
      </c>
      <c r="W79" s="31" t="n">
        <v>18.29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0 to 20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Between 50% to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Between 0.7 to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25</t>
        </is>
      </c>
      <c r="CG79" s="30">
        <f>IF(CF79&gt;20,10,IF(CF79&gt;=10,5,2))</f>
        <v/>
      </c>
    </row>
    <row r="80">
      <c r="A80" s="30">
        <f>IF(B80=0,"",RANK(B80,$B$2:$B$94,0))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3" t="inlineStr">
        <is>
          <t>BMW</t>
        </is>
      </c>
      <c r="D80" s="33" t="inlineStr">
        <is>
          <t>BMW Industries Ltd</t>
        </is>
      </c>
      <c r="E80" s="30" t="inlineStr">
        <is>
          <t>Basic Materials</t>
        </is>
      </c>
      <c r="F80" s="30" t="inlineStr">
        <is>
          <t>Steel Products</t>
        </is>
      </c>
      <c r="G80" s="30" t="inlineStr">
        <is>
          <t>smallcap</t>
        </is>
      </c>
      <c r="H80" s="31" t="n">
        <v>1359.3</v>
      </c>
      <c r="I80" s="31" t="n">
        <v>60.39</v>
      </c>
      <c r="J80" s="31" t="n">
        <v>11.56</v>
      </c>
      <c r="K80" s="31" t="n">
        <v>0</v>
      </c>
      <c r="L80" s="30" t="n">
        <v>76</v>
      </c>
      <c r="M80" s="30" t="inlineStr">
        <is>
          <t>Underperforming</t>
        </is>
      </c>
      <c r="N80" s="31">
        <f>IF(M80="Underperforming",-5,IF(L80&gt;=95,15,IF(L80&gt;=90,10,IF(L80&gt;=80,5,0))))</f>
        <v/>
      </c>
      <c r="O80" s="31" t="n">
        <v>72.72</v>
      </c>
      <c r="P80" s="31" t="n">
        <v>33.88</v>
      </c>
      <c r="Q80" s="31" t="n">
        <v>44.4</v>
      </c>
      <c r="R80" s="30" t="inlineStr">
        <is>
          <t>Near 52W High Breakout</t>
        </is>
      </c>
      <c r="S80" s="30" t="inlineStr">
        <is>
          <t>Nifty Metal</t>
        </is>
      </c>
      <c r="T80" s="31" t="n">
        <v>42.84</v>
      </c>
      <c r="U80" s="31" t="n">
        <v>16.65</v>
      </c>
      <c r="V80" s="31" t="n">
        <v>-18.33</v>
      </c>
      <c r="W80" s="31" t="n">
        <v>24.27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Cyclical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Volatile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Between 50% to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24</t>
        </is>
      </c>
      <c r="CG80" s="30">
        <f>IF(CF80&gt;20,10,IF(CF80&gt;=10,5,2))</f>
        <v/>
      </c>
    </row>
    <row r="81">
      <c r="A81" s="30">
        <f>IF(B81=0,"",RANK(B81,$B$2:$B$94,0))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INDNIPPON</t>
        </is>
      </c>
      <c r="D81" s="30" t="inlineStr">
        <is>
          <t>India Nippon Electricals Ltd</t>
        </is>
      </c>
      <c r="E81" s="30" t="inlineStr">
        <is>
          <t>auto</t>
        </is>
      </c>
      <c r="F81" s="30" t="inlineStr">
        <is>
          <t>Auto Ancillaries - Engine Parts</t>
        </is>
      </c>
      <c r="G81" s="30" t="inlineStr">
        <is>
          <t>smallcap</t>
        </is>
      </c>
      <c r="H81" s="31" t="n">
        <v>2072.01</v>
      </c>
      <c r="I81" s="31" t="n">
        <v>915.95</v>
      </c>
      <c r="J81" s="31" t="n">
        <v>1.72</v>
      </c>
      <c r="K81" s="31" t="n">
        <v>0</v>
      </c>
      <c r="L81" s="30" t="n">
        <v>37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62.3</v>
      </c>
      <c r="P81" s="31" t="n">
        <v>10.62</v>
      </c>
      <c r="Q81" s="31" t="n">
        <v>713.8099999999999</v>
      </c>
      <c r="R81" s="30" t="inlineStr">
        <is>
          <t>Earnings / Momentum Support</t>
        </is>
      </c>
      <c r="S81" s="30" t="inlineStr">
        <is>
          <t>Nifty Auto</t>
        </is>
      </c>
      <c r="T81" s="31" t="n">
        <v>10.49</v>
      </c>
      <c r="U81" s="31" t="n">
        <v>35.4</v>
      </c>
      <c r="V81" s="31" t="n">
        <v>22.54</v>
      </c>
      <c r="W81" s="31" t="n">
        <v>10.17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0 to 20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Less than 50%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23</t>
        </is>
      </c>
      <c r="CG81" s="30">
        <f>IF(CF81&gt;20,10,IF(CF81&gt;=10,5,2))</f>
        <v/>
      </c>
    </row>
    <row r="82">
      <c r="A82" s="30">
        <f>IF(B82=0,"",RANK(B82,$B$2:$B$94,0))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DIACABS</t>
        </is>
      </c>
      <c r="D82" s="30" t="inlineStr">
        <is>
          <t>Diamond Power Infrastructure Ltd</t>
        </is>
      </c>
      <c r="E82" s="30" t="inlineStr">
        <is>
          <t>industrials</t>
        </is>
      </c>
      <c r="F82" s="30" t="inlineStr">
        <is>
          <t>Cables - Power</t>
        </is>
      </c>
      <c r="G82" s="30" t="inlineStr">
        <is>
          <t>midcap</t>
        </is>
      </c>
      <c r="H82" s="31" t="n">
        <v>10154.21</v>
      </c>
      <c r="I82" s="31" t="n">
        <v>192.69</v>
      </c>
      <c r="J82" s="31" t="n">
        <v>2.13</v>
      </c>
      <c r="K82" s="31" t="n">
        <v>0</v>
      </c>
      <c r="L82" s="30" t="n">
        <v>76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72.77</v>
      </c>
      <c r="P82" s="31" t="n">
        <v>29.5</v>
      </c>
      <c r="Q82" s="31" t="n">
        <v>146.78</v>
      </c>
      <c r="R82" s="30" t="inlineStr">
        <is>
          <t>Near 52W High Breakout</t>
        </is>
      </c>
      <c r="S82" s="30" t="inlineStr">
        <is>
          <t>Nifty Energy</t>
        </is>
      </c>
      <c r="T82" s="31" t="n">
        <v>12.59</v>
      </c>
      <c r="U82" s="31" t="n">
        <v>90.25</v>
      </c>
      <c r="V82" s="31" t="n">
        <v>68.98</v>
      </c>
      <c r="W82" s="31" t="n">
        <v>24.2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Negative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21</t>
        </is>
      </c>
      <c r="CG82" s="30">
        <f>IF(CF82&gt;20,10,IF(CF82&gt;=10,5,2))</f>
        <v/>
      </c>
    </row>
    <row r="83">
      <c r="A83" s="30">
        <f>IF(B83=0,"",RANK(B83,$B$2:$B$94,0))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V2RETAIL</t>
        </is>
      </c>
      <c r="D83" s="30" t="inlineStr">
        <is>
          <t>V2 Retail Ltd</t>
        </is>
      </c>
      <c r="E83" s="30" t="inlineStr">
        <is>
          <t>consumer discretionary</t>
        </is>
      </c>
      <c r="F83" s="30" t="inlineStr">
        <is>
          <t>Textiles - Readymade Apparel</t>
        </is>
      </c>
      <c r="G83" s="30" t="inlineStr">
        <is>
          <t>midcap</t>
        </is>
      </c>
      <c r="H83" s="31" t="n">
        <v>9349.309999999999</v>
      </c>
      <c r="I83" s="31" t="n">
        <v>256.4</v>
      </c>
      <c r="J83" s="31" t="n">
        <v>4.38</v>
      </c>
      <c r="K83" s="31" t="n">
        <v>0</v>
      </c>
      <c r="L83" s="30" t="n">
        <v>57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68.67</v>
      </c>
      <c r="P83" s="31" t="n">
        <v>26.15</v>
      </c>
      <c r="Q83" s="31" t="n">
        <v>191.32</v>
      </c>
      <c r="R83" s="30" t="inlineStr">
        <is>
          <t>Volume Spike &amp; Near 52W High Breakout</t>
        </is>
      </c>
      <c r="S83" s="30" t="inlineStr">
        <is>
          <t>Nifty 50</t>
        </is>
      </c>
      <c r="T83" s="31" t="n">
        <v>-6.35</v>
      </c>
      <c r="U83" s="31" t="n">
        <v>40.82</v>
      </c>
      <c r="V83" s="31" t="n">
        <v>50.36</v>
      </c>
      <c r="W83" s="31" t="n">
        <v>15.6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Negative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Between 0.7 to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25</t>
        </is>
      </c>
      <c r="CG83" s="30">
        <f>IF(CF83&gt;20,10,IF(CF83&gt;=10,5,2))</f>
        <v/>
      </c>
    </row>
    <row r="84">
      <c r="A84" s="30">
        <f>IF(B84=0,"",RANK(B84,$B$2:$B$94,0))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3" t="inlineStr">
        <is>
          <t>SHYAMMETL</t>
        </is>
      </c>
      <c r="D84" s="33" t="inlineStr">
        <is>
          <t>Shyam Metalics &amp; Energy Ltd</t>
        </is>
      </c>
      <c r="E84" s="30" t="inlineStr">
        <is>
          <t>metals &amp; mining</t>
        </is>
      </c>
      <c r="F84" s="30" t="inlineStr">
        <is>
          <t>Steel Products</t>
        </is>
      </c>
      <c r="G84" s="30" t="inlineStr">
        <is>
          <t>largecap</t>
        </is>
      </c>
      <c r="H84" s="31" t="n">
        <v>27969.01</v>
      </c>
      <c r="I84" s="31" t="n">
        <v>1002</v>
      </c>
      <c r="J84" s="31" t="n">
        <v>2.25</v>
      </c>
      <c r="K84" s="31" t="n">
        <v>0</v>
      </c>
      <c r="L84" s="30" t="n">
        <v>34</v>
      </c>
      <c r="M84" s="30" t="inlineStr">
        <is>
          <t>Underperforming</t>
        </is>
      </c>
      <c r="N84" s="31">
        <f>IF(M84="Underperforming",-5,IF(L84&gt;=95,15,IF(L84&gt;=90,10,IF(L84&gt;=80,5,0))))</f>
        <v/>
      </c>
      <c r="O84" s="31" t="n">
        <v>65.86</v>
      </c>
      <c r="P84" s="31" t="n">
        <v>14.17</v>
      </c>
      <c r="Q84" s="31" t="n">
        <v>807.55</v>
      </c>
      <c r="R84" s="30" t="inlineStr">
        <is>
          <t>Near 52W High Breakout</t>
        </is>
      </c>
      <c r="S84" s="30" t="inlineStr">
        <is>
          <t>Nifty Metal</t>
        </is>
      </c>
      <c r="T84" s="31" t="n">
        <v>42.84</v>
      </c>
      <c r="U84" s="31" t="n">
        <v>15.66</v>
      </c>
      <c r="V84" s="31" t="n">
        <v>-19.03</v>
      </c>
      <c r="W84" s="31" t="n">
        <v>8.949999999999999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0 to 20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22</t>
        </is>
      </c>
      <c r="CG84" s="30">
        <f>IF(CF84&gt;20,10,IF(CF84&gt;=10,5,2))</f>
        <v/>
      </c>
    </row>
    <row r="85">
      <c r="A85" s="30">
        <f>IF(B85=0,"",RANK(B85,$B$2:$B$94,0))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ANTELOPUS</t>
        </is>
      </c>
      <c r="D85" s="30" t="inlineStr">
        <is>
          <t>Antelopus Selan Energy Ltd</t>
        </is>
      </c>
      <c r="E85" s="30" t="inlineStr">
        <is>
          <t>energy</t>
        </is>
      </c>
      <c r="F85" s="30" t="inlineStr">
        <is>
          <t>Oil Drilling &amp; Exploration</t>
        </is>
      </c>
      <c r="G85" s="30" t="inlineStr">
        <is>
          <t>smallcap</t>
        </is>
      </c>
      <c r="H85" s="31" t="n">
        <v>3218.59</v>
      </c>
      <c r="I85" s="31" t="n">
        <v>915.35</v>
      </c>
      <c r="J85" s="31" t="n">
        <v>5</v>
      </c>
      <c r="K85" s="31" t="n">
        <v>0</v>
      </c>
      <c r="L85" s="30" t="n">
        <v>79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72.38</v>
      </c>
      <c r="P85" s="31" t="n">
        <v>39.55</v>
      </c>
      <c r="Q85" s="31" t="n">
        <v>646.86</v>
      </c>
      <c r="R85" s="30" t="inlineStr">
        <is>
          <t>Near 52W High Breakout</t>
        </is>
      </c>
      <c r="S85" s="30" t="inlineStr">
        <is>
          <t>Nifty Energy</t>
        </is>
      </c>
      <c r="T85" s="31" t="n">
        <v>12.59</v>
      </c>
      <c r="U85" s="31" t="n">
        <v>51.94</v>
      </c>
      <c r="V85" s="31" t="n">
        <v>34.95</v>
      </c>
      <c r="W85" s="31" t="n">
        <v>25.12</v>
      </c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Oligopoly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Yes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Cyclical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Volatile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22</t>
        </is>
      </c>
      <c r="CG85" s="30">
        <f>IF(CF85&gt;20,10,IF(CF85&gt;=10,5,2))</f>
        <v/>
      </c>
    </row>
    <row r="86">
      <c r="A86" s="30">
        <f>IF(B86=0,"",RANK(B86,$B$2:$B$94,0))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KINGFA</t>
        </is>
      </c>
      <c r="D86" s="30" t="inlineStr">
        <is>
          <t>Kingfa Science &amp; Technology (India) Ltd</t>
        </is>
      </c>
      <c r="E86" s="30" t="inlineStr">
        <is>
          <t>plastic products</t>
        </is>
      </c>
      <c r="F86" s="30" t="inlineStr">
        <is>
          <t>Plastics - Plastic &amp; Plastic Products</t>
        </is>
      </c>
      <c r="G86" s="30" t="inlineStr">
        <is>
          <t>midcap</t>
        </is>
      </c>
      <c r="H86" s="31" t="n">
        <v>7277.09</v>
      </c>
      <c r="I86" s="31" t="n">
        <v>5370</v>
      </c>
      <c r="J86" s="31" t="n">
        <v>1.82</v>
      </c>
      <c r="K86" s="31" t="n">
        <v>0</v>
      </c>
      <c r="L86" s="30" t="n">
        <v>64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64.48</v>
      </c>
      <c r="P86" s="31" t="n">
        <v>22.02</v>
      </c>
      <c r="Q86" s="31" t="n">
        <v>4205.07</v>
      </c>
      <c r="R86" s="30" t="inlineStr">
        <is>
          <t>Near 52W High Breakout</t>
        </is>
      </c>
      <c r="S86" s="30" t="inlineStr">
        <is>
          <t>Nifty Infra</t>
        </is>
      </c>
      <c r="T86" s="31" t="n">
        <v>1.41</v>
      </c>
      <c r="U86" s="31" t="n">
        <v>67.02</v>
      </c>
      <c r="V86" s="31" t="n">
        <v>64.7</v>
      </c>
      <c r="W86" s="31" t="n">
        <v>17.62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Negative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Between 12 to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20</t>
        </is>
      </c>
      <c r="CG86" s="30">
        <f>IF(CF86&gt;20,10,IF(CF86&gt;=10,5,2))</f>
        <v/>
      </c>
    </row>
    <row r="87">
      <c r="A87" s="30">
        <f>IF(B87=0,"",RANK(B87,$B$2:$B$94,0))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3" t="inlineStr">
        <is>
          <t>CEIGALL</t>
        </is>
      </c>
      <c r="D87" s="33" t="inlineStr">
        <is>
          <t>Ceigall India Ltd</t>
        </is>
      </c>
      <c r="E87" s="30" t="inlineStr">
        <is>
          <t>realty</t>
        </is>
      </c>
      <c r="F87" s="30" t="inlineStr">
        <is>
          <t>Construction - Civil/Turnkey</t>
        </is>
      </c>
      <c r="G87" s="30" t="inlineStr">
        <is>
          <t>midcap</t>
        </is>
      </c>
      <c r="H87" s="31" t="n">
        <v>6245.24</v>
      </c>
      <c r="I87" s="31" t="n">
        <v>358.5</v>
      </c>
      <c r="J87" s="31" t="n">
        <v>-0.58</v>
      </c>
      <c r="K87" s="31" t="n">
        <v>0</v>
      </c>
      <c r="L87" s="30" t="n">
        <v>54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68.81</v>
      </c>
      <c r="P87" s="31" t="n">
        <v>41.58</v>
      </c>
      <c r="Q87" s="31" t="n">
        <v>298.02</v>
      </c>
      <c r="R87" s="30" t="inlineStr">
        <is>
          <t>Near 52W High Breakout</t>
        </is>
      </c>
      <c r="S87" s="30" t="inlineStr">
        <is>
          <t>Nifty Realty</t>
        </is>
      </c>
      <c r="T87" s="31" t="n">
        <v>-26.45</v>
      </c>
      <c r="U87" s="31" t="n">
        <v>46.43</v>
      </c>
      <c r="V87" s="31" t="n">
        <v>99.09</v>
      </c>
      <c r="W87" s="31" t="n">
        <v>14.86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Negative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Negative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20</t>
        </is>
      </c>
      <c r="CG87" s="30">
        <f>IF(CF87&gt;20,10,IF(CF87&gt;=10,5,2))</f>
        <v/>
      </c>
    </row>
    <row r="88">
      <c r="A88" s="30">
        <f>IF(B88=0,"",RANK(B88,$B$2:$B$94,0))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VADILALIND</t>
        </is>
      </c>
      <c r="D88" s="30" t="inlineStr">
        <is>
          <t>Vadilal Industries Ltd</t>
        </is>
      </c>
      <c r="E88" s="30" t="inlineStr">
        <is>
          <t>fmcg</t>
        </is>
      </c>
      <c r="F88" s="30" t="inlineStr">
        <is>
          <t>FMCG - Dairy Products</t>
        </is>
      </c>
      <c r="G88" s="30" t="inlineStr">
        <is>
          <t>smallcap</t>
        </is>
      </c>
      <c r="H88" s="31" t="n">
        <v>3948.28</v>
      </c>
      <c r="I88" s="31" t="n">
        <v>5493</v>
      </c>
      <c r="J88" s="31" t="n">
        <v>1.84</v>
      </c>
      <c r="K88" s="31" t="n">
        <v>0</v>
      </c>
      <c r="L88" s="30" t="n">
        <v>4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61.26</v>
      </c>
      <c r="P88" s="31" t="n">
        <v>10.46</v>
      </c>
      <c r="Q88" s="31" t="n">
        <v>4190.02</v>
      </c>
      <c r="R88" s="30" t="inlineStr">
        <is>
          <t>Volume Spike &amp; Near 52W High Breakout</t>
        </is>
      </c>
      <c r="S88" s="30" t="inlineStr">
        <is>
          <t>Nifty FMCG</t>
        </is>
      </c>
      <c r="T88" s="31" t="n">
        <v>-13.6</v>
      </c>
      <c r="U88" s="31" t="n">
        <v>1.23</v>
      </c>
      <c r="V88" s="31" t="n">
        <v>17.16</v>
      </c>
      <c r="W88" s="31" t="n">
        <v>1.88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B2C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0 to 20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1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Between 50% to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22</t>
        </is>
      </c>
      <c r="CG88" s="30">
        <f>IF(CF88&gt;20,10,IF(CF88&gt;=10,5,2))</f>
        <v/>
      </c>
    </row>
    <row r="89">
      <c r="A89" s="30">
        <f>IF(B89=0,"",RANK(B89,$B$2:$B$94,0))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2" t="inlineStr">
        <is>
          <t>NSLNISP</t>
        </is>
      </c>
      <c r="D89" s="32" t="inlineStr">
        <is>
          <t>NMDC Steel Ltd</t>
        </is>
      </c>
      <c r="E89" s="30" t="inlineStr">
        <is>
          <t>metals &amp; mining</t>
        </is>
      </c>
      <c r="F89" s="30" t="inlineStr">
        <is>
          <t>Steel</t>
        </is>
      </c>
      <c r="G89" s="30" t="inlineStr">
        <is>
          <t>midcap</t>
        </is>
      </c>
      <c r="H89" s="31" t="n">
        <v>14864.03</v>
      </c>
      <c r="I89" s="31" t="n">
        <v>50.72</v>
      </c>
      <c r="J89" s="31" t="n">
        <v>-3.3</v>
      </c>
      <c r="K89" s="31" t="n">
        <v>0</v>
      </c>
      <c r="L89" s="30" t="n">
        <v>46</v>
      </c>
      <c r="M89" s="30" t="inlineStr">
        <is>
          <t>Underperforming</t>
        </is>
      </c>
      <c r="N89" s="31">
        <f>IF(M89="Underperforming",-5,IF(L89&gt;=95,15,IF(L89&gt;=90,10,IF(L89&gt;=80,5,0))))</f>
        <v/>
      </c>
      <c r="O89" s="31" t="n">
        <v>68.91</v>
      </c>
      <c r="P89" s="31" t="n">
        <v>24.11</v>
      </c>
      <c r="Q89" s="31" t="n">
        <v>39.78</v>
      </c>
      <c r="R89" s="30" t="inlineStr">
        <is>
          <t>Volume Spike &amp; Near 52W High Breakout</t>
        </is>
      </c>
      <c r="S89" s="30" t="inlineStr">
        <is>
          <t>Nifty Metal</t>
        </is>
      </c>
      <c r="T89" s="31" t="n">
        <v>42.84</v>
      </c>
      <c r="U89" s="31" t="n">
        <v>28.63</v>
      </c>
      <c r="V89" s="31" t="n">
        <v>-9.94</v>
      </c>
      <c r="W89" s="31" t="n">
        <v>12.28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Cyclical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Volatile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23</t>
        </is>
      </c>
      <c r="CG89" s="30">
        <f>IF(CF89&gt;20,10,IF(CF89&gt;=10,5,2))</f>
        <v/>
      </c>
    </row>
    <row r="90">
      <c r="A90" s="30">
        <f>IF(B90=0,"",RANK(B90,$B$2:$B$94,0))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ASHAPURMIN</t>
        </is>
      </c>
      <c r="D90" s="30" t="inlineStr">
        <is>
          <t>Ashapura Minechem Ltd</t>
        </is>
      </c>
      <c r="E90" s="30" t="inlineStr">
        <is>
          <t>metals &amp; mining</t>
        </is>
      </c>
      <c r="F90" s="30" t="inlineStr">
        <is>
          <t>Mining/Minerals</t>
        </is>
      </c>
      <c r="G90" s="30" t="inlineStr">
        <is>
          <t>midcap</t>
        </is>
      </c>
      <c r="H90" s="31" t="n">
        <v>7074.66</v>
      </c>
      <c r="I90" s="31" t="n">
        <v>740.6</v>
      </c>
      <c r="J90" s="31" t="n">
        <v>2.51</v>
      </c>
      <c r="K90" s="31" t="n">
        <v>0</v>
      </c>
      <c r="L90" s="30" t="n">
        <v>75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62.53</v>
      </c>
      <c r="P90" s="31" t="n">
        <v>20.79</v>
      </c>
      <c r="Q90" s="31" t="n">
        <v>526.08</v>
      </c>
      <c r="R90" s="30" t="inlineStr">
        <is>
          <t>Earnings / Momentum Support</t>
        </is>
      </c>
      <c r="S90" s="30" t="inlineStr">
        <is>
          <t>Nifty Metal</t>
        </is>
      </c>
      <c r="T90" s="31" t="n">
        <v>42.84</v>
      </c>
      <c r="U90" s="31" t="n">
        <v>82.93000000000001</v>
      </c>
      <c r="V90" s="31" t="n">
        <v>28.07</v>
      </c>
      <c r="W90" s="31" t="n">
        <v>24.08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Headwind</t>
        </is>
      </c>
      <c r="AE90" s="30">
        <f>IF(AD90="Tailwind",10,0)</f>
        <v/>
      </c>
      <c r="AF90" s="30" t="inlineStr">
        <is>
          <t>Cyclical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Volatile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Between 50% to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Between 0.7 to 1.2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20</t>
        </is>
      </c>
      <c r="CG90" s="30">
        <f>IF(CF90&gt;20,10,IF(CF90&gt;=10,5,2))</f>
        <v/>
      </c>
    </row>
    <row r="91">
      <c r="A91" s="30">
        <f>IF(B91=0,"",RANK(B91,$B$2:$B$94,0))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2" t="inlineStr">
        <is>
          <t>LLOYDSME</t>
        </is>
      </c>
      <c r="D91" s="32" t="inlineStr">
        <is>
          <t>Lloyds Metals &amp; Energy Ltd</t>
        </is>
      </c>
      <c r="E91" s="30" t="inlineStr">
        <is>
          <t>metals &amp; mining</t>
        </is>
      </c>
      <c r="F91" s="30" t="inlineStr">
        <is>
          <t>Mining/Minerals - Iron Ore</t>
        </is>
      </c>
      <c r="G91" s="30" t="inlineStr">
        <is>
          <t>largecap</t>
        </is>
      </c>
      <c r="H91" s="31" t="n">
        <v>99922.49000000001</v>
      </c>
      <c r="I91" s="31" t="n">
        <v>1775.5</v>
      </c>
      <c r="J91" s="31" t="n">
        <v>-0.96</v>
      </c>
      <c r="K91" s="31" t="n">
        <v>0</v>
      </c>
      <c r="L91" s="30" t="n">
        <v>58</v>
      </c>
      <c r="M91" s="30" t="inlineStr">
        <is>
          <t>Underperforming</t>
        </is>
      </c>
      <c r="N91" s="31">
        <f>IF(M91="Underperforming",-5,IF(L91&gt;=95,15,IF(L91&gt;=90,10,IF(L91&gt;=80,5,0))))</f>
        <v/>
      </c>
      <c r="O91" s="31" t="n">
        <v>70.17</v>
      </c>
      <c r="P91" s="31" t="n">
        <v>35.52</v>
      </c>
      <c r="Q91" s="31" t="n">
        <v>1448.95</v>
      </c>
      <c r="R91" s="30" t="inlineStr">
        <is>
          <t>Near 52W High Breakout</t>
        </is>
      </c>
      <c r="S91" s="30" t="inlineStr">
        <is>
          <t>Nifty Metal</t>
        </is>
      </c>
      <c r="T91" s="31" t="n">
        <v>42.84</v>
      </c>
      <c r="U91" s="31" t="n">
        <v>21.7</v>
      </c>
      <c r="V91" s="31" t="n">
        <v>-14.8</v>
      </c>
      <c r="W91" s="31" t="n">
        <v>15.99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Cyclical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Volatile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Less than 50% and Borrowings are increasing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More than 1.2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20</t>
        </is>
      </c>
      <c r="CG91" s="30">
        <f>IF(CF91&gt;20,10,IF(CF91&gt;=10,5,2))</f>
        <v/>
      </c>
    </row>
    <row r="92">
      <c r="A92" s="30">
        <f>IF(B92=0,"",RANK(B92,$B$2:$B$94,0))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0" t="inlineStr">
        <is>
          <t>KRISHANA</t>
        </is>
      </c>
      <c r="D92" s="30" t="inlineStr">
        <is>
          <t>Krishana Phoschem Ltd</t>
        </is>
      </c>
      <c r="E92" s="30" t="inlineStr">
        <is>
          <t>chemicals</t>
        </is>
      </c>
      <c r="F92" s="30" t="inlineStr">
        <is>
          <t>Fertilisers</t>
        </is>
      </c>
      <c r="G92" s="30" t="inlineStr">
        <is>
          <t>smallcap</t>
        </is>
      </c>
      <c r="H92" s="31" t="n">
        <v>4145.13</v>
      </c>
      <c r="I92" s="31" t="n">
        <v>684.55</v>
      </c>
      <c r="J92" s="31" t="n">
        <v>0.28</v>
      </c>
      <c r="K92" s="31" t="n">
        <v>0</v>
      </c>
      <c r="L92" s="30" t="n">
        <v>67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67.90000000000001</v>
      </c>
      <c r="P92" s="31" t="n">
        <v>34.03</v>
      </c>
      <c r="Q92" s="31" t="n">
        <v>536.66</v>
      </c>
      <c r="R92" s="30" t="inlineStr">
        <is>
          <t>Near 52W High Breakout</t>
        </is>
      </c>
      <c r="S92" s="30" t="inlineStr">
        <is>
          <t>Nifty 50</t>
        </is>
      </c>
      <c r="T92" s="31" t="n">
        <v>-6.35</v>
      </c>
      <c r="U92" s="31" t="n">
        <v>53.84</v>
      </c>
      <c r="V92" s="31" t="n">
        <v>64.26000000000001</v>
      </c>
      <c r="W92" s="31" t="n">
        <v>18.84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Negative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More than 1.2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25</t>
        </is>
      </c>
      <c r="CG92" s="30">
        <f>IF(CF92&gt;20,10,IF(CF92&gt;=10,5,2))</f>
        <v/>
      </c>
    </row>
    <row r="93">
      <c r="A93" s="30">
        <f>IF(B93=0,"",RANK(B93,$B$2:$B$94,0))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2" t="inlineStr">
        <is>
          <t>VEDL</t>
        </is>
      </c>
      <c r="D93" s="32" t="inlineStr">
        <is>
          <t>Vedanta Ltd</t>
        </is>
      </c>
      <c r="E93" s="30" t="inlineStr">
        <is>
          <t>metals &amp; mining</t>
        </is>
      </c>
      <c r="F93" s="30" t="inlineStr">
        <is>
          <t>Mining/Minerals</t>
        </is>
      </c>
      <c r="G93" s="30" t="inlineStr">
        <is>
          <t>largecap</t>
        </is>
      </c>
      <c r="H93" s="31" t="n">
        <v>128065.21</v>
      </c>
      <c r="I93" s="31" t="n">
        <v>327.5</v>
      </c>
      <c r="J93" s="31" t="n">
        <v>-0.21</v>
      </c>
      <c r="K93" s="31" t="n">
        <v>0</v>
      </c>
      <c r="L93" s="30" t="n">
        <v>1</v>
      </c>
      <c r="M93" s="30" t="inlineStr">
        <is>
          <t>Underperforming</t>
        </is>
      </c>
      <c r="N93" s="31">
        <f>IF(M93="Underperforming",-5,IF(L93&gt;=95,15,IF(L93&gt;=90,10,IF(L93&gt;=80,5,0))))</f>
        <v/>
      </c>
      <c r="O93" s="31" t="n">
        <v>34.13</v>
      </c>
      <c r="P93" s="31" t="n">
        <v>47.89</v>
      </c>
      <c r="Q93" s="31" t="n">
        <v>584.29</v>
      </c>
      <c r="R93" s="30" t="inlineStr">
        <is>
          <t>Earnings / Momentum Support</t>
        </is>
      </c>
      <c r="S93" s="30" t="inlineStr">
        <is>
          <t>Nifty Metal</t>
        </is>
      </c>
      <c r="T93" s="31" t="n">
        <v>42.84</v>
      </c>
      <c r="U93" s="31" t="n">
        <v>-21.73</v>
      </c>
      <c r="V93" s="31" t="n">
        <v>-45.2</v>
      </c>
      <c r="W93" s="31" t="n">
        <v>-9.539999999999999</v>
      </c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Headwind</t>
        </is>
      </c>
      <c r="AE93" s="30">
        <f>IF(AD93="Tailwind",10,0)</f>
        <v/>
      </c>
      <c r="AF93" s="30" t="inlineStr">
        <is>
          <t>Cyclical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Volatile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Below 45</t>
        </is>
      </c>
      <c r="BA93" s="30">
        <f>IF(AZ93="Between 50 to 75",10,IF(AZ93="Above 75",0,0))</f>
        <v/>
      </c>
      <c r="BB93" s="30" t="inlineStr">
        <is>
          <t>Stage 4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No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20</t>
        </is>
      </c>
      <c r="CG93" s="30">
        <f>IF(CF93&gt;20,10,IF(CF93&gt;=10,5,2))</f>
        <v/>
      </c>
    </row>
    <row r="94">
      <c r="A94" s="30">
        <f>IF(B94=0,"",RANK(B94,$B$2:$B$94,0))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OBSCP</t>
        </is>
      </c>
      <c r="D94" s="30" t="inlineStr">
        <is>
          <t>OBSC Perfection Ltd</t>
        </is>
      </c>
      <c r="E94" s="30" t="inlineStr">
        <is>
          <t>unknown</t>
        </is>
      </c>
      <c r="F94" s="30" t="inlineStr">
        <is>
          <t>Auto Ancillaries - Diversified</t>
        </is>
      </c>
      <c r="G94" s="30" t="inlineStr">
        <is>
          <t>smallcap</t>
        </is>
      </c>
      <c r="H94" s="31" t="n">
        <v>1264.11</v>
      </c>
      <c r="I94" s="31" t="n">
        <v>489.1</v>
      </c>
      <c r="J94" s="31" t="n">
        <v>4.41</v>
      </c>
      <c r="K94" s="31" t="n">
        <v>0</v>
      </c>
      <c r="L94" s="30" t="inlineStr"/>
      <c r="M94" s="30" t="inlineStr"/>
      <c r="N94" s="31">
        <f>IF(M94="Underperforming",-5,IF(L94&gt;=95,15,IF(L94&gt;=90,10,IF(L94&gt;=80,5,0))))</f>
        <v/>
      </c>
      <c r="O94" s="31" t="inlineStr"/>
      <c r="P94" s="31" t="inlineStr"/>
      <c r="Q94" s="31" t="inlineStr"/>
      <c r="R94" s="30" t="inlineStr"/>
      <c r="S94" s="30" t="inlineStr"/>
      <c r="T94" s="31" t="inlineStr"/>
      <c r="U94" s="31" t="inlineStr"/>
      <c r="V94" s="31" t="inlineStr"/>
      <c r="W94" s="31" t="inlineStr"/>
      <c r="X94" s="30" t="n"/>
      <c r="Y94" s="30">
        <f>IF(X94="Growing Industry",10,IF(X94="Cyclical in an Upturn",5,0))</f>
        <v/>
      </c>
      <c r="Z94" s="30" t="n"/>
      <c r="AA94" s="30">
        <f>IF(Z94="Monopoly",10,IF(Z94="Oligopoly",5,IF(Z94="Duopoly that cooperate",10,IF(Z94="Duopoly that compete",5,IF(Z94="Too many players with High ROCE",5,0)))))</f>
        <v/>
      </c>
      <c r="AB94" s="30" t="n"/>
      <c r="AC94" s="30">
        <f>IF(AB94="No",5,0)</f>
        <v/>
      </c>
      <c r="AD94" s="30" t="n"/>
      <c r="AE94" s="30">
        <f>IF(AD94="Tailwind",10,0)</f>
        <v/>
      </c>
      <c r="AF94" s="30" t="n"/>
      <c r="AG94" s="30">
        <f>IF(AF94="Structural (10 Years Consistency)",10,IF(AF94="Shallow Cyclical (2 to 3 years growth)",5,0))</f>
        <v/>
      </c>
      <c r="AH94" s="30" t="n"/>
      <c r="AI94" s="30">
        <f>IF(AH94="Yes due to Product Mix change or Operating Leverage",10,IF(AH94="Yes, these are peak margins",-5,IF(AH94="No",5,0)))</f>
        <v/>
      </c>
      <c r="AJ94" s="30" t="n"/>
      <c r="AK94" s="30">
        <f>IF(AJ94="Stable",10,0)</f>
        <v/>
      </c>
      <c r="AL94" s="30" t="n"/>
      <c r="AM94" s="30">
        <f>IF(AL94="Yes",10,0)</f>
        <v/>
      </c>
      <c r="AN94" s="30" t="n"/>
      <c r="AO94" s="30">
        <f>IF(AN94="B2C",10,IF(AN94="B2B",5,0))</f>
        <v/>
      </c>
      <c r="AP94" s="30" t="n"/>
      <c r="AQ94" s="30">
        <f>IF(AP94="Yes",10,0)</f>
        <v/>
      </c>
      <c r="AR94" s="30" t="n"/>
      <c r="AS94" s="30">
        <f>IF(AR94="Fully Annuity",10,IF(AR94="Higher Annuity, Lower One Time",5,IF(AR94="Higher One Time, Lower Annuity",3,0)))</f>
        <v/>
      </c>
      <c r="AT94" s="30" t="n"/>
      <c r="AU94" s="30">
        <f>IF(AT94="Good",10,0)</f>
        <v/>
      </c>
      <c r="AV94" s="30" t="n"/>
      <c r="AW94" s="30">
        <f>IF(AV94="Yes for more than 2 years",10,IF(AV94="Yes only for next 1 to 2 years",5,0))</f>
        <v/>
      </c>
      <c r="AX94" s="30" t="n"/>
      <c r="AY94" s="30">
        <f>IF(AX94="Above 40",20,IF(AX94="20 to 40",10,IF(AX94="0 to 20",-5,0)))</f>
        <v/>
      </c>
      <c r="AZ94" s="30" t="n"/>
      <c r="BA94" s="30">
        <f>IF(AZ94="Between 50 to 75",10,IF(AZ94="Above 75",0,0))</f>
        <v/>
      </c>
      <c r="BB94" s="30" t="n"/>
      <c r="BC94" s="30">
        <f>IF(BB94="Stage 2",20,IF(BB94="Stage 1",0,IF(BB94="Stage 3",5,IF(BB94="Stage 4",-5,0))))</f>
        <v/>
      </c>
      <c r="BD94" s="30" t="n"/>
      <c r="BE94" s="30">
        <f>IF(BD94="Positive Trend",20,IF(BD94="Negative Trend",-10,0))</f>
        <v/>
      </c>
      <c r="BF94" s="30" t="n"/>
      <c r="BG94" s="30">
        <f>IF(BF94="Uptrend",10,IF(BF94="Sideways",5,0))</f>
        <v/>
      </c>
      <c r="BH94" s="30" t="n"/>
      <c r="BI94" s="30">
        <f>IF(BH94="Uptrend",10,IF(BH94="Sideways",5,0))</f>
        <v/>
      </c>
      <c r="BJ94" s="30" t="n"/>
      <c r="BK94" s="30">
        <f>IF(BJ94="Overhead supply in last 2 years in last 2 years",-5,IF(BJ94="Close to 52 week high or retracement",5,IF(BJ94="Blue sky scenario",10,IF(BJ94="Long term Downtrend",-10,0))))</f>
        <v/>
      </c>
      <c r="BL94" s="30" t="n"/>
      <c r="BM94" s="30">
        <f>IF(BL94="Yes",10,0)</f>
        <v/>
      </c>
      <c r="BN94" s="30" t="n"/>
      <c r="BO94" s="30">
        <f>IF(BN94="More than 20%",10,IF(BN94="Between 12 to 20%",5,IF(BN94="Less than 12%",0,0)))</f>
        <v/>
      </c>
      <c r="BP94" s="30" t="n"/>
      <c r="BQ94" s="30">
        <f>IF(BP94="No",10,0)</f>
        <v/>
      </c>
      <c r="BR94" s="30" t="n"/>
      <c r="BS94" s="30">
        <f>IF(BR94="NO",5,0)</f>
        <v/>
      </c>
      <c r="BT94" s="30" t="n"/>
      <c r="BU94" s="30">
        <f>IF(BT94="Above 2",0,IF(BT94="Between 1.5 to 2",5,IF(BT94="Less than 1.5",10,0)))</f>
        <v/>
      </c>
      <c r="BV94" s="30" t="n"/>
      <c r="BW94" s="30">
        <f>IF(BV94="Above 70%",10,IF(BV94="Between 50% to 70%",5,IF(BV94="Less than 50%",0,IF(BV94="Negative",-10,IF(BV94="Less than 50% and Borrowings are increasing",-5,0)))))</f>
        <v/>
      </c>
      <c r="BX94" s="30" t="n"/>
      <c r="BY94" s="30">
        <f>IF(BX94="More than 1.2",-10,IF(BX94="Between 0.7 to 1.2",0,IF(BX94="Less than 0.7",10,0)))</f>
        <v/>
      </c>
      <c r="BZ94" s="30" t="n"/>
      <c r="CA94" s="30">
        <f>IF(BZ94="Yes",-10,0)</f>
        <v/>
      </c>
      <c r="CB94" s="30" t="n"/>
      <c r="CC94" s="30">
        <f>IF(CB94="More than 15%",-10,IF(CB94="Less than 15%",10,0))</f>
        <v/>
      </c>
      <c r="CD94" s="30" t="n"/>
      <c r="CE94" s="30">
        <f>IF(CD94="Yes, more than 10%",-10,IF(CD94="No",10,0))</f>
        <v/>
      </c>
      <c r="CF94" s="30" t="n"/>
      <c r="CG94" s="30">
        <f>IF(CF94&gt;20,10,IF(CF94&gt;=10,5,2))</f>
        <v/>
      </c>
    </row>
    <row r="98">
      <c r="A98" s="24" t="inlineStr">
        <is>
          <t>❌ REMOVED SCAN MATCH STOCKS (THIS WEEK)</t>
        </is>
      </c>
    </row>
    <row r="99">
      <c r="A99" s="34" t="inlineStr">
        <is>
          <t>Symbol</t>
        </is>
      </c>
      <c r="B99" s="34" t="inlineStr">
        <is>
          <t>Company Name</t>
        </is>
      </c>
      <c r="C99" s="34" t="inlineStr">
        <is>
          <t>Sector</t>
        </is>
      </c>
      <c r="D99" s="34" t="inlineStr">
        <is>
          <t>Date of Removal</t>
        </is>
      </c>
    </row>
    <row r="100">
      <c r="A100" s="35" t="inlineStr">
        <is>
          <t>DIVGIITTS</t>
        </is>
      </c>
      <c r="B100" s="36" t="inlineStr">
        <is>
          <t>Divgi TorqTransfer Systems Limited</t>
        </is>
      </c>
      <c r="C100" s="36" t="inlineStr">
        <is>
          <t>Consumer Cyclical</t>
        </is>
      </c>
      <c r="D100" s="37" t="inlineStr">
        <is>
          <t>2026-06-04</t>
        </is>
      </c>
    </row>
    <row r="101">
      <c r="A101" s="35" t="inlineStr">
        <is>
          <t>FREDUN</t>
        </is>
      </c>
      <c r="B101" s="36" t="inlineStr">
        <is>
          <t>FREDUN</t>
        </is>
      </c>
      <c r="C101" s="36" t="inlineStr">
        <is>
          <t>unknown</t>
        </is>
      </c>
      <c r="D101" s="37" t="inlineStr">
        <is>
          <t>2026-06-03</t>
        </is>
      </c>
    </row>
    <row r="102">
      <c r="A102" s="35" t="inlineStr">
        <is>
          <t>HESTERBIO</t>
        </is>
      </c>
      <c r="B102" s="36" t="inlineStr">
        <is>
          <t>HESTERBIO</t>
        </is>
      </c>
      <c r="C102" s="36" t="inlineStr">
        <is>
          <t>Healthcare</t>
        </is>
      </c>
      <c r="D102" s="37" t="inlineStr">
        <is>
          <t>2026-06-03</t>
        </is>
      </c>
    </row>
    <row r="103">
      <c r="A103" s="35" t="inlineStr">
        <is>
          <t>IDEAFORGE</t>
        </is>
      </c>
      <c r="B103" s="36" t="inlineStr">
        <is>
          <t>ideaForge Technology Limited</t>
        </is>
      </c>
      <c r="C103" s="36" t="inlineStr">
        <is>
          <t>Technology</t>
        </is>
      </c>
      <c r="D103" s="37" t="inlineStr">
        <is>
          <t>2026-06-04</t>
        </is>
      </c>
    </row>
    <row r="104">
      <c r="A104" s="35" t="inlineStr">
        <is>
          <t>KSHINTL</t>
        </is>
      </c>
      <c r="B104" s="36" t="inlineStr">
        <is>
          <t>KSHINTL</t>
        </is>
      </c>
      <c r="C104" s="36" t="inlineStr">
        <is>
          <t>unknown</t>
        </is>
      </c>
      <c r="D104" s="37" t="inlineStr">
        <is>
          <t>2026-06-04</t>
        </is>
      </c>
    </row>
    <row r="105">
      <c r="A105" s="35" t="inlineStr">
        <is>
          <t>MAYURUNIQ</t>
        </is>
      </c>
      <c r="B105" s="36" t="inlineStr">
        <is>
          <t>Mayur Uniquoters Limited</t>
        </is>
      </c>
      <c r="C105" s="36" t="inlineStr">
        <is>
          <t>Consumer Cyclical</t>
        </is>
      </c>
      <c r="D105" s="37" t="inlineStr">
        <is>
          <t>2026-06-04</t>
        </is>
      </c>
    </row>
    <row r="106">
      <c r="A106" s="35" t="inlineStr">
        <is>
          <t>MOBAVENUE</t>
        </is>
      </c>
      <c r="B106" s="36" t="inlineStr">
        <is>
          <t>MOBAVENUE</t>
        </is>
      </c>
      <c r="C106" s="36" t="inlineStr">
        <is>
          <t>unknown</t>
        </is>
      </c>
      <c r="D106" s="37" t="inlineStr">
        <is>
          <t>2026-06-03</t>
        </is>
      </c>
    </row>
    <row r="107">
      <c r="A107" s="35" t="inlineStr">
        <is>
          <t>ONIXSOLAR</t>
        </is>
      </c>
      <c r="B107" s="36" t="inlineStr">
        <is>
          <t>ONIXSOLAR</t>
        </is>
      </c>
      <c r="C107" s="36" t="inlineStr">
        <is>
          <t>unknown</t>
        </is>
      </c>
      <c r="D107" s="37" t="inlineStr">
        <is>
          <t>2026-06-03</t>
        </is>
      </c>
    </row>
    <row r="108">
      <c r="A108" s="35" t="inlineStr">
        <is>
          <t>PRECWIRE</t>
        </is>
      </c>
      <c r="B108" s="36" t="inlineStr">
        <is>
          <t>Precision Wires India Limited</t>
        </is>
      </c>
      <c r="C108" s="36" t="inlineStr">
        <is>
          <t>Industrials</t>
        </is>
      </c>
      <c r="D108" s="37" t="inlineStr">
        <is>
          <t>2026-06-04</t>
        </is>
      </c>
    </row>
    <row r="109">
      <c r="A109" s="35" t="inlineStr">
        <is>
          <t>SAKAR</t>
        </is>
      </c>
      <c r="B109" s="36" t="inlineStr">
        <is>
          <t>Sakar Healthcare Limited</t>
        </is>
      </c>
      <c r="C109" s="36" t="inlineStr">
        <is>
          <t>Healthcare</t>
        </is>
      </c>
      <c r="D109" s="37" t="inlineStr">
        <is>
          <t>2026-06-04</t>
        </is>
      </c>
    </row>
    <row r="110">
      <c r="A110" s="35" t="inlineStr">
        <is>
          <t>SGFIN</t>
        </is>
      </c>
      <c r="B110" s="36" t="inlineStr">
        <is>
          <t>SGFIN</t>
        </is>
      </c>
      <c r="C110" s="36" t="inlineStr">
        <is>
          <t>unknown</t>
        </is>
      </c>
      <c r="D110" s="37" t="inlineStr">
        <is>
          <t>2026-06-04</t>
        </is>
      </c>
    </row>
    <row r="111">
      <c r="A111" s="35" t="inlineStr">
        <is>
          <t>SUNRAKSHAK</t>
        </is>
      </c>
      <c r="B111" s="36" t="inlineStr">
        <is>
          <t>SUNRAKSHAK</t>
        </is>
      </c>
      <c r="C111" s="36" t="inlineStr">
        <is>
          <t>unknown</t>
        </is>
      </c>
      <c r="D111" s="37" t="inlineStr">
        <is>
          <t>2026-06-03</t>
        </is>
      </c>
    </row>
    <row r="112">
      <c r="A112" s="35" t="inlineStr">
        <is>
          <t>TAALTECH</t>
        </is>
      </c>
      <c r="B112" s="36" t="inlineStr">
        <is>
          <t>TAALTECH</t>
        </is>
      </c>
      <c r="C112" s="36" t="inlineStr">
        <is>
          <t>unknown</t>
        </is>
      </c>
      <c r="D112" s="37" t="inlineStr">
        <is>
          <t>2026-06-03</t>
        </is>
      </c>
    </row>
    <row r="113">
      <c r="A113" s="35" t="inlineStr">
        <is>
          <t>VIYASH</t>
        </is>
      </c>
      <c r="B113" s="36" t="inlineStr">
        <is>
          <t>Viyash Scientific Limited</t>
        </is>
      </c>
      <c r="C113" s="36" t="inlineStr">
        <is>
          <t>Healthcare</t>
        </is>
      </c>
      <c r="D113" s="37" t="inlineStr">
        <is>
          <t>2026-06-04</t>
        </is>
      </c>
    </row>
    <row r="114">
      <c r="A114" s="35" t="inlineStr">
        <is>
          <t>YASHO</t>
        </is>
      </c>
      <c r="B114" s="36" t="inlineStr">
        <is>
          <t>Yasho Industries Limited</t>
        </is>
      </c>
      <c r="C114" s="36" t="inlineStr">
        <is>
          <t>Basic Materials</t>
        </is>
      </c>
      <c r="D114" s="37" t="inlineStr">
        <is>
          <t>2026-06-04</t>
        </is>
      </c>
    </row>
  </sheetData>
  <autoFilter ref="A1:CG94"/>
  <conditionalFormatting sqref="B2:B9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4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4">
    <cfRule type="cellIs" priority="37" operator="equal" dxfId="3" stopIfTrue="1">
      <formula>"Underperforming"</formula>
    </cfRule>
  </conditionalFormatting>
  <conditionalFormatting sqref="N2:N94">
    <cfRule type="cellIs" priority="38" operator="equal" dxfId="3" stopIfTrue="1">
      <formula>-5</formula>
    </cfRule>
  </conditionalFormatting>
  <conditionalFormatting sqref="Q2:Q94">
    <cfRule type="expression" priority="39" dxfId="0" stopIfTrue="1">
      <formula>=AND(Q2&lt;&gt;"",Q2&gt;0,I2&gt;=Q2)</formula>
    </cfRule>
    <cfRule type="expression" priority="40" dxfId="3" stopIfTrue="1">
      <formula>=AND(Q2&lt;&gt;"",Q2&gt;0,I2&lt;Q2)</formula>
    </cfRule>
  </conditionalFormatting>
  <dataValidations count="30">
    <dataValidation sqref="X2:X94" showDropDown="0" showInputMessage="0" showErrorMessage="0" allowBlank="1" type="list">
      <formula1>"Growing Industry,Stagnant Industry,Cyclical in an Upturn"</formula1>
    </dataValidation>
    <dataValidation sqref="Z2:Z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4" showDropDown="0" showInputMessage="0" showErrorMessage="0" allowBlank="1" type="list">
      <formula1>"Yes,No"</formula1>
    </dataValidation>
    <dataValidation sqref="AD2:AD94" showDropDown="0" showInputMessage="0" showErrorMessage="0" allowBlank="1" type="list">
      <formula1>"Tailwind,Headwind"</formula1>
    </dataValidation>
    <dataValidation sqref="AF2:AF94" showDropDown="0" showInputMessage="0" showErrorMessage="0" allowBlank="1" type="list">
      <formula1>"Structural (10 Years Consistency),Shallow Cyclical (2 to 3 Years Growth),Cyclical"</formula1>
    </dataValidation>
    <dataValidation sqref="AH2:AH94" showDropDown="0" showInputMessage="0" showErrorMessage="0" allowBlank="1" type="list">
      <formula1>"Yes due to Product Mix change or Operating Leverage,Yes, these are peak margins,No"</formula1>
    </dataValidation>
    <dataValidation sqref="AJ2:AJ94" showDropDown="0" showInputMessage="0" showErrorMessage="0" allowBlank="1" type="list">
      <formula1>"Stable,Volatile"</formula1>
    </dataValidation>
    <dataValidation sqref="AL2:AL94" showDropDown="0" showInputMessage="0" showErrorMessage="0" allowBlank="1" type="list">
      <formula1>"Yes,No"</formula1>
    </dataValidation>
    <dataValidation sqref="AN2:AN94" showDropDown="0" showInputMessage="0" showErrorMessage="0" allowBlank="1" type="list">
      <formula1>"B2C,B2B,B2G"</formula1>
    </dataValidation>
    <dataValidation sqref="AP2:AP94" showDropDown="0" showInputMessage="0" showErrorMessage="0" allowBlank="1" type="list">
      <formula1>"Yes,No"</formula1>
    </dataValidation>
    <dataValidation sqref="AR2:AR94" showDropDown="0" showInputMessage="0" showErrorMessage="0" allowBlank="1" type="list">
      <formula1>"Fully Annuity,Higher Annuity, Lower One time,Higher One Time, Lower Annuity,Fully One Time"</formula1>
    </dataValidation>
    <dataValidation sqref="AT2:AT94" showDropDown="0" showInputMessage="0" showErrorMessage="0" allowBlank="1" type="list">
      <formula1>"Good,Allocated capital in Non-core Areas"</formula1>
    </dataValidation>
    <dataValidation sqref="AV2:AV94" showDropDown="0" showInputMessage="0" showErrorMessage="0" allowBlank="1" type="list">
      <formula1>"Yes for more than 2 years,Yes only for next 1 to 2 years,No"</formula1>
    </dataValidation>
    <dataValidation sqref="AX2:AX94" showDropDown="0" showInputMessage="0" showErrorMessage="0" allowBlank="1" type="list">
      <formula1>"Above 40,20 to 40,0 to 20"</formula1>
    </dataValidation>
    <dataValidation sqref="AZ2:AZ94" showDropDown="0" showInputMessage="0" showErrorMessage="0" allowBlank="1" type="list">
      <formula1>"Between 50 to 75,Above 75,Below 45"</formula1>
    </dataValidation>
    <dataValidation sqref="BB2:BB94" showDropDown="0" showInputMessage="0" showErrorMessage="0" allowBlank="1" type="list">
      <formula1>"Stage 1,Stage 2,Stage 3,Stage 4"</formula1>
    </dataValidation>
    <dataValidation sqref="BD2:BD94" showDropDown="0" showInputMessage="0" showErrorMessage="0" allowBlank="1" type="list">
      <formula1>"Positive Trend,Negative Trend"</formula1>
    </dataValidation>
    <dataValidation sqref="BF2:BF94" showDropDown="0" showInputMessage="0" showErrorMessage="0" allowBlank="1" type="list">
      <formula1>"Uptrend,Sideways,Downtrend"</formula1>
    </dataValidation>
    <dataValidation sqref="BH2:BH94" showDropDown="0" showInputMessage="0" showErrorMessage="0" allowBlank="1" type="list">
      <formula1>"Uptrend,Sideways,Downtrend"</formula1>
    </dataValidation>
    <dataValidation sqref="BJ2:BJ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4" showDropDown="0" showInputMessage="0" showErrorMessage="0" allowBlank="1" type="list">
      <formula1>"Yes,No"</formula1>
    </dataValidation>
    <dataValidation sqref="BN2:BN94" showDropDown="0" showInputMessage="0" showErrorMessage="0" allowBlank="1" type="list">
      <formula1>"More than 20%,Between 12 to 20%,Less than 12%"</formula1>
    </dataValidation>
    <dataValidation sqref="BP2:BP94" showDropDown="0" showInputMessage="0" showErrorMessage="0" allowBlank="1" type="list">
      <formula1>"Yes,No"</formula1>
    </dataValidation>
    <dataValidation sqref="BR2:BR94" showDropDown="0" showInputMessage="0" showErrorMessage="0" allowBlank="1" type="list">
      <formula1>"Yes,No"</formula1>
    </dataValidation>
    <dataValidation sqref="BT2:BT94" showDropDown="0" showInputMessage="0" showErrorMessage="0" allowBlank="1" type="list">
      <formula1>"Above 2,Between 1.5 to 2,Less than 1.5"</formula1>
    </dataValidation>
    <dataValidation sqref="BV2:BV94" showDropDown="0" showInputMessage="0" showErrorMessage="0" allowBlank="1" type="list">
      <formula1>"Above 70%,Between 50% to 70%,Less than 50%,Less than 50% and Borrowings are increasing,Negative"</formula1>
    </dataValidation>
    <dataValidation sqref="BX2:BX94" showDropDown="0" showInputMessage="0" showErrorMessage="0" allowBlank="1" type="list">
      <formula1>"More than 1.2,Between 0.7 to 1.2,Less than 0.7"</formula1>
    </dataValidation>
    <dataValidation sqref="BZ2:BZ94" showDropDown="0" showInputMessage="0" showErrorMessage="0" allowBlank="1" type="list">
      <formula1>"Yes,No"</formula1>
    </dataValidation>
    <dataValidation sqref="CB2:CB94" showDropDown="0" showInputMessage="0" showErrorMessage="0" allowBlank="1" type="list">
      <formula1>"More than 15%,Less than 15%"</formula1>
    </dataValidation>
    <dataValidation sqref="CD2:CD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IF(B2=0,"",RANK(B2,$B$2:$B$8,0))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DHANBANK</t>
        </is>
      </c>
      <c r="D2" s="30" t="inlineStr">
        <is>
          <t>Dhanlaxmi Bank Ltd</t>
        </is>
      </c>
      <c r="E2" s="30" t="inlineStr">
        <is>
          <t>bank</t>
        </is>
      </c>
      <c r="F2" s="30" t="inlineStr">
        <is>
          <t>Banks - Private</t>
        </is>
      </c>
      <c r="G2" s="30" t="inlineStr">
        <is>
          <t>smallcap</t>
        </is>
      </c>
      <c r="H2" s="31" t="n">
        <v>1336.85</v>
      </c>
      <c r="I2" s="31" t="n">
        <v>33.87</v>
      </c>
      <c r="J2" s="31" t="n">
        <v>-0.35</v>
      </c>
      <c r="K2" s="31" t="n">
        <v>0</v>
      </c>
      <c r="L2" s="30" t="n">
        <v>46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71.01000000000001</v>
      </c>
      <c r="P2" s="31" t="n">
        <v>28.77</v>
      </c>
      <c r="Q2" s="31" t="n">
        <v>25.85</v>
      </c>
      <c r="R2" s="30" t="inlineStr">
        <is>
          <t>Near 52W High Breakout</t>
        </is>
      </c>
      <c r="S2" s="30" t="inlineStr">
        <is>
          <t>Nifty Bank</t>
        </is>
      </c>
      <c r="T2" s="31" t="n">
        <v>-4.01</v>
      </c>
      <c r="U2" s="31" t="n">
        <v>6.81</v>
      </c>
      <c r="V2" s="31" t="n">
        <v>11.28</v>
      </c>
      <c r="W2" s="31" t="n">
        <v>12.5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21</t>
        </is>
      </c>
      <c r="CC2" s="30">
        <f>IF(CB2&gt;20,10,IF(CB2&gt;=10,5,2))</f>
        <v/>
      </c>
    </row>
    <row r="3">
      <c r="A3" s="30">
        <f>IF(B3=0,"",RANK(B3,$B$2:$B$8,0))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SATIN</t>
        </is>
      </c>
      <c r="D3" s="30" t="inlineStr">
        <is>
          <t>Satin Creditcare Network Ltd</t>
        </is>
      </c>
      <c r="E3" s="30" t="inlineStr">
        <is>
          <t>financials</t>
        </is>
      </c>
      <c r="F3" s="30" t="inlineStr">
        <is>
          <t>Finance &amp; Investments - Microfinance</t>
        </is>
      </c>
      <c r="G3" s="30" t="inlineStr">
        <is>
          <t>smallcap</t>
        </is>
      </c>
      <c r="H3" s="31" t="n">
        <v>2672.62</v>
      </c>
      <c r="I3" s="31" t="n">
        <v>241.93</v>
      </c>
      <c r="J3" s="31" t="n">
        <v>2.84</v>
      </c>
      <c r="K3" s="31" t="n">
        <v>0</v>
      </c>
      <c r="L3" s="30" t="n">
        <v>74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77.25</v>
      </c>
      <c r="P3" s="31" t="n">
        <v>37.11</v>
      </c>
      <c r="Q3" s="31" t="n">
        <v>189.94</v>
      </c>
      <c r="R3" s="30" t="inlineStr">
        <is>
          <t>Near 52W High Breakout</t>
        </is>
      </c>
      <c r="S3" s="30" t="inlineStr">
        <is>
          <t>Nifty Bank</t>
        </is>
      </c>
      <c r="T3" s="31" t="n">
        <v>-4.01</v>
      </c>
      <c r="U3" s="31" t="n">
        <v>53.21</v>
      </c>
      <c r="V3" s="31" t="n">
        <v>59.61</v>
      </c>
      <c r="W3" s="31" t="n">
        <v>23.26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25</t>
        </is>
      </c>
      <c r="CC3" s="30">
        <f>IF(CB3&gt;20,10,IF(CB3&gt;=10,5,2))</f>
        <v/>
      </c>
    </row>
    <row r="4">
      <c r="A4" s="30">
        <f>IF(B4=0,"",RANK(B4,$B$2:$B$8,0))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PAISALO</t>
        </is>
      </c>
      <c r="D4" s="30" t="inlineStr">
        <is>
          <t>Paisalo Digital Ltd</t>
        </is>
      </c>
      <c r="E4" s="30" t="inlineStr">
        <is>
          <t>financials</t>
        </is>
      </c>
      <c r="F4" s="30" t="inlineStr">
        <is>
          <t>Finance - Capital Markets - Brokers</t>
        </is>
      </c>
      <c r="G4" s="30" t="inlineStr">
        <is>
          <t>midcap</t>
        </is>
      </c>
      <c r="H4" s="31" t="n">
        <v>5036.02</v>
      </c>
      <c r="I4" s="31" t="n">
        <v>55.37</v>
      </c>
      <c r="J4" s="31" t="n">
        <v>2.69</v>
      </c>
      <c r="K4" s="31" t="n">
        <v>0</v>
      </c>
      <c r="L4" s="30" t="n">
        <v>83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74.37</v>
      </c>
      <c r="P4" s="31" t="n">
        <v>28.81</v>
      </c>
      <c r="Q4" s="31" t="n">
        <v>43.11</v>
      </c>
      <c r="R4" s="30" t="inlineStr">
        <is>
          <t>Near 52W High Breakout</t>
        </is>
      </c>
      <c r="S4" s="30" t="inlineStr">
        <is>
          <t>Nifty Bank</t>
        </is>
      </c>
      <c r="T4" s="31" t="n">
        <v>-4.01</v>
      </c>
      <c r="U4" s="31" t="n">
        <v>74.90000000000001</v>
      </c>
      <c r="V4" s="31" t="n">
        <v>82.20999999999999</v>
      </c>
      <c r="W4" s="31" t="n">
        <v>27.56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less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24</t>
        </is>
      </c>
      <c r="CC4" s="30">
        <f>IF(CB4&gt;20,10,IF(CB4&gt;=10,5,2))</f>
        <v/>
      </c>
    </row>
    <row r="5">
      <c r="A5" s="30">
        <f>IF(B5=0,"",RANK(B5,$B$2:$B$8,0))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ANGELONE</t>
        </is>
      </c>
      <c r="D5" s="30" t="inlineStr">
        <is>
          <t>Angel One Ltd</t>
        </is>
      </c>
      <c r="E5" s="30" t="inlineStr">
        <is>
          <t>financials</t>
        </is>
      </c>
      <c r="F5" s="30" t="inlineStr">
        <is>
          <t>Finance - Capital Markets - Brokers</t>
        </is>
      </c>
      <c r="G5" s="30" t="inlineStr">
        <is>
          <t>largecap</t>
        </is>
      </c>
      <c r="H5" s="31" t="n">
        <v>30798.2</v>
      </c>
      <c r="I5" s="31" t="n">
        <v>337.7</v>
      </c>
      <c r="J5" s="31" t="n">
        <v>0.88</v>
      </c>
      <c r="K5" s="31" t="n">
        <v>0</v>
      </c>
      <c r="L5" s="30" t="n">
        <v>58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65.14</v>
      </c>
      <c r="P5" s="31" t="n">
        <v>26.63</v>
      </c>
      <c r="Q5" s="31" t="n">
        <v>259.54</v>
      </c>
      <c r="R5" s="30" t="inlineStr">
        <is>
          <t>Near 52W High Breakout</t>
        </is>
      </c>
      <c r="S5" s="30" t="inlineStr">
        <is>
          <t>Nifty Bank</t>
        </is>
      </c>
      <c r="T5" s="31" t="n">
        <v>-4.01</v>
      </c>
      <c r="U5" s="31" t="n">
        <v>6.67</v>
      </c>
      <c r="V5" s="31" t="n">
        <v>11.13</v>
      </c>
      <c r="W5" s="31" t="n">
        <v>16.02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above 5x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20</t>
        </is>
      </c>
      <c r="CC5" s="30">
        <f>IF(CB5&gt;20,10,IF(CB5&gt;=10,5,2))</f>
        <v/>
      </c>
    </row>
    <row r="6">
      <c r="A6" s="30">
        <f>IF(B6=0,"",RANK(B6,$B$2:$B$8,0))</f>
        <v/>
      </c>
      <c r="B6" s="31">
        <f>SUM(N6,Y6,AA6,AC6,AE6,AG6,AI6,AK6,AM6,AO6,AQ6,AS6,AU6,AW6,AY6,BA6,BC6,BE6,BG6,BI6,BK6,BM6,BO6,BQ6,BS6,BU6,BW6,BY6,CA6,CC6)</f>
        <v/>
      </c>
      <c r="C6" s="33" t="inlineStr">
        <is>
          <t>NAM-INDIA</t>
        </is>
      </c>
      <c r="D6" s="33" t="inlineStr">
        <is>
          <t>Nippon Life India Asset Management Ltd</t>
        </is>
      </c>
      <c r="E6" s="30" t="inlineStr">
        <is>
          <t>financials</t>
        </is>
      </c>
      <c r="F6" s="30" t="inlineStr">
        <is>
          <t>Finance - AMC</t>
        </is>
      </c>
      <c r="G6" s="30" t="inlineStr">
        <is>
          <t>largecap</t>
        </is>
      </c>
      <c r="H6" s="31" t="n">
        <v>72091.11</v>
      </c>
      <c r="I6" s="31" t="n">
        <v>1129.1</v>
      </c>
      <c r="J6" s="31" t="n">
        <v>4.76</v>
      </c>
      <c r="K6" s="31" t="n">
        <v>0</v>
      </c>
      <c r="L6" s="30" t="n">
        <v>53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69.27</v>
      </c>
      <c r="P6" s="31" t="n">
        <v>25.17</v>
      </c>
      <c r="Q6" s="31" t="n">
        <v>886.89</v>
      </c>
      <c r="R6" s="30" t="inlineStr">
        <is>
          <t>Near 52W High Breakout</t>
        </is>
      </c>
      <c r="S6" s="30" t="inlineStr">
        <is>
          <t>Nifty Bank</t>
        </is>
      </c>
      <c r="T6" s="31" t="n">
        <v>-4.01</v>
      </c>
      <c r="U6" s="31" t="n">
        <v>46.13</v>
      </c>
      <c r="V6" s="31" t="n">
        <v>52.23</v>
      </c>
      <c r="W6" s="31" t="n">
        <v>14.69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above 5x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19</t>
        </is>
      </c>
      <c r="CC6" s="30">
        <f>IF(CB6&gt;20,10,IF(CB6&gt;=10,5,2))</f>
        <v/>
      </c>
    </row>
    <row r="7">
      <c r="A7" s="30">
        <f>IF(B7=0,"",RANK(B7,$B$2:$B$8,0))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BSE</t>
        </is>
      </c>
      <c r="D7" s="30" t="inlineStr">
        <is>
          <t>BSE Ltd</t>
        </is>
      </c>
      <c r="E7" s="30" t="inlineStr">
        <is>
          <t>financials</t>
        </is>
      </c>
      <c r="F7" s="30" t="inlineStr">
        <is>
          <t>Exchanges</t>
        </is>
      </c>
      <c r="G7" s="30" t="inlineStr">
        <is>
          <t>largecap</t>
        </is>
      </c>
      <c r="H7" s="31" t="n">
        <v>164280.01</v>
      </c>
      <c r="I7" s="31" t="n">
        <v>4033.4</v>
      </c>
      <c r="J7" s="31" t="n">
        <v>1.7</v>
      </c>
      <c r="K7" s="31" t="n">
        <v>0</v>
      </c>
      <c r="L7" s="30" t="n">
        <v>65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73</v>
      </c>
      <c r="P7" s="31" t="n">
        <v>28.83</v>
      </c>
      <c r="Q7" s="31" t="n">
        <v>3366.19</v>
      </c>
      <c r="R7" s="30" t="inlineStr">
        <is>
          <t>Near 52W High Breakout</t>
        </is>
      </c>
      <c r="S7" s="30" t="inlineStr">
        <is>
          <t>Nifty Bank</t>
        </is>
      </c>
      <c r="T7" s="31" t="n">
        <v>-4.01</v>
      </c>
      <c r="U7" s="31" t="n">
        <v>37.51</v>
      </c>
      <c r="V7" s="31" t="n">
        <v>43.26</v>
      </c>
      <c r="W7" s="31" t="n">
        <v>18.27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above 5x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19</t>
        </is>
      </c>
      <c r="CC7" s="30">
        <f>IF(CB7&gt;20,10,IF(CB7&gt;=10,5,2))</f>
        <v/>
      </c>
    </row>
    <row r="8">
      <c r="A8" s="30">
        <f>IF(B8=0,"",RANK(B8,$B$2:$B$8,0))</f>
        <v/>
      </c>
      <c r="B8" s="31">
        <f>SUM(N8,Y8,AA8,AC8,AE8,AG8,AI8,AK8,AM8,AO8,AQ8,AS8,AU8,AW8,AY8,BA8,BC8,BE8,BG8,BI8,BK8,BM8,BO8,BQ8,BS8,BU8,BW8,BY8,CA8,CC8)</f>
        <v/>
      </c>
      <c r="C8" s="30" t="inlineStr">
        <is>
          <t>CGCL</t>
        </is>
      </c>
      <c r="D8" s="30" t="inlineStr">
        <is>
          <t>Capri Global Capital Ltd</t>
        </is>
      </c>
      <c r="E8" s="30" t="inlineStr">
        <is>
          <t>financials</t>
        </is>
      </c>
      <c r="F8" s="30" t="inlineStr">
        <is>
          <t>Finance &amp; Investments - Gold Loan</t>
        </is>
      </c>
      <c r="G8" s="30" t="inlineStr">
        <is>
          <t>midcap</t>
        </is>
      </c>
      <c r="H8" s="31" t="n">
        <v>19486.5</v>
      </c>
      <c r="I8" s="31" t="n">
        <v>202.53</v>
      </c>
      <c r="J8" s="31" t="n">
        <v>0.58</v>
      </c>
      <c r="K8" s="31" t="n">
        <v>0</v>
      </c>
      <c r="L8" s="30" t="n">
        <v>45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62.92</v>
      </c>
      <c r="P8" s="31" t="n">
        <v>17.37</v>
      </c>
      <c r="Q8" s="31" t="n">
        <v>162</v>
      </c>
      <c r="R8" s="30" t="inlineStr">
        <is>
          <t>Near 52W High Breakout</t>
        </is>
      </c>
      <c r="S8" s="30" t="inlineStr">
        <is>
          <t>Nifty Bank</t>
        </is>
      </c>
      <c r="T8" s="31" t="n">
        <v>-4.01</v>
      </c>
      <c r="U8" s="31" t="n">
        <v>33.35</v>
      </c>
      <c r="V8" s="31" t="n">
        <v>38.93</v>
      </c>
      <c r="W8" s="31" t="n">
        <v>12.08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between 2.5x to 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0 to 20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  <c r="CB8" s="30" t="inlineStr">
        <is>
          <t>20</t>
        </is>
      </c>
      <c r="CC8" s="30">
        <f>IF(CB8&gt;20,10,IF(CB8&gt;=10,5,2))</f>
        <v/>
      </c>
    </row>
    <row r="12">
      <c r="A12" s="24" t="inlineStr">
        <is>
          <t>❌ REMOVED SCAN MATCH STOCKS (THIS WEEK)</t>
        </is>
      </c>
    </row>
    <row r="13">
      <c r="A13" s="34" t="inlineStr">
        <is>
          <t>Symbol</t>
        </is>
      </c>
      <c r="B13" s="34" t="inlineStr">
        <is>
          <t>Company Name</t>
        </is>
      </c>
      <c r="C13" s="34" t="inlineStr">
        <is>
          <t>Sector</t>
        </is>
      </c>
      <c r="D13" s="34" t="inlineStr">
        <is>
          <t>Date of Removal</t>
        </is>
      </c>
    </row>
  </sheetData>
  <autoFilter ref="A1:CC8"/>
  <conditionalFormatting sqref="B2:B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8">
    <cfRule type="cellIs" priority="35" operator="equal" dxfId="3" stopIfTrue="1">
      <formula>"Underperforming"</formula>
    </cfRule>
  </conditionalFormatting>
  <conditionalFormatting sqref="N2:N8">
    <cfRule type="cellIs" priority="36" operator="equal" dxfId="3" stopIfTrue="1">
      <formula>-5</formula>
    </cfRule>
  </conditionalFormatting>
  <conditionalFormatting sqref="Q2:Q8">
    <cfRule type="expression" priority="37" dxfId="0" stopIfTrue="1">
      <formula>=AND(Q2&lt;&gt;"",Q2&gt;0,I2&gt;=Q2)</formula>
    </cfRule>
    <cfRule type="expression" priority="38" dxfId="3" stopIfTrue="1">
      <formula>=AND(Q2&lt;&gt;"",Q2&gt;0,I2&lt;Q2)</formula>
    </cfRule>
  </conditionalFormatting>
  <dataValidations count="28">
    <dataValidation sqref="X2:X8" showDropDown="0" showInputMessage="0" showErrorMessage="0" allowBlank="1" type="list">
      <formula1>"Growing Industry,Stagnant Industry,Cyclical in an Upturn"</formula1>
    </dataValidation>
    <dataValidation sqref="Z2:Z8" showDropDown="0" showInputMessage="0" showErrorMessage="0" allowBlank="1" type="list">
      <formula1>"Fragmented with Low ROE,Fragmented with High ROE,Highly Cyclical"</formula1>
    </dataValidation>
    <dataValidation sqref="AB2:AB8" showDropDown="0" showInputMessage="0" showErrorMessage="0" allowBlank="1" type="list">
      <formula1>"Yes,No"</formula1>
    </dataValidation>
    <dataValidation sqref="AD2:AD8" showDropDown="0" showInputMessage="0" showErrorMessage="0" allowBlank="1" type="list">
      <formula1>"Tailwind,Headwind"</formula1>
    </dataValidation>
    <dataValidation sqref="AF2:AF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8" showDropDown="0" showInputMessage="0" showErrorMessage="0" allowBlank="1" type="list">
      <formula1>"Yes,No"</formula1>
    </dataValidation>
    <dataValidation sqref="AJ2:AJ8" showDropDown="0" showInputMessage="0" showErrorMessage="0" allowBlank="1" type="list">
      <formula1>"Yes,No,Not Applicable"</formula1>
    </dataValidation>
    <dataValidation sqref="AL2:AL8" showDropDown="0" showInputMessage="0" showErrorMessage="0" allowBlank="1" type="list">
      <formula1>"Yes,No"</formula1>
    </dataValidation>
    <dataValidation sqref="AN2:AN8" showDropDown="0" showInputMessage="0" showErrorMessage="0" allowBlank="1" type="list">
      <formula1>"Yes,No"</formula1>
    </dataValidation>
    <dataValidation sqref="AP2:AP8" showDropDown="0" showInputMessage="0" showErrorMessage="0" allowBlank="1" type="list">
      <formula1>"Yes,No"</formula1>
    </dataValidation>
    <dataValidation sqref="AR2:AR8" showDropDown="0" showInputMessage="0" showErrorMessage="0" allowBlank="1" type="list">
      <formula1>"Yes,No"</formula1>
    </dataValidation>
    <dataValidation sqref="AT2:AT8" showDropDown="0" showInputMessage="0" showErrorMessage="0" allowBlank="1" type="list">
      <formula1>"No,Yes"</formula1>
    </dataValidation>
    <dataValidation sqref="AV2:AV8" showDropDown="0" showInputMessage="0" showErrorMessage="0" allowBlank="1" type="list">
      <formula1>"No,Yes"</formula1>
    </dataValidation>
    <dataValidation sqref="AX2:AX8" showDropDown="0" showInputMessage="0" showErrorMessage="0" allowBlank="1" type="list">
      <formula1>"No,Yes CEO Resignation,Yes CEO Retirement"</formula1>
    </dataValidation>
    <dataValidation sqref="AZ2:AZ8" showDropDown="0" showInputMessage="0" showErrorMessage="0" allowBlank="1" type="list">
      <formula1>"No,Yes"</formula1>
    </dataValidation>
    <dataValidation sqref="BB2:BB8" showDropDown="0" showInputMessage="0" showErrorMessage="0" allowBlank="1" type="list">
      <formula1>"No,Yes"</formula1>
    </dataValidation>
    <dataValidation sqref="BD2:BD8" showDropDown="0" showInputMessage="0" showErrorMessage="0" allowBlank="1" type="list">
      <formula1>"Yes,No"</formula1>
    </dataValidation>
    <dataValidation sqref="BF2:BF8" showDropDown="0" showInputMessage="0" showErrorMessage="0" allowBlank="1" type="list">
      <formula1>"Yes,No"</formula1>
    </dataValidation>
    <dataValidation sqref="BH2:BH8" showDropDown="0" showInputMessage="0" showErrorMessage="0" allowBlank="1" type="list">
      <formula1>"Yes,No"</formula1>
    </dataValidation>
    <dataValidation sqref="BJ2:BJ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8" showDropDown="0" showInputMessage="0" showErrorMessage="0" allowBlank="1" type="list">
      <formula1>"Above 40,20 to 40,0 to 20"</formula1>
    </dataValidation>
    <dataValidation sqref="BN2:BN8" showDropDown="0" showInputMessage="0" showErrorMessage="0" allowBlank="1" type="list">
      <formula1>"Between 50 to 75,Above 75,Below 45"</formula1>
    </dataValidation>
    <dataValidation sqref="BP2:BP8" showDropDown="0" showInputMessage="0" showErrorMessage="0" allowBlank="1" type="list">
      <formula1>"Stage 1,Stage 2,Stage 3,Stage 4"</formula1>
    </dataValidation>
    <dataValidation sqref="BR2:BR8" showDropDown="0" showInputMessage="0" showErrorMessage="0" allowBlank="1" type="list">
      <formula1>"Positive Trend,Negative Trend"</formula1>
    </dataValidation>
    <dataValidation sqref="BT2:BT8" showDropDown="0" showInputMessage="0" showErrorMessage="0" allowBlank="1" type="list">
      <formula1>"Uptrend,Sideways,Downtrend"</formula1>
    </dataValidation>
    <dataValidation sqref="BV2:BV8" showDropDown="0" showInputMessage="0" showErrorMessage="0" allowBlank="1" type="list">
      <formula1>"Uptrend,Sideways,Downtrend"</formula1>
    </dataValidation>
    <dataValidation sqref="BX2:BX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6" customWidth="1" min="4" max="4"/>
    <col width="12" customWidth="1" min="5" max="5"/>
    <col width="16" customWidth="1" min="6" max="6"/>
    <col width="18" customWidth="1" min="7" max="7"/>
    <col width="21" customWidth="1" min="8" max="8"/>
    <col width="22" customWidth="1" min="9" max="9"/>
    <col width="29" customWidth="1" min="10" max="10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 Name</t>
        </is>
      </c>
      <c r="E1" s="29" t="inlineStr">
        <is>
          <t>Industry</t>
        </is>
      </c>
      <c r="F1" s="29" t="inlineStr">
        <is>
          <t>Common Count</t>
        </is>
      </c>
      <c r="G1" s="29" t="inlineStr">
        <is>
          <t>Scanner Signal</t>
        </is>
      </c>
      <c r="H1" s="29" t="inlineStr">
        <is>
          <t>Chartink Universe</t>
        </is>
      </c>
      <c r="I1" s="29" t="inlineStr">
        <is>
          <t>Scan Matches Count</t>
        </is>
      </c>
      <c r="J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MATCH(C2, 'Monit Non Financial'!$C$2:$C$400, 0)), IFERROR(INDEX('Monit Banks NBFC'!$B$2:$B$100, MATCH(C2, 'Monit Banks NBFC'!$C$2:$C$100, 0)), 0))</f>
        <v/>
      </c>
      <c r="C2" s="30" t="inlineStr">
        <is>
          <t>VENUSREM</t>
        </is>
      </c>
      <c r="D2" s="30" t="inlineStr">
        <is>
          <t>Venus Remedies Limited</t>
        </is>
      </c>
      <c r="E2" s="30" t="inlineStr">
        <is>
          <t>Pharmaceuticals - I V Fluids</t>
        </is>
      </c>
      <c r="F2" s="30" t="n">
        <v>3</v>
      </c>
      <c r="G2" s="30" t="inlineStr">
        <is>
          <t>52W Breakout</t>
        </is>
      </c>
      <c r="H2" s="30" t="inlineStr">
        <is>
          <t>Yes</t>
        </is>
      </c>
      <c r="I2" s="30" t="n">
        <v>27</v>
      </c>
      <c r="J2" s="30" t="n">
        <v>17</v>
      </c>
    </row>
    <row r="3">
      <c r="A3" s="30">
        <f>IF(B3=0,"",ROW()-1)</f>
        <v/>
      </c>
      <c r="B3" s="31">
        <f>IFERROR(INDEX('Monit Non Financial'!$B$2:$B$400, MATCH(C3, 'Monit Non Financial'!$C$2:$C$400, 0)), IFERROR(INDEX('Monit Banks NBFC'!$B$2:$B$100, MATCH(C3, 'Monit Banks NBFC'!$C$2:$C$100, 0)), 0))</f>
        <v/>
      </c>
      <c r="C3" s="30" t="inlineStr">
        <is>
          <t>NETWEB</t>
        </is>
      </c>
      <c r="D3" s="30" t="inlineStr">
        <is>
          <t>Netweb Technologies India Ltd</t>
        </is>
      </c>
      <c r="E3" s="30" t="inlineStr">
        <is>
          <t>Data Centre</t>
        </is>
      </c>
      <c r="F3" s="30" t="n">
        <v>3</v>
      </c>
      <c r="G3" s="30" t="inlineStr">
        <is>
          <t>52W Breakout</t>
        </is>
      </c>
      <c r="H3" s="30" t="inlineStr">
        <is>
          <t>Yes</t>
        </is>
      </c>
      <c r="I3" s="30" t="n">
        <v>24</v>
      </c>
      <c r="J3" s="30" t="n">
        <v>19</v>
      </c>
    </row>
    <row r="4">
      <c r="A4" s="30">
        <f>IF(B4=0,"",ROW()-1)</f>
        <v/>
      </c>
      <c r="B4" s="31">
        <f>IFERROR(INDEX('Monit Non Financial'!$B$2:$B$400, MATCH(C4, 'Monit Non Financial'!$C$2:$C$400, 0)), IFERROR(INDEX('Monit Banks NBFC'!$B$2:$B$100, MATCH(C4, 'Monit Banks NBFC'!$C$2:$C$100, 0)), 0))</f>
        <v/>
      </c>
      <c r="C4" s="30" t="inlineStr">
        <is>
          <t>GVPIL</t>
        </is>
      </c>
      <c r="D4" s="30" t="inlineStr">
        <is>
          <t>GE Power India Ltd</t>
        </is>
      </c>
      <c r="E4" s="30" t="inlineStr">
        <is>
          <t>Infra - General</t>
        </is>
      </c>
      <c r="F4" s="30" t="n">
        <v>3</v>
      </c>
      <c r="G4" s="30" t="inlineStr">
        <is>
          <t>52W Breakout</t>
        </is>
      </c>
      <c r="H4" s="30" t="inlineStr">
        <is>
          <t>Yes</t>
        </is>
      </c>
      <c r="I4" s="30" t="n">
        <v>22</v>
      </c>
      <c r="J4" s="30" t="n">
        <v>30</v>
      </c>
    </row>
    <row r="5">
      <c r="A5" s="30">
        <f>IF(B5=0,"",ROW()-1)</f>
        <v/>
      </c>
      <c r="B5" s="31">
        <f>IFERROR(INDEX('Monit Non Financial'!$B$2:$B$400, MATCH(C5, 'Monit Non Financial'!$C$2:$C$400, 0)), IFERROR(INDEX('Monit Banks NBFC'!$B$2:$B$100, MATCH(C5, 'Monit Banks NBFC'!$C$2:$C$100, 0)), 0))</f>
        <v/>
      </c>
      <c r="C5" s="30" t="inlineStr">
        <is>
          <t>SYRMA</t>
        </is>
      </c>
      <c r="D5" s="30" t="inlineStr">
        <is>
          <t>Syrma SGS Technology Ltd</t>
        </is>
      </c>
      <c r="E5" s="30" t="inlineStr">
        <is>
          <t>Consumer Electronics - EMS</t>
        </is>
      </c>
      <c r="F5" s="30" t="n">
        <v>3</v>
      </c>
      <c r="G5" s="30" t="inlineStr">
        <is>
          <t>52W Breakout</t>
        </is>
      </c>
      <c r="H5" s="30" t="inlineStr">
        <is>
          <t>Yes</t>
        </is>
      </c>
      <c r="I5" s="30" t="n">
        <v>22</v>
      </c>
      <c r="J5" s="30" t="n">
        <v>27</v>
      </c>
    </row>
    <row r="6">
      <c r="A6" s="30">
        <f>IF(B6=0,"",ROW()-1)</f>
        <v/>
      </c>
      <c r="B6" s="31">
        <f>IFERROR(INDEX('Monit Non Financial'!$B$2:$B$400, MATCH(C6, 'Monit Non Financial'!$C$2:$C$400, 0)), IFERROR(INDEX('Monit Banks NBFC'!$B$2:$B$100, MATCH(C6, 'Monit Banks NBFC'!$C$2:$C$100, 0)), 0))</f>
        <v/>
      </c>
      <c r="C6" s="30" t="inlineStr">
        <is>
          <t>MODISONLTD</t>
        </is>
      </c>
      <c r="D6" s="30" t="inlineStr">
        <is>
          <t>Modison Ltd</t>
        </is>
      </c>
      <c r="E6" s="30" t="inlineStr">
        <is>
          <t>Capital Goods - Electric General</t>
        </is>
      </c>
      <c r="F6" s="30" t="n">
        <v>3</v>
      </c>
      <c r="G6" s="30" t="inlineStr">
        <is>
          <t>52W Breakout</t>
        </is>
      </c>
      <c r="H6" s="30" t="inlineStr">
        <is>
          <t>Yes</t>
        </is>
      </c>
      <c r="I6" s="30" t="n">
        <v>31</v>
      </c>
      <c r="J6" s="30" t="n">
        <v>28</v>
      </c>
    </row>
    <row r="7">
      <c r="A7" s="30">
        <f>IF(B7=0,"",ROW()-1)</f>
        <v/>
      </c>
      <c r="B7" s="31">
        <f>IFERROR(INDEX('Monit Non Financial'!$B$2:$B$400, MATCH(C7, 'Monit Non Financial'!$C$2:$C$400, 0)), IFERROR(INDEX('Monit Banks NBFC'!$B$2:$B$100, MATCH(C7, 'Monit Banks NBFC'!$C$2:$C$100, 0)), 0))</f>
        <v/>
      </c>
      <c r="C7" s="30" t="inlineStr">
        <is>
          <t>ACUTAAS</t>
        </is>
      </c>
      <c r="D7" s="30" t="inlineStr">
        <is>
          <t>Acutaas Chemicals Ltd</t>
        </is>
      </c>
      <c r="E7" s="30" t="inlineStr">
        <is>
          <t>Pharma - API &amp; CRAMS</t>
        </is>
      </c>
      <c r="F7" s="30" t="n">
        <v>3</v>
      </c>
      <c r="G7" s="30" t="inlineStr">
        <is>
          <t>52W Breakout</t>
        </is>
      </c>
      <c r="H7" s="30" t="inlineStr">
        <is>
          <t>Yes</t>
        </is>
      </c>
      <c r="I7" s="30" t="n">
        <v>28</v>
      </c>
      <c r="J7" s="30" t="n">
        <v>30</v>
      </c>
    </row>
    <row r="8">
      <c r="A8" s="30">
        <f>IF(B8=0,"",ROW()-1)</f>
        <v/>
      </c>
      <c r="B8" s="31">
        <f>IFERROR(INDEX('Monit Non Financial'!$B$2:$B$400, MATCH(C8, 'Monit Non Financial'!$C$2:$C$400, 0)), IFERROR(INDEX('Monit Banks NBFC'!$B$2:$B$100, MATCH(C8, 'Monit Banks NBFC'!$C$2:$C$100, 0)), 0))</f>
        <v/>
      </c>
      <c r="C8" s="30" t="inlineStr">
        <is>
          <t>STLTECH</t>
        </is>
      </c>
      <c r="D8" s="30" t="inlineStr">
        <is>
          <t>Sterlite Technologies Limited</t>
        </is>
      </c>
      <c r="E8" s="30" t="inlineStr">
        <is>
          <t>Cables - Telecom</t>
        </is>
      </c>
      <c r="F8" s="30" t="n">
        <v>3</v>
      </c>
      <c r="G8" s="30" t="inlineStr">
        <is>
          <t>52W Breakout</t>
        </is>
      </c>
      <c r="H8" s="30" t="inlineStr">
        <is>
          <t>Yes</t>
        </is>
      </c>
      <c r="I8" s="30" t="n">
        <v>20</v>
      </c>
      <c r="J8" s="30" t="n">
        <v>30</v>
      </c>
    </row>
    <row r="9">
      <c r="A9" s="30">
        <f>IF(B9=0,"",ROW()-1)</f>
        <v/>
      </c>
      <c r="B9" s="31">
        <f>IFERROR(INDEX('Monit Non Financial'!$B$2:$B$400, MATCH(C9, 'Monit Non Financial'!$C$2:$C$400, 0)), IFERROR(INDEX('Monit Banks NBFC'!$B$2:$B$100, MATCH(C9, 'Monit Banks NBFC'!$C$2:$C$100, 0)), 0))</f>
        <v/>
      </c>
      <c r="C9" s="30" t="inlineStr">
        <is>
          <t>CEMPRO</t>
        </is>
      </c>
      <c r="D9" s="30" t="inlineStr">
        <is>
          <t>Cemindia Projects Ltd</t>
        </is>
      </c>
      <c r="E9" s="30" t="inlineStr">
        <is>
          <t>Infra - Construction &amp; Contracting</t>
        </is>
      </c>
      <c r="F9" s="30" t="n">
        <v>3</v>
      </c>
      <c r="G9" s="30" t="inlineStr">
        <is>
          <t>52W Breakout</t>
        </is>
      </c>
      <c r="H9" s="30" t="inlineStr">
        <is>
          <t>Yes</t>
        </is>
      </c>
      <c r="I9" s="30" t="n">
        <v>21</v>
      </c>
      <c r="J9" s="30" t="n">
        <v>27</v>
      </c>
    </row>
    <row r="10">
      <c r="A10" s="30">
        <f>IF(B10=0,"",ROW()-1)</f>
        <v/>
      </c>
      <c r="B10" s="31">
        <f>IFERROR(INDEX('Monit Non Financial'!$B$2:$B$400, MATCH(C10, 'Monit Non Financial'!$C$2:$C$400, 0)), IFERROR(INDEX('Monit Banks NBFC'!$B$2:$B$100, MATCH(C10, 'Monit Banks NBFC'!$C$2:$C$100, 0)), 0))</f>
        <v/>
      </c>
      <c r="C10" s="30" t="inlineStr">
        <is>
          <t>SIGMAADV</t>
        </is>
      </c>
      <c r="D10" s="30" t="inlineStr">
        <is>
          <t>Sigma Advanced System Ltd</t>
        </is>
      </c>
      <c r="E10" s="30" t="inlineStr">
        <is>
          <t>Aerospace &amp; Defence - Equipments</t>
        </is>
      </c>
      <c r="F10" s="30" t="n">
        <v>3</v>
      </c>
      <c r="G10" s="30" t="inlineStr">
        <is>
          <t>52W Breakout</t>
        </is>
      </c>
      <c r="H10" s="30" t="inlineStr">
        <is>
          <t>Yes</t>
        </is>
      </c>
      <c r="I10" s="30" t="n">
        <v>32</v>
      </c>
      <c r="J10" s="30" t="n">
        <v>30</v>
      </c>
    </row>
    <row r="11">
      <c r="A11" s="30">
        <f>IF(B11=0,"",ROW()-1)</f>
        <v/>
      </c>
      <c r="B11" s="31">
        <f>IFERROR(INDEX('Monit Non Financial'!$B$2:$B$400, MATCH(C11, 'Monit Non Financial'!$C$2:$C$400, 0)), IFERROR(INDEX('Monit Banks NBFC'!$B$2:$B$100, MATCH(C11, 'Monit Banks NBFC'!$C$2:$C$100, 0)), 0))</f>
        <v/>
      </c>
      <c r="C11" s="30" t="inlineStr">
        <is>
          <t>SHILPAMED</t>
        </is>
      </c>
      <c r="D11" s="30" t="inlineStr">
        <is>
          <t>Shilpa Medicare Limited</t>
        </is>
      </c>
      <c r="E11" s="30" t="inlineStr">
        <is>
          <t>Pharma - API &amp; CRAMS</t>
        </is>
      </c>
      <c r="F11" s="30" t="n">
        <v>3</v>
      </c>
      <c r="G11" s="30" t="inlineStr">
        <is>
          <t>52W Breakout</t>
        </is>
      </c>
      <c r="H11" s="30" t="inlineStr">
        <is>
          <t>Yes</t>
        </is>
      </c>
      <c r="I11" s="30" t="n">
        <v>22</v>
      </c>
      <c r="J11" s="30" t="n">
        <v>30</v>
      </c>
    </row>
    <row r="12">
      <c r="A12" s="30">
        <f>IF(B12=0,"",ROW()-1)</f>
        <v/>
      </c>
      <c r="B12" s="31">
        <f>IFERROR(INDEX('Monit Non Financial'!$B$2:$B$400, MATCH(C12, 'Monit Non Financial'!$C$2:$C$400, 0)), IFERROR(INDEX('Monit Banks NBFC'!$B$2:$B$100, MATCH(C12, 'Monit Banks NBFC'!$C$2:$C$100, 0)), 0))</f>
        <v/>
      </c>
      <c r="C12" s="30" t="inlineStr">
        <is>
          <t>RRKABEL</t>
        </is>
      </c>
      <c r="D12" s="30" t="inlineStr">
        <is>
          <t>R R Kabel Ltd</t>
        </is>
      </c>
      <c r="E12" s="30" t="inlineStr">
        <is>
          <t>Cables - Power</t>
        </is>
      </c>
      <c r="F12" s="30" t="n">
        <v>3</v>
      </c>
      <c r="G12" s="30" t="inlineStr">
        <is>
          <t>52W Breakout</t>
        </is>
      </c>
      <c r="H12" s="30" t="inlineStr">
        <is>
          <t>Yes</t>
        </is>
      </c>
      <c r="I12" s="30" t="n">
        <v>22</v>
      </c>
      <c r="J12" s="30" t="n">
        <v>30</v>
      </c>
    </row>
    <row r="13">
      <c r="A13" s="30">
        <f>IF(B13=0,"",ROW()-1)</f>
        <v/>
      </c>
      <c r="B13" s="31">
        <f>IFERROR(INDEX('Monit Non Financial'!$B$2:$B$400, MATCH(C13, 'Monit Non Financial'!$C$2:$C$400, 0)), IFERROR(INDEX('Monit Banks NBFC'!$B$2:$B$100, MATCH(C13, 'Monit Banks NBFC'!$C$2:$C$100, 0)), 0))</f>
        <v/>
      </c>
      <c r="C13" s="30" t="inlineStr">
        <is>
          <t>SHYAMMETL</t>
        </is>
      </c>
      <c r="D13" s="30" t="inlineStr">
        <is>
          <t>Shyam Metalics &amp; Energy Ltd</t>
        </is>
      </c>
      <c r="E13" s="30" t="inlineStr">
        <is>
          <t>Steel Products</t>
        </is>
      </c>
      <c r="F13" s="30" t="n">
        <v>3</v>
      </c>
      <c r="G13" s="30" t="inlineStr">
        <is>
          <t>52W Breakout</t>
        </is>
      </c>
      <c r="H13" s="30" t="inlineStr">
        <is>
          <t>Yes</t>
        </is>
      </c>
      <c r="I13" s="30" t="n">
        <v>22</v>
      </c>
      <c r="J13" s="30" t="n">
        <v>26</v>
      </c>
    </row>
    <row r="14">
      <c r="A14" s="30">
        <f>IF(B14=0,"",ROW()-1)</f>
        <v/>
      </c>
      <c r="B14" s="31">
        <f>IFERROR(INDEX('Monit Non Financial'!$B$2:$B$400, MATCH(C14, 'Monit Non Financial'!$C$2:$C$400, 0)), IFERROR(INDEX('Monit Banks NBFC'!$B$2:$B$100, MATCH(C14, 'Monit Banks NBFC'!$C$2:$C$100, 0)), 0))</f>
        <v/>
      </c>
      <c r="C14" s="30" t="inlineStr">
        <is>
          <t>V2RETAIL</t>
        </is>
      </c>
      <c r="D14" s="30" t="inlineStr">
        <is>
          <t>V2 Retail Limited</t>
        </is>
      </c>
      <c r="E14" s="30" t="inlineStr">
        <is>
          <t>Textiles - Readymade Apparel</t>
        </is>
      </c>
      <c r="F14" s="30" t="n">
        <v>3</v>
      </c>
      <c r="G14" s="30" t="inlineStr">
        <is>
          <t>52W Breakout</t>
        </is>
      </c>
      <c r="H14" s="30" t="inlineStr">
        <is>
          <t>Yes</t>
        </is>
      </c>
      <c r="I14" s="30" t="n">
        <v>25</v>
      </c>
      <c r="J14" s="30" t="n">
        <v>25</v>
      </c>
    </row>
    <row r="15">
      <c r="A15" s="30">
        <f>IF(B15=0,"",ROW()-1)</f>
        <v/>
      </c>
      <c r="B15" s="31">
        <f>IFERROR(INDEX('Monit Non Financial'!$B$2:$B$400, MATCH(C15, 'Monit Non Financial'!$C$2:$C$400, 0)), IFERROR(INDEX('Monit Banks NBFC'!$B$2:$B$100, MATCH(C15, 'Monit Banks NBFC'!$C$2:$C$100, 0)), 0))</f>
        <v/>
      </c>
      <c r="C15" s="30" t="inlineStr">
        <is>
          <t>BAJAJCON</t>
        </is>
      </c>
      <c r="D15" s="30" t="inlineStr">
        <is>
          <t>Bajaj Consumer Care Ltd</t>
        </is>
      </c>
      <c r="E15" s="30" t="inlineStr">
        <is>
          <t>FMCG - Personal Care</t>
        </is>
      </c>
      <c r="F15" s="30" t="n">
        <v>2</v>
      </c>
      <c r="G15" s="30" t="inlineStr">
        <is>
          <t>No</t>
        </is>
      </c>
      <c r="H15" s="30" t="inlineStr">
        <is>
          <t>Yes</t>
        </is>
      </c>
      <c r="I15" s="30" t="n">
        <v>25</v>
      </c>
      <c r="J15" s="30" t="n">
        <v>30</v>
      </c>
    </row>
    <row r="16">
      <c r="A16" s="30">
        <f>IF(B16=0,"",ROW()-1)</f>
        <v/>
      </c>
      <c r="B16" s="31">
        <f>IFERROR(INDEX('Monit Non Financial'!$B$2:$B$400, MATCH(C16, 'Monit Non Financial'!$C$2:$C$400, 0)), IFERROR(INDEX('Monit Banks NBFC'!$B$2:$B$100, MATCH(C16, 'Monit Banks NBFC'!$C$2:$C$100, 0)), 0))</f>
        <v/>
      </c>
      <c r="C16" s="30" t="inlineStr">
        <is>
          <t>IBULLSLTD</t>
        </is>
      </c>
      <c r="D16" s="30" t="inlineStr">
        <is>
          <t>Indiabulls Limited</t>
        </is>
      </c>
      <c r="E16" s="30" t="inlineStr">
        <is>
          <t>Diversified</t>
        </is>
      </c>
      <c r="F16" s="30" t="n">
        <v>2</v>
      </c>
      <c r="G16" s="30" t="inlineStr">
        <is>
          <t>No</t>
        </is>
      </c>
      <c r="H16" s="30" t="inlineStr">
        <is>
          <t>Yes</t>
        </is>
      </c>
      <c r="I16" s="30" t="n">
        <v>22</v>
      </c>
      <c r="J16" s="30" t="n">
        <v>25</v>
      </c>
    </row>
    <row r="17">
      <c r="A17" s="30">
        <f>IF(B17=0,"",ROW()-1)</f>
        <v/>
      </c>
      <c r="B17" s="31">
        <f>IFERROR(INDEX('Monit Non Financial'!$B$2:$B$400, MATCH(C17, 'Monit Non Financial'!$C$2:$C$400, 0)), IFERROR(INDEX('Monit Banks NBFC'!$B$2:$B$100, MATCH(C17, 'Monit Banks NBFC'!$C$2:$C$100, 0)), 0))</f>
        <v/>
      </c>
      <c r="C17" s="30" t="inlineStr">
        <is>
          <t>RBLBANK</t>
        </is>
      </c>
      <c r="D17" s="30" t="inlineStr">
        <is>
          <t>Rbl Bank Limited</t>
        </is>
      </c>
      <c r="E17" s="30" t="inlineStr">
        <is>
          <t>Banks - Private</t>
        </is>
      </c>
      <c r="F17" s="30" t="n">
        <v>2</v>
      </c>
      <c r="G17" s="30" t="inlineStr">
        <is>
          <t>52W Breakout</t>
        </is>
      </c>
      <c r="H17" s="30" t="inlineStr">
        <is>
          <t>Yes</t>
        </is>
      </c>
      <c r="I17" s="30" t="n">
        <v>10</v>
      </c>
      <c r="J17" s="30" t="n">
        <v>22</v>
      </c>
    </row>
    <row r="18">
      <c r="A18" s="30">
        <f>IF(B18=0,"",ROW()-1)</f>
        <v/>
      </c>
      <c r="B18" s="31">
        <f>IFERROR(INDEX('Monit Non Financial'!$B$2:$B$400, MATCH(C18, 'Monit Non Financial'!$C$2:$C$400, 0)), IFERROR(INDEX('Monit Banks NBFC'!$B$2:$B$100, MATCH(C18, 'Monit Banks NBFC'!$C$2:$C$100, 0)), 0))</f>
        <v/>
      </c>
      <c r="C18" s="30" t="inlineStr">
        <is>
          <t>GAYAPROJ</t>
        </is>
      </c>
      <c r="D18" s="30" t="inlineStr">
        <is>
          <t>Gayatri Projects Limited</t>
        </is>
      </c>
      <c r="E18" s="30" t="inlineStr">
        <is>
          <t>Construction - Civil/Turnkey</t>
        </is>
      </c>
      <c r="F18" s="30" t="n">
        <v>2</v>
      </c>
      <c r="G18" s="30" t="inlineStr">
        <is>
          <t>52W Breakout</t>
        </is>
      </c>
      <c r="H18" s="30" t="inlineStr">
        <is>
          <t>Yes</t>
        </is>
      </c>
      <c r="I18" s="30" t="n">
        <v>3</v>
      </c>
      <c r="J18" s="30" t="n">
        <v>23</v>
      </c>
    </row>
    <row r="19">
      <c r="A19" s="30">
        <f>IF(B19=0,"",ROW()-1)</f>
        <v/>
      </c>
      <c r="B19" s="31">
        <f>IFERROR(INDEX('Monit Non Financial'!$B$2:$B$400, MATCH(C19, 'Monit Non Financial'!$C$2:$C$400, 0)), IFERROR(INDEX('Monit Banks NBFC'!$B$2:$B$100, MATCH(C19, 'Monit Banks NBFC'!$C$2:$C$100, 0)), 0))</f>
        <v/>
      </c>
      <c r="C19" s="30" t="inlineStr">
        <is>
          <t>DHANBANK</t>
        </is>
      </c>
      <c r="D19" s="30" t="inlineStr">
        <is>
          <t>Dhanlaxmi Bank Limited</t>
        </is>
      </c>
      <c r="E19" s="30" t="inlineStr">
        <is>
          <t>Banks - Private</t>
        </is>
      </c>
      <c r="F19" s="30" t="n">
        <v>2</v>
      </c>
      <c r="G19" s="30" t="inlineStr">
        <is>
          <t>No</t>
        </is>
      </c>
      <c r="H19" s="30" t="inlineStr">
        <is>
          <t>Yes</t>
        </is>
      </c>
      <c r="I19" s="30" t="n">
        <v>21</v>
      </c>
      <c r="J19" s="30" t="n">
        <v>30</v>
      </c>
    </row>
    <row r="20">
      <c r="A20" s="30">
        <f>IF(B20=0,"",ROW()-1)</f>
        <v/>
      </c>
      <c r="B20" s="31">
        <f>IFERROR(INDEX('Monit Non Financial'!$B$2:$B$400, MATCH(C20, 'Monit Non Financial'!$C$2:$C$400, 0)), IFERROR(INDEX('Monit Banks NBFC'!$B$2:$B$100, MATCH(C20, 'Monit Banks NBFC'!$C$2:$C$100, 0)), 0))</f>
        <v/>
      </c>
      <c r="C20" s="30" t="inlineStr">
        <is>
          <t>INDOBORAX</t>
        </is>
      </c>
      <c r="D20" s="30" t="inlineStr">
        <is>
          <t>Indo Borax &amp; Chemicals Ltd</t>
        </is>
      </c>
      <c r="E20" s="30" t="inlineStr">
        <is>
          <t>Chemicals - Inorganic</t>
        </is>
      </c>
      <c r="F20" s="30" t="n">
        <v>2</v>
      </c>
      <c r="G20" s="30" t="inlineStr">
        <is>
          <t>No</t>
        </is>
      </c>
      <c r="H20" s="30" t="inlineStr">
        <is>
          <t>Yes</t>
        </is>
      </c>
      <c r="I20" s="30" t="n">
        <v>20</v>
      </c>
      <c r="J20" s="30" t="n">
        <v>28</v>
      </c>
    </row>
    <row r="21">
      <c r="A21" s="30">
        <f>IF(B21=0,"",ROW()-1)</f>
        <v/>
      </c>
      <c r="B21" s="31">
        <f>IFERROR(INDEX('Monit Non Financial'!$B$2:$B$400, MATCH(C21, 'Monit Non Financial'!$C$2:$C$400, 0)), IFERROR(INDEX('Monit Banks NBFC'!$B$2:$B$100, MATCH(C21, 'Monit Banks NBFC'!$C$2:$C$100, 0)), 0))</f>
        <v/>
      </c>
      <c r="C21" s="30" t="inlineStr">
        <is>
          <t>SEAMECLTD</t>
        </is>
      </c>
      <c r="D21" s="30" t="inlineStr">
        <is>
          <t>Seamec Limited</t>
        </is>
      </c>
      <c r="E21" s="30" t="inlineStr">
        <is>
          <t>Shipping</t>
        </is>
      </c>
      <c r="F21" s="30" t="n">
        <v>2</v>
      </c>
      <c r="G21" s="30" t="inlineStr">
        <is>
          <t>No</t>
        </is>
      </c>
      <c r="H21" s="30" t="inlineStr">
        <is>
          <t>Yes</t>
        </is>
      </c>
      <c r="I21" s="30" t="n">
        <v>20</v>
      </c>
      <c r="J21" s="30" t="n">
        <v>22</v>
      </c>
    </row>
    <row r="22">
      <c r="A22" s="30">
        <f>IF(B22=0,"",ROW()-1)</f>
        <v/>
      </c>
      <c r="B22" s="31">
        <f>IFERROR(INDEX('Monit Non Financial'!$B$2:$B$400, MATCH(C22, 'Monit Non Financial'!$C$2:$C$400, 0)), IFERROR(INDEX('Monit Banks NBFC'!$B$2:$B$100, MATCH(C22, 'Monit Banks NBFC'!$C$2:$C$100, 0)), 0))</f>
        <v/>
      </c>
      <c r="C22" s="30" t="inlineStr">
        <is>
          <t>GVT&amp;D</t>
        </is>
      </c>
      <c r="D22" s="30" t="inlineStr">
        <is>
          <t>GE Vernova T&amp;D India Ltd</t>
        </is>
      </c>
      <c r="E22" s="30" t="inlineStr">
        <is>
          <t>Electrical Equipments/HVDC</t>
        </is>
      </c>
      <c r="F22" s="30" t="n">
        <v>2</v>
      </c>
      <c r="G22" s="30" t="inlineStr">
        <is>
          <t>No</t>
        </is>
      </c>
      <c r="H22" s="30" t="inlineStr">
        <is>
          <t>Yes</t>
        </is>
      </c>
      <c r="I22" s="30" t="n">
        <v>21</v>
      </c>
      <c r="J22" s="30" t="n">
        <v>25</v>
      </c>
    </row>
    <row r="23">
      <c r="A23" s="30">
        <f>IF(B23=0,"",ROW()-1)</f>
        <v/>
      </c>
      <c r="B23" s="31">
        <f>IFERROR(INDEX('Monit Non Financial'!$B$2:$B$400, MATCH(C23, 'Monit Non Financial'!$C$2:$C$400, 0)), IFERROR(INDEX('Monit Banks NBFC'!$B$2:$B$100, MATCH(C23, 'Monit Banks NBFC'!$C$2:$C$100, 0)), 0))</f>
        <v/>
      </c>
      <c r="C23" s="30" t="inlineStr">
        <is>
          <t>MTARTECH</t>
        </is>
      </c>
      <c r="D23" s="30" t="inlineStr">
        <is>
          <t>MTAR Technologies Ltd</t>
        </is>
      </c>
      <c r="E23" s="30" t="inlineStr">
        <is>
          <t>Aerospace &amp; Defence - Equipments</t>
        </is>
      </c>
      <c r="F23" s="30" t="n">
        <v>2</v>
      </c>
      <c r="G23" s="30" t="inlineStr">
        <is>
          <t>No</t>
        </is>
      </c>
      <c r="H23" s="30" t="inlineStr">
        <is>
          <t>Yes</t>
        </is>
      </c>
      <c r="I23" s="30" t="n">
        <v>24</v>
      </c>
      <c r="J23" s="30" t="n">
        <v>29</v>
      </c>
    </row>
    <row r="24">
      <c r="A24" s="30">
        <f>IF(B24=0,"",ROW()-1)</f>
        <v/>
      </c>
      <c r="B24" s="31">
        <f>IFERROR(INDEX('Monit Non Financial'!$B$2:$B$400, MATCH(C24, 'Monit Non Financial'!$C$2:$C$400, 0)), IFERROR(INDEX('Monit Banks NBFC'!$B$2:$B$100, MATCH(C24, 'Monit Banks NBFC'!$C$2:$C$100, 0)), 0))</f>
        <v/>
      </c>
      <c r="C24" s="30" t="inlineStr">
        <is>
          <t>ATHERENERG</t>
        </is>
      </c>
      <c r="D24" s="30" t="inlineStr">
        <is>
          <t>Ather Energy Ltd</t>
        </is>
      </c>
      <c r="E24" s="30" t="inlineStr">
        <is>
          <t>unknown</t>
        </is>
      </c>
      <c r="F24" s="30" t="n">
        <v>2</v>
      </c>
      <c r="G24" s="30" t="inlineStr">
        <is>
          <t>No</t>
        </is>
      </c>
      <c r="H24" s="30" t="inlineStr">
        <is>
          <t>Yes</t>
        </is>
      </c>
      <c r="I24" s="30" t="n">
        <v>0</v>
      </c>
      <c r="J24" s="30" t="n">
        <v>16</v>
      </c>
    </row>
    <row r="25">
      <c r="A25" s="30">
        <f>IF(B25=0,"",ROW()-1)</f>
        <v/>
      </c>
      <c r="B25" s="31">
        <f>IFERROR(INDEX('Monit Non Financial'!$B$2:$B$400, MATCH(C25, 'Monit Non Financial'!$C$2:$C$400, 0)), IFERROR(INDEX('Monit Banks NBFC'!$B$2:$B$100, MATCH(C25, 'Monit Banks NBFC'!$C$2:$C$100, 0)), 0))</f>
        <v/>
      </c>
      <c r="C25" s="30" t="inlineStr">
        <is>
          <t>PGHL</t>
        </is>
      </c>
      <c r="D25" s="30" t="inlineStr">
        <is>
          <t>Procter &amp; Gamble Health Ltd</t>
        </is>
      </c>
      <c r="E25" s="30" t="inlineStr">
        <is>
          <t>Pharma - MNC bulk Drugs</t>
        </is>
      </c>
      <c r="F25" s="30" t="n">
        <v>2</v>
      </c>
      <c r="G25" s="30" t="inlineStr">
        <is>
          <t>No</t>
        </is>
      </c>
      <c r="H25" s="30" t="inlineStr">
        <is>
          <t>Yes</t>
        </is>
      </c>
      <c r="I25" s="30" t="n">
        <v>19</v>
      </c>
      <c r="J25" s="30" t="n">
        <v>13</v>
      </c>
    </row>
    <row r="26">
      <c r="A26" s="30">
        <f>IF(B26=0,"",ROW()-1)</f>
        <v/>
      </c>
      <c r="B26" s="31">
        <f>IFERROR(INDEX('Monit Non Financial'!$B$2:$B$400, MATCH(C26, 'Monit Non Financial'!$C$2:$C$400, 0)), IFERROR(INDEX('Monit Banks NBFC'!$B$2:$B$100, MATCH(C26, 'Monit Banks NBFC'!$C$2:$C$100, 0)), 0))</f>
        <v/>
      </c>
      <c r="C26" s="30" t="inlineStr">
        <is>
          <t>SATIN</t>
        </is>
      </c>
      <c r="D26" s="30" t="inlineStr">
        <is>
          <t>Satin Creditcare Network Limited</t>
        </is>
      </c>
      <c r="E26" s="30" t="inlineStr">
        <is>
          <t>Finance &amp; Investments - Microfinance</t>
        </is>
      </c>
      <c r="F26" s="30" t="n">
        <v>2</v>
      </c>
      <c r="G26" s="30" t="inlineStr">
        <is>
          <t>No</t>
        </is>
      </c>
      <c r="H26" s="30" t="inlineStr">
        <is>
          <t>Yes</t>
        </is>
      </c>
      <c r="I26" s="30" t="n">
        <v>25</v>
      </c>
      <c r="J26" s="30" t="n">
        <v>30</v>
      </c>
    </row>
    <row r="27">
      <c r="A27" s="30">
        <f>IF(B27=0,"",ROW()-1)</f>
        <v/>
      </c>
      <c r="B27" s="31">
        <f>IFERROR(INDEX('Monit Non Financial'!$B$2:$B$400, MATCH(C27, 'Monit Non Financial'!$C$2:$C$400, 0)), IFERROR(INDEX('Monit Banks NBFC'!$B$2:$B$100, MATCH(C27, 'Monit Banks NBFC'!$C$2:$C$100, 0)), 0))</f>
        <v/>
      </c>
      <c r="C27" s="30" t="inlineStr">
        <is>
          <t>IOLCP</t>
        </is>
      </c>
      <c r="D27" s="30" t="inlineStr">
        <is>
          <t>Iol Chemicals And Pharmaceuticals Limited</t>
        </is>
      </c>
      <c r="E27" s="30" t="inlineStr">
        <is>
          <t>Pharma - API &amp; CRAMS</t>
        </is>
      </c>
      <c r="F27" s="30" t="n">
        <v>2</v>
      </c>
      <c r="G27" s="30" t="inlineStr">
        <is>
          <t>No</t>
        </is>
      </c>
      <c r="H27" s="30" t="inlineStr">
        <is>
          <t>Yes</t>
        </is>
      </c>
      <c r="I27" s="30" t="n">
        <v>20</v>
      </c>
      <c r="J27" s="30" t="n">
        <v>21</v>
      </c>
    </row>
    <row r="28">
      <c r="A28" s="30">
        <f>IF(B28=0,"",ROW()-1)</f>
        <v/>
      </c>
      <c r="B28" s="31">
        <f>IFERROR(INDEX('Monit Non Financial'!$B$2:$B$400, MATCH(C28, 'Monit Non Financial'!$C$2:$C$400, 0)), IFERROR(INDEX('Monit Banks NBFC'!$B$2:$B$100, MATCH(C28, 'Monit Banks NBFC'!$C$2:$C$100, 0)), 0))</f>
        <v/>
      </c>
      <c r="C28" s="30" t="inlineStr">
        <is>
          <t>BLISSGVS</t>
        </is>
      </c>
      <c r="D28" s="30" t="inlineStr">
        <is>
          <t>Bliss Gvs Pharma Limited</t>
        </is>
      </c>
      <c r="E28" s="30" t="inlineStr">
        <is>
          <t>Pharma - Formulators</t>
        </is>
      </c>
      <c r="F28" s="30" t="n">
        <v>2</v>
      </c>
      <c r="G28" s="30" t="inlineStr">
        <is>
          <t>No</t>
        </is>
      </c>
      <c r="H28" s="30" t="inlineStr">
        <is>
          <t>Yes</t>
        </is>
      </c>
      <c r="I28" s="30" t="n">
        <v>26</v>
      </c>
      <c r="J28" s="30" t="n">
        <v>30</v>
      </c>
    </row>
    <row r="29">
      <c r="A29" s="30">
        <f>IF(B29=0,"",ROW()-1)</f>
        <v/>
      </c>
      <c r="B29" s="31">
        <f>IFERROR(INDEX('Monit Non Financial'!$B$2:$B$400, MATCH(C29, 'Monit Non Financial'!$C$2:$C$400, 0)), IFERROR(INDEX('Monit Banks NBFC'!$B$2:$B$100, MATCH(C29, 'Monit Banks NBFC'!$C$2:$C$100, 0)), 0))</f>
        <v/>
      </c>
      <c r="C29" s="30" t="inlineStr">
        <is>
          <t>GLAND</t>
        </is>
      </c>
      <c r="D29" s="30" t="inlineStr">
        <is>
          <t>Gland Pharma Ltd</t>
        </is>
      </c>
      <c r="E29" s="30" t="inlineStr">
        <is>
          <t>Pharma - API &amp; CRAMS</t>
        </is>
      </c>
      <c r="F29" s="30" t="n">
        <v>2</v>
      </c>
      <c r="G29" s="30" t="inlineStr">
        <is>
          <t>No</t>
        </is>
      </c>
      <c r="H29" s="30" t="inlineStr">
        <is>
          <t>Yes</t>
        </is>
      </c>
      <c r="I29" s="30" t="n">
        <v>20</v>
      </c>
      <c r="J29" s="30" t="n">
        <v>25</v>
      </c>
    </row>
    <row r="30">
      <c r="A30" s="30">
        <f>IF(B30=0,"",ROW()-1)</f>
        <v/>
      </c>
      <c r="B30" s="31">
        <f>IFERROR(INDEX('Monit Non Financial'!$B$2:$B$400, MATCH(C30, 'Monit Non Financial'!$C$2:$C$400, 0)), IFERROR(INDEX('Monit Banks NBFC'!$B$2:$B$100, MATCH(C30, 'Monit Banks NBFC'!$C$2:$C$100, 0)), 0))</f>
        <v/>
      </c>
      <c r="C30" s="30" t="inlineStr">
        <is>
          <t>BHAGYANGR</t>
        </is>
      </c>
      <c r="D30" s="30" t="inlineStr">
        <is>
          <t>Bhagyanagar India</t>
        </is>
      </c>
      <c r="E30" s="30" t="inlineStr">
        <is>
          <t>Recycling</t>
        </is>
      </c>
      <c r="F30" s="30" t="n">
        <v>2</v>
      </c>
      <c r="G30" s="30" t="inlineStr">
        <is>
          <t>No</t>
        </is>
      </c>
      <c r="H30" s="30" t="inlineStr">
        <is>
          <t>Yes</t>
        </is>
      </c>
      <c r="I30" s="30" t="n">
        <v>22</v>
      </c>
      <c r="J30" s="30" t="n">
        <v>24</v>
      </c>
    </row>
    <row r="31">
      <c r="A31" s="30">
        <f>IF(B31=0,"",ROW()-1)</f>
        <v/>
      </c>
      <c r="B31" s="31">
        <f>IFERROR(INDEX('Monit Non Financial'!$B$2:$B$400, MATCH(C31, 'Monit Non Financial'!$C$2:$C$400, 0)), IFERROR(INDEX('Monit Banks NBFC'!$B$2:$B$100, MATCH(C31, 'Monit Banks NBFC'!$C$2:$C$100, 0)), 0))</f>
        <v/>
      </c>
      <c r="C31" s="30" t="inlineStr">
        <is>
          <t>ASTRAMICRO</t>
        </is>
      </c>
      <c r="D31" s="30" t="inlineStr">
        <is>
          <t>Astra Microwave Products Limited</t>
        </is>
      </c>
      <c r="E31" s="30" t="inlineStr">
        <is>
          <t>Aerospace &amp; Defence - Equipments</t>
        </is>
      </c>
      <c r="F31" s="30" t="n">
        <v>2</v>
      </c>
      <c r="G31" s="30" t="inlineStr">
        <is>
          <t>No</t>
        </is>
      </c>
      <c r="H31" s="30" t="inlineStr">
        <is>
          <t>Yes</t>
        </is>
      </c>
      <c r="I31" s="30" t="n">
        <v>20</v>
      </c>
      <c r="J31" s="30" t="n">
        <v>27</v>
      </c>
    </row>
    <row r="32">
      <c r="A32" s="30">
        <f>IF(B32=0,"",ROW()-1)</f>
        <v/>
      </c>
      <c r="B32" s="31">
        <f>IFERROR(INDEX('Monit Non Financial'!$B$2:$B$400, MATCH(C32, 'Monit Non Financial'!$C$2:$C$400, 0)), IFERROR(INDEX('Monit Banks NBFC'!$B$2:$B$100, MATCH(C32, 'Monit Banks NBFC'!$C$2:$C$100, 0)), 0))</f>
        <v/>
      </c>
      <c r="C32" s="30" t="inlineStr">
        <is>
          <t>RPTECH</t>
        </is>
      </c>
      <c r="D32" s="30" t="inlineStr">
        <is>
          <t>Rashi Peripherals Ltd</t>
        </is>
      </c>
      <c r="E32" s="30" t="inlineStr">
        <is>
          <t>Trading</t>
        </is>
      </c>
      <c r="F32" s="30" t="n">
        <v>2</v>
      </c>
      <c r="G32" s="30" t="inlineStr">
        <is>
          <t>No</t>
        </is>
      </c>
      <c r="H32" s="30" t="inlineStr">
        <is>
          <t>Yes</t>
        </is>
      </c>
      <c r="I32" s="30" t="n">
        <v>21</v>
      </c>
      <c r="J32" s="30" t="n">
        <v>30</v>
      </c>
    </row>
    <row r="33">
      <c r="A33" s="30">
        <f>IF(B33=0,"",ROW()-1)</f>
        <v/>
      </c>
      <c r="B33" s="31">
        <f>IFERROR(INDEX('Monit Non Financial'!$B$2:$B$400, MATCH(C33, 'Monit Non Financial'!$C$2:$C$400, 0)), IFERROR(INDEX('Monit Banks NBFC'!$B$2:$B$100, MATCH(C33, 'Monit Banks NBFC'!$C$2:$C$100, 0)), 0))</f>
        <v/>
      </c>
      <c r="C33" s="30" t="inlineStr">
        <is>
          <t>POWERINDIA</t>
        </is>
      </c>
      <c r="D33" s="30" t="inlineStr">
        <is>
          <t>Hitachi Energy India Ltd</t>
        </is>
      </c>
      <c r="E33" s="30" t="inlineStr">
        <is>
          <t>Electrical Equipments/HVDC</t>
        </is>
      </c>
      <c r="F33" s="30" t="n">
        <v>2</v>
      </c>
      <c r="G33" s="30" t="inlineStr">
        <is>
          <t>No</t>
        </is>
      </c>
      <c r="H33" s="30" t="inlineStr">
        <is>
          <t>Yes</t>
        </is>
      </c>
      <c r="I33" s="30" t="n">
        <v>19</v>
      </c>
      <c r="J33" s="30" t="n">
        <v>30</v>
      </c>
    </row>
    <row r="34">
      <c r="A34" s="30">
        <f>IF(B34=0,"",ROW()-1)</f>
        <v/>
      </c>
      <c r="B34" s="31">
        <f>IFERROR(INDEX('Monit Non Financial'!$B$2:$B$400, MATCH(C34, 'Monit Non Financial'!$C$2:$C$400, 0)), IFERROR(INDEX('Monit Banks NBFC'!$B$2:$B$100, MATCH(C34, 'Monit Banks NBFC'!$C$2:$C$100, 0)), 0))</f>
        <v/>
      </c>
      <c r="C34" s="30" t="inlineStr">
        <is>
          <t>NITINSPIN</t>
        </is>
      </c>
      <c r="D34" s="30" t="inlineStr">
        <is>
          <t>Nitin Spinners Limited</t>
        </is>
      </c>
      <c r="E34" s="30" t="inlineStr">
        <is>
          <t>Textiles - Spinning</t>
        </is>
      </c>
      <c r="F34" s="30" t="n">
        <v>2</v>
      </c>
      <c r="G34" s="30" t="inlineStr">
        <is>
          <t>52W Breakout</t>
        </is>
      </c>
      <c r="H34" s="30" t="inlineStr">
        <is>
          <t>Yes</t>
        </is>
      </c>
      <c r="I34" s="30" t="n">
        <v>9</v>
      </c>
      <c r="J34" s="30" t="n">
        <v>30</v>
      </c>
    </row>
    <row r="35">
      <c r="A35" s="30">
        <f>IF(B35=0,"",ROW()-1)</f>
        <v/>
      </c>
      <c r="B35" s="31">
        <f>IFERROR(INDEX('Monit Non Financial'!$B$2:$B$400, MATCH(C35, 'Monit Non Financial'!$C$2:$C$400, 0)), IFERROR(INDEX('Monit Banks NBFC'!$B$2:$B$100, MATCH(C35, 'Monit Banks NBFC'!$C$2:$C$100, 0)), 0))</f>
        <v/>
      </c>
      <c r="C35" s="30" t="inlineStr">
        <is>
          <t>RATEGAIN</t>
        </is>
      </c>
      <c r="D35" s="30" t="inlineStr">
        <is>
          <t>Rategain Travel Technologies Ltd</t>
        </is>
      </c>
      <c r="E35" s="30" t="inlineStr">
        <is>
          <t>IT Product Companies</t>
        </is>
      </c>
      <c r="F35" s="30" t="n">
        <v>2</v>
      </c>
      <c r="G35" s="30" t="inlineStr">
        <is>
          <t>No</t>
        </is>
      </c>
      <c r="H35" s="30" t="inlineStr">
        <is>
          <t>Yes</t>
        </is>
      </c>
      <c r="I35" s="30" t="n">
        <v>28</v>
      </c>
      <c r="J35" s="30" t="n">
        <v>27</v>
      </c>
    </row>
    <row r="36">
      <c r="A36" s="30">
        <f>IF(B36=0,"",ROW()-1)</f>
        <v/>
      </c>
      <c r="B36" s="31">
        <f>IFERROR(INDEX('Monit Non Financial'!$B$2:$B$400, MATCH(C36, 'Monit Non Financial'!$C$2:$C$400, 0)), IFERROR(INDEX('Monit Banks NBFC'!$B$2:$B$100, MATCH(C36, 'Monit Banks NBFC'!$C$2:$C$100, 0)), 0))</f>
        <v/>
      </c>
      <c r="C36" s="30" t="inlineStr">
        <is>
          <t>GOCLCORP</t>
        </is>
      </c>
      <c r="D36" s="30" t="inlineStr">
        <is>
          <t>Gocl Corporation Limited</t>
        </is>
      </c>
      <c r="E36" s="30" t="inlineStr">
        <is>
          <t>Lubricants</t>
        </is>
      </c>
      <c r="F36" s="30" t="n">
        <v>2</v>
      </c>
      <c r="G36" s="30" t="inlineStr">
        <is>
          <t>No</t>
        </is>
      </c>
      <c r="H36" s="30" t="inlineStr">
        <is>
          <t>Yes</t>
        </is>
      </c>
      <c r="I36" s="30" t="n">
        <v>21</v>
      </c>
      <c r="J36" s="30" t="n">
        <v>12</v>
      </c>
    </row>
    <row r="37">
      <c r="A37" s="30">
        <f>IF(B37=0,"",ROW()-1)</f>
        <v/>
      </c>
      <c r="B37" s="31">
        <f>IFERROR(INDEX('Monit Non Financial'!$B$2:$B$400, MATCH(C37, 'Monit Non Financial'!$C$2:$C$400, 0)), IFERROR(INDEX('Monit Banks NBFC'!$B$2:$B$100, MATCH(C37, 'Monit Banks NBFC'!$C$2:$C$100, 0)), 0))</f>
        <v/>
      </c>
      <c r="C37" s="30" t="inlineStr">
        <is>
          <t>THANGAMAYL</t>
        </is>
      </c>
      <c r="D37" s="30" t="inlineStr">
        <is>
          <t>Thangamayil Jewellery Limited</t>
        </is>
      </c>
      <c r="E37" s="30" t="inlineStr">
        <is>
          <t>Diamond, Gems &amp; Jewellery</t>
        </is>
      </c>
      <c r="F37" s="30" t="n">
        <v>2</v>
      </c>
      <c r="G37" s="30" t="inlineStr">
        <is>
          <t>No</t>
        </is>
      </c>
      <c r="H37" s="30" t="inlineStr">
        <is>
          <t>Yes</t>
        </is>
      </c>
      <c r="I37" s="30" t="n">
        <v>31</v>
      </c>
      <c r="J37" s="30" t="n">
        <v>11</v>
      </c>
    </row>
    <row r="38">
      <c r="A38" s="30">
        <f>IF(B38=0,"",ROW()-1)</f>
        <v/>
      </c>
      <c r="B38" s="31">
        <f>IFERROR(INDEX('Monit Non Financial'!$B$2:$B$400, MATCH(C38, 'Monit Non Financial'!$C$2:$C$400, 0)), IFERROR(INDEX('Monit Banks NBFC'!$B$2:$B$100, MATCH(C38, 'Monit Banks NBFC'!$C$2:$C$100, 0)), 0))</f>
        <v/>
      </c>
      <c r="C38" s="30" t="inlineStr">
        <is>
          <t>KERNEX</t>
        </is>
      </c>
      <c r="D38" s="30" t="inlineStr">
        <is>
          <t>Kernex Microsystems (india) Limited</t>
        </is>
      </c>
      <c r="E38" s="30" t="inlineStr">
        <is>
          <t>Railways - Kavach/Springs</t>
        </is>
      </c>
      <c r="F38" s="30" t="n">
        <v>2</v>
      </c>
      <c r="G38" s="30" t="inlineStr">
        <is>
          <t>No</t>
        </is>
      </c>
      <c r="H38" s="30" t="inlineStr">
        <is>
          <t>Yes</t>
        </is>
      </c>
      <c r="I38" s="30" t="n">
        <v>27</v>
      </c>
      <c r="J38" s="30" t="n">
        <v>26</v>
      </c>
    </row>
    <row r="39">
      <c r="A39" s="30">
        <f>IF(B39=0,"",ROW()-1)</f>
        <v/>
      </c>
      <c r="B39" s="31">
        <f>IFERROR(INDEX('Monit Non Financial'!$B$2:$B$400, MATCH(C39, 'Monit Non Financial'!$C$2:$C$400, 0)), IFERROR(INDEX('Monit Banks NBFC'!$B$2:$B$100, MATCH(C39, 'Monit Banks NBFC'!$C$2:$C$100, 0)), 0))</f>
        <v/>
      </c>
      <c r="C39" s="30" t="inlineStr">
        <is>
          <t>MOTHERSON</t>
        </is>
      </c>
      <c r="D39" s="30" t="inlineStr">
        <is>
          <t>Samvardhana Motherson International Ltd</t>
        </is>
      </c>
      <c r="E39" s="30" t="inlineStr">
        <is>
          <t>Auto Ancillaries - Diversified</t>
        </is>
      </c>
      <c r="F39" s="30" t="n">
        <v>2</v>
      </c>
      <c r="G39" s="30" t="inlineStr">
        <is>
          <t>No</t>
        </is>
      </c>
      <c r="H39" s="30" t="inlineStr">
        <is>
          <t>Yes</t>
        </is>
      </c>
      <c r="I39" s="30" t="n">
        <v>19</v>
      </c>
      <c r="J39" s="30" t="n">
        <v>23</v>
      </c>
    </row>
    <row r="40">
      <c r="A40" s="30">
        <f>IF(B40=0,"",ROW()-1)</f>
        <v/>
      </c>
      <c r="B40" s="31">
        <f>IFERROR(INDEX('Monit Non Financial'!$B$2:$B$400, MATCH(C40, 'Monit Non Financial'!$C$2:$C$400, 0)), IFERROR(INDEX('Monit Banks NBFC'!$B$2:$B$100, MATCH(C40, 'Monit Banks NBFC'!$C$2:$C$100, 0)), 0))</f>
        <v/>
      </c>
      <c r="C40" s="30" t="inlineStr">
        <is>
          <t>UNIPARTS</t>
        </is>
      </c>
      <c r="D40" s="30" t="inlineStr">
        <is>
          <t>Uniparts India Ltd</t>
        </is>
      </c>
      <c r="E40" s="30" t="inlineStr">
        <is>
          <t>Castings, Forgings &amp; Fastners</t>
        </is>
      </c>
      <c r="F40" s="30" t="n">
        <v>2</v>
      </c>
      <c r="G40" s="30" t="inlineStr">
        <is>
          <t>No</t>
        </is>
      </c>
      <c r="H40" s="30" t="inlineStr">
        <is>
          <t>Yes</t>
        </is>
      </c>
      <c r="I40" s="30" t="n">
        <v>28</v>
      </c>
      <c r="J40" s="30" t="n">
        <v>29</v>
      </c>
    </row>
    <row r="41">
      <c r="A41" s="30">
        <f>IF(B41=0,"",ROW()-1)</f>
        <v/>
      </c>
      <c r="B41" s="31">
        <f>IFERROR(INDEX('Monit Non Financial'!$B$2:$B$400, MATCH(C41, 'Monit Non Financial'!$C$2:$C$400, 0)), IFERROR(INDEX('Monit Banks NBFC'!$B$2:$B$100, MATCH(C41, 'Monit Banks NBFC'!$C$2:$C$100, 0)), 0))</f>
        <v/>
      </c>
      <c r="C41" s="30" t="inlineStr">
        <is>
          <t>SPARC</t>
        </is>
      </c>
      <c r="D41" s="30" t="inlineStr">
        <is>
          <t>Sun Pharma Advanced Research Company Limited</t>
        </is>
      </c>
      <c r="E41" s="30" t="inlineStr">
        <is>
          <t>Pharma - Others</t>
        </is>
      </c>
      <c r="F41" s="30" t="n">
        <v>2</v>
      </c>
      <c r="G41" s="30" t="inlineStr">
        <is>
          <t>No</t>
        </is>
      </c>
      <c r="H41" s="30" t="inlineStr">
        <is>
          <t>Yes</t>
        </is>
      </c>
      <c r="I41" s="30" t="n">
        <v>24</v>
      </c>
      <c r="J41" s="30" t="n">
        <v>21</v>
      </c>
    </row>
    <row r="42">
      <c r="A42" s="30">
        <f>IF(B42=0,"",ROW()-1)</f>
        <v/>
      </c>
      <c r="B42" s="31">
        <f>IFERROR(INDEX('Monit Non Financial'!$B$2:$B$400, MATCH(C42, 'Monit Non Financial'!$C$2:$C$400, 0)), IFERROR(INDEX('Monit Banks NBFC'!$B$2:$B$100, MATCH(C42, 'Monit Banks NBFC'!$C$2:$C$100, 0)), 0))</f>
        <v/>
      </c>
      <c r="C42" s="30" t="inlineStr">
        <is>
          <t>PANACEABIO</t>
        </is>
      </c>
      <c r="D42" s="30" t="inlineStr">
        <is>
          <t>Panacea Biotec Limited</t>
        </is>
      </c>
      <c r="E42" s="30" t="inlineStr">
        <is>
          <t>Pharma - Others</t>
        </is>
      </c>
      <c r="F42" s="30" t="n">
        <v>2</v>
      </c>
      <c r="G42" s="30" t="inlineStr">
        <is>
          <t>No</t>
        </is>
      </c>
      <c r="H42" s="30" t="inlineStr">
        <is>
          <t>Yes</t>
        </is>
      </c>
      <c r="I42" s="30" t="n">
        <v>20</v>
      </c>
      <c r="J42" s="30" t="n">
        <v>1</v>
      </c>
    </row>
    <row r="43">
      <c r="A43" s="30">
        <f>IF(B43=0,"",ROW()-1)</f>
        <v/>
      </c>
      <c r="B43" s="31">
        <f>IFERROR(INDEX('Monit Non Financial'!$B$2:$B$400, MATCH(C43, 'Monit Non Financial'!$C$2:$C$400, 0)), IFERROR(INDEX('Monit Banks NBFC'!$B$2:$B$100, MATCH(C43, 'Monit Banks NBFC'!$C$2:$C$100, 0)), 0))</f>
        <v/>
      </c>
      <c r="C43" s="30" t="inlineStr">
        <is>
          <t>PAISALO</t>
        </is>
      </c>
      <c r="D43" s="30" t="inlineStr">
        <is>
          <t>Paisalo Digital Ltd</t>
        </is>
      </c>
      <c r="E43" s="30" t="inlineStr">
        <is>
          <t>Finance - Capital Markets - Brokers</t>
        </is>
      </c>
      <c r="F43" s="30" t="n">
        <v>2</v>
      </c>
      <c r="G43" s="30" t="inlineStr">
        <is>
          <t>No</t>
        </is>
      </c>
      <c r="H43" s="30" t="inlineStr">
        <is>
          <t>Yes</t>
        </is>
      </c>
      <c r="I43" s="30" t="n">
        <v>24</v>
      </c>
      <c r="J43" s="30" t="n">
        <v>28</v>
      </c>
    </row>
    <row r="44">
      <c r="A44" s="30">
        <f>IF(B44=0,"",ROW()-1)</f>
        <v/>
      </c>
      <c r="B44" s="31">
        <f>IFERROR(INDEX('Monit Non Financial'!$B$2:$B$400, MATCH(C44, 'Monit Non Financial'!$C$2:$C$400, 0)), IFERROR(INDEX('Monit Banks NBFC'!$B$2:$B$100, MATCH(C44, 'Monit Banks NBFC'!$C$2:$C$100, 0)), 0))</f>
        <v/>
      </c>
      <c r="C44" s="30" t="inlineStr">
        <is>
          <t>ANGELONE</t>
        </is>
      </c>
      <c r="D44" s="30" t="inlineStr">
        <is>
          <t>Angel One Ltd</t>
        </is>
      </c>
      <c r="E44" s="30" t="inlineStr">
        <is>
          <t>Finance - Capital Markets - Brokers</t>
        </is>
      </c>
      <c r="F44" s="30" t="n">
        <v>2</v>
      </c>
      <c r="G44" s="30" t="inlineStr">
        <is>
          <t>No</t>
        </is>
      </c>
      <c r="H44" s="30" t="inlineStr">
        <is>
          <t>Yes</t>
        </is>
      </c>
      <c r="I44" s="30" t="n">
        <v>20</v>
      </c>
      <c r="J44" s="30" t="n">
        <v>25</v>
      </c>
    </row>
    <row r="45">
      <c r="A45" s="30">
        <f>IF(B45=0,"",ROW()-1)</f>
        <v/>
      </c>
      <c r="B45" s="31">
        <f>IFERROR(INDEX('Monit Non Financial'!$B$2:$B$400, MATCH(C45, 'Monit Non Financial'!$C$2:$C$400, 0)), IFERROR(INDEX('Monit Banks NBFC'!$B$2:$B$100, MATCH(C45, 'Monit Banks NBFC'!$C$2:$C$100, 0)), 0))</f>
        <v/>
      </c>
      <c r="C45" s="30" t="inlineStr">
        <is>
          <t>SUPRIYA</t>
        </is>
      </c>
      <c r="D45" s="30" t="inlineStr">
        <is>
          <t>Supriya Lifescience Ltd</t>
        </is>
      </c>
      <c r="E45" s="30" t="inlineStr">
        <is>
          <t>Pharma - API &amp; CRAMS</t>
        </is>
      </c>
      <c r="F45" s="30" t="n">
        <v>2</v>
      </c>
      <c r="G45" s="30" t="inlineStr">
        <is>
          <t>No</t>
        </is>
      </c>
      <c r="H45" s="30" t="inlineStr">
        <is>
          <t>Yes</t>
        </is>
      </c>
      <c r="I45" s="30" t="n">
        <v>24</v>
      </c>
      <c r="J45" s="30" t="n">
        <v>27</v>
      </c>
    </row>
    <row r="46">
      <c r="A46" s="30">
        <f>IF(B46=0,"",ROW()-1)</f>
        <v/>
      </c>
      <c r="B46" s="31">
        <f>IFERROR(INDEX('Monit Non Financial'!$B$2:$B$400, MATCH(C46, 'Monit Non Financial'!$C$2:$C$400, 0)), IFERROR(INDEX('Monit Banks NBFC'!$B$2:$B$100, MATCH(C46, 'Monit Banks NBFC'!$C$2:$C$100, 0)), 0))</f>
        <v/>
      </c>
      <c r="C46" s="30" t="inlineStr">
        <is>
          <t>NAM-INDIA</t>
        </is>
      </c>
      <c r="D46" s="30" t="inlineStr">
        <is>
          <t>Nippon Life India Asset Management Ltd</t>
        </is>
      </c>
      <c r="E46" s="30" t="inlineStr">
        <is>
          <t>Finance - AMC</t>
        </is>
      </c>
      <c r="F46" s="30" t="n">
        <v>2</v>
      </c>
      <c r="G46" s="30" t="inlineStr">
        <is>
          <t>No</t>
        </is>
      </c>
      <c r="H46" s="30" t="inlineStr">
        <is>
          <t>Yes</t>
        </is>
      </c>
      <c r="I46" s="30" t="n">
        <v>19</v>
      </c>
      <c r="J46" s="30" t="n">
        <v>29</v>
      </c>
    </row>
    <row r="47">
      <c r="A47" s="30">
        <f>IF(B47=0,"",ROW()-1)</f>
        <v/>
      </c>
      <c r="B47" s="31">
        <f>IFERROR(INDEX('Monit Non Financial'!$B$2:$B$400, MATCH(C47, 'Monit Non Financial'!$C$2:$C$400, 0)), IFERROR(INDEX('Monit Banks NBFC'!$B$2:$B$100, MATCH(C47, 'Monit Banks NBFC'!$C$2:$C$100, 0)), 0))</f>
        <v/>
      </c>
      <c r="C47" s="30" t="inlineStr">
        <is>
          <t>AVALON</t>
        </is>
      </c>
      <c r="D47" s="30" t="inlineStr">
        <is>
          <t>Avalon Technologies Ltd</t>
        </is>
      </c>
      <c r="E47" s="30" t="inlineStr">
        <is>
          <t>Consumer Electronics - EMS</t>
        </is>
      </c>
      <c r="F47" s="30" t="n">
        <v>2</v>
      </c>
      <c r="G47" s="30" t="inlineStr">
        <is>
          <t>No</t>
        </is>
      </c>
      <c r="H47" s="30" t="inlineStr">
        <is>
          <t>Yes</t>
        </is>
      </c>
      <c r="I47" s="30" t="n">
        <v>22</v>
      </c>
      <c r="J47" s="30" t="n">
        <v>27</v>
      </c>
    </row>
    <row r="48">
      <c r="A48" s="30">
        <f>IF(B48=0,"",ROW()-1)</f>
        <v/>
      </c>
      <c r="B48" s="31">
        <f>IFERROR(INDEX('Monit Non Financial'!$B$2:$B$400, MATCH(C48, 'Monit Non Financial'!$C$2:$C$400, 0)), IFERROR(INDEX('Monit Banks NBFC'!$B$2:$B$100, MATCH(C48, 'Monit Banks NBFC'!$C$2:$C$100, 0)), 0))</f>
        <v/>
      </c>
      <c r="C48" s="30" t="inlineStr">
        <is>
          <t>PSPPROJECT</t>
        </is>
      </c>
      <c r="D48" s="30" t="inlineStr">
        <is>
          <t>PSP Projects Ltd</t>
        </is>
      </c>
      <c r="E48" s="30" t="inlineStr">
        <is>
          <t>Construction &amp; Contracting</t>
        </is>
      </c>
      <c r="F48" s="30" t="n">
        <v>2</v>
      </c>
      <c r="G48" s="30" t="inlineStr">
        <is>
          <t>No</t>
        </is>
      </c>
      <c r="H48" s="30" t="inlineStr">
        <is>
          <t>Yes</t>
        </is>
      </c>
      <c r="I48" s="30" t="n">
        <v>21</v>
      </c>
      <c r="J48" s="30" t="n">
        <v>12</v>
      </c>
    </row>
    <row r="49">
      <c r="A49" s="30">
        <f>IF(B49=0,"",ROW()-1)</f>
        <v/>
      </c>
      <c r="B49" s="31">
        <f>IFERROR(INDEX('Monit Non Financial'!$B$2:$B$400, MATCH(C49, 'Monit Non Financial'!$C$2:$C$400, 0)), IFERROR(INDEX('Monit Banks NBFC'!$B$2:$B$100, MATCH(C49, 'Monit Banks NBFC'!$C$2:$C$100, 0)), 0))</f>
        <v/>
      </c>
      <c r="C49" s="30" t="inlineStr">
        <is>
          <t>AEROFLEX</t>
        </is>
      </c>
      <c r="D49" s="30" t="inlineStr">
        <is>
          <t>Aeroflex Industries Ltd</t>
        </is>
      </c>
      <c r="E49" s="30" t="inlineStr">
        <is>
          <t>Stainless Steel</t>
        </is>
      </c>
      <c r="F49" s="30" t="n">
        <v>2</v>
      </c>
      <c r="G49" s="30" t="inlineStr">
        <is>
          <t>No</t>
        </is>
      </c>
      <c r="H49" s="30" t="inlineStr">
        <is>
          <t>Yes</t>
        </is>
      </c>
      <c r="I49" s="30" t="n">
        <v>20</v>
      </c>
      <c r="J49" s="30" t="n">
        <v>27</v>
      </c>
    </row>
    <row r="50">
      <c r="A50" s="30">
        <f>IF(B50=0,"",ROW()-1)</f>
        <v/>
      </c>
      <c r="B50" s="31">
        <f>IFERROR(INDEX('Monit Non Financial'!$B$2:$B$400, MATCH(C50, 'Monit Non Financial'!$C$2:$C$400, 0)), IFERROR(INDEX('Monit Banks NBFC'!$B$2:$B$100, MATCH(C50, 'Monit Banks NBFC'!$C$2:$C$100, 0)), 0))</f>
        <v/>
      </c>
      <c r="C50" s="30" t="inlineStr">
        <is>
          <t>SKIPPER</t>
        </is>
      </c>
      <c r="D50" s="30" t="inlineStr">
        <is>
          <t>Skipper Limited</t>
        </is>
      </c>
      <c r="E50" s="30" t="inlineStr">
        <is>
          <t>Electrical Equipments/HVDC</t>
        </is>
      </c>
      <c r="F50" s="30" t="n">
        <v>2</v>
      </c>
      <c r="G50" s="30" t="inlineStr">
        <is>
          <t>No</t>
        </is>
      </c>
      <c r="H50" s="30" t="inlineStr">
        <is>
          <t>Yes</t>
        </is>
      </c>
      <c r="I50" s="30" t="n">
        <v>31</v>
      </c>
      <c r="J50" s="30" t="n">
        <v>19</v>
      </c>
    </row>
    <row r="51">
      <c r="A51" s="30">
        <f>IF(B51=0,"",ROW()-1)</f>
        <v/>
      </c>
      <c r="B51" s="31">
        <f>IFERROR(INDEX('Monit Non Financial'!$B$2:$B$400, MATCH(C51, 'Monit Non Financial'!$C$2:$C$400, 0)), IFERROR(INDEX('Monit Banks NBFC'!$B$2:$B$100, MATCH(C51, 'Monit Banks NBFC'!$C$2:$C$100, 0)), 0))</f>
        <v/>
      </c>
      <c r="C51" s="30" t="inlineStr">
        <is>
          <t>VERANDA</t>
        </is>
      </c>
      <c r="D51" s="30" t="inlineStr">
        <is>
          <t>Veranda Learning Solutions Ltd</t>
        </is>
      </c>
      <c r="E51" s="30" t="inlineStr">
        <is>
          <t>Computer Education</t>
        </is>
      </c>
      <c r="F51" s="30" t="n">
        <v>2</v>
      </c>
      <c r="G51" s="30" t="inlineStr">
        <is>
          <t>No</t>
        </is>
      </c>
      <c r="H51" s="30" t="inlineStr">
        <is>
          <t>Yes</t>
        </is>
      </c>
      <c r="I51" s="30" t="n">
        <v>19</v>
      </c>
      <c r="J51" s="30" t="n">
        <v>21</v>
      </c>
    </row>
    <row r="52">
      <c r="A52" s="30">
        <f>IF(B52=0,"",ROW()-1)</f>
        <v/>
      </c>
      <c r="B52" s="31">
        <f>IFERROR(INDEX('Monit Non Financial'!$B$2:$B$400, MATCH(C52, 'Monit Non Financial'!$C$2:$C$400, 0)), IFERROR(INDEX('Monit Banks NBFC'!$B$2:$B$100, MATCH(C52, 'Monit Banks NBFC'!$C$2:$C$100, 0)), 0))</f>
        <v/>
      </c>
      <c r="C52" s="30" t="inlineStr">
        <is>
          <t>WHEELS</t>
        </is>
      </c>
      <c r="D52" s="30" t="inlineStr">
        <is>
          <t>Wheels India Limited</t>
        </is>
      </c>
      <c r="E52" s="30" t="inlineStr">
        <is>
          <t>Auto Ancillaries - Wheels</t>
        </is>
      </c>
      <c r="F52" s="30" t="n">
        <v>2</v>
      </c>
      <c r="G52" s="30" t="inlineStr">
        <is>
          <t>No</t>
        </is>
      </c>
      <c r="H52" s="30" t="inlineStr">
        <is>
          <t>Yes</t>
        </is>
      </c>
      <c r="I52" s="30" t="n">
        <v>22</v>
      </c>
      <c r="J52" s="30" t="n">
        <v>30</v>
      </c>
    </row>
    <row r="53">
      <c r="A53" s="30">
        <f>IF(B53=0,"",ROW()-1)</f>
        <v/>
      </c>
      <c r="B53" s="31">
        <f>IFERROR(INDEX('Monit Non Financial'!$B$2:$B$400, MATCH(C53, 'Monit Non Financial'!$C$2:$C$400, 0)), IFERROR(INDEX('Monit Banks NBFC'!$B$2:$B$100, MATCH(C53, 'Monit Banks NBFC'!$C$2:$C$100, 0)), 0))</f>
        <v/>
      </c>
      <c r="C53" s="30" t="inlineStr">
        <is>
          <t>SANSERA</t>
        </is>
      </c>
      <c r="D53" s="30" t="inlineStr">
        <is>
          <t>Sansera Engineering Ltd</t>
        </is>
      </c>
      <c r="E53" s="30" t="inlineStr">
        <is>
          <t>Auto Ancillaries - Diversified</t>
        </is>
      </c>
      <c r="F53" s="30" t="n">
        <v>2</v>
      </c>
      <c r="G53" s="30" t="inlineStr">
        <is>
          <t>No</t>
        </is>
      </c>
      <c r="H53" s="30" t="inlineStr">
        <is>
          <t>Yes</t>
        </is>
      </c>
      <c r="I53" s="30" t="n">
        <v>22</v>
      </c>
      <c r="J53" s="30" t="n">
        <v>24</v>
      </c>
    </row>
    <row r="54">
      <c r="A54" s="30">
        <f>IF(B54=0,"",ROW()-1)</f>
        <v/>
      </c>
      <c r="B54" s="31">
        <f>IFERROR(INDEX('Monit Non Financial'!$B$2:$B$400, MATCH(C54, 'Monit Non Financial'!$C$2:$C$400, 0)), IFERROR(INDEX('Monit Banks NBFC'!$B$2:$B$100, MATCH(C54, 'Monit Banks NBFC'!$C$2:$C$100, 0)), 0))</f>
        <v/>
      </c>
      <c r="C54" s="30" t="inlineStr">
        <is>
          <t>SKMEGGPROD</t>
        </is>
      </c>
      <c r="D54" s="30" t="inlineStr">
        <is>
          <t>Skm Egg Products Export (india) Limited</t>
        </is>
      </c>
      <c r="E54" s="30" t="inlineStr">
        <is>
          <t>FMCG - Animal/Polutry</t>
        </is>
      </c>
      <c r="F54" s="30" t="n">
        <v>2</v>
      </c>
      <c r="G54" s="30" t="inlineStr">
        <is>
          <t>No</t>
        </is>
      </c>
      <c r="H54" s="30" t="inlineStr">
        <is>
          <t>Yes</t>
        </is>
      </c>
      <c r="I54" s="30" t="n">
        <v>30</v>
      </c>
      <c r="J54" s="30" t="n">
        <v>12</v>
      </c>
    </row>
    <row r="55">
      <c r="A55" s="30">
        <f>IF(B55=0,"",ROW()-1)</f>
        <v/>
      </c>
      <c r="B55" s="31">
        <f>IFERROR(INDEX('Monit Non Financial'!$B$2:$B$400, MATCH(C55, 'Monit Non Financial'!$C$2:$C$400, 0)), IFERROR(INDEX('Monit Banks NBFC'!$B$2:$B$100, MATCH(C55, 'Monit Banks NBFC'!$C$2:$C$100, 0)), 0))</f>
        <v/>
      </c>
      <c r="C55" s="30" t="inlineStr">
        <is>
          <t>CGCL</t>
        </is>
      </c>
      <c r="D55" s="30" t="inlineStr">
        <is>
          <t>Capri Global Capital Limited</t>
        </is>
      </c>
      <c r="E55" s="30" t="inlineStr">
        <is>
          <t>Finance &amp; Investments - Gold Loan</t>
        </is>
      </c>
      <c r="F55" s="30" t="n">
        <v>2</v>
      </c>
      <c r="G55" s="30" t="inlineStr">
        <is>
          <t>No</t>
        </is>
      </c>
      <c r="H55" s="30" t="inlineStr">
        <is>
          <t>Yes</t>
        </is>
      </c>
      <c r="I55" s="30" t="n">
        <v>20</v>
      </c>
      <c r="J55" s="30" t="n">
        <v>19</v>
      </c>
    </row>
    <row r="56">
      <c r="A56" s="30">
        <f>IF(B56=0,"",ROW()-1)</f>
        <v/>
      </c>
      <c r="B56" s="31">
        <f>IFERROR(INDEX('Monit Non Financial'!$B$2:$B$400, MATCH(C56, 'Monit Non Financial'!$C$2:$C$400, 0)), IFERROR(INDEX('Monit Banks NBFC'!$B$2:$B$100, MATCH(C56, 'Monit Banks NBFC'!$C$2:$C$100, 0)), 0))</f>
        <v/>
      </c>
      <c r="C56" s="30" t="inlineStr">
        <is>
          <t>MARKSANS</t>
        </is>
      </c>
      <c r="D56" s="30" t="inlineStr">
        <is>
          <t>Marksans Pharma Limited</t>
        </is>
      </c>
      <c r="E56" s="30" t="inlineStr">
        <is>
          <t>Pharma - Formulators</t>
        </is>
      </c>
      <c r="F56" s="30" t="n">
        <v>2</v>
      </c>
      <c r="G56" s="30" t="inlineStr">
        <is>
          <t>No</t>
        </is>
      </c>
      <c r="H56" s="30" t="inlineStr">
        <is>
          <t>Yes</t>
        </is>
      </c>
      <c r="I56" s="30" t="n">
        <v>21</v>
      </c>
      <c r="J56" s="30" t="n">
        <v>14</v>
      </c>
    </row>
    <row r="57">
      <c r="A57" s="30">
        <f>IF(B57=0,"",ROW()-1)</f>
        <v/>
      </c>
      <c r="B57" s="31">
        <f>IFERROR(INDEX('Monit Non Financial'!$B$2:$B$400, MATCH(C57, 'Monit Non Financial'!$C$2:$C$400, 0)), IFERROR(INDEX('Monit Banks NBFC'!$B$2:$B$100, MATCH(C57, 'Monit Banks NBFC'!$C$2:$C$100, 0)), 0))</f>
        <v/>
      </c>
      <c r="C57" s="30" t="inlineStr">
        <is>
          <t>HFCL</t>
        </is>
      </c>
      <c r="D57" s="30" t="inlineStr">
        <is>
          <t>HFCL Ltd</t>
        </is>
      </c>
      <c r="E57" s="30" t="inlineStr">
        <is>
          <t>Telecom Services</t>
        </is>
      </c>
      <c r="F57" s="30" t="n">
        <v>2</v>
      </c>
      <c r="G57" s="30" t="inlineStr">
        <is>
          <t>No</t>
        </is>
      </c>
      <c r="H57" s="30" t="inlineStr">
        <is>
          <t>Yes</t>
        </is>
      </c>
      <c r="I57" s="30" t="n">
        <v>25</v>
      </c>
      <c r="J57" s="30" t="n">
        <v>30</v>
      </c>
    </row>
    <row r="58">
      <c r="A58" s="30">
        <f>IF(B58=0,"",ROW()-1)</f>
        <v/>
      </c>
      <c r="B58" s="31">
        <f>IFERROR(INDEX('Monit Non Financial'!$B$2:$B$400, MATCH(C58, 'Monit Non Financial'!$C$2:$C$400, 0)), IFERROR(INDEX('Monit Banks NBFC'!$B$2:$B$100, MATCH(C58, 'Monit Banks NBFC'!$C$2:$C$100, 0)), 0))</f>
        <v/>
      </c>
      <c r="C58" s="30" t="inlineStr">
        <is>
          <t>UNIVCABLES</t>
        </is>
      </c>
      <c r="D58" s="30" t="inlineStr">
        <is>
          <t>Universal Cables Limited</t>
        </is>
      </c>
      <c r="E58" s="30" t="inlineStr">
        <is>
          <t>Cables - Power</t>
        </is>
      </c>
      <c r="F58" s="30" t="n">
        <v>2</v>
      </c>
      <c r="G58" s="30" t="inlineStr">
        <is>
          <t>No</t>
        </is>
      </c>
      <c r="H58" s="30" t="inlineStr">
        <is>
          <t>Yes</t>
        </is>
      </c>
      <c r="I58" s="30" t="n">
        <v>20</v>
      </c>
      <c r="J58" s="30" t="n">
        <v>29</v>
      </c>
    </row>
    <row r="59">
      <c r="A59" s="30">
        <f>IF(B59=0,"",ROW()-1)</f>
        <v/>
      </c>
      <c r="B59" s="31">
        <f>IFERROR(INDEX('Monit Non Financial'!$B$2:$B$400, MATCH(C59, 'Monit Non Financial'!$C$2:$C$400, 0)), IFERROR(INDEX('Monit Banks NBFC'!$B$2:$B$100, MATCH(C59, 'Monit Banks NBFC'!$C$2:$C$100, 0)), 0))</f>
        <v/>
      </c>
      <c r="C59" s="30" t="inlineStr">
        <is>
          <t>FIEMIND</t>
        </is>
      </c>
      <c r="D59" s="30" t="inlineStr">
        <is>
          <t>Fiem Industries Limited</t>
        </is>
      </c>
      <c r="E59" s="30" t="inlineStr">
        <is>
          <t>Auto Ancillaries - 2&amp;3 Wheelers</t>
        </is>
      </c>
      <c r="F59" s="30" t="n">
        <v>2</v>
      </c>
      <c r="G59" s="30" t="inlineStr">
        <is>
          <t>No</t>
        </is>
      </c>
      <c r="H59" s="30" t="inlineStr">
        <is>
          <t>Yes</t>
        </is>
      </c>
      <c r="I59" s="30" t="n">
        <v>19</v>
      </c>
      <c r="J59" s="30" t="n">
        <v>12</v>
      </c>
    </row>
    <row r="60">
      <c r="A60" s="30">
        <f>IF(B60=0,"",ROW()-1)</f>
        <v/>
      </c>
      <c r="B60" s="31">
        <f>IFERROR(INDEX('Monit Non Financial'!$B$2:$B$400, MATCH(C60, 'Monit Non Financial'!$C$2:$C$400, 0)), IFERROR(INDEX('Monit Banks NBFC'!$B$2:$B$100, MATCH(C60, 'Monit Banks NBFC'!$C$2:$C$100, 0)), 0))</f>
        <v/>
      </c>
      <c r="C60" s="30" t="inlineStr">
        <is>
          <t>SIS</t>
        </is>
      </c>
      <c r="D60" s="30" t="inlineStr">
        <is>
          <t>Security &amp; Intelligence Services India</t>
        </is>
      </c>
      <c r="E60" s="30" t="inlineStr">
        <is>
          <t>Facility Management</t>
        </is>
      </c>
      <c r="F60" s="30" t="n">
        <v>2</v>
      </c>
      <c r="G60" s="30" t="inlineStr">
        <is>
          <t>No</t>
        </is>
      </c>
      <c r="H60" s="30" t="inlineStr">
        <is>
          <t>Yes</t>
        </is>
      </c>
      <c r="I60" s="30" t="n">
        <v>22</v>
      </c>
      <c r="J60" s="30" t="n">
        <v>30</v>
      </c>
    </row>
    <row r="61">
      <c r="A61" s="30">
        <f>IF(B61=0,"",ROW()-1)</f>
        <v/>
      </c>
      <c r="B61" s="31">
        <f>IFERROR(INDEX('Monit Non Financial'!$B$2:$B$400, MATCH(C61, 'Monit Non Financial'!$C$2:$C$400, 0)), IFERROR(INDEX('Monit Banks NBFC'!$B$2:$B$100, MATCH(C61, 'Monit Banks NBFC'!$C$2:$C$100, 0)), 0))</f>
        <v/>
      </c>
      <c r="C61" s="30" t="inlineStr">
        <is>
          <t>APOLLO</t>
        </is>
      </c>
      <c r="D61" s="30" t="inlineStr">
        <is>
          <t>Apollo Micro Systems Ltd</t>
        </is>
      </c>
      <c r="E61" s="30" t="inlineStr">
        <is>
          <t>Aerospace &amp; Defence - Equipments</t>
        </is>
      </c>
      <c r="F61" s="30" t="n">
        <v>2</v>
      </c>
      <c r="G61" s="30" t="inlineStr">
        <is>
          <t>No</t>
        </is>
      </c>
      <c r="H61" s="30" t="inlineStr">
        <is>
          <t>Yes</t>
        </is>
      </c>
      <c r="I61" s="30" t="n">
        <v>25</v>
      </c>
      <c r="J61" s="30" t="n">
        <v>30</v>
      </c>
    </row>
    <row r="62">
      <c r="A62" s="30">
        <f>IF(B62=0,"",ROW()-1)</f>
        <v/>
      </c>
      <c r="B62" s="31">
        <f>IFERROR(INDEX('Monit Non Financial'!$B$2:$B$400, MATCH(C62, 'Monit Non Financial'!$C$2:$C$400, 0)), IFERROR(INDEX('Monit Banks NBFC'!$B$2:$B$100, MATCH(C62, 'Monit Banks NBFC'!$C$2:$C$100, 0)), 0))</f>
        <v/>
      </c>
      <c r="C62" s="30" t="inlineStr">
        <is>
          <t>SASKEN</t>
        </is>
      </c>
      <c r="D62" s="30" t="inlineStr">
        <is>
          <t>Sasken Communication Technologies Limited</t>
        </is>
      </c>
      <c r="E62" s="30" t="inlineStr">
        <is>
          <t>IT - Software</t>
        </is>
      </c>
      <c r="F62" s="30" t="n">
        <v>2</v>
      </c>
      <c r="G62" s="30" t="inlineStr">
        <is>
          <t>No</t>
        </is>
      </c>
      <c r="H62" s="30" t="inlineStr">
        <is>
          <t>Yes</t>
        </is>
      </c>
      <c r="I62" s="30" t="n">
        <v>22</v>
      </c>
      <c r="J62" s="30" t="n">
        <v>25</v>
      </c>
    </row>
    <row r="63">
      <c r="A63" s="30">
        <f>IF(B63=0,"",ROW()-1)</f>
        <v/>
      </c>
      <c r="B63" s="31">
        <f>IFERROR(INDEX('Monit Non Financial'!$B$2:$B$400, MATCH(C63, 'Monit Non Financial'!$C$2:$C$400, 0)), IFERROR(INDEX('Monit Banks NBFC'!$B$2:$B$100, MATCH(C63, 'Monit Banks NBFC'!$C$2:$C$100, 0)), 0))</f>
        <v/>
      </c>
      <c r="C63" s="30" t="inlineStr">
        <is>
          <t>MINDACORP</t>
        </is>
      </c>
      <c r="D63" s="30" t="inlineStr">
        <is>
          <t>Minda Corporation Limited</t>
        </is>
      </c>
      <c r="E63" s="30" t="inlineStr">
        <is>
          <t>Auto Ancillaries - Diversified</t>
        </is>
      </c>
      <c r="F63" s="30" t="n">
        <v>2</v>
      </c>
      <c r="G63" s="30" t="inlineStr">
        <is>
          <t>No</t>
        </is>
      </c>
      <c r="H63" s="30" t="inlineStr">
        <is>
          <t>Yes</t>
        </is>
      </c>
      <c r="I63" s="30" t="n">
        <v>28</v>
      </c>
      <c r="J63" s="30" t="n">
        <v>12</v>
      </c>
    </row>
    <row r="64">
      <c r="A64" s="30">
        <f>IF(B64=0,"",ROW()-1)</f>
        <v/>
      </c>
      <c r="B64" s="31">
        <f>IFERROR(INDEX('Monit Non Financial'!$B$2:$B$400, MATCH(C64, 'Monit Non Financial'!$C$2:$C$400, 0)), IFERROR(INDEX('Monit Banks NBFC'!$B$2:$B$100, MATCH(C64, 'Monit Banks NBFC'!$C$2:$C$100, 0)), 0))</f>
        <v/>
      </c>
      <c r="C64" s="30" t="inlineStr">
        <is>
          <t>HONASA</t>
        </is>
      </c>
      <c r="D64" s="30" t="inlineStr">
        <is>
          <t>Honasa Consumer Ltd</t>
        </is>
      </c>
      <c r="E64" s="30" t="inlineStr">
        <is>
          <t>New age - Platform - E-Retail</t>
        </is>
      </c>
      <c r="F64" s="30" t="n">
        <v>2</v>
      </c>
      <c r="G64" s="30" t="inlineStr">
        <is>
          <t>No</t>
        </is>
      </c>
      <c r="H64" s="30" t="inlineStr">
        <is>
          <t>Yes</t>
        </is>
      </c>
      <c r="I64" s="30" t="n">
        <v>22</v>
      </c>
      <c r="J64" s="30" t="n">
        <v>30</v>
      </c>
    </row>
    <row r="65">
      <c r="A65" s="30">
        <f>IF(B65=0,"",ROW()-1)</f>
        <v/>
      </c>
      <c r="B65" s="31">
        <f>IFERROR(INDEX('Monit Non Financial'!$B$2:$B$400, MATCH(C65, 'Monit Non Financial'!$C$2:$C$400, 0)), IFERROR(INDEX('Monit Banks NBFC'!$B$2:$B$100, MATCH(C65, 'Monit Banks NBFC'!$C$2:$C$100, 0)), 0))</f>
        <v/>
      </c>
      <c r="C65" s="30" t="inlineStr">
        <is>
          <t>LAURUSLABS</t>
        </is>
      </c>
      <c r="D65" s="30" t="inlineStr">
        <is>
          <t>Laurus Labs Limited</t>
        </is>
      </c>
      <c r="E65" s="30" t="inlineStr">
        <is>
          <t>Pharma - API &amp; CRAMS</t>
        </is>
      </c>
      <c r="F65" s="30" t="n">
        <v>2</v>
      </c>
      <c r="G65" s="30" t="inlineStr">
        <is>
          <t>52W Breakout</t>
        </is>
      </c>
      <c r="H65" s="30" t="inlineStr">
        <is>
          <t>Yes</t>
        </is>
      </c>
      <c r="I65" s="30" t="n">
        <v>14</v>
      </c>
      <c r="J65" s="30" t="n">
        <v>28</v>
      </c>
    </row>
    <row r="66">
      <c r="A66" s="30">
        <f>IF(B66=0,"",ROW()-1)</f>
        <v/>
      </c>
      <c r="B66" s="31">
        <f>IFERROR(INDEX('Monit Non Financial'!$B$2:$B$400, MATCH(C66, 'Monit Non Financial'!$C$2:$C$400, 0)), IFERROR(INDEX('Monit Banks NBFC'!$B$2:$B$100, MATCH(C66, 'Monit Banks NBFC'!$C$2:$C$100, 0)), 0))</f>
        <v/>
      </c>
      <c r="C66" s="30" t="inlineStr">
        <is>
          <t>JNKINDIA</t>
        </is>
      </c>
      <c r="D66" s="30" t="inlineStr">
        <is>
          <t>JNK India Ltd</t>
        </is>
      </c>
      <c r="E66" s="30" t="inlineStr">
        <is>
          <t>Capital Goods - Engineering Heavy</t>
        </is>
      </c>
      <c r="F66" s="30" t="n">
        <v>2</v>
      </c>
      <c r="G66" s="30" t="inlineStr">
        <is>
          <t>No</t>
        </is>
      </c>
      <c r="H66" s="30" t="inlineStr">
        <is>
          <t>Yes</t>
        </is>
      </c>
      <c r="I66" s="30" t="n">
        <v>26</v>
      </c>
      <c r="J66" s="30" t="n">
        <v>24</v>
      </c>
    </row>
    <row r="67">
      <c r="A67" s="30">
        <f>IF(B67=0,"",ROW()-1)</f>
        <v/>
      </c>
      <c r="B67" s="31">
        <f>IFERROR(INDEX('Monit Non Financial'!$B$2:$B$400, MATCH(C67, 'Monit Non Financial'!$C$2:$C$400, 0)), IFERROR(INDEX('Monit Banks NBFC'!$B$2:$B$100, MATCH(C67, 'Monit Banks NBFC'!$C$2:$C$100, 0)), 0))</f>
        <v/>
      </c>
      <c r="C67" s="30" t="inlineStr">
        <is>
          <t>CRAFTSMAN</t>
        </is>
      </c>
      <c r="D67" s="30" t="inlineStr">
        <is>
          <t>Craftsman Automation Ltd</t>
        </is>
      </c>
      <c r="E67" s="30" t="inlineStr">
        <is>
          <t>Auto &amp; Auto Ancl - CV</t>
        </is>
      </c>
      <c r="F67" s="30" t="n">
        <v>2</v>
      </c>
      <c r="G67" s="30" t="inlineStr">
        <is>
          <t>No</t>
        </is>
      </c>
      <c r="H67" s="30" t="inlineStr">
        <is>
          <t>Yes</t>
        </is>
      </c>
      <c r="I67" s="30" t="n">
        <v>20</v>
      </c>
      <c r="J67" s="30" t="n">
        <v>30</v>
      </c>
    </row>
    <row r="68">
      <c r="A68" s="30">
        <f>IF(B68=0,"",ROW()-1)</f>
        <v/>
      </c>
      <c r="B68" s="31">
        <f>IFERROR(INDEX('Monit Non Financial'!$B$2:$B$400, MATCH(C68, 'Monit Non Financial'!$C$2:$C$400, 0)), IFERROR(INDEX('Monit Banks NBFC'!$B$2:$B$100, MATCH(C68, 'Monit Banks NBFC'!$C$2:$C$100, 0)), 0))</f>
        <v/>
      </c>
      <c r="C68" s="30" t="inlineStr">
        <is>
          <t>IDEAFORGE</t>
        </is>
      </c>
      <c r="D68" s="30" t="inlineStr">
        <is>
          <t>Ideaforge Technology Ltd</t>
        </is>
      </c>
      <c r="E68" s="30" t="inlineStr">
        <is>
          <t>Aerospace &amp; Defence - Equipments</t>
        </is>
      </c>
      <c r="F68" s="30" t="n">
        <v>2</v>
      </c>
      <c r="G68" s="30" t="inlineStr">
        <is>
          <t>52W Breakout</t>
        </is>
      </c>
      <c r="H68" s="30" t="inlineStr">
        <is>
          <t>Yes</t>
        </is>
      </c>
      <c r="I68" s="30" t="n">
        <v>19</v>
      </c>
      <c r="J68" s="30" t="n">
        <v>30</v>
      </c>
    </row>
    <row r="69">
      <c r="A69" s="30">
        <f>IF(B69=0,"",ROW()-1)</f>
        <v/>
      </c>
      <c r="B69" s="31">
        <f>IFERROR(INDEX('Monit Non Financial'!$B$2:$B$400, MATCH(C69, 'Monit Non Financial'!$C$2:$C$400, 0)), IFERROR(INDEX('Monit Banks NBFC'!$B$2:$B$100, MATCH(C69, 'Monit Banks NBFC'!$C$2:$C$100, 0)), 0))</f>
        <v/>
      </c>
      <c r="C69" s="30" t="inlineStr">
        <is>
          <t>POLYCAB</t>
        </is>
      </c>
      <c r="D69" s="30" t="inlineStr">
        <is>
          <t>Polycab India Ltd</t>
        </is>
      </c>
      <c r="E69" s="30" t="inlineStr">
        <is>
          <t>Cables - Power</t>
        </is>
      </c>
      <c r="F69" s="30" t="n">
        <v>2</v>
      </c>
      <c r="G69" s="30" t="inlineStr">
        <is>
          <t>52W Breakout</t>
        </is>
      </c>
      <c r="H69" s="30" t="inlineStr">
        <is>
          <t>Yes</t>
        </is>
      </c>
      <c r="I69" s="30" t="n">
        <v>10</v>
      </c>
      <c r="J69" s="30" t="n">
        <v>30</v>
      </c>
    </row>
    <row r="70">
      <c r="A70" s="30">
        <f>IF(B70=0,"",ROW()-1)</f>
        <v/>
      </c>
      <c r="B70" s="31">
        <f>IFERROR(INDEX('Monit Non Financial'!$B$2:$B$400, MATCH(C70, 'Monit Non Financial'!$C$2:$C$400, 0)), IFERROR(INDEX('Monit Banks NBFC'!$B$2:$B$100, MATCH(C70, 'Monit Banks NBFC'!$C$2:$C$100, 0)), 0))</f>
        <v/>
      </c>
      <c r="C70" s="30" t="inlineStr">
        <is>
          <t>CUPID</t>
        </is>
      </c>
      <c r="D70" s="30" t="inlineStr">
        <is>
          <t>Cupid Limited</t>
        </is>
      </c>
      <c r="E70" s="30" t="inlineStr">
        <is>
          <t>Contraceptives/Protectives</t>
        </is>
      </c>
      <c r="F70" s="30" t="n">
        <v>2</v>
      </c>
      <c r="G70" s="30" t="inlineStr">
        <is>
          <t>No</t>
        </is>
      </c>
      <c r="H70" s="30" t="inlineStr">
        <is>
          <t>Yes</t>
        </is>
      </c>
      <c r="I70" s="30" t="n">
        <v>20</v>
      </c>
      <c r="J70" s="30" t="n">
        <v>29</v>
      </c>
    </row>
    <row r="71">
      <c r="A71" s="30">
        <f>IF(B71=0,"",ROW()-1)</f>
        <v/>
      </c>
      <c r="B71" s="31">
        <f>IFERROR(INDEX('Monit Non Financial'!$B$2:$B$400, MATCH(C71, 'Monit Non Financial'!$C$2:$C$400, 0)), IFERROR(INDEX('Monit Banks NBFC'!$B$2:$B$100, MATCH(C71, 'Monit Banks NBFC'!$C$2:$C$100, 0)), 0))</f>
        <v/>
      </c>
      <c r="C71" s="30" t="inlineStr">
        <is>
          <t>WOCKPHARMA</t>
        </is>
      </c>
      <c r="D71" s="30" t="inlineStr">
        <is>
          <t>Wockhardt Limited</t>
        </is>
      </c>
      <c r="E71" s="30" t="inlineStr">
        <is>
          <t>Pharma - Formulators</t>
        </is>
      </c>
      <c r="F71" s="30" t="n">
        <v>2</v>
      </c>
      <c r="G71" s="30" t="inlineStr">
        <is>
          <t>No</t>
        </is>
      </c>
      <c r="H71" s="30" t="inlineStr">
        <is>
          <t>Yes</t>
        </is>
      </c>
      <c r="I71" s="30" t="n">
        <v>20</v>
      </c>
      <c r="J71" s="30" t="n">
        <v>25</v>
      </c>
    </row>
    <row r="72">
      <c r="A72" s="30">
        <f>IF(B72=0,"",ROW()-1)</f>
        <v/>
      </c>
      <c r="B72" s="31">
        <f>IFERROR(INDEX('Monit Non Financial'!$B$2:$B$400, MATCH(C72, 'Monit Non Financial'!$C$2:$C$400, 0)), IFERROR(INDEX('Monit Banks NBFC'!$B$2:$B$100, MATCH(C72, 'Monit Banks NBFC'!$C$2:$C$100, 0)), 0))</f>
        <v/>
      </c>
      <c r="C72" s="30" t="inlineStr">
        <is>
          <t>SKYGOLD</t>
        </is>
      </c>
      <c r="D72" s="30" t="inlineStr">
        <is>
          <t>Sky Gold Ltd</t>
        </is>
      </c>
      <c r="E72" s="30" t="inlineStr">
        <is>
          <t>Diamond, Gems &amp; Jewellery</t>
        </is>
      </c>
      <c r="F72" s="30" t="n">
        <v>2</v>
      </c>
      <c r="G72" s="30" t="inlineStr">
        <is>
          <t>No</t>
        </is>
      </c>
      <c r="H72" s="30" t="inlineStr">
        <is>
          <t>Yes</t>
        </is>
      </c>
      <c r="I72" s="30" t="n">
        <v>30</v>
      </c>
      <c r="J72" s="30" t="n">
        <v>26</v>
      </c>
    </row>
    <row r="73">
      <c r="A73" s="30">
        <f>IF(B73=0,"",ROW()-1)</f>
        <v/>
      </c>
      <c r="B73" s="31">
        <f>IFERROR(INDEX('Monit Non Financial'!$B$2:$B$400, MATCH(C73, 'Monit Non Financial'!$C$2:$C$400, 0)), IFERROR(INDEX('Monit Banks NBFC'!$B$2:$B$100, MATCH(C73, 'Monit Banks NBFC'!$C$2:$C$100, 0)), 0))</f>
        <v/>
      </c>
      <c r="C73" s="30" t="inlineStr">
        <is>
          <t>FCL</t>
        </is>
      </c>
      <c r="D73" s="30" t="inlineStr">
        <is>
          <t>Fineotex Chemical Limited</t>
        </is>
      </c>
      <c r="E73" s="30" t="inlineStr">
        <is>
          <t>Speciality Chemicals</t>
        </is>
      </c>
      <c r="F73" s="30" t="n">
        <v>2</v>
      </c>
      <c r="G73" s="30" t="inlineStr">
        <is>
          <t>No</t>
        </is>
      </c>
      <c r="H73" s="30" t="inlineStr">
        <is>
          <t>Yes</t>
        </is>
      </c>
      <c r="I73" s="30" t="n">
        <v>27</v>
      </c>
      <c r="J73" s="30" t="n">
        <v>16</v>
      </c>
    </row>
    <row r="74">
      <c r="A74" s="30">
        <f>IF(B74=0,"",ROW()-1)</f>
        <v/>
      </c>
      <c r="B74" s="31">
        <f>IFERROR(INDEX('Monit Non Financial'!$B$2:$B$400, MATCH(C74, 'Monit Non Financial'!$C$2:$C$400, 0)), IFERROR(INDEX('Monit Banks NBFC'!$B$2:$B$100, MATCH(C74, 'Monit Banks NBFC'!$C$2:$C$100, 0)), 0))</f>
        <v/>
      </c>
      <c r="C74" s="30" t="inlineStr">
        <is>
          <t>SANDHAR</t>
        </is>
      </c>
      <c r="D74" s="30" t="inlineStr">
        <is>
          <t>Sandhar Technologies Limited</t>
        </is>
      </c>
      <c r="E74" s="30" t="inlineStr">
        <is>
          <t>Auto Ancillaries - 2&amp;3 Wheelers</t>
        </is>
      </c>
      <c r="F74" s="30" t="n">
        <v>2</v>
      </c>
      <c r="G74" s="30" t="inlineStr">
        <is>
          <t>No</t>
        </is>
      </c>
      <c r="H74" s="30" t="inlineStr">
        <is>
          <t>Yes</t>
        </is>
      </c>
      <c r="I74" s="30" t="n">
        <v>24</v>
      </c>
      <c r="J74" s="30" t="n">
        <v>21</v>
      </c>
    </row>
    <row r="75">
      <c r="A75" s="30">
        <f>IF(B75=0,"",ROW()-1)</f>
        <v/>
      </c>
      <c r="B75" s="31">
        <f>IFERROR(INDEX('Monit Non Financial'!$B$2:$B$400, MATCH(C75, 'Monit Non Financial'!$C$2:$C$400, 0)), IFERROR(INDEX('Monit Banks NBFC'!$B$2:$B$100, MATCH(C75, 'Monit Banks NBFC'!$C$2:$C$100, 0)), 0))</f>
        <v/>
      </c>
      <c r="C75" s="30" t="inlineStr">
        <is>
          <t>SANGHVIMOV</t>
        </is>
      </c>
      <c r="D75" s="30" t="inlineStr">
        <is>
          <t>Sanghvi Movers Limited</t>
        </is>
      </c>
      <c r="E75" s="30" t="inlineStr">
        <is>
          <t>Capital Goods - EPC/Cranes</t>
        </is>
      </c>
      <c r="F75" s="30" t="n">
        <v>2</v>
      </c>
      <c r="G75" s="30" t="inlineStr">
        <is>
          <t>No</t>
        </is>
      </c>
      <c r="H75" s="30" t="inlineStr">
        <is>
          <t>Yes</t>
        </is>
      </c>
      <c r="I75" s="30" t="n">
        <v>19</v>
      </c>
      <c r="J75" s="30" t="n">
        <v>16</v>
      </c>
    </row>
    <row r="76">
      <c r="A76" s="30">
        <f>IF(B76=0,"",ROW()-1)</f>
        <v/>
      </c>
      <c r="B76" s="31">
        <f>IFERROR(INDEX('Monit Non Financial'!$B$2:$B$400, MATCH(C76, 'Monit Non Financial'!$C$2:$C$400, 0)), IFERROR(INDEX('Monit Banks NBFC'!$B$2:$B$100, MATCH(C76, 'Monit Banks NBFC'!$C$2:$C$100, 0)), 0))</f>
        <v/>
      </c>
      <c r="C76" s="30" t="inlineStr">
        <is>
          <t>PTCIL</t>
        </is>
      </c>
      <c r="D76" s="30" t="inlineStr">
        <is>
          <t>PTC Industries Ltd</t>
        </is>
      </c>
      <c r="E76" s="30" t="inlineStr">
        <is>
          <t>Castings - Steel/Alloy</t>
        </is>
      </c>
      <c r="F76" s="30" t="n">
        <v>2</v>
      </c>
      <c r="G76" s="30" t="inlineStr">
        <is>
          <t>No</t>
        </is>
      </c>
      <c r="H76" s="30" t="inlineStr">
        <is>
          <t>Yes</t>
        </is>
      </c>
      <c r="I76" s="30" t="n">
        <v>24</v>
      </c>
      <c r="J76" s="30" t="n">
        <v>10</v>
      </c>
    </row>
    <row r="77">
      <c r="A77" s="30">
        <f>IF(B77=0,"",ROW()-1)</f>
        <v/>
      </c>
      <c r="B77" s="31">
        <f>IFERROR(INDEX('Monit Non Financial'!$B$2:$B$400, MATCH(C77, 'Monit Non Financial'!$C$2:$C$400, 0)), IFERROR(INDEX('Monit Banks NBFC'!$B$2:$B$100, MATCH(C77, 'Monit Banks NBFC'!$C$2:$C$100, 0)), 0))</f>
        <v/>
      </c>
      <c r="C77" s="30" t="inlineStr">
        <is>
          <t>RAIN</t>
        </is>
      </c>
      <c r="D77" s="30" t="inlineStr">
        <is>
          <t>Rain Industries Limited</t>
        </is>
      </c>
      <c r="E77" s="30" t="inlineStr">
        <is>
          <t>Cement</t>
        </is>
      </c>
      <c r="F77" s="30" t="n">
        <v>2</v>
      </c>
      <c r="G77" s="30" t="inlineStr">
        <is>
          <t>No</t>
        </is>
      </c>
      <c r="H77" s="30" t="inlineStr">
        <is>
          <t>Yes</t>
        </is>
      </c>
      <c r="I77" s="30" t="n">
        <v>22</v>
      </c>
      <c r="J77" s="30" t="n">
        <v>22</v>
      </c>
    </row>
    <row r="78">
      <c r="A78" s="30">
        <f>IF(B78=0,"",ROW()-1)</f>
        <v/>
      </c>
      <c r="B78" s="31">
        <f>IFERROR(INDEX('Monit Non Financial'!$B$2:$B$400, MATCH(C78, 'Monit Non Financial'!$C$2:$C$400, 0)), IFERROR(INDEX('Monit Banks NBFC'!$B$2:$B$100, MATCH(C78, 'Monit Banks NBFC'!$C$2:$C$100, 0)), 0))</f>
        <v/>
      </c>
      <c r="C78" s="30" t="inlineStr">
        <is>
          <t>PREMIERENE</t>
        </is>
      </c>
      <c r="D78" s="30" t="inlineStr">
        <is>
          <t>Premier Energies Ltd</t>
        </is>
      </c>
      <c r="E78" s="30" t="inlineStr">
        <is>
          <t>Capital Goods - Solar</t>
        </is>
      </c>
      <c r="F78" s="30" t="n">
        <v>2</v>
      </c>
      <c r="G78" s="30" t="inlineStr">
        <is>
          <t>No</t>
        </is>
      </c>
      <c r="H78" s="30" t="inlineStr">
        <is>
          <t>Yes</t>
        </is>
      </c>
      <c r="I78" s="30" t="n">
        <v>20</v>
      </c>
      <c r="J78" s="30" t="n">
        <v>21</v>
      </c>
    </row>
    <row r="79">
      <c r="A79" s="30">
        <f>IF(B79=0,"",ROW()-1)</f>
        <v/>
      </c>
      <c r="B79" s="31">
        <f>IFERROR(INDEX('Monit Non Financial'!$B$2:$B$400, MATCH(C79, 'Monit Non Financial'!$C$2:$C$400, 0)), IFERROR(INDEX('Monit Banks NBFC'!$B$2:$B$100, MATCH(C79, 'Monit Banks NBFC'!$C$2:$C$100, 0)), 0))</f>
        <v/>
      </c>
      <c r="C79" s="30" t="inlineStr">
        <is>
          <t>RUBYMILLS</t>
        </is>
      </c>
      <c r="D79" s="30" t="inlineStr">
        <is>
          <t>The Ruby Mills Limited</t>
        </is>
      </c>
      <c r="E79" s="30" t="inlineStr">
        <is>
          <t>Textiles - Composite Mills</t>
        </is>
      </c>
      <c r="F79" s="30" t="n">
        <v>2</v>
      </c>
      <c r="G79" s="30" t="inlineStr">
        <is>
          <t>52W Breakout</t>
        </is>
      </c>
      <c r="H79" s="30" t="inlineStr">
        <is>
          <t>Yes</t>
        </is>
      </c>
      <c r="I79" s="30" t="n">
        <v>15</v>
      </c>
      <c r="J79" s="30" t="n">
        <v>20</v>
      </c>
    </row>
    <row r="80">
      <c r="A80" s="30">
        <f>IF(B80=0,"",ROW()-1)</f>
        <v/>
      </c>
      <c r="B80" s="31">
        <f>IFERROR(INDEX('Monit Non Financial'!$B$2:$B$400, MATCH(C80, 'Monit Non Financial'!$C$2:$C$400, 0)), IFERROR(INDEX('Monit Banks NBFC'!$B$2:$B$100, MATCH(C80, 'Monit Banks NBFC'!$C$2:$C$100, 0)), 0))</f>
        <v/>
      </c>
      <c r="C80" s="30" t="inlineStr">
        <is>
          <t>JAYBARMARU</t>
        </is>
      </c>
      <c r="D80" s="30" t="inlineStr">
        <is>
          <t>Jay Bharat Maruti Limited</t>
        </is>
      </c>
      <c r="E80" s="30" t="inlineStr">
        <is>
          <t>Auto Ancillaries - Diversified</t>
        </is>
      </c>
      <c r="F80" s="30" t="n">
        <v>2</v>
      </c>
      <c r="G80" s="30" t="inlineStr">
        <is>
          <t>No</t>
        </is>
      </c>
      <c r="H80" s="30" t="inlineStr">
        <is>
          <t>Yes</t>
        </is>
      </c>
      <c r="I80" s="30" t="n">
        <v>25</v>
      </c>
      <c r="J80" s="30" t="n">
        <v>16</v>
      </c>
    </row>
    <row r="81">
      <c r="A81" s="30">
        <f>IF(B81=0,"",ROW()-1)</f>
        <v/>
      </c>
      <c r="B81" s="31">
        <f>IFERROR(INDEX('Monit Non Financial'!$B$2:$B$400, MATCH(C81, 'Monit Non Financial'!$C$2:$C$400, 0)), IFERROR(INDEX('Monit Banks NBFC'!$B$2:$B$100, MATCH(C81, 'Monit Banks NBFC'!$C$2:$C$100, 0)), 0))</f>
        <v/>
      </c>
      <c r="C81" s="30" t="inlineStr">
        <is>
          <t>INDNIPPON</t>
        </is>
      </c>
      <c r="D81" s="30" t="inlineStr">
        <is>
          <t>India Nippon Electricals Limited</t>
        </is>
      </c>
      <c r="E81" s="30" t="inlineStr">
        <is>
          <t>Auto Ancillaries - Engine Parts</t>
        </is>
      </c>
      <c r="F81" s="30" t="n">
        <v>2</v>
      </c>
      <c r="G81" s="30" t="inlineStr">
        <is>
          <t>No</t>
        </is>
      </c>
      <c r="H81" s="30" t="inlineStr">
        <is>
          <t>Yes</t>
        </is>
      </c>
      <c r="I81" s="30" t="n">
        <v>23</v>
      </c>
      <c r="J81" s="30" t="n">
        <v>7</v>
      </c>
    </row>
    <row r="82">
      <c r="A82" s="30">
        <f>IF(B82=0,"",ROW()-1)</f>
        <v/>
      </c>
      <c r="B82" s="31">
        <f>IFERROR(INDEX('Monit Non Financial'!$B$2:$B$400, MATCH(C82, 'Monit Non Financial'!$C$2:$C$400, 0)), IFERROR(INDEX('Monit Banks NBFC'!$B$2:$B$100, MATCH(C82, 'Monit Banks NBFC'!$C$2:$C$100, 0)), 0))</f>
        <v/>
      </c>
      <c r="C82" s="30" t="inlineStr">
        <is>
          <t>DIACABS</t>
        </is>
      </c>
      <c r="D82" s="30" t="inlineStr">
        <is>
          <t>Diamond Power Infrastructure Ltd</t>
        </is>
      </c>
      <c r="E82" s="30" t="inlineStr">
        <is>
          <t>Cables - Power</t>
        </is>
      </c>
      <c r="F82" s="30" t="n">
        <v>2</v>
      </c>
      <c r="G82" s="30" t="inlineStr">
        <is>
          <t>No</t>
        </is>
      </c>
      <c r="H82" s="30" t="inlineStr">
        <is>
          <t>Yes</t>
        </is>
      </c>
      <c r="I82" s="30" t="n">
        <v>21</v>
      </c>
      <c r="J82" s="30" t="n">
        <v>29</v>
      </c>
    </row>
    <row r="83">
      <c r="A83" s="30">
        <f>IF(B83=0,"",ROW()-1)</f>
        <v/>
      </c>
      <c r="B83" s="31">
        <f>IFERROR(INDEX('Monit Non Financial'!$B$2:$B$400, MATCH(C83, 'Monit Non Financial'!$C$2:$C$400, 0)), IFERROR(INDEX('Monit Banks NBFC'!$B$2:$B$100, MATCH(C83, 'Monit Banks NBFC'!$C$2:$C$100, 0)), 0))</f>
        <v/>
      </c>
      <c r="C83" s="30" t="inlineStr">
        <is>
          <t>SOTL</t>
        </is>
      </c>
      <c r="D83" s="30" t="inlineStr">
        <is>
          <t>Savita Oil Technologies Limited</t>
        </is>
      </c>
      <c r="E83" s="30" t="inlineStr">
        <is>
          <t>Petrochem - Others</t>
        </is>
      </c>
      <c r="F83" s="30" t="n">
        <v>2</v>
      </c>
      <c r="G83" s="30" t="inlineStr">
        <is>
          <t>No</t>
        </is>
      </c>
      <c r="H83" s="30" t="inlineStr">
        <is>
          <t>Yes</t>
        </is>
      </c>
      <c r="I83" s="30" t="n">
        <v>26</v>
      </c>
      <c r="J83" s="30" t="n">
        <v>25</v>
      </c>
    </row>
    <row r="84">
      <c r="A84" s="30">
        <f>IF(B84=0,"",ROW()-1)</f>
        <v/>
      </c>
      <c r="B84" s="31">
        <f>IFERROR(INDEX('Monit Non Financial'!$B$2:$B$400, MATCH(C84, 'Monit Non Financial'!$C$2:$C$400, 0)), IFERROR(INDEX('Monit Banks NBFC'!$B$2:$B$100, MATCH(C84, 'Monit Banks NBFC'!$C$2:$C$100, 0)), 0))</f>
        <v/>
      </c>
      <c r="C84" s="30" t="inlineStr">
        <is>
          <t>KINGFA</t>
        </is>
      </c>
      <c r="D84" s="30" t="inlineStr">
        <is>
          <t>Kingfa Science &amp; Technology (india) Limited</t>
        </is>
      </c>
      <c r="E84" s="30" t="inlineStr">
        <is>
          <t>Plastics - Plastic &amp; Plastic Products</t>
        </is>
      </c>
      <c r="F84" s="30" t="n">
        <v>2</v>
      </c>
      <c r="G84" s="30" t="inlineStr">
        <is>
          <t>No</t>
        </is>
      </c>
      <c r="H84" s="30" t="inlineStr">
        <is>
          <t>Yes</t>
        </is>
      </c>
      <c r="I84" s="30" t="n">
        <v>20</v>
      </c>
      <c r="J84" s="30" t="n">
        <v>30</v>
      </c>
    </row>
    <row r="85">
      <c r="A85" s="30">
        <f>IF(B85=0,"",ROW()-1)</f>
        <v/>
      </c>
      <c r="B85" s="31">
        <f>IFERROR(INDEX('Monit Non Financial'!$B$2:$B$400, MATCH(C85, 'Monit Non Financial'!$C$2:$C$400, 0)), IFERROR(INDEX('Monit Banks NBFC'!$B$2:$B$100, MATCH(C85, 'Monit Banks NBFC'!$C$2:$C$100, 0)), 0))</f>
        <v/>
      </c>
      <c r="C85" s="30" t="inlineStr">
        <is>
          <t>CEIGALL</t>
        </is>
      </c>
      <c r="D85" s="30" t="inlineStr">
        <is>
          <t>Ceigall India Ltd</t>
        </is>
      </c>
      <c r="E85" s="30" t="inlineStr">
        <is>
          <t>Construction - Civil/Turnkey</t>
        </is>
      </c>
      <c r="F85" s="30" t="n">
        <v>2</v>
      </c>
      <c r="G85" s="30" t="inlineStr">
        <is>
          <t>No</t>
        </is>
      </c>
      <c r="H85" s="30" t="inlineStr">
        <is>
          <t>Yes</t>
        </is>
      </c>
      <c r="I85" s="30" t="n">
        <v>20</v>
      </c>
      <c r="J85" s="30" t="n">
        <v>24</v>
      </c>
    </row>
    <row r="86">
      <c r="A86" s="30">
        <f>IF(B86=0,"",ROW()-1)</f>
        <v/>
      </c>
      <c r="B86" s="31">
        <f>IFERROR(INDEX('Monit Non Financial'!$B$2:$B$400, MATCH(C86, 'Monit Non Financial'!$C$2:$C$400, 0)), IFERROR(INDEX('Monit Banks NBFC'!$B$2:$B$100, MATCH(C86, 'Monit Banks NBFC'!$C$2:$C$100, 0)), 0))</f>
        <v/>
      </c>
      <c r="C86" s="30" t="inlineStr">
        <is>
          <t>BBOX</t>
        </is>
      </c>
      <c r="D86" s="30" t="inlineStr">
        <is>
          <t>Black Box Ltd</t>
        </is>
      </c>
      <c r="E86" s="30" t="inlineStr">
        <is>
          <t>Data Centre</t>
        </is>
      </c>
      <c r="F86" s="30" t="n">
        <v>2</v>
      </c>
      <c r="G86" s="30" t="inlineStr">
        <is>
          <t>52W Breakout</t>
        </is>
      </c>
      <c r="H86" s="30" t="inlineStr">
        <is>
          <t>Yes</t>
        </is>
      </c>
      <c r="I86" s="30" t="n">
        <v>15</v>
      </c>
      <c r="J86" s="30" t="n">
        <v>30</v>
      </c>
    </row>
    <row r="87">
      <c r="A87" s="30">
        <f>IF(B87=0,"",ROW()-1)</f>
        <v/>
      </c>
      <c r="B87" s="31">
        <f>IFERROR(INDEX('Monit Non Financial'!$B$2:$B$400, MATCH(C87, 'Monit Non Financial'!$C$2:$C$400, 0)), IFERROR(INDEX('Monit Banks NBFC'!$B$2:$B$100, MATCH(C87, 'Monit Banks NBFC'!$C$2:$C$100, 0)), 0))</f>
        <v/>
      </c>
      <c r="C87" s="30" t="inlineStr">
        <is>
          <t>ANTELOPUS</t>
        </is>
      </c>
      <c r="D87" s="30" t="inlineStr">
        <is>
          <t>Antelopus Selan Energy Ltd</t>
        </is>
      </c>
      <c r="E87" s="30" t="inlineStr">
        <is>
          <t>Oil Drilling &amp; Exploration</t>
        </is>
      </c>
      <c r="F87" s="30" t="n">
        <v>2</v>
      </c>
      <c r="G87" s="30" t="inlineStr">
        <is>
          <t>No</t>
        </is>
      </c>
      <c r="H87" s="30" t="inlineStr">
        <is>
          <t>Yes</t>
        </is>
      </c>
      <c r="I87" s="30" t="n">
        <v>22</v>
      </c>
      <c r="J87" s="30" t="n">
        <v>28</v>
      </c>
    </row>
    <row r="88">
      <c r="A88" s="30">
        <f>IF(B88=0,"",ROW()-1)</f>
        <v/>
      </c>
      <c r="B88" s="31">
        <f>IFERROR(INDEX('Monit Non Financial'!$B$2:$B$400, MATCH(C88, 'Monit Non Financial'!$C$2:$C$400, 0)), IFERROR(INDEX('Monit Banks NBFC'!$B$2:$B$100, MATCH(C88, 'Monit Banks NBFC'!$C$2:$C$100, 0)), 0))</f>
        <v/>
      </c>
      <c r="C88" s="30" t="inlineStr">
        <is>
          <t>VADILALIND</t>
        </is>
      </c>
      <c r="D88" s="30" t="inlineStr">
        <is>
          <t>Vadilal Industries Limited</t>
        </is>
      </c>
      <c r="E88" s="30" t="inlineStr">
        <is>
          <t>FMCG - Dairy Products</t>
        </is>
      </c>
      <c r="F88" s="30" t="n">
        <v>2</v>
      </c>
      <c r="G88" s="30" t="inlineStr">
        <is>
          <t>No</t>
        </is>
      </c>
      <c r="H88" s="30" t="inlineStr">
        <is>
          <t>Yes</t>
        </is>
      </c>
      <c r="I88" s="30" t="n">
        <v>22</v>
      </c>
      <c r="J88" s="30" t="n">
        <v>4</v>
      </c>
    </row>
    <row r="89">
      <c r="A89" s="30">
        <f>IF(B89=0,"",ROW()-1)</f>
        <v/>
      </c>
      <c r="B89" s="31">
        <f>IFERROR(INDEX('Monit Non Financial'!$B$2:$B$400, MATCH(C89, 'Monit Non Financial'!$C$2:$C$400, 0)), IFERROR(INDEX('Monit Banks NBFC'!$B$2:$B$100, MATCH(C89, 'Monit Banks NBFC'!$C$2:$C$100, 0)), 0))</f>
        <v/>
      </c>
      <c r="C89" s="30" t="inlineStr">
        <is>
          <t>NSLNISP</t>
        </is>
      </c>
      <c r="D89" s="30" t="inlineStr">
        <is>
          <t>NMDC Steel Ltd</t>
        </is>
      </c>
      <c r="E89" s="30" t="inlineStr">
        <is>
          <t>Steel</t>
        </is>
      </c>
      <c r="F89" s="30" t="n">
        <v>2</v>
      </c>
      <c r="G89" s="30" t="inlineStr">
        <is>
          <t>No</t>
        </is>
      </c>
      <c r="H89" s="30" t="inlineStr">
        <is>
          <t>Yes</t>
        </is>
      </c>
      <c r="I89" s="30" t="n">
        <v>23</v>
      </c>
      <c r="J89" s="30" t="n">
        <v>26</v>
      </c>
    </row>
    <row r="90">
      <c r="A90" s="30">
        <f>IF(B90=0,"",ROW()-1)</f>
        <v/>
      </c>
      <c r="B90" s="31">
        <f>IFERROR(INDEX('Monit Non Financial'!$B$2:$B$400, MATCH(C90, 'Monit Non Financial'!$C$2:$C$400, 0)), IFERROR(INDEX('Monit Banks NBFC'!$B$2:$B$100, MATCH(C90, 'Monit Banks NBFC'!$C$2:$C$100, 0)), 0))</f>
        <v/>
      </c>
      <c r="C90" s="30" t="inlineStr">
        <is>
          <t>ASHAPURMIN</t>
        </is>
      </c>
      <c r="D90" s="30" t="inlineStr">
        <is>
          <t>Ashapura Minechem Limited</t>
        </is>
      </c>
      <c r="E90" s="30" t="inlineStr">
        <is>
          <t>Mining/Minerals</t>
        </is>
      </c>
      <c r="F90" s="30" t="n">
        <v>2</v>
      </c>
      <c r="G90" s="30" t="inlineStr">
        <is>
          <t>No</t>
        </is>
      </c>
      <c r="H90" s="30" t="inlineStr">
        <is>
          <t>Yes</t>
        </is>
      </c>
      <c r="I90" s="30" t="n">
        <v>20</v>
      </c>
      <c r="J90" s="30" t="n">
        <v>1</v>
      </c>
    </row>
    <row r="91">
      <c r="A91" s="30">
        <f>IF(B91=0,"",ROW()-1)</f>
        <v/>
      </c>
      <c r="B91" s="31">
        <f>IFERROR(INDEX('Monit Non Financial'!$B$2:$B$400, MATCH(C91, 'Monit Non Financial'!$C$2:$C$400, 0)), IFERROR(INDEX('Monit Banks NBFC'!$B$2:$B$100, MATCH(C91, 'Monit Banks NBFC'!$C$2:$C$100, 0)), 0))</f>
        <v/>
      </c>
      <c r="C91" s="30" t="inlineStr">
        <is>
          <t>ACMESOLAR</t>
        </is>
      </c>
      <c r="D91" s="30" t="inlineStr">
        <is>
          <t>ACME Solar Holdings Ltd</t>
        </is>
      </c>
      <c r="E91" s="30" t="inlineStr">
        <is>
          <t>Engineering - Turnkey Services</t>
        </is>
      </c>
      <c r="F91" s="30" t="n">
        <v>2</v>
      </c>
      <c r="G91" s="30" t="inlineStr">
        <is>
          <t>52W Breakout</t>
        </is>
      </c>
      <c r="H91" s="30" t="inlineStr">
        <is>
          <t>Yes</t>
        </is>
      </c>
      <c r="I91" s="30" t="n">
        <v>16</v>
      </c>
      <c r="J91" s="30" t="n">
        <v>19</v>
      </c>
    </row>
    <row r="92">
      <c r="A92" s="30">
        <f>IF(B92=0,"",ROW()-1)</f>
        <v/>
      </c>
      <c r="B92" s="31">
        <f>IFERROR(INDEX('Monit Non Financial'!$B$2:$B$400, MATCH(C92, 'Monit Non Financial'!$C$2:$C$400, 0)), IFERROR(INDEX('Monit Banks NBFC'!$B$2:$B$100, MATCH(C92, 'Monit Banks NBFC'!$C$2:$C$100, 0)), 0))</f>
        <v/>
      </c>
      <c r="C92" s="30" t="inlineStr">
        <is>
          <t>LLOYDSME</t>
        </is>
      </c>
      <c r="D92" s="30" t="inlineStr">
        <is>
          <t>Lloyds Metals &amp; Energy Ltd</t>
        </is>
      </c>
      <c r="E92" s="30" t="inlineStr">
        <is>
          <t>Mining/Minerals - Iron Ore</t>
        </is>
      </c>
      <c r="F92" s="30" t="n">
        <v>2</v>
      </c>
      <c r="G92" s="30" t="inlineStr">
        <is>
          <t>No</t>
        </is>
      </c>
      <c r="H92" s="30" t="inlineStr">
        <is>
          <t>Yes</t>
        </is>
      </c>
      <c r="I92" s="30" t="n">
        <v>20</v>
      </c>
      <c r="J92" s="30" t="n">
        <v>28</v>
      </c>
    </row>
    <row r="93">
      <c r="A93" s="30">
        <f>IF(B93=0,"",ROW()-1)</f>
        <v/>
      </c>
      <c r="B93" s="31">
        <f>IFERROR(INDEX('Monit Non Financial'!$B$2:$B$400, MATCH(C93, 'Monit Non Financial'!$C$2:$C$400, 0)), IFERROR(INDEX('Monit Banks NBFC'!$B$2:$B$100, MATCH(C93, 'Monit Banks NBFC'!$C$2:$C$100, 0)), 0))</f>
        <v/>
      </c>
      <c r="C93" s="30" t="inlineStr">
        <is>
          <t>KRISHANA</t>
        </is>
      </c>
      <c r="D93" s="30" t="inlineStr">
        <is>
          <t>Krishana Phoschem Ltd</t>
        </is>
      </c>
      <c r="E93" s="30" t="inlineStr">
        <is>
          <t>Fertilisers</t>
        </is>
      </c>
      <c r="F93" s="30" t="n">
        <v>2</v>
      </c>
      <c r="G93" s="30" t="inlineStr">
        <is>
          <t>No</t>
        </is>
      </c>
      <c r="H93" s="30" t="inlineStr">
        <is>
          <t>Yes</t>
        </is>
      </c>
      <c r="I93" s="30" t="n">
        <v>25</v>
      </c>
      <c r="J93" s="30" t="n">
        <v>22</v>
      </c>
    </row>
    <row r="94">
      <c r="A94" s="30">
        <f>IF(B94=0,"",ROW()-1)</f>
        <v/>
      </c>
      <c r="B94" s="31">
        <f>IFERROR(INDEX('Monit Non Financial'!$B$2:$B$400, MATCH(C94, 'Monit Non Financial'!$C$2:$C$400, 0)), IFERROR(INDEX('Monit Banks NBFC'!$B$2:$B$100, MATCH(C94, 'Monit Banks NBFC'!$C$2:$C$100, 0)), 0))</f>
        <v/>
      </c>
      <c r="C94" s="30" t="inlineStr">
        <is>
          <t>VEDL</t>
        </is>
      </c>
      <c r="D94" s="30" t="inlineStr">
        <is>
          <t>Vedanta Limited</t>
        </is>
      </c>
      <c r="E94" s="30" t="inlineStr">
        <is>
          <t>Mining/Minerals</t>
        </is>
      </c>
      <c r="F94" s="30" t="n">
        <v>2</v>
      </c>
      <c r="G94" s="30" t="inlineStr">
        <is>
          <t>No</t>
        </is>
      </c>
      <c r="H94" s="30" t="inlineStr">
        <is>
          <t>Yes</t>
        </is>
      </c>
      <c r="I94" s="30" t="n">
        <v>20</v>
      </c>
      <c r="J94" s="30" t="n">
        <v>27</v>
      </c>
    </row>
    <row r="95">
      <c r="A95" s="30">
        <f>IF(B95=0,"",ROW()-1)</f>
        <v/>
      </c>
      <c r="B95" s="31">
        <f>IFERROR(INDEX('Monit Non Financial'!$B$2:$B$400, MATCH(C95, 'Monit Non Financial'!$C$2:$C$400, 0)), IFERROR(INDEX('Monit Banks NBFC'!$B$2:$B$100, MATCH(C95, 'Monit Banks NBFC'!$C$2:$C$100, 0)), 0))</f>
        <v/>
      </c>
      <c r="C95" s="30" t="inlineStr">
        <is>
          <t>BALAMINES</t>
        </is>
      </c>
      <c r="D95" s="30" t="inlineStr">
        <is>
          <t>Balaji Amines Limited</t>
        </is>
      </c>
      <c r="E95" s="30" t="inlineStr">
        <is>
          <t>unknown</t>
        </is>
      </c>
      <c r="F95" s="30" t="n">
        <v>2</v>
      </c>
      <c r="G95" s="30" t="inlineStr">
        <is>
          <t>No</t>
        </is>
      </c>
      <c r="H95" s="30" t="inlineStr">
        <is>
          <t>Yes</t>
        </is>
      </c>
      <c r="I95" s="30" t="n">
        <v>0</v>
      </c>
      <c r="J95" s="30" t="n">
        <v>18</v>
      </c>
    </row>
  </sheetData>
  <autoFilter ref="A1:J95"/>
  <conditionalFormatting sqref="F2:F9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2026-06-04T13:34:37Z</dcterms:created>
  <dcterms:modified xmlns:dcterms="http://purl.org/dc/terms/" xmlns:xsi="http://www.w3.org/2001/XMLSchema-instance" xsi:type="dcterms:W3CDTF">2026-06-04T13:35:26Z</dcterms:modified>
</cp:coreProperties>
</file>