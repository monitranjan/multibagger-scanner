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Universe'!$A$1:$J$398</definedName>
    <definedName name="_xlnm._FilterDatabase" localSheetId="3" hidden="1">'Confluence Overlap'!$A$1:$K$94</definedName>
    <definedName name="_xlnm._FilterDatabase" localSheetId="4" hidden="1">'Monit Non Financial'!$A$1:$CE$339</definedName>
    <definedName name="_xlnm._FilterDatabase" localSheetId="5" hidden="1">'Monit Banks NBFC'!$A$1:$CA$60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Financial'!$A$1:$CG$93</definedName>
    <definedName name="_xlnm._FilterDatabase" localSheetId="9" hidden="1">'Scan Match Banks NBFC'!$A$1:$CC$9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15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25" customWidth="1" min="3" max="3"/>
    <col width="41" customWidth="1" min="4" max="4"/>
    <col width="22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2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432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57</v>
      </c>
      <c r="G6" s="19" t="n">
        <v>13458.92</v>
      </c>
      <c r="H6" s="18" t="inlineStr">
        <is>
          <t>Potential Leader</t>
        </is>
      </c>
      <c r="J6" s="18" t="inlineStr">
        <is>
          <t>nan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420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55</v>
      </c>
      <c r="G7" s="19" t="n">
        <v>4631.97</v>
      </c>
      <c r="H7" s="18" t="inlineStr">
        <is>
          <t>Potential Leader</t>
        </is>
      </c>
      <c r="J7" s="18" t="inlineStr">
        <is>
          <t>bank</t>
        </is>
      </c>
      <c r="K7" s="16" t="n">
        <v>80</v>
      </c>
      <c r="L7" s="16" t="n">
        <v>49</v>
      </c>
      <c r="M7" s="20" t="inlineStr">
        <is>
          <t>63.3%</t>
        </is>
      </c>
    </row>
    <row r="8">
      <c r="A8" s="16" t="n">
        <v>3</v>
      </c>
      <c r="B8" s="17" t="n">
        <v>420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55</v>
      </c>
      <c r="G8" s="19" t="n">
        <v>4548.52</v>
      </c>
      <c r="H8" s="18" t="inlineStr">
        <is>
          <t>Potential Leader</t>
        </is>
      </c>
      <c r="J8" s="18" t="inlineStr">
        <is>
          <t>chemicals</t>
        </is>
      </c>
      <c r="K8" s="16" t="n">
        <v>82</v>
      </c>
      <c r="L8" s="16" t="n">
        <v>59</v>
      </c>
      <c r="M8" s="20" t="inlineStr">
        <is>
          <t>39.0%</t>
        </is>
      </c>
    </row>
    <row r="9">
      <c r="A9" s="16" t="n">
        <v>4</v>
      </c>
      <c r="B9" s="17" t="n">
        <v>414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54</v>
      </c>
      <c r="G9" s="19" t="n">
        <v>12961.57</v>
      </c>
      <c r="H9" s="18" t="inlineStr">
        <is>
          <t>Potential Leader</t>
        </is>
      </c>
      <c r="J9" s="18" t="inlineStr">
        <is>
          <t>building materials</t>
        </is>
      </c>
      <c r="K9" s="16" t="n">
        <v>44</v>
      </c>
      <c r="L9" s="16" t="n">
        <v>32</v>
      </c>
      <c r="M9" s="20" t="inlineStr">
        <is>
          <t>37.5%</t>
        </is>
      </c>
    </row>
    <row r="10">
      <c r="A10" s="16" t="n">
        <v>5</v>
      </c>
      <c r="B10" s="17" t="n">
        <v>414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54</v>
      </c>
      <c r="G10" s="19" t="n">
        <v>3144.67</v>
      </c>
      <c r="H10" s="18" t="inlineStr">
        <is>
          <t>Potential Leader</t>
        </is>
      </c>
      <c r="J10" s="18" t="inlineStr">
        <is>
          <t>realty</t>
        </is>
      </c>
      <c r="K10" s="16" t="n">
        <v>63</v>
      </c>
      <c r="L10" s="16" t="n">
        <v>60</v>
      </c>
      <c r="M10" s="20" t="inlineStr">
        <is>
          <t>5.0%</t>
        </is>
      </c>
    </row>
    <row r="11">
      <c r="A11" s="16" t="n">
        <v>6</v>
      </c>
      <c r="B11" s="17" t="n">
        <v>414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54</v>
      </c>
      <c r="G11" s="19" t="n">
        <v>36991.36</v>
      </c>
      <c r="H11" s="18" t="inlineStr">
        <is>
          <t>Potential Leader</t>
        </is>
      </c>
      <c r="J11" s="18" t="inlineStr">
        <is>
          <t>auto</t>
        </is>
      </c>
      <c r="K11" s="16" t="n">
        <v>124</v>
      </c>
      <c r="L11" s="16" t="n">
        <v>119</v>
      </c>
      <c r="M11" s="20" t="inlineStr">
        <is>
          <t>4.2%</t>
        </is>
      </c>
    </row>
    <row r="12">
      <c r="A12" s="16" t="n">
        <v>7</v>
      </c>
      <c r="B12" s="17" t="n">
        <v>408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53</v>
      </c>
      <c r="G12" s="19" t="n">
        <v>7728.03</v>
      </c>
      <c r="H12" s="18" t="inlineStr">
        <is>
          <t>Potential Leader</t>
        </is>
      </c>
      <c r="J12" s="18" t="inlineStr">
        <is>
          <t>financials</t>
        </is>
      </c>
      <c r="K12" s="16" t="n">
        <v>98</v>
      </c>
      <c r="L12" s="16" t="n">
        <v>98</v>
      </c>
      <c r="M12" s="20" t="inlineStr">
        <is>
          <t>0.0%</t>
        </is>
      </c>
    </row>
    <row r="13">
      <c r="A13" s="16" t="n">
        <v>8</v>
      </c>
      <c r="B13" s="17" t="n">
        <v>408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53</v>
      </c>
      <c r="G13" s="19" t="n">
        <v>28489.86</v>
      </c>
      <c r="H13" s="18" t="inlineStr">
        <is>
          <t>Potential Leader</t>
        </is>
      </c>
      <c r="J13" s="18" t="inlineStr">
        <is>
          <t>telecom-service</t>
        </is>
      </c>
      <c r="K13" s="16" t="n">
        <v>10</v>
      </c>
      <c r="L13" s="16" t="n">
        <v>10</v>
      </c>
      <c r="M13" s="20" t="inlineStr">
        <is>
          <t>0.0%</t>
        </is>
      </c>
    </row>
    <row r="14">
      <c r="A14" s="16" t="n">
        <v>9</v>
      </c>
      <c r="B14" s="17" t="n">
        <v>408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53</v>
      </c>
      <c r="G14" s="19" t="n">
        <v>5389.31</v>
      </c>
      <c r="H14" s="18" t="inlineStr">
        <is>
          <t>Potential Leader</t>
        </is>
      </c>
      <c r="J14" s="18" t="inlineStr">
        <is>
          <t>services</t>
        </is>
      </c>
      <c r="K14" s="16" t="n">
        <v>46</v>
      </c>
      <c r="L14" s="16" t="n">
        <v>47</v>
      </c>
      <c r="M14" s="21" t="inlineStr">
        <is>
          <t>-2.1%</t>
        </is>
      </c>
    </row>
    <row r="15">
      <c r="A15" s="16" t="n">
        <v>10</v>
      </c>
      <c r="B15" s="17" t="n">
        <v>396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51</v>
      </c>
      <c r="G15" s="19" t="n">
        <v>244720.96</v>
      </c>
      <c r="H15" s="18" t="inlineStr">
        <is>
          <t>Potential Leader</t>
        </is>
      </c>
      <c r="J15" s="18" t="inlineStr">
        <is>
          <t>healthcare</t>
        </is>
      </c>
      <c r="K15" s="16" t="n">
        <v>218</v>
      </c>
      <c r="L15" s="16" t="n">
        <v>224</v>
      </c>
      <c r="M15" s="21" t="inlineStr">
        <is>
          <t>-2.7%</t>
        </is>
      </c>
    </row>
    <row r="16">
      <c r="A16" s="16" t="n">
        <v>11</v>
      </c>
      <c r="B16" s="17" t="n">
        <v>396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51</v>
      </c>
      <c r="G16" s="19" t="n">
        <v>2744.15</v>
      </c>
      <c r="H16" s="18" t="inlineStr">
        <is>
          <t>Potential Leader</t>
        </is>
      </c>
      <c r="J16" s="18" t="inlineStr">
        <is>
          <t>fmcg</t>
        </is>
      </c>
      <c r="K16" s="16" t="n">
        <v>76</v>
      </c>
      <c r="L16" s="16" t="n">
        <v>79</v>
      </c>
      <c r="M16" s="21" t="inlineStr">
        <is>
          <t>-3.8%</t>
        </is>
      </c>
    </row>
    <row r="17">
      <c r="A17" s="16" t="n">
        <v>12</v>
      </c>
      <c r="B17" s="17" t="n">
        <v>396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51</v>
      </c>
      <c r="G17" s="19" t="n">
        <v>10693.44</v>
      </c>
      <c r="H17" s="18" t="inlineStr">
        <is>
          <t>Potential Leader</t>
        </is>
      </c>
      <c r="J17" s="18" t="inlineStr">
        <is>
          <t>miscellaneous</t>
        </is>
      </c>
      <c r="K17" s="16" t="n">
        <v>52</v>
      </c>
      <c r="L17" s="16" t="n">
        <v>56</v>
      </c>
      <c r="M17" s="21" t="inlineStr">
        <is>
          <t>-7.1%</t>
        </is>
      </c>
    </row>
    <row r="18">
      <c r="A18" s="16" t="n">
        <v>13</v>
      </c>
      <c r="B18" s="17" t="n">
        <v>384</v>
      </c>
      <c r="C18" s="17" t="inlineStr">
        <is>
          <t>BBOX</t>
        </is>
      </c>
      <c r="D18" s="18" t="inlineStr">
        <is>
          <t>Black Box Ltd</t>
        </is>
      </c>
      <c r="E18" s="18" t="inlineStr">
        <is>
          <t>i.t</t>
        </is>
      </c>
      <c r="F18" s="16" t="n">
        <v>49</v>
      </c>
      <c r="G18" s="19" t="n">
        <v>18079.67</v>
      </c>
      <c r="H18" s="18" t="inlineStr">
        <is>
          <t>Potential Leader</t>
        </is>
      </c>
      <c r="J18" s="18" t="inlineStr">
        <is>
          <t>industrials</t>
        </is>
      </c>
      <c r="K18" s="16" t="n">
        <v>212</v>
      </c>
      <c r="L18" s="16" t="n">
        <v>238</v>
      </c>
      <c r="M18" s="21" t="inlineStr">
        <is>
          <t>-10.9%</t>
        </is>
      </c>
    </row>
    <row r="19">
      <c r="A19" s="16" t="n">
        <v>14</v>
      </c>
      <c r="B19" s="17" t="n">
        <v>384</v>
      </c>
      <c r="C19" s="17" t="inlineStr">
        <is>
          <t>GVPIL</t>
        </is>
      </c>
      <c r="D19" s="18" t="inlineStr">
        <is>
          <t>GE Power India Ltd</t>
        </is>
      </c>
      <c r="E19" s="18" t="inlineStr">
        <is>
          <t>realty</t>
        </is>
      </c>
      <c r="F19" s="16" t="n">
        <v>49</v>
      </c>
      <c r="G19" s="19" t="n">
        <v>6249.13</v>
      </c>
      <c r="H19" s="18" t="inlineStr">
        <is>
          <t>Potential Leader</t>
        </is>
      </c>
      <c r="J19" s="18" t="inlineStr">
        <is>
          <t>i.t</t>
        </is>
      </c>
      <c r="K19" s="16" t="n">
        <v>57</v>
      </c>
      <c r="L19" s="16" t="n">
        <v>66</v>
      </c>
      <c r="M19" s="21" t="inlineStr">
        <is>
          <t>-13.6%</t>
        </is>
      </c>
    </row>
    <row r="20">
      <c r="A20" s="16" t="n">
        <v>15</v>
      </c>
      <c r="B20" s="17" t="n">
        <v>372</v>
      </c>
      <c r="C20" s="17" t="inlineStr">
        <is>
          <t>NINSYS</t>
        </is>
      </c>
      <c r="D20" s="18" t="inlineStr">
        <is>
          <t>NINtec Systems Ltd</t>
        </is>
      </c>
      <c r="E20" s="18" t="inlineStr">
        <is>
          <t>i.t</t>
        </is>
      </c>
      <c r="F20" s="16" t="n">
        <v>47</v>
      </c>
      <c r="G20" s="19" t="n">
        <v>1280.91</v>
      </c>
      <c r="H20" s="18" t="inlineStr">
        <is>
          <t>Potential Leader</t>
        </is>
      </c>
      <c r="J20" s="18" t="inlineStr">
        <is>
          <t>consumer discretionary</t>
        </is>
      </c>
      <c r="K20" s="16" t="n">
        <v>95</v>
      </c>
      <c r="L20" s="16" t="n">
        <v>111</v>
      </c>
      <c r="M20" s="21" t="inlineStr">
        <is>
          <t>-14.4%</t>
        </is>
      </c>
    </row>
    <row r="21">
      <c r="A21" s="16" t="n">
        <v>16</v>
      </c>
      <c r="B21" s="17" t="n">
        <v>372</v>
      </c>
      <c r="C21" s="17" t="inlineStr">
        <is>
          <t>POLYCAB</t>
        </is>
      </c>
      <c r="D21" s="18" t="inlineStr">
        <is>
          <t>Polycab India Ltd</t>
        </is>
      </c>
      <c r="E21" s="18" t="inlineStr">
        <is>
          <t>industrials</t>
        </is>
      </c>
      <c r="F21" s="16" t="n">
        <v>47</v>
      </c>
      <c r="G21" s="19" t="n">
        <v>143835.96</v>
      </c>
      <c r="H21" s="18" t="inlineStr">
        <is>
          <t>Potential Leader</t>
        </is>
      </c>
    </row>
    <row r="22">
      <c r="A22" s="16" t="n">
        <v>17</v>
      </c>
      <c r="B22" s="17" t="n">
        <v>366</v>
      </c>
      <c r="C22" s="17" t="inlineStr">
        <is>
          <t>NRBBEARING</t>
        </is>
      </c>
      <c r="D22" s="18" t="inlineStr">
        <is>
          <t>Nrb Bearing Limited</t>
        </is>
      </c>
      <c r="E22" s="18" t="inlineStr">
        <is>
          <t>industrials</t>
        </is>
      </c>
      <c r="F22" s="16" t="n">
        <v>46</v>
      </c>
      <c r="G22" s="19" t="n">
        <v>4127.45</v>
      </c>
      <c r="H22" s="18" t="inlineStr">
        <is>
          <t>Potential Leader</t>
        </is>
      </c>
    </row>
    <row r="23">
      <c r="A23" s="16" t="n">
        <v>18</v>
      </c>
      <c r="B23" s="17" t="n">
        <v>366</v>
      </c>
      <c r="C23" s="17" t="inlineStr">
        <is>
          <t>SIGMAADV</t>
        </is>
      </c>
      <c r="D23" s="18" t="inlineStr">
        <is>
          <t>Sigma Advanced System Ltd</t>
        </is>
      </c>
      <c r="E23" s="18" t="inlineStr">
        <is>
          <t>aerospace &amp; defence</t>
        </is>
      </c>
      <c r="F23" s="16" t="n">
        <v>46</v>
      </c>
      <c r="G23" s="19" t="n">
        <v>8450.690000000001</v>
      </c>
      <c r="H23" s="18" t="inlineStr">
        <is>
          <t>Potential Leader</t>
        </is>
      </c>
    </row>
    <row r="24">
      <c r="A24" s="16" t="n">
        <v>19</v>
      </c>
      <c r="B24" s="17" t="n">
        <v>366</v>
      </c>
      <c r="C24" s="17" t="inlineStr">
        <is>
          <t>TALBROAUTO</t>
        </is>
      </c>
      <c r="D24" s="18" t="inlineStr">
        <is>
          <t>Talbros Automotive Components Limited</t>
        </is>
      </c>
      <c r="E24" s="18" t="inlineStr">
        <is>
          <t>auto</t>
        </is>
      </c>
      <c r="F24" s="16" t="n">
        <v>46</v>
      </c>
      <c r="G24" s="19" t="n">
        <v>2220.67</v>
      </c>
      <c r="H24" s="18" t="inlineStr">
        <is>
          <t>Potential Leader</t>
        </is>
      </c>
    </row>
    <row r="25">
      <c r="A25" s="16" t="n">
        <v>20</v>
      </c>
      <c r="B25" s="17" t="n">
        <v>348</v>
      </c>
      <c r="C25" s="17" t="inlineStr">
        <is>
          <t>SIS</t>
        </is>
      </c>
      <c r="D25" s="18" t="inlineStr">
        <is>
          <t>Security &amp; Intelligence Services India</t>
        </is>
      </c>
      <c r="E25" s="18" t="inlineStr">
        <is>
          <t>miscellaneous</t>
        </is>
      </c>
      <c r="F25" s="16" t="n">
        <v>43</v>
      </c>
      <c r="G25" s="19" t="n">
        <v>5949.68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PANACEABIO</t>
        </is>
      </c>
      <c r="B30" s="18" t="inlineStr">
        <is>
          <t>Panacea Biotec Limited</t>
        </is>
      </c>
      <c r="C30" s="18" t="inlineStr">
        <is>
          <t>healthcare</t>
        </is>
      </c>
      <c r="D30" s="16" t="n">
        <v>10</v>
      </c>
      <c r="E30" s="16" t="n">
        <v>0</v>
      </c>
      <c r="F30" s="19" t="n">
        <v>3283.04</v>
      </c>
      <c r="J30" s="17" t="inlineStr">
        <is>
          <t>GVPIL</t>
        </is>
      </c>
      <c r="K30" s="18" t="inlineStr">
        <is>
          <t>realty</t>
        </is>
      </c>
      <c r="L30" s="19" t="n">
        <v>272</v>
      </c>
      <c r="M30" s="19" t="n">
        <v>6249.13</v>
      </c>
      <c r="N30" s="16" t="n">
        <v>30</v>
      </c>
    </row>
    <row r="31">
      <c r="A31" s="17" t="inlineStr">
        <is>
          <t>HITECHCORP</t>
        </is>
      </c>
      <c r="B31" s="18" t="inlineStr">
        <is>
          <t>Hitech Corporation</t>
        </is>
      </c>
      <c r="C31" s="18" t="inlineStr">
        <is>
          <t>industrials</t>
        </is>
      </c>
      <c r="D31" s="16" t="n">
        <v>10</v>
      </c>
      <c r="E31" s="16" t="n">
        <v>0</v>
      </c>
      <c r="F31" s="19" t="n">
        <v>532.48</v>
      </c>
      <c r="J31" s="17" t="inlineStr">
        <is>
          <t>APOLLO</t>
        </is>
      </c>
      <c r="K31" s="18" t="inlineStr">
        <is>
          <t>aerospace &amp; defence</t>
        </is>
      </c>
      <c r="L31" s="19" t="n">
        <v>257</v>
      </c>
      <c r="M31" s="19" t="n">
        <v>14627.55</v>
      </c>
      <c r="N31" s="16" t="n">
        <v>29</v>
      </c>
    </row>
    <row r="32">
      <c r="A32" s="17" t="inlineStr">
        <is>
          <t>MSTCLTD</t>
        </is>
      </c>
      <c r="B32" s="18" t="inlineStr">
        <is>
          <t>MSTC Ltd</t>
        </is>
      </c>
      <c r="C32" s="18" t="inlineStr">
        <is>
          <t>i.t</t>
        </is>
      </c>
      <c r="D32" s="16" t="n">
        <v>10</v>
      </c>
      <c r="E32" s="16" t="n">
        <v>0</v>
      </c>
      <c r="F32" s="19" t="n">
        <v>4002.59</v>
      </c>
      <c r="J32" s="17" t="inlineStr">
        <is>
          <t>EQUITASBNK</t>
        </is>
      </c>
      <c r="K32" s="18" t="inlineStr">
        <is>
          <t>bank</t>
        </is>
      </c>
      <c r="L32" s="19" t="n">
        <v>255</v>
      </c>
      <c r="M32" s="19" t="n">
        <v>8619.440000000001</v>
      </c>
      <c r="N32" s="16" t="n">
        <v>21</v>
      </c>
    </row>
    <row r="33">
      <c r="A33" s="17" t="inlineStr">
        <is>
          <t>GANESHBE</t>
        </is>
      </c>
      <c r="B33" s="18" t="inlineStr">
        <is>
          <t>Ganesh Benzoplast Ltd</t>
        </is>
      </c>
      <c r="C33" s="18" t="inlineStr">
        <is>
          <t>miscellaneous</t>
        </is>
      </c>
      <c r="D33" s="16" t="n">
        <v>10</v>
      </c>
      <c r="E33" s="16" t="n">
        <v>2</v>
      </c>
      <c r="F33" s="19" t="n">
        <v>779.5</v>
      </c>
      <c r="J33" s="17" t="inlineStr">
        <is>
          <t>SBCL</t>
        </is>
      </c>
      <c r="K33" s="18" t="inlineStr">
        <is>
          <t>metals &amp; mining</t>
        </is>
      </c>
      <c r="L33" s="19" t="n">
        <v>250</v>
      </c>
      <c r="M33" s="19" t="n">
        <v>4006.37</v>
      </c>
      <c r="N33" s="16" t="n">
        <v>27</v>
      </c>
    </row>
    <row r="34">
      <c r="A34" s="17" t="inlineStr">
        <is>
          <t>KPRMILL</t>
        </is>
      </c>
      <c r="B34" s="18" t="inlineStr">
        <is>
          <t>K.p.r. Mill Limited</t>
        </is>
      </c>
      <c r="C34" s="18" t="inlineStr">
        <is>
          <t>consumer discretionary</t>
        </is>
      </c>
      <c r="D34" s="16" t="n">
        <v>10</v>
      </c>
      <c r="E34" s="16" t="n">
        <v>1</v>
      </c>
      <c r="F34" s="19" t="n">
        <v>36430.54</v>
      </c>
      <c r="J34" s="17" t="inlineStr">
        <is>
          <t>APOLLOPIPE</t>
        </is>
      </c>
      <c r="K34" s="18" t="inlineStr">
        <is>
          <t>plastic products</t>
        </is>
      </c>
      <c r="L34" s="19" t="n">
        <v>240</v>
      </c>
      <c r="M34" s="19" t="n">
        <v>2180.39</v>
      </c>
      <c r="N34" s="16" t="n">
        <v>18</v>
      </c>
    </row>
    <row r="35">
      <c r="A35" s="17" t="inlineStr">
        <is>
          <t>BHAGERIA</t>
        </is>
      </c>
      <c r="B35" s="18" t="inlineStr">
        <is>
          <t>Bhageria Industries Limited</t>
        </is>
      </c>
      <c r="C35" s="18" t="inlineStr">
        <is>
          <t>chemicals</t>
        </is>
      </c>
      <c r="D35" s="16" t="n">
        <v>9</v>
      </c>
      <c r="E35" s="16" t="n">
        <v>0</v>
      </c>
      <c r="F35" s="19" t="n">
        <v>913.25</v>
      </c>
      <c r="J35" s="17" t="inlineStr">
        <is>
          <t>APCOTEXIND</t>
        </is>
      </c>
      <c r="K35" s="18" t="inlineStr">
        <is>
          <t>chemicals</t>
        </is>
      </c>
      <c r="L35" s="19" t="n">
        <v>230</v>
      </c>
      <c r="M35" s="19" t="n">
        <v>2744.15</v>
      </c>
      <c r="N35" s="16" t="n">
        <v>30</v>
      </c>
    </row>
    <row r="36">
      <c r="A36" s="17" t="inlineStr">
        <is>
          <t>SSWL</t>
        </is>
      </c>
      <c r="B36" s="18" t="inlineStr">
        <is>
          <t>Steel Strips Wheels Limited</t>
        </is>
      </c>
      <c r="C36" s="18" t="inlineStr">
        <is>
          <t>auto</t>
        </is>
      </c>
      <c r="D36" s="16" t="n">
        <v>9</v>
      </c>
      <c r="E36" s="16" t="n">
        <v>0</v>
      </c>
      <c r="F36" s="19" t="n">
        <v>3640.77</v>
      </c>
      <c r="J36" s="17" t="inlineStr">
        <is>
          <t>SATIN</t>
        </is>
      </c>
      <c r="K36" s="18" t="inlineStr">
        <is>
          <t>financials</t>
        </is>
      </c>
      <c r="L36" s="19" t="n">
        <v>227</v>
      </c>
      <c r="M36" s="19" t="n">
        <v>2500.18</v>
      </c>
      <c r="N36" s="16" t="n">
        <v>29</v>
      </c>
    </row>
    <row r="37">
      <c r="A37" s="17" t="inlineStr">
        <is>
          <t>MGEL</t>
        </is>
      </c>
      <c r="B37" s="18" t="inlineStr">
        <is>
          <t>Mangalam Global Enterprise Ltd</t>
        </is>
      </c>
      <c r="C37" s="18" t="inlineStr">
        <is>
          <t>services</t>
        </is>
      </c>
      <c r="D37" s="16" t="n">
        <v>9</v>
      </c>
      <c r="E37" s="16" t="n">
        <v>2</v>
      </c>
      <c r="F37" s="19" t="n">
        <v>541.79</v>
      </c>
      <c r="J37" s="17" t="inlineStr">
        <is>
          <t>KTKBANK</t>
        </is>
      </c>
      <c r="K37" s="18" t="inlineStr">
        <is>
          <t>bank</t>
        </is>
      </c>
      <c r="L37" s="19" t="n">
        <v>225</v>
      </c>
      <c r="M37" s="19" t="n">
        <v>10425.33</v>
      </c>
      <c r="N37" s="16" t="n">
        <v>16</v>
      </c>
    </row>
    <row r="38">
      <c r="A38" s="17" t="inlineStr">
        <is>
          <t>GREENPLY</t>
        </is>
      </c>
      <c r="B38" s="18" t="inlineStr">
        <is>
          <t>Greenply Industries Limited</t>
        </is>
      </c>
      <c r="C38" s="18" t="inlineStr">
        <is>
          <t>building materials</t>
        </is>
      </c>
      <c r="D38" s="16" t="n">
        <v>8</v>
      </c>
      <c r="E38" s="16" t="n">
        <v>1</v>
      </c>
      <c r="F38" s="19" t="n">
        <v>3634.4</v>
      </c>
      <c r="J38" s="17" t="inlineStr">
        <is>
          <t>PRICOLLTD</t>
        </is>
      </c>
      <c r="K38" s="18" t="inlineStr">
        <is>
          <t>auto</t>
        </is>
      </c>
      <c r="L38" s="19" t="n">
        <v>225</v>
      </c>
      <c r="M38" s="19" t="n">
        <v>6709.58</v>
      </c>
      <c r="N38" s="16" t="n">
        <v>3</v>
      </c>
    </row>
    <row r="39">
      <c r="A39" s="17" t="inlineStr">
        <is>
          <t>TINNARUBR</t>
        </is>
      </c>
      <c r="B39" s="18" t="inlineStr">
        <is>
          <t>Tinna Rubber &amp; Infrastructure Ltd</t>
        </is>
      </c>
      <c r="C39" s="18" t="inlineStr">
        <is>
          <t>fmcg</t>
        </is>
      </c>
      <c r="D39" s="16" t="n">
        <v>8</v>
      </c>
      <c r="E39" s="16" t="n">
        <v>0</v>
      </c>
      <c r="F39" s="19" t="n">
        <v>1537.92</v>
      </c>
      <c r="J39" s="17" t="inlineStr">
        <is>
          <t>CONFIPET</t>
        </is>
      </c>
      <c r="K39" s="18" t="inlineStr">
        <is>
          <t>miscellaneous</t>
        </is>
      </c>
      <c r="L39" s="19" t="n">
        <v>223</v>
      </c>
      <c r="M39" s="19" t="n">
        <v>2339.64</v>
      </c>
      <c r="N39" s="16" t="n">
        <v>28</v>
      </c>
    </row>
    <row r="40">
      <c r="A40" s="17" t="inlineStr">
        <is>
          <t>RAMCOSYS</t>
        </is>
      </c>
      <c r="B40" s="18" t="inlineStr">
        <is>
          <t>Ramco Systems Limited</t>
        </is>
      </c>
      <c r="C40" s="18" t="inlineStr">
        <is>
          <t>i.t</t>
        </is>
      </c>
      <c r="D40" s="16" t="n">
        <v>7</v>
      </c>
      <c r="E40" s="16" t="n">
        <v>0</v>
      </c>
      <c r="F40" s="19" t="n">
        <v>2103.11</v>
      </c>
      <c r="J40" s="17" t="inlineStr">
        <is>
          <t>IBULLSLTD</t>
        </is>
      </c>
      <c r="K40" s="18" t="inlineStr">
        <is>
          <t>miscellaneous</t>
        </is>
      </c>
      <c r="L40" s="19" t="n">
        <v>220</v>
      </c>
      <c r="M40" s="19" t="n">
        <v>5464.62</v>
      </c>
      <c r="N40" s="16" t="n">
        <v>26</v>
      </c>
    </row>
    <row r="41">
      <c r="A41" s="17" t="inlineStr">
        <is>
          <t>HMVL</t>
        </is>
      </c>
      <c r="B41" s="18" t="inlineStr">
        <is>
          <t>Hindustan Media Ventures Limited</t>
        </is>
      </c>
      <c r="C41" s="18" t="inlineStr">
        <is>
          <t>media</t>
        </is>
      </c>
      <c r="D41" s="16" t="n">
        <v>7</v>
      </c>
      <c r="E41" s="16" t="n">
        <v>0</v>
      </c>
      <c r="F41" s="19" t="n">
        <v>579.72</v>
      </c>
      <c r="J41" s="17" t="inlineStr">
        <is>
          <t>MBAPL</t>
        </is>
      </c>
      <c r="K41" s="18" t="inlineStr">
        <is>
          <t>chemicals</t>
        </is>
      </c>
      <c r="L41" s="19" t="n">
        <v>218</v>
      </c>
      <c r="M41" s="19" t="n">
        <v>4936.03</v>
      </c>
      <c r="N41" s="16" t="n">
        <v>10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107.58</v>
      </c>
      <c r="D47" s="28" t="n">
        <v>190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28489.86</v>
      </c>
    </row>
    <row r="48">
      <c r="A48" s="16" t="n">
        <v>2</v>
      </c>
      <c r="B48" s="27" t="n">
        <v>99</v>
      </c>
      <c r="C48" s="28" t="n">
        <v>102.99</v>
      </c>
      <c r="D48" s="28" t="n">
        <v>195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8450.690000000001</v>
      </c>
    </row>
    <row r="49">
      <c r="A49" s="16" t="n">
        <v>3</v>
      </c>
      <c r="B49" s="27" t="n">
        <v>99</v>
      </c>
      <c r="C49" s="28" t="n">
        <v>84.01000000000001</v>
      </c>
      <c r="D49" s="28" t="n">
        <v>207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21510.54</v>
      </c>
    </row>
    <row r="50">
      <c r="A50" s="16" t="n">
        <v>4</v>
      </c>
      <c r="B50" s="27" t="n">
        <v>98</v>
      </c>
      <c r="C50" s="28" t="n">
        <v>77.25</v>
      </c>
      <c r="D50" s="28" t="n">
        <v>193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10420</v>
      </c>
    </row>
    <row r="51">
      <c r="A51" s="16" t="n">
        <v>5</v>
      </c>
      <c r="B51" s="27" t="n">
        <v>98</v>
      </c>
      <c r="C51" s="28" t="n">
        <v>65.76000000000001</v>
      </c>
      <c r="D51" s="28" t="n">
        <v>183</v>
      </c>
      <c r="E51" s="17" t="inlineStr">
        <is>
          <t>UFBL</t>
        </is>
      </c>
      <c r="F51" s="18" t="inlineStr">
        <is>
          <t>United Foodbrands Ltd</t>
        </is>
      </c>
      <c r="G51" s="18" t="inlineStr">
        <is>
          <t>consumer discretionary</t>
        </is>
      </c>
      <c r="H51" s="19" t="n">
        <v>2320.17</v>
      </c>
    </row>
    <row r="52">
      <c r="A52" s="16" t="n">
        <v>6</v>
      </c>
      <c r="B52" s="27" t="n">
        <v>98</v>
      </c>
      <c r="C52" s="28" t="n">
        <v>61.3</v>
      </c>
      <c r="D52" s="28" t="n">
        <v>205</v>
      </c>
      <c r="E52" s="17" t="inlineStr">
        <is>
          <t>MTARTECH</t>
        </is>
      </c>
      <c r="F52" s="18" t="inlineStr">
        <is>
          <t>MTAR Technologies Limited</t>
        </is>
      </c>
      <c r="G52" s="18" t="inlineStr">
        <is>
          <t>Industrials</t>
        </is>
      </c>
      <c r="H52" s="19" t="n">
        <v>22589.84</v>
      </c>
    </row>
    <row r="53">
      <c r="A53" s="16" t="n">
        <v>7</v>
      </c>
      <c r="B53" s="27" t="n">
        <v>98</v>
      </c>
      <c r="C53" s="28" t="n">
        <v>60.41</v>
      </c>
      <c r="D53" s="28" t="n">
        <v>280</v>
      </c>
      <c r="E53" s="17" t="inlineStr">
        <is>
          <t>VMARCIND</t>
        </is>
      </c>
      <c r="F53" s="18" t="inlineStr">
        <is>
          <t>VMARCIND</t>
        </is>
      </c>
      <c r="G53" s="18" t="inlineStr">
        <is>
          <t>unknown</t>
        </is>
      </c>
      <c r="H53" s="19" t="n">
        <v>441.28</v>
      </c>
    </row>
    <row r="54">
      <c r="A54" s="16" t="n">
        <v>8</v>
      </c>
      <c r="B54" s="27" t="n">
        <v>97</v>
      </c>
      <c r="C54" s="28" t="n">
        <v>60.26</v>
      </c>
      <c r="D54" s="28" t="n">
        <v>200</v>
      </c>
      <c r="E54" s="17" t="inlineStr">
        <is>
          <t>BHAGYANGR</t>
        </is>
      </c>
      <c r="F54" s="18" t="inlineStr">
        <is>
          <t>Bhagyanagar India</t>
        </is>
      </c>
      <c r="G54" s="18" t="inlineStr">
        <is>
          <t>power &amp; utilities</t>
        </is>
      </c>
      <c r="H54" s="19" t="n">
        <v>993.76</v>
      </c>
    </row>
    <row r="55">
      <c r="A55" s="16" t="n">
        <v>9</v>
      </c>
      <c r="B55" s="27" t="n">
        <v>97</v>
      </c>
      <c r="C55" s="28" t="n">
        <v>58.33</v>
      </c>
      <c r="D55" s="28" t="n">
        <v>212</v>
      </c>
      <c r="E55" s="17" t="inlineStr">
        <is>
          <t>VENUSREM</t>
        </is>
      </c>
      <c r="F55" s="18" t="inlineStr">
        <is>
          <t>Venus Remedies Limited</t>
        </is>
      </c>
      <c r="G55" s="18" t="inlineStr">
        <is>
          <t>healthcare</t>
        </is>
      </c>
      <c r="H55" s="19" t="n">
        <v>2402.72</v>
      </c>
    </row>
    <row r="56">
      <c r="A56" s="16" t="n">
        <v>10</v>
      </c>
      <c r="B56" s="27" t="n">
        <v>97</v>
      </c>
      <c r="C56" s="28" t="n">
        <v>57.77</v>
      </c>
      <c r="D56" s="28" t="n">
        <v>208</v>
      </c>
      <c r="E56" s="17" t="inlineStr">
        <is>
          <t>MODISONLTD</t>
        </is>
      </c>
      <c r="F56" s="18" t="inlineStr">
        <is>
          <t>Modison Ltd</t>
        </is>
      </c>
      <c r="G56" s="18" t="inlineStr">
        <is>
          <t>industrials</t>
        </is>
      </c>
      <c r="H56" s="19" t="n">
        <v>989.5599999999999</v>
      </c>
    </row>
    <row r="57">
      <c r="A57" s="16" t="n">
        <v>11</v>
      </c>
      <c r="B57" s="27" t="n">
        <v>97</v>
      </c>
      <c r="C57" s="28" t="n">
        <v>53.79</v>
      </c>
      <c r="D57" s="28" t="n">
        <v>212</v>
      </c>
      <c r="E57" s="17" t="inlineStr">
        <is>
          <t>BLISSGVS</t>
        </is>
      </c>
      <c r="F57" s="18" t="inlineStr">
        <is>
          <t>Bliss Gvs Pharma Limited</t>
        </is>
      </c>
      <c r="G57" s="18" t="inlineStr">
        <is>
          <t>healthcare</t>
        </is>
      </c>
      <c r="H57" s="19" t="n">
        <v>4631.97</v>
      </c>
    </row>
    <row r="58">
      <c r="A58" s="16" t="n">
        <v>12</v>
      </c>
      <c r="B58" s="27" t="n">
        <v>96</v>
      </c>
      <c r="C58" s="28" t="n">
        <v>52.55</v>
      </c>
      <c r="D58" s="28" t="n">
        <v>272</v>
      </c>
      <c r="E58" s="17" t="inlineStr">
        <is>
          <t>GVPIL</t>
        </is>
      </c>
      <c r="F58" s="18" t="inlineStr">
        <is>
          <t>GE Power India Ltd</t>
        </is>
      </c>
      <c r="G58" s="18" t="inlineStr">
        <is>
          <t>realty</t>
        </is>
      </c>
      <c r="H58" s="19" t="n">
        <v>6249.13</v>
      </c>
    </row>
    <row r="59">
      <c r="A59" s="16" t="n">
        <v>13</v>
      </c>
      <c r="B59" s="27" t="n">
        <v>96</v>
      </c>
      <c r="C59" s="28" t="n">
        <v>52.22</v>
      </c>
      <c r="D59" s="28" t="n">
        <v>185</v>
      </c>
      <c r="E59" s="17" t="inlineStr">
        <is>
          <t>HFCL</t>
        </is>
      </c>
      <c r="F59" s="18" t="inlineStr">
        <is>
          <t>HFCL Ltd</t>
        </is>
      </c>
      <c r="G59" s="18" t="inlineStr">
        <is>
          <t>telecom</t>
        </is>
      </c>
      <c r="H59" s="19" t="n">
        <v>26304.93</v>
      </c>
    </row>
    <row r="60">
      <c r="A60" s="16" t="n">
        <v>14</v>
      </c>
      <c r="B60" s="27" t="n">
        <v>96</v>
      </c>
      <c r="C60" s="28" t="n">
        <v>51.82</v>
      </c>
      <c r="D60" s="28" t="n">
        <v>195</v>
      </c>
      <c r="E60" s="17" t="inlineStr">
        <is>
          <t>COCKERILL</t>
        </is>
      </c>
      <c r="F60" s="18" t="inlineStr">
        <is>
          <t>John Cockerill India Ltd</t>
        </is>
      </c>
      <c r="G60" s="18" t="inlineStr">
        <is>
          <t>Industrials</t>
        </is>
      </c>
      <c r="H60" s="19" t="n">
        <v>4608.88</v>
      </c>
    </row>
    <row r="61">
      <c r="A61" s="16" t="n">
        <v>15</v>
      </c>
      <c r="B61" s="27" t="n">
        <v>96</v>
      </c>
      <c r="C61" s="28" t="n">
        <v>50.9</v>
      </c>
      <c r="D61" s="28" t="n">
        <v>153</v>
      </c>
      <c r="E61" s="17" t="inlineStr">
        <is>
          <t>DEEDEV</t>
        </is>
      </c>
      <c r="F61" s="18" t="inlineStr">
        <is>
          <t>DEE Development Engineers Ltd</t>
        </is>
      </c>
      <c r="G61" s="18" t="inlineStr">
        <is>
          <t>metals &amp; mining</t>
        </is>
      </c>
      <c r="H61" s="19" t="n">
        <v>4548.52</v>
      </c>
    </row>
    <row r="62">
      <c r="A62" s="16" t="n">
        <v>16</v>
      </c>
      <c r="B62" s="27" t="n">
        <v>95</v>
      </c>
      <c r="C62" s="28" t="n">
        <v>50.08</v>
      </c>
      <c r="D62" s="28" t="n">
        <v>217</v>
      </c>
      <c r="E62" s="17" t="inlineStr">
        <is>
          <t>MODINSU</t>
        </is>
      </c>
      <c r="F62" s="18" t="inlineStr">
        <is>
          <t>Modern Insulators Limited</t>
        </is>
      </c>
      <c r="G62" s="18" t="inlineStr">
        <is>
          <t>Technology</t>
        </is>
      </c>
      <c r="H62" s="19" t="n">
        <v>2042.98</v>
      </c>
    </row>
    <row r="63">
      <c r="A63" s="16" t="n">
        <v>17</v>
      </c>
      <c r="B63" s="27" t="n">
        <v>95</v>
      </c>
      <c r="C63" s="28" t="n">
        <v>47.45</v>
      </c>
      <c r="D63" s="28" t="n">
        <v>220</v>
      </c>
      <c r="E63" s="17" t="inlineStr">
        <is>
          <t>IBULLSLTD</t>
        </is>
      </c>
      <c r="F63" s="18" t="inlineStr">
        <is>
          <t>Indiabulls Limited</t>
        </is>
      </c>
      <c r="G63" s="18" t="inlineStr">
        <is>
          <t>miscellaneous</t>
        </is>
      </c>
      <c r="H63" s="19" t="n">
        <v>5464.62</v>
      </c>
    </row>
    <row r="64">
      <c r="A64" s="16" t="n">
        <v>18</v>
      </c>
      <c r="B64" s="27" t="n">
        <v>95</v>
      </c>
      <c r="C64" s="28" t="n">
        <v>47.14</v>
      </c>
      <c r="D64" s="28" t="n">
        <v>193</v>
      </c>
      <c r="E64" s="17" t="inlineStr">
        <is>
          <t>HITECHCORP</t>
        </is>
      </c>
      <c r="F64" s="18" t="inlineStr">
        <is>
          <t>Hitech Corporation</t>
        </is>
      </c>
      <c r="G64" s="18" t="inlineStr">
        <is>
          <t>industrials</t>
        </is>
      </c>
      <c r="H64" s="19" t="n">
        <v>532.48</v>
      </c>
    </row>
    <row r="65">
      <c r="A65" s="16" t="n">
        <v>19</v>
      </c>
      <c r="B65" s="27" t="n">
        <v>95</v>
      </c>
      <c r="C65" s="28" t="n">
        <v>46.5</v>
      </c>
      <c r="D65" s="28" t="n">
        <v>257</v>
      </c>
      <c r="E65" s="17" t="inlineStr">
        <is>
          <t>APOLLO</t>
        </is>
      </c>
      <c r="F65" s="18" t="inlineStr">
        <is>
          <t>Apollo Micro Systems Ltd</t>
        </is>
      </c>
      <c r="G65" s="18" t="inlineStr">
        <is>
          <t>aerospace &amp; defence</t>
        </is>
      </c>
      <c r="H65" s="19" t="n">
        <v>14627.55</v>
      </c>
    </row>
    <row r="66">
      <c r="A66" s="16" t="n">
        <v>20</v>
      </c>
      <c r="B66" s="29" t="n">
        <v>94</v>
      </c>
      <c r="C66" s="28" t="n">
        <v>46.38</v>
      </c>
      <c r="D66" s="28" t="n">
        <v>195</v>
      </c>
      <c r="E66" s="17" t="inlineStr">
        <is>
          <t>NINSYS</t>
        </is>
      </c>
      <c r="F66" s="18" t="inlineStr">
        <is>
          <t>NINtec Systems Ltd</t>
        </is>
      </c>
      <c r="G66" s="18" t="inlineStr">
        <is>
          <t>i.t</t>
        </is>
      </c>
      <c r="H66" s="19" t="n">
        <v>1280.91</v>
      </c>
    </row>
    <row r="67">
      <c r="A67" s="16" t="n">
        <v>21</v>
      </c>
      <c r="B67" s="29" t="n">
        <v>94</v>
      </c>
      <c r="C67" s="28" t="n">
        <v>45.08</v>
      </c>
      <c r="D67" s="28" t="n">
        <v>212</v>
      </c>
      <c r="E67" s="17" t="inlineStr">
        <is>
          <t>BAJAJCON</t>
        </is>
      </c>
      <c r="F67" s="18" t="inlineStr">
        <is>
          <t>Bajaj Consumer Care Ltd</t>
        </is>
      </c>
      <c r="G67" s="18" t="inlineStr">
        <is>
          <t>fmcg</t>
        </is>
      </c>
      <c r="H67" s="19" t="n">
        <v>7728.03</v>
      </c>
    </row>
    <row r="68">
      <c r="A68" s="16" t="n">
        <v>22</v>
      </c>
      <c r="B68" s="29" t="n">
        <v>94</v>
      </c>
      <c r="C68" s="28" t="n">
        <v>43.76</v>
      </c>
      <c r="D68" s="28" t="n">
        <v>190</v>
      </c>
      <c r="E68" s="17" t="inlineStr">
        <is>
          <t>AEROFLEX</t>
        </is>
      </c>
      <c r="F68" s="18" t="inlineStr">
        <is>
          <t>Aeroflex Industries Ltd</t>
        </is>
      </c>
      <c r="G68" s="18" t="inlineStr">
        <is>
          <t>metals &amp; mining</t>
        </is>
      </c>
      <c r="H68" s="19" t="n">
        <v>5929.74</v>
      </c>
    </row>
    <row r="69">
      <c r="A69" s="16" t="n">
        <v>23</v>
      </c>
      <c r="B69" s="29" t="n">
        <v>94</v>
      </c>
      <c r="C69" s="28" t="n">
        <v>41.38</v>
      </c>
      <c r="D69" s="28" t="n">
        <v>165</v>
      </c>
      <c r="E69" s="17" t="inlineStr">
        <is>
          <t>BBOX</t>
        </is>
      </c>
      <c r="F69" s="18" t="inlineStr">
        <is>
          <t>Black Box Ltd</t>
        </is>
      </c>
      <c r="G69" s="18" t="inlineStr">
        <is>
          <t>i.t</t>
        </is>
      </c>
      <c r="H69" s="19" t="n">
        <v>18079.67</v>
      </c>
    </row>
    <row r="70">
      <c r="A70" s="16" t="n">
        <v>24</v>
      </c>
      <c r="B70" s="29" t="n">
        <v>94</v>
      </c>
      <c r="C70" s="28" t="n">
        <v>40.32</v>
      </c>
      <c r="D70" s="28" t="n">
        <v>175</v>
      </c>
      <c r="E70" s="17" t="inlineStr">
        <is>
          <t>YASHO</t>
        </is>
      </c>
      <c r="F70" s="18" t="inlineStr">
        <is>
          <t>Yasho Industries Ltd</t>
        </is>
      </c>
      <c r="G70" s="18" t="inlineStr">
        <is>
          <t>chemicals</t>
        </is>
      </c>
      <c r="H70" s="19" t="n">
        <v>3460.87</v>
      </c>
    </row>
    <row r="71">
      <c r="A71" s="16" t="n">
        <v>25</v>
      </c>
      <c r="B71" s="29" t="n">
        <v>93</v>
      </c>
      <c r="C71" s="28" t="n">
        <v>39.06</v>
      </c>
      <c r="D71" s="28" t="n">
        <v>205</v>
      </c>
      <c r="E71" s="17" t="inlineStr">
        <is>
          <t>SYRMA</t>
        </is>
      </c>
      <c r="F71" s="18" t="inlineStr">
        <is>
          <t>Syrma SGS Technology Ltd</t>
        </is>
      </c>
      <c r="G71" s="18" t="inlineStr">
        <is>
          <t>consumer discretionary</t>
        </is>
      </c>
      <c r="H71" s="19" t="n">
        <v>24425.84</v>
      </c>
    </row>
    <row r="72">
      <c r="A72" s="16" t="n">
        <v>26</v>
      </c>
      <c r="B72" s="29" t="n">
        <v>93</v>
      </c>
      <c r="C72" s="28" t="n">
        <v>38.89</v>
      </c>
      <c r="D72" s="28" t="n">
        <v>198</v>
      </c>
      <c r="E72" s="17" t="inlineStr">
        <is>
          <t>IDEAFORGE</t>
        </is>
      </c>
      <c r="F72" s="18" t="inlineStr">
        <is>
          <t>Ideaforge Technology Ltd</t>
        </is>
      </c>
      <c r="G72" s="18" t="inlineStr">
        <is>
          <t>aerospace &amp; defence</t>
        </is>
      </c>
      <c r="H72" s="19" t="n">
        <v>3761.11</v>
      </c>
    </row>
    <row r="73">
      <c r="A73" s="16" t="n">
        <v>27</v>
      </c>
      <c r="B73" s="29" t="n">
        <v>93</v>
      </c>
      <c r="C73" s="28" t="n">
        <v>38.83</v>
      </c>
      <c r="D73" s="28" t="n">
        <v>168</v>
      </c>
      <c r="E73" s="17" t="inlineStr">
        <is>
          <t>BALAMINES</t>
        </is>
      </c>
      <c r="F73" s="18" t="inlineStr">
        <is>
          <t>Balaji Amines Limited</t>
        </is>
      </c>
      <c r="G73" s="18" t="inlineStr">
        <is>
          <t>chemicals</t>
        </is>
      </c>
      <c r="H73" s="19" t="n">
        <v>6911.13</v>
      </c>
    </row>
    <row r="74">
      <c r="A74" s="16" t="n">
        <v>28</v>
      </c>
      <c r="B74" s="29" t="n">
        <v>93</v>
      </c>
      <c r="C74" s="28" t="n">
        <v>38.75</v>
      </c>
      <c r="D74" s="28" t="n">
        <v>183</v>
      </c>
      <c r="E74" s="17" t="inlineStr">
        <is>
          <t>UNIVCABLES</t>
        </is>
      </c>
      <c r="F74" s="18" t="inlineStr">
        <is>
          <t>Universal Cables Limited</t>
        </is>
      </c>
      <c r="G74" s="18" t="inlineStr">
        <is>
          <t>industrials</t>
        </is>
      </c>
      <c r="H74" s="19" t="n">
        <v>4082.26</v>
      </c>
    </row>
    <row r="75">
      <c r="A75" s="16" t="n">
        <v>29</v>
      </c>
      <c r="B75" s="29" t="n">
        <v>92</v>
      </c>
      <c r="C75" s="28" t="n">
        <v>38.56</v>
      </c>
      <c r="D75" s="28" t="n">
        <v>210</v>
      </c>
      <c r="E75" s="17" t="inlineStr">
        <is>
          <t>ATHERENERG</t>
        </is>
      </c>
      <c r="F75" s="18" t="inlineStr">
        <is>
          <t>Ather Energy Ltd</t>
        </is>
      </c>
      <c r="G75" s="18" t="inlineStr">
        <is>
          <t>auto</t>
        </is>
      </c>
      <c r="H75" s="19" t="n">
        <v>39365.59</v>
      </c>
    </row>
    <row r="76">
      <c r="A76" s="16" t="n">
        <v>30</v>
      </c>
      <c r="B76" s="29" t="n">
        <v>92</v>
      </c>
      <c r="C76" s="28" t="n">
        <v>38.41</v>
      </c>
      <c r="D76" s="28" t="n">
        <v>175</v>
      </c>
      <c r="E76" s="17" t="inlineStr">
        <is>
          <t>JNKINDIA</t>
        </is>
      </c>
      <c r="F76" s="18" t="inlineStr">
        <is>
          <t>JNK India Ltd</t>
        </is>
      </c>
      <c r="G76" s="18" t="inlineStr">
        <is>
          <t>realty</t>
        </is>
      </c>
      <c r="H76" s="19" t="n">
        <v>2820.36</v>
      </c>
    </row>
    <row r="77">
      <c r="A77" s="16" t="n">
        <v>31</v>
      </c>
      <c r="B77" s="29" t="n">
        <v>92</v>
      </c>
      <c r="C77" s="28" t="n">
        <v>38.24</v>
      </c>
      <c r="D77" s="28" t="n">
        <v>190</v>
      </c>
      <c r="E77" s="17" t="inlineStr">
        <is>
          <t>AVALON</t>
        </is>
      </c>
      <c r="F77" s="18" t="inlineStr">
        <is>
          <t>Avalon Technologies Ltd</t>
        </is>
      </c>
      <c r="G77" s="18" t="inlineStr">
        <is>
          <t>consumer discretionary</t>
        </is>
      </c>
      <c r="H77" s="19" t="n">
        <v>11263.45</v>
      </c>
    </row>
    <row r="78">
      <c r="A78" s="16" t="n">
        <v>32</v>
      </c>
      <c r="B78" s="29" t="n">
        <v>92</v>
      </c>
      <c r="C78" s="28" t="n">
        <v>37.79</v>
      </c>
      <c r="D78" s="28" t="n">
        <v>188</v>
      </c>
      <c r="E78" s="17" t="inlineStr">
        <is>
          <t>CEMPRO</t>
        </is>
      </c>
      <c r="F78" s="18" t="inlineStr">
        <is>
          <t>Cemindia Projects Ltd</t>
        </is>
      </c>
      <c r="G78" s="18" t="inlineStr">
        <is>
          <t>realty</t>
        </is>
      </c>
      <c r="H78" s="19" t="n">
        <v>19281.44</v>
      </c>
    </row>
    <row r="79">
      <c r="A79" s="16" t="n">
        <v>33</v>
      </c>
      <c r="B79" s="29" t="n">
        <v>91</v>
      </c>
      <c r="C79" s="28" t="n">
        <v>37.76</v>
      </c>
      <c r="D79" s="28" t="n">
        <v>185</v>
      </c>
      <c r="E79" s="17" t="inlineStr">
        <is>
          <t>SASKEN</t>
        </is>
      </c>
      <c r="F79" s="18" t="inlineStr">
        <is>
          <t>Sasken Communication Technologies Limited</t>
        </is>
      </c>
      <c r="G79" s="18" t="inlineStr">
        <is>
          <t>i.t</t>
        </is>
      </c>
      <c r="H79" s="19" t="n">
        <v>3220.44</v>
      </c>
    </row>
    <row r="80">
      <c r="A80" s="16" t="n">
        <v>34</v>
      </c>
      <c r="B80" s="29" t="n">
        <v>91</v>
      </c>
      <c r="C80" s="28" t="n">
        <v>37.49</v>
      </c>
      <c r="D80" s="28" t="n">
        <v>198</v>
      </c>
      <c r="E80" s="17" t="inlineStr">
        <is>
          <t>QPOWER</t>
        </is>
      </c>
      <c r="F80" s="18" t="inlineStr">
        <is>
          <t>Quality Power Electrical Equipments Ltd</t>
        </is>
      </c>
      <c r="G80" s="18" t="inlineStr">
        <is>
          <t>industrials</t>
        </is>
      </c>
      <c r="H80" s="19" t="n">
        <v>9456.700000000001</v>
      </c>
    </row>
    <row r="81">
      <c r="A81" s="16" t="n">
        <v>35</v>
      </c>
      <c r="B81" s="29" t="n">
        <v>91</v>
      </c>
      <c r="C81" s="28" t="n">
        <v>37.47</v>
      </c>
      <c r="D81" s="28" t="n">
        <v>210</v>
      </c>
      <c r="E81" s="17" t="inlineStr">
        <is>
          <t>THANGAMAYL</t>
        </is>
      </c>
      <c r="F81" s="18" t="inlineStr">
        <is>
          <t>Thangamayil Jewellery Limited</t>
        </is>
      </c>
      <c r="G81" s="18" t="inlineStr">
        <is>
          <t>consumer discretionary</t>
        </is>
      </c>
      <c r="H81" s="19" t="n">
        <v>17028.91</v>
      </c>
    </row>
    <row r="82">
      <c r="A82" s="16" t="n">
        <v>36</v>
      </c>
      <c r="B82" s="29" t="n">
        <v>91</v>
      </c>
      <c r="C82" s="28" t="n">
        <v>37.18</v>
      </c>
      <c r="D82" s="28" t="n">
        <v>207</v>
      </c>
      <c r="E82" s="17" t="inlineStr">
        <is>
          <t>PAISALO</t>
        </is>
      </c>
      <c r="F82" s="18" t="inlineStr">
        <is>
          <t>Paisalo Digital Ltd</t>
        </is>
      </c>
      <c r="G82" s="18" t="inlineStr">
        <is>
          <t>financials</t>
        </is>
      </c>
      <c r="H82" s="19" t="n">
        <v>5393.46</v>
      </c>
    </row>
    <row r="83">
      <c r="A83" s="16" t="n">
        <v>37</v>
      </c>
      <c r="B83" s="29" t="n">
        <v>90</v>
      </c>
      <c r="C83" s="28" t="n">
        <v>37.03</v>
      </c>
      <c r="D83" s="28" t="n">
        <v>192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5940.91</v>
      </c>
    </row>
    <row r="84">
      <c r="A84" s="16" t="n">
        <v>38</v>
      </c>
      <c r="B84" s="29" t="n">
        <v>90</v>
      </c>
      <c r="C84" s="28" t="n">
        <v>36.92</v>
      </c>
      <c r="D84" s="28" t="n">
        <v>210</v>
      </c>
      <c r="E84" s="17" t="inlineStr">
        <is>
          <t>WHEELS</t>
        </is>
      </c>
      <c r="F84" s="18" t="inlineStr">
        <is>
          <t>Wheels India Limited</t>
        </is>
      </c>
      <c r="G84" s="18" t="inlineStr">
        <is>
          <t>auto</t>
        </is>
      </c>
      <c r="H84" s="19" t="n">
        <v>3994.06</v>
      </c>
    </row>
    <row r="85">
      <c r="A85" s="16" t="n">
        <v>39</v>
      </c>
      <c r="B85" s="29" t="n">
        <v>90</v>
      </c>
      <c r="C85" s="28" t="n">
        <v>36.49</v>
      </c>
      <c r="D85" s="28" t="n">
        <v>210</v>
      </c>
      <c r="E85" s="17" t="inlineStr">
        <is>
          <t>GAYAPROJ</t>
        </is>
      </c>
      <c r="F85" s="18" t="inlineStr">
        <is>
          <t>Gayatri Projects Limited</t>
        </is>
      </c>
      <c r="G85" s="18" t="inlineStr">
        <is>
          <t>realty</t>
        </is>
      </c>
      <c r="H85" s="19" t="n">
        <v>647.49</v>
      </c>
    </row>
    <row r="86">
      <c r="A86" s="16" t="n">
        <v>40</v>
      </c>
      <c r="B86" s="29" t="n">
        <v>90</v>
      </c>
      <c r="C86" s="28" t="n">
        <v>35.86</v>
      </c>
      <c r="D86" s="28" t="n">
        <v>190</v>
      </c>
      <c r="E86" s="17" t="inlineStr">
        <is>
          <t>KERNEX</t>
        </is>
      </c>
      <c r="F86" s="18" t="inlineStr">
        <is>
          <t>Kernex Microsystems (india) Limited</t>
        </is>
      </c>
      <c r="G86" s="18" t="inlineStr">
        <is>
          <t>consumer discretionary</t>
        </is>
      </c>
      <c r="H86" s="19" t="n">
        <v>3349.23</v>
      </c>
    </row>
    <row r="87">
      <c r="A87" s="16" t="n">
        <v>41</v>
      </c>
      <c r="B87" s="29" t="n">
        <v>90</v>
      </c>
      <c r="C87" s="28" t="n">
        <v>35.26</v>
      </c>
      <c r="D87" s="28" t="n">
        <v>217</v>
      </c>
      <c r="E87" s="17" t="inlineStr">
        <is>
          <t>IOLCP</t>
        </is>
      </c>
      <c r="F87" s="18" t="inlineStr">
        <is>
          <t>Iol Chemicals And Pharmaceuticals Limited</t>
        </is>
      </c>
      <c r="G87" s="18" t="inlineStr">
        <is>
          <t>healthcare</t>
        </is>
      </c>
      <c r="H87" s="19" t="n">
        <v>3940.31</v>
      </c>
    </row>
    <row r="8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AARTIIND</t>
        </is>
      </c>
      <c r="B2" s="31" t="inlineStr">
        <is>
          <t>Aarti Industries Limited</t>
        </is>
      </c>
      <c r="C2" s="31" t="inlineStr">
        <is>
          <t>chemicals</t>
        </is>
      </c>
      <c r="D2" s="31" t="inlineStr">
        <is>
          <t>chemicals</t>
        </is>
      </c>
      <c r="E2" s="31" t="inlineStr">
        <is>
          <t>midcap</t>
        </is>
      </c>
      <c r="F2" s="31" t="n">
        <v>15975.91</v>
      </c>
      <c r="G2" s="31" t="n">
        <v>498.15</v>
      </c>
      <c r="H2" s="31" t="n">
        <v>13.06</v>
      </c>
      <c r="I2" s="31" t="n">
        <v>18246113</v>
      </c>
      <c r="J2" s="31" t="inlineStr">
        <is>
          <t>524208</t>
        </is>
      </c>
    </row>
    <row r="3">
      <c r="A3" s="31" t="inlineStr">
        <is>
          <t>GALAPREC</t>
        </is>
      </c>
      <c r="B3" s="31" t="inlineStr">
        <is>
          <t>Gala Precision Engineering Ltd</t>
        </is>
      </c>
      <c r="C3" s="31" t="inlineStr">
        <is>
          <t>industrials</t>
        </is>
      </c>
      <c r="D3" s="31" t="inlineStr">
        <is>
          <t>fasteners</t>
        </is>
      </c>
      <c r="E3" s="31" t="inlineStr">
        <is>
          <t>smallcap</t>
        </is>
      </c>
      <c r="F3" s="31" t="n">
        <v>1184.37</v>
      </c>
      <c r="G3" s="31" t="n">
        <v>1034.05</v>
      </c>
      <c r="H3" s="31" t="n">
        <v>11.32</v>
      </c>
      <c r="I3" s="31" t="n">
        <v>1718665</v>
      </c>
      <c r="J3" s="31" t="inlineStr">
        <is>
          <t>544244</t>
        </is>
      </c>
    </row>
    <row r="4">
      <c r="A4" s="31" t="inlineStr">
        <is>
          <t>STEL</t>
        </is>
      </c>
      <c r="B4" s="31" t="inlineStr">
        <is>
          <t>Stel Holdings Limited</t>
        </is>
      </c>
      <c r="C4" s="31" t="inlineStr">
        <is>
          <t>financials</t>
        </is>
      </c>
      <c r="D4" s="31" t="inlineStr">
        <is>
          <t>finance &amp; investments</t>
        </is>
      </c>
      <c r="E4" s="31" t="inlineStr">
        <is>
          <t>smallcap</t>
        </is>
      </c>
      <c r="F4" s="31" t="n">
        <v>1022.61</v>
      </c>
      <c r="G4" s="31" t="n">
        <v>616.6</v>
      </c>
      <c r="H4" s="31" t="n">
        <v>11.28</v>
      </c>
      <c r="I4" s="31" t="n">
        <v>83001</v>
      </c>
      <c r="J4" s="31" t="n"/>
    </row>
    <row r="5">
      <c r="A5" s="31" t="inlineStr">
        <is>
          <t>MSTCLTD</t>
        </is>
      </c>
      <c r="B5" s="31" t="inlineStr">
        <is>
          <t>MSTC Ltd</t>
        </is>
      </c>
      <c r="C5" s="31" t="inlineStr">
        <is>
          <t>i.t</t>
        </is>
      </c>
      <c r="D5" s="31" t="inlineStr">
        <is>
          <t>trading</t>
        </is>
      </c>
      <c r="E5" s="31" t="inlineStr">
        <is>
          <t>smallcap</t>
        </is>
      </c>
      <c r="F5" s="31" t="n">
        <v>4002.59</v>
      </c>
      <c r="G5" s="31" t="n">
        <v>629.75</v>
      </c>
      <c r="H5" s="31" t="n">
        <v>10.76</v>
      </c>
      <c r="I5" s="31" t="n">
        <v>6949889</v>
      </c>
      <c r="J5" s="31" t="inlineStr">
        <is>
          <t>542597</t>
        </is>
      </c>
    </row>
    <row r="6">
      <c r="A6" s="31" t="inlineStr">
        <is>
          <t>GABRIEL</t>
        </is>
      </c>
      <c r="B6" s="31" t="inlineStr">
        <is>
          <t>Gabriel India Limited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midcap</t>
        </is>
      </c>
      <c r="F6" s="31" t="n">
        <v>14947.59</v>
      </c>
      <c r="G6" s="31" t="n">
        <v>1146.3</v>
      </c>
      <c r="H6" s="31" t="n">
        <v>10.16</v>
      </c>
      <c r="I6" s="31" t="n">
        <v>1933008</v>
      </c>
      <c r="J6" s="31" t="inlineStr">
        <is>
          <t>505714</t>
        </is>
      </c>
    </row>
    <row r="7">
      <c r="A7" s="31" t="inlineStr">
        <is>
          <t>JAYBARMARU</t>
        </is>
      </c>
      <c r="B7" s="31" t="inlineStr">
        <is>
          <t>Jay Bharat Maruti Limited</t>
        </is>
      </c>
      <c r="C7" s="31" t="inlineStr">
        <is>
          <t>auto</t>
        </is>
      </c>
      <c r="D7" s="31" t="inlineStr">
        <is>
          <t>auto ancillaries</t>
        </is>
      </c>
      <c r="E7" s="31" t="inlineStr">
        <is>
          <t>smallcap</t>
        </is>
      </c>
      <c r="F7" s="31" t="n">
        <v>1565.94</v>
      </c>
      <c r="G7" s="31" t="n">
        <v>159.12</v>
      </c>
      <c r="H7" s="31" t="n">
        <v>10</v>
      </c>
      <c r="I7" s="31" t="n">
        <v>3156863</v>
      </c>
      <c r="J7" s="31" t="inlineStr">
        <is>
          <t>520066</t>
        </is>
      </c>
    </row>
    <row r="8">
      <c r="A8" s="31" t="inlineStr">
        <is>
          <t>SPAL</t>
        </is>
      </c>
      <c r="B8" s="31" t="inlineStr">
        <is>
          <t>S. P. Apparels Limited</t>
        </is>
      </c>
      <c r="C8" s="31" t="inlineStr">
        <is>
          <t>textiles</t>
        </is>
      </c>
      <c r="D8" s="31" t="inlineStr">
        <is>
          <t>textiles - products</t>
        </is>
      </c>
      <c r="E8" s="31" t="inlineStr">
        <is>
          <t>smallcap</t>
        </is>
      </c>
      <c r="F8" s="31" t="n">
        <v>2001.18</v>
      </c>
      <c r="G8" s="31" t="n">
        <v>867.85</v>
      </c>
      <c r="H8" s="31" t="n">
        <v>9.02</v>
      </c>
      <c r="I8" s="31" t="n">
        <v>4896087</v>
      </c>
      <c r="J8" s="31" t="inlineStr">
        <is>
          <t>540048</t>
        </is>
      </c>
    </row>
    <row r="9">
      <c r="A9" s="31" t="inlineStr">
        <is>
          <t>SANGHVIMOV</t>
        </is>
      </c>
      <c r="B9" s="31" t="inlineStr">
        <is>
          <t>Sanghvi Movers Limited</t>
        </is>
      </c>
      <c r="C9" s="31" t="inlineStr">
        <is>
          <t>miscellaneous</t>
        </is>
      </c>
      <c r="D9" s="31" t="inlineStr">
        <is>
          <t>miscellaneous</t>
        </is>
      </c>
      <c r="E9" s="31" t="inlineStr">
        <is>
          <t>smallcap</t>
        </is>
      </c>
      <c r="F9" s="31" t="n">
        <v>3358.72</v>
      </c>
      <c r="G9" s="31" t="n">
        <v>420.85</v>
      </c>
      <c r="H9" s="31" t="n">
        <v>8.48</v>
      </c>
      <c r="I9" s="31" t="n">
        <v>1664612</v>
      </c>
      <c r="J9" s="31" t="inlineStr">
        <is>
          <t>530073</t>
        </is>
      </c>
    </row>
    <row r="10">
      <c r="A10" s="31" t="inlineStr">
        <is>
          <t>JASH</t>
        </is>
      </c>
      <c r="B10" s="31" t="inlineStr">
        <is>
          <t>Jash Engineering Ltd</t>
        </is>
      </c>
      <c r="C10" s="31" t="inlineStr">
        <is>
          <t>industrials</t>
        </is>
      </c>
      <c r="D10" s="31" t="inlineStr">
        <is>
          <t>engineering</t>
        </is>
      </c>
      <c r="E10" s="31" t="inlineStr">
        <is>
          <t>smallcap</t>
        </is>
      </c>
      <c r="F10" s="31" t="n">
        <v>2948.3</v>
      </c>
      <c r="G10" s="31" t="n">
        <v>503.25</v>
      </c>
      <c r="H10" s="31" t="n">
        <v>7.87</v>
      </c>
      <c r="I10" s="31" t="n">
        <v>1028359</v>
      </c>
      <c r="J10" s="31" t="inlineStr">
        <is>
          <t>535019</t>
        </is>
      </c>
    </row>
    <row r="11">
      <c r="A11" s="31" t="inlineStr">
        <is>
          <t>SHREEPUSHK</t>
        </is>
      </c>
      <c r="B11" s="31" t="inlineStr">
        <is>
          <t>Shree Pushkar Chemicals &amp; Fertilisers Limited</t>
        </is>
      </c>
      <c r="C11" s="31" t="inlineStr">
        <is>
          <t>chemicals</t>
        </is>
      </c>
      <c r="D11" s="31" t="inlineStr">
        <is>
          <t>dyes and pigments</t>
        </is>
      </c>
      <c r="E11" s="31" t="inlineStr">
        <is>
          <t>smallcap</t>
        </is>
      </c>
      <c r="F11" s="31" t="n">
        <v>1156.56</v>
      </c>
      <c r="G11" s="31" t="n">
        <v>385.65</v>
      </c>
      <c r="H11" s="31" t="n">
        <v>7.83</v>
      </c>
      <c r="I11" s="31" t="n">
        <v>150688</v>
      </c>
      <c r="J11" s="31" t="inlineStr">
        <is>
          <t>539334</t>
        </is>
      </c>
    </row>
    <row r="12">
      <c r="A12" s="31" t="inlineStr">
        <is>
          <t>STEELXIND</t>
        </is>
      </c>
      <c r="B12" s="31" t="inlineStr">
        <is>
          <t>Steel Exchange India Ltd</t>
        </is>
      </c>
      <c r="C12" s="31" t="inlineStr">
        <is>
          <t>metals &amp; mining</t>
        </is>
      </c>
      <c r="D12" s="31" t="inlineStr">
        <is>
          <t>steel - medium / small</t>
        </is>
      </c>
      <c r="E12" s="31" t="inlineStr">
        <is>
          <t>smallcap</t>
        </is>
      </c>
      <c r="F12" s="31" t="n">
        <v>1465.57</v>
      </c>
      <c r="G12" s="31" t="n">
        <v>12.35</v>
      </c>
      <c r="H12" s="31" t="n">
        <v>7.48</v>
      </c>
      <c r="I12" s="31" t="n">
        <v>10769731</v>
      </c>
      <c r="J12" s="31" t="inlineStr">
        <is>
          <t>534748</t>
        </is>
      </c>
    </row>
    <row r="13">
      <c r="A13" s="31" t="inlineStr">
        <is>
          <t>TBOTEK</t>
        </is>
      </c>
      <c r="B13" s="31" t="inlineStr">
        <is>
          <t>TBO Tek Ltd</t>
        </is>
      </c>
      <c r="C13" s="31" t="inlineStr">
        <is>
          <t>i.t</t>
        </is>
      </c>
      <c r="D13" s="31" t="inlineStr">
        <is>
          <t>travel agencies</t>
        </is>
      </c>
      <c r="E13" s="31" t="inlineStr">
        <is>
          <t>midcap</t>
        </is>
      </c>
      <c r="F13" s="31" t="n">
        <v>14689.76</v>
      </c>
      <c r="G13" s="31" t="n">
        <v>1452</v>
      </c>
      <c r="H13" s="31" t="n">
        <v>7.33</v>
      </c>
      <c r="I13" s="31" t="n">
        <v>2434342</v>
      </c>
      <c r="J13" s="31" t="inlineStr">
        <is>
          <t>544174</t>
        </is>
      </c>
    </row>
    <row r="14">
      <c r="A14" s="31" t="inlineStr">
        <is>
          <t>KENNAMET</t>
        </is>
      </c>
      <c r="B14" s="31" t="inlineStr">
        <is>
          <t>Kennametal India Ltd</t>
        </is>
      </c>
      <c r="C14" s="31" t="inlineStr">
        <is>
          <t>industrials</t>
        </is>
      </c>
      <c r="D14" s="31" t="inlineStr">
        <is>
          <t>castings &amp; forgings</t>
        </is>
      </c>
      <c r="E14" s="31" t="inlineStr">
        <is>
          <t>midcap</t>
        </is>
      </c>
      <c r="F14" s="31" t="n">
        <v>6110.61</v>
      </c>
      <c r="G14" s="31" t="n">
        <v>2982.1</v>
      </c>
      <c r="H14" s="31" t="n">
        <v>7.26</v>
      </c>
      <c r="I14" s="31" t="n">
        <v>11822</v>
      </c>
      <c r="J14" s="31" t="inlineStr">
        <is>
          <t>505890</t>
        </is>
      </c>
    </row>
    <row r="15">
      <c r="A15" s="31" t="inlineStr">
        <is>
          <t>AEROFLEX</t>
        </is>
      </c>
      <c r="B15" s="31" t="inlineStr">
        <is>
          <t>Aeroflex Industries Ltd</t>
        </is>
      </c>
      <c r="C15" s="31" t="inlineStr">
        <is>
          <t>metals &amp; mining</t>
        </is>
      </c>
      <c r="D15" s="31" t="inlineStr">
        <is>
          <t>steel - medium / small</t>
        </is>
      </c>
      <c r="E15" s="31" t="inlineStr">
        <is>
          <t>midcap</t>
        </is>
      </c>
      <c r="F15" s="31" t="n">
        <v>5929.74</v>
      </c>
      <c r="G15" s="31" t="n">
        <v>478</v>
      </c>
      <c r="H15" s="31" t="n">
        <v>6.67</v>
      </c>
      <c r="I15" s="31" t="n">
        <v>5416719</v>
      </c>
      <c r="J15" s="31" t="inlineStr">
        <is>
          <t>543972</t>
        </is>
      </c>
    </row>
    <row r="16">
      <c r="A16" s="31" t="inlineStr">
        <is>
          <t>DIACABS</t>
        </is>
      </c>
      <c r="B16" s="31" t="inlineStr">
        <is>
          <t>Diamond Power Infrastructure Ltd</t>
        </is>
      </c>
      <c r="C16" s="31" t="inlineStr">
        <is>
          <t>industrials</t>
        </is>
      </c>
      <c r="D16" s="31" t="inlineStr">
        <is>
          <t>cables - power</t>
        </is>
      </c>
      <c r="E16" s="31" t="inlineStr">
        <is>
          <t>midcap</t>
        </is>
      </c>
      <c r="F16" s="31" t="n">
        <v>10640.07</v>
      </c>
      <c r="G16" s="31" t="n">
        <v>215.34</v>
      </c>
      <c r="H16" s="31" t="n">
        <v>6.65</v>
      </c>
      <c r="I16" s="31" t="n">
        <v>11381936</v>
      </c>
      <c r="J16" s="31" t="inlineStr">
        <is>
          <t>522163</t>
        </is>
      </c>
    </row>
    <row r="17">
      <c r="A17" s="31" t="inlineStr">
        <is>
          <t>THELEELA</t>
        </is>
      </c>
      <c r="B17" s="31" t="inlineStr">
        <is>
          <t>Leela Palaces Hotels &amp; Resorts Ltd</t>
        </is>
      </c>
      <c r="C17" s="31" t="inlineStr">
        <is>
          <t>services</t>
        </is>
      </c>
      <c r="D17" s="31" t="inlineStr">
        <is>
          <t>hotels</t>
        </is>
      </c>
      <c r="E17" s="31" t="inlineStr">
        <is>
          <t>midcap</t>
        </is>
      </c>
      <c r="F17" s="31" t="n">
        <v>14353.51</v>
      </c>
      <c r="G17" s="31" t="n">
        <v>458.2</v>
      </c>
      <c r="H17" s="31" t="n">
        <v>6.61</v>
      </c>
      <c r="I17" s="31" t="n">
        <v>1861102</v>
      </c>
      <c r="J17" s="31" t="inlineStr">
        <is>
          <t>544408</t>
        </is>
      </c>
    </row>
    <row r="18">
      <c r="A18" s="31" t="inlineStr">
        <is>
          <t>EIFFL</t>
        </is>
      </c>
      <c r="B18" s="31" t="inlineStr">
        <is>
          <t>Euro India Fresh Foods Ltd</t>
        </is>
      </c>
      <c r="C18" s="31" t="inlineStr">
        <is>
          <t>fmcg</t>
        </is>
      </c>
      <c r="D18" s="31" t="inlineStr">
        <is>
          <t>food - processing - indian</t>
        </is>
      </c>
      <c r="E18" s="31" t="inlineStr">
        <is>
          <t>smallcap</t>
        </is>
      </c>
      <c r="F18" s="31" t="n">
        <v>570.23</v>
      </c>
      <c r="G18" s="31" t="n">
        <v>244.76</v>
      </c>
      <c r="H18" s="31" t="n">
        <v>6.45</v>
      </c>
      <c r="I18" s="31" t="n">
        <v>53599</v>
      </c>
      <c r="J18" s="31" t="inlineStr">
        <is>
          <t>538412</t>
        </is>
      </c>
    </row>
    <row r="19">
      <c r="A19" s="31" t="inlineStr">
        <is>
          <t>VERANDA</t>
        </is>
      </c>
      <c r="B19" s="31" t="inlineStr">
        <is>
          <t>Veranda Learning Solutions Ltd</t>
        </is>
      </c>
      <c r="C19" s="31" t="inlineStr">
        <is>
          <t>services</t>
        </is>
      </c>
      <c r="D19" s="31" t="inlineStr">
        <is>
          <t>miscellaneous</t>
        </is>
      </c>
      <c r="E19" s="31" t="inlineStr">
        <is>
          <t>smallcap</t>
        </is>
      </c>
      <c r="F19" s="31" t="n">
        <v>2182.28</v>
      </c>
      <c r="G19" s="31" t="n">
        <v>241.48</v>
      </c>
      <c r="H19" s="31" t="n">
        <v>6.42</v>
      </c>
      <c r="I19" s="31" t="n">
        <v>703523</v>
      </c>
      <c r="J19" s="31" t="inlineStr">
        <is>
          <t>543514</t>
        </is>
      </c>
    </row>
    <row r="20">
      <c r="A20" s="31" t="inlineStr">
        <is>
          <t>CHENNPETRO</t>
        </is>
      </c>
      <c r="B20" s="31" t="inlineStr">
        <is>
          <t>Chennai Petroleum Corporation Limited</t>
        </is>
      </c>
      <c r="C20" s="31" t="inlineStr">
        <is>
          <t>energy</t>
        </is>
      </c>
      <c r="D20" s="31" t="inlineStr">
        <is>
          <t>refineries</t>
        </is>
      </c>
      <c r="E20" s="31" t="inlineStr">
        <is>
          <t>midcap</t>
        </is>
      </c>
      <c r="F20" s="31" t="n">
        <v>16941.65</v>
      </c>
      <c r="G20" s="31" t="n">
        <v>1210.6</v>
      </c>
      <c r="H20" s="31" t="n">
        <v>6.41</v>
      </c>
      <c r="I20" s="31" t="n">
        <v>2196721</v>
      </c>
      <c r="J20" s="31" t="inlineStr">
        <is>
          <t>500110</t>
        </is>
      </c>
    </row>
    <row r="21">
      <c r="A21" s="31" t="inlineStr">
        <is>
          <t>SETL</t>
        </is>
      </c>
      <c r="B21" s="31" t="inlineStr">
        <is>
          <t>Standard Enginnering Technology Ltd</t>
        </is>
      </c>
      <c r="C21" s="31" t="inlineStr">
        <is>
          <t>industrials</t>
        </is>
      </c>
      <c r="D21" s="31" t="inlineStr">
        <is>
          <t>engineering</t>
        </is>
      </c>
      <c r="E21" s="31" t="inlineStr">
        <is>
          <t>smallcap</t>
        </is>
      </c>
      <c r="F21" s="31" t="n">
        <v>3169.92</v>
      </c>
      <c r="G21" s="31" t="n">
        <v>168.94</v>
      </c>
      <c r="H21" s="31" t="n">
        <v>6.32</v>
      </c>
      <c r="I21" s="31" t="n">
        <v>1159383</v>
      </c>
      <c r="J21" s="31" t="inlineStr">
        <is>
          <t>544333</t>
        </is>
      </c>
    </row>
    <row r="22">
      <c r="A22" s="31" t="inlineStr">
        <is>
          <t>LTF</t>
        </is>
      </c>
      <c r="B22" s="31" t="inlineStr">
        <is>
          <t>L&amp;T Finance Ltd</t>
        </is>
      </c>
      <c r="C22" s="31" t="inlineStr">
        <is>
          <t>financials</t>
        </is>
      </c>
      <c r="D22" s="31" t="inlineStr">
        <is>
          <t>finance &amp; investments</t>
        </is>
      </c>
      <c r="E22" s="31" t="inlineStr">
        <is>
          <t>largecap</t>
        </is>
      </c>
      <c r="F22" s="31" t="n">
        <v>69108.53</v>
      </c>
      <c r="G22" s="31" t="n">
        <v>293.25</v>
      </c>
      <c r="H22" s="31" t="n">
        <v>6.27</v>
      </c>
      <c r="I22" s="31" t="n">
        <v>13734537</v>
      </c>
      <c r="J22" s="31" t="inlineStr">
        <is>
          <t>533519</t>
        </is>
      </c>
    </row>
    <row r="23">
      <c r="A23" s="31" t="inlineStr">
        <is>
          <t>SHRIPISTON</t>
        </is>
      </c>
      <c r="B23" s="31" t="inlineStr">
        <is>
          <t>Shriram Pistons &amp; Rings Limited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midcap</t>
        </is>
      </c>
      <c r="F23" s="31" t="n">
        <v>15524.92</v>
      </c>
      <c r="G23" s="31" t="n">
        <v>3741.9</v>
      </c>
      <c r="H23" s="31" t="n">
        <v>6.17</v>
      </c>
      <c r="I23" s="31" t="n">
        <v>219352</v>
      </c>
      <c r="J23" s="31" t="n"/>
    </row>
    <row r="24">
      <c r="A24" s="31" t="inlineStr">
        <is>
          <t>FEDFINA</t>
        </is>
      </c>
      <c r="B24" s="31" t="inlineStr">
        <is>
          <t>Fedbank Financial Services Ltd</t>
        </is>
      </c>
      <c r="C24" s="31" t="inlineStr">
        <is>
          <t>financials</t>
        </is>
      </c>
      <c r="D24" s="31" t="inlineStr">
        <is>
          <t>finance &amp; investments</t>
        </is>
      </c>
      <c r="E24" s="31" t="inlineStr">
        <is>
          <t>midcap</t>
        </is>
      </c>
      <c r="F24" s="31" t="n">
        <v>5717.5</v>
      </c>
      <c r="G24" s="31" t="n">
        <v>162.19</v>
      </c>
      <c r="H24" s="31" t="n">
        <v>6.15</v>
      </c>
      <c r="I24" s="31" t="n">
        <v>2205524</v>
      </c>
      <c r="J24" s="31" t="inlineStr">
        <is>
          <t>544027</t>
        </is>
      </c>
    </row>
    <row r="25">
      <c r="A25" s="31" t="inlineStr">
        <is>
          <t>PRESTIGE</t>
        </is>
      </c>
      <c r="B25" s="31" t="inlineStr">
        <is>
          <t>Prestige Estates Projects Limited</t>
        </is>
      </c>
      <c r="C25" s="31" t="inlineStr">
        <is>
          <t>realty</t>
        </is>
      </c>
      <c r="D25" s="31" t="inlineStr">
        <is>
          <t>construction</t>
        </is>
      </c>
      <c r="E25" s="31" t="inlineStr">
        <is>
          <t>largecap</t>
        </is>
      </c>
      <c r="F25" s="31" t="n">
        <v>59755.21</v>
      </c>
      <c r="G25" s="31" t="n">
        <v>1472.5</v>
      </c>
      <c r="H25" s="31" t="n">
        <v>6.14</v>
      </c>
      <c r="I25" s="31" t="n">
        <v>1205499</v>
      </c>
      <c r="J25" s="31" t="inlineStr">
        <is>
          <t>533274</t>
        </is>
      </c>
    </row>
    <row r="26">
      <c r="A26" s="31" t="inlineStr">
        <is>
          <t>DIVGIITTS</t>
        </is>
      </c>
      <c r="B26" s="31" t="inlineStr">
        <is>
          <t>Divgi Torqtransfer Systems Ltd</t>
        </is>
      </c>
      <c r="C26" s="31" t="inlineStr">
        <is>
          <t>auto</t>
        </is>
      </c>
      <c r="D26" s="31" t="inlineStr">
        <is>
          <t>auto ancillaries</t>
        </is>
      </c>
      <c r="E26" s="31" t="inlineStr">
        <is>
          <t>smallcap</t>
        </is>
      </c>
      <c r="F26" s="31" t="n">
        <v>2504.74</v>
      </c>
      <c r="G26" s="31" t="n">
        <v>869.2</v>
      </c>
      <c r="H26" s="31" t="n">
        <v>6.13</v>
      </c>
      <c r="I26" s="31" t="n">
        <v>210095</v>
      </c>
      <c r="J26" s="31" t="inlineStr">
        <is>
          <t>543812</t>
        </is>
      </c>
    </row>
    <row r="27">
      <c r="A27" s="31" t="inlineStr">
        <is>
          <t>IFCI</t>
        </is>
      </c>
      <c r="B27" s="31" t="inlineStr">
        <is>
          <t>Ifci Limited</t>
        </is>
      </c>
      <c r="C27" s="31" t="inlineStr">
        <is>
          <t>financials</t>
        </is>
      </c>
      <c r="D27" s="31" t="inlineStr">
        <is>
          <t>finance - term-lending institutions</t>
        </is>
      </c>
      <c r="E27" s="31" t="inlineStr">
        <is>
          <t>largecap</t>
        </is>
      </c>
      <c r="F27" s="31" t="n">
        <v>22785.82</v>
      </c>
      <c r="G27" s="31" t="n">
        <v>89.59999999999999</v>
      </c>
      <c r="H27" s="31" t="n">
        <v>5.95</v>
      </c>
      <c r="I27" s="31" t="n">
        <v>309826530</v>
      </c>
      <c r="J27" s="31" t="inlineStr">
        <is>
          <t>500106</t>
        </is>
      </c>
    </row>
    <row r="28">
      <c r="A28" s="31" t="inlineStr">
        <is>
          <t>FCL</t>
        </is>
      </c>
      <c r="B28" s="31" t="inlineStr">
        <is>
          <t>Fineotex Chemical Limited</t>
        </is>
      </c>
      <c r="C28" s="31" t="inlineStr">
        <is>
          <t>chemicals</t>
        </is>
      </c>
      <c r="D28" s="31" t="inlineStr">
        <is>
          <t>chemicals</t>
        </is>
      </c>
      <c r="E28" s="31" t="inlineStr">
        <is>
          <t>smallcap</t>
        </is>
      </c>
      <c r="F28" s="31" t="n">
        <v>4561.35</v>
      </c>
      <c r="G28" s="31" t="n">
        <v>41.5</v>
      </c>
      <c r="H28" s="31" t="n">
        <v>5.95</v>
      </c>
      <c r="I28" s="31" t="n">
        <v>17178538</v>
      </c>
      <c r="J28" s="31" t="inlineStr">
        <is>
          <t>533333</t>
        </is>
      </c>
    </row>
    <row r="29">
      <c r="A29" s="31" t="inlineStr">
        <is>
          <t>HESTERBIO</t>
        </is>
      </c>
      <c r="B29" s="31" t="inlineStr">
        <is>
          <t>Hester Biosciences Limited</t>
        </is>
      </c>
      <c r="C29" s="31" t="inlineStr">
        <is>
          <t>healthcare</t>
        </is>
      </c>
      <c r="D29" s="31" t="inlineStr">
        <is>
          <t>pharmaceuticals - indian - formulations</t>
        </is>
      </c>
      <c r="E29" s="31" t="inlineStr">
        <is>
          <t>smallcap</t>
        </is>
      </c>
      <c r="F29" s="31" t="n">
        <v>1661.31</v>
      </c>
      <c r="G29" s="31" t="n">
        <v>2066.6</v>
      </c>
      <c r="H29" s="31" t="n">
        <v>5.82</v>
      </c>
      <c r="I29" s="31" t="n">
        <v>14168</v>
      </c>
      <c r="J29" s="31" t="inlineStr">
        <is>
          <t>524669</t>
        </is>
      </c>
    </row>
    <row r="30">
      <c r="A30" s="31" t="inlineStr">
        <is>
          <t>MOTILALOFS</t>
        </is>
      </c>
      <c r="B30" s="31" t="inlineStr">
        <is>
          <t>Motilal Oswal Financial Services Limited</t>
        </is>
      </c>
      <c r="C30" s="31" t="inlineStr">
        <is>
          <t>financials</t>
        </is>
      </c>
      <c r="D30" s="31" t="inlineStr">
        <is>
          <t>finance &amp; investments</t>
        </is>
      </c>
      <c r="E30" s="31" t="inlineStr">
        <is>
          <t>largecap</t>
        </is>
      </c>
      <c r="F30" s="31" t="n">
        <v>53472.26</v>
      </c>
      <c r="G30" s="31" t="n">
        <v>939.45</v>
      </c>
      <c r="H30" s="31" t="n">
        <v>5.74</v>
      </c>
      <c r="I30" s="31" t="n">
        <v>2438845</v>
      </c>
      <c r="J30" s="31" t="inlineStr">
        <is>
          <t>532892</t>
        </is>
      </c>
    </row>
    <row r="31">
      <c r="A31" s="31" t="inlineStr">
        <is>
          <t>AVL</t>
        </is>
      </c>
      <c r="B31" s="31" t="inlineStr">
        <is>
          <t>Aditya Vision Ltd</t>
        </is>
      </c>
      <c r="C31" s="31" t="inlineStr">
        <is>
          <t>consumer discretionary</t>
        </is>
      </c>
      <c r="D31" s="31" t="inlineStr">
        <is>
          <t>trading</t>
        </is>
      </c>
      <c r="E31" s="31" t="inlineStr">
        <is>
          <t>midcap</t>
        </is>
      </c>
      <c r="F31" s="31" t="n">
        <v>6933.42</v>
      </c>
      <c r="G31" s="31" t="n">
        <v>567.4</v>
      </c>
      <c r="H31" s="31" t="n">
        <v>5.68</v>
      </c>
      <c r="I31" s="31" t="n">
        <v>472944</v>
      </c>
      <c r="J31" s="31" t="inlineStr">
        <is>
          <t>540205</t>
        </is>
      </c>
    </row>
    <row r="32">
      <c r="A32" s="31" t="inlineStr">
        <is>
          <t>PRICOLLTD</t>
        </is>
      </c>
      <c r="B32" s="31" t="inlineStr">
        <is>
          <t>Pricol Ltd.</t>
        </is>
      </c>
      <c r="C32" s="31" t="inlineStr">
        <is>
          <t>auto</t>
        </is>
      </c>
      <c r="D32" s="31" t="inlineStr">
        <is>
          <t>auto ancillaries</t>
        </is>
      </c>
      <c r="E32" s="31" t="inlineStr">
        <is>
          <t>midcap</t>
        </is>
      </c>
      <c r="F32" s="31" t="n">
        <v>6709.58</v>
      </c>
      <c r="G32" s="31" t="n">
        <v>581.3</v>
      </c>
      <c r="H32" s="31" t="n">
        <v>5.59</v>
      </c>
      <c r="I32" s="31" t="n">
        <v>1265139</v>
      </c>
      <c r="J32" s="31" t="inlineStr">
        <is>
          <t>540293</t>
        </is>
      </c>
    </row>
    <row r="33">
      <c r="A33" s="31" t="inlineStr">
        <is>
          <t>RAIN</t>
        </is>
      </c>
      <c r="B33" s="31" t="inlineStr">
        <is>
          <t>Rain Industries Limited</t>
        </is>
      </c>
      <c r="C33" s="31" t="inlineStr">
        <is>
          <t>miscellaneous</t>
        </is>
      </c>
      <c r="D33" s="31" t="inlineStr">
        <is>
          <t>miscellaneous</t>
        </is>
      </c>
      <c r="E33" s="31" t="inlineStr">
        <is>
          <t>midcap</t>
        </is>
      </c>
      <c r="F33" s="31" t="n">
        <v>6621.64</v>
      </c>
      <c r="G33" s="31" t="n">
        <v>207.78</v>
      </c>
      <c r="H33" s="31" t="n">
        <v>5.54</v>
      </c>
      <c r="I33" s="31" t="n">
        <v>11862053</v>
      </c>
      <c r="J33" s="31" t="inlineStr">
        <is>
          <t>500339</t>
        </is>
      </c>
    </row>
    <row r="34">
      <c r="A34" s="31" t="inlineStr">
        <is>
          <t>CHOLAFIN</t>
        </is>
      </c>
      <c r="B34" s="31" t="inlineStr">
        <is>
          <t>Cholamandalam Investment And Finance Company Limited</t>
        </is>
      </c>
      <c r="C34" s="31" t="inlineStr">
        <is>
          <t>financials</t>
        </is>
      </c>
      <c r="D34" s="31" t="inlineStr">
        <is>
          <t>finance &amp; investments</t>
        </is>
      </c>
      <c r="E34" s="31" t="inlineStr">
        <is>
          <t>largecap</t>
        </is>
      </c>
      <c r="F34" s="31" t="n">
        <v>133607.95</v>
      </c>
      <c r="G34" s="31" t="n">
        <v>1653.6</v>
      </c>
      <c r="H34" s="31" t="n">
        <v>5.45</v>
      </c>
      <c r="I34" s="31" t="n">
        <v>4372229</v>
      </c>
      <c r="J34" s="31" t="inlineStr">
        <is>
          <t>511243</t>
        </is>
      </c>
    </row>
    <row r="35">
      <c r="A35" s="31" t="inlineStr">
        <is>
          <t>AIIL</t>
        </is>
      </c>
      <c r="B35" s="31" t="inlineStr">
        <is>
          <t>Authum Investment &amp; Infrastructure Ltd</t>
        </is>
      </c>
      <c r="C35" s="31" t="inlineStr">
        <is>
          <t>financials</t>
        </is>
      </c>
      <c r="D35" s="31" t="inlineStr">
        <is>
          <t>finance &amp; investments</t>
        </is>
      </c>
      <c r="E35" s="31" t="inlineStr">
        <is>
          <t>largecap</t>
        </is>
      </c>
      <c r="F35" s="31" t="n">
        <v>45021.69</v>
      </c>
      <c r="G35" s="31" t="n">
        <v>558.7</v>
      </c>
      <c r="H35" s="31" t="n">
        <v>5.39</v>
      </c>
      <c r="I35" s="31" t="n">
        <v>8528310</v>
      </c>
      <c r="J35" s="31" t="inlineStr">
        <is>
          <t>539177</t>
        </is>
      </c>
    </row>
    <row r="36">
      <c r="A36" s="31" t="inlineStr">
        <is>
          <t>GRINDWELL</t>
        </is>
      </c>
      <c r="B36" s="31" t="inlineStr">
        <is>
          <t>Grindwell Norton Limited</t>
        </is>
      </c>
      <c r="C36" s="31" t="inlineStr">
        <is>
          <t>industrials</t>
        </is>
      </c>
      <c r="D36" s="31" t="inlineStr">
        <is>
          <t>abrasives and grinding wheels</t>
        </is>
      </c>
      <c r="E36" s="31" t="inlineStr">
        <is>
          <t>largecap</t>
        </is>
      </c>
      <c r="F36" s="31" t="n">
        <v>21269.31</v>
      </c>
      <c r="G36" s="31" t="n">
        <v>2023.1</v>
      </c>
      <c r="H36" s="31" t="n">
        <v>5.31</v>
      </c>
      <c r="I36" s="31" t="n">
        <v>84893</v>
      </c>
      <c r="J36" s="31" t="inlineStr">
        <is>
          <t>506076</t>
        </is>
      </c>
    </row>
    <row r="37">
      <c r="A37" s="31" t="inlineStr">
        <is>
          <t>RATEGAIN</t>
        </is>
      </c>
      <c r="B37" s="31" t="inlineStr">
        <is>
          <t>Rategain Travel Technologies Ltd</t>
        </is>
      </c>
      <c r="C37" s="31" t="inlineStr">
        <is>
          <t>i.t</t>
        </is>
      </c>
      <c r="D37" s="31" t="inlineStr">
        <is>
          <t>computers - software - medium / small</t>
        </is>
      </c>
      <c r="E37" s="31" t="inlineStr">
        <is>
          <t>midcap</t>
        </is>
      </c>
      <c r="F37" s="31" t="n">
        <v>9252.940000000001</v>
      </c>
      <c r="G37" s="31" t="n">
        <v>824.55</v>
      </c>
      <c r="H37" s="31" t="n">
        <v>5.3</v>
      </c>
      <c r="I37" s="31" t="n">
        <v>1130316</v>
      </c>
      <c r="J37" s="31" t="inlineStr">
        <is>
          <t>543417</t>
        </is>
      </c>
    </row>
    <row r="38">
      <c r="A38" s="31" t="inlineStr">
        <is>
          <t>VINDHYATEL</t>
        </is>
      </c>
      <c r="B38" s="31" t="inlineStr">
        <is>
          <t>Vindhya Telelinks Limited</t>
        </is>
      </c>
      <c r="C38" s="31" t="inlineStr">
        <is>
          <t>realty</t>
        </is>
      </c>
      <c r="D38" s="31" t="inlineStr">
        <is>
          <t>construction</t>
        </is>
      </c>
      <c r="E38" s="31" t="inlineStr">
        <is>
          <t>smallcap</t>
        </is>
      </c>
      <c r="F38" s="31" t="n">
        <v>2474.22</v>
      </c>
      <c r="G38" s="31" t="n">
        <v>2198.4</v>
      </c>
      <c r="H38" s="31" t="n">
        <v>5.3</v>
      </c>
      <c r="I38" s="31" t="n">
        <v>107367</v>
      </c>
      <c r="J38" s="31" t="inlineStr">
        <is>
          <t>517015</t>
        </is>
      </c>
    </row>
    <row r="39">
      <c r="A39" s="31" t="inlineStr">
        <is>
          <t>HNDFDS</t>
        </is>
      </c>
      <c r="B39" s="31" t="inlineStr">
        <is>
          <t>Hindustan Foods Ltd</t>
        </is>
      </c>
      <c r="C39" s="31" t="inlineStr">
        <is>
          <t>fmcg</t>
        </is>
      </c>
      <c r="D39" s="31" t="inlineStr">
        <is>
          <t>diversified - large</t>
        </is>
      </c>
      <c r="E39" s="31" t="inlineStr">
        <is>
          <t>midcap</t>
        </is>
      </c>
      <c r="F39" s="31" t="n">
        <v>6328.95</v>
      </c>
      <c r="G39" s="31" t="n">
        <v>557.7</v>
      </c>
      <c r="H39" s="31" t="n">
        <v>5.29</v>
      </c>
      <c r="I39" s="31" t="n">
        <v>147012</v>
      </c>
      <c r="J39" s="31" t="inlineStr">
        <is>
          <t>519126</t>
        </is>
      </c>
    </row>
    <row r="40">
      <c r="A40" s="31" t="inlineStr">
        <is>
          <t>VAIBHAVGBL</t>
        </is>
      </c>
      <c r="B40" s="31" t="inlineStr">
        <is>
          <t>Vaibhav Global Limited</t>
        </is>
      </c>
      <c r="C40" s="31" t="inlineStr">
        <is>
          <t>consumer discretionary</t>
        </is>
      </c>
      <c r="D40" s="31" t="inlineStr">
        <is>
          <t>diamond cutting / jewellery</t>
        </is>
      </c>
      <c r="E40" s="31" t="inlineStr">
        <is>
          <t>smallcap</t>
        </is>
      </c>
      <c r="F40" s="31" t="n">
        <v>3850.24</v>
      </c>
      <c r="G40" s="31" t="n">
        <v>242.22</v>
      </c>
      <c r="H40" s="31" t="n">
        <v>5.1</v>
      </c>
      <c r="I40" s="31" t="n">
        <v>774412</v>
      </c>
      <c r="J40" s="31" t="inlineStr">
        <is>
          <t>532156</t>
        </is>
      </c>
    </row>
    <row r="41">
      <c r="A41" s="31" t="inlineStr">
        <is>
          <t>PHOENIXLTD</t>
        </is>
      </c>
      <c r="B41" s="31" t="inlineStr">
        <is>
          <t>The Phoenix Mills Limited</t>
        </is>
      </c>
      <c r="C41" s="31" t="inlineStr">
        <is>
          <t>realty</t>
        </is>
      </c>
      <c r="D41" s="31" t="inlineStr">
        <is>
          <t>construction</t>
        </is>
      </c>
      <c r="E41" s="31" t="inlineStr">
        <is>
          <t>largecap</t>
        </is>
      </c>
      <c r="F41" s="31" t="n">
        <v>62857.86</v>
      </c>
      <c r="G41" s="31" t="n">
        <v>1846.9</v>
      </c>
      <c r="H41" s="31" t="n">
        <v>5.08</v>
      </c>
      <c r="I41" s="31" t="n">
        <v>661437</v>
      </c>
      <c r="J41" s="31" t="inlineStr">
        <is>
          <t>503100</t>
        </is>
      </c>
    </row>
    <row r="42">
      <c r="A42" s="31" t="inlineStr">
        <is>
          <t>APARINDS</t>
        </is>
      </c>
      <c r="B42" s="31" t="inlineStr">
        <is>
          <t>Apar Industries Limited</t>
        </is>
      </c>
      <c r="C42" s="31" t="inlineStr">
        <is>
          <t>industrials</t>
        </is>
      </c>
      <c r="D42" s="31" t="inlineStr">
        <is>
          <t>electric equipment</t>
        </is>
      </c>
      <c r="E42" s="31" t="inlineStr">
        <is>
          <t>largecap</t>
        </is>
      </c>
      <c r="F42" s="31" t="n">
        <v>61140.19</v>
      </c>
      <c r="G42" s="31" t="n">
        <v>15986</v>
      </c>
      <c r="H42" s="31" t="n">
        <v>5.03</v>
      </c>
      <c r="I42" s="31" t="n">
        <v>235859</v>
      </c>
      <c r="J42" s="31" t="inlineStr">
        <is>
          <t>532259</t>
        </is>
      </c>
    </row>
    <row r="43">
      <c r="A43" s="31" t="inlineStr">
        <is>
          <t>GVPIL</t>
        </is>
      </c>
      <c r="B43" s="31" t="inlineStr">
        <is>
          <t>GE Power India Ltd</t>
        </is>
      </c>
      <c r="C43" s="31" t="inlineStr">
        <is>
          <t>realty</t>
        </is>
      </c>
      <c r="D43" s="31" t="inlineStr">
        <is>
          <t>engineering - turnkey services</t>
        </is>
      </c>
      <c r="E43" s="31" t="inlineStr">
        <is>
          <t>midcap</t>
        </is>
      </c>
      <c r="F43" s="31" t="n">
        <v>6249.13</v>
      </c>
      <c r="G43" s="31" t="n">
        <v>976</v>
      </c>
      <c r="H43" s="31" t="n">
        <v>5</v>
      </c>
      <c r="I43" s="31" t="n">
        <v>347513</v>
      </c>
      <c r="J43" s="31" t="inlineStr">
        <is>
          <t>532309</t>
        </is>
      </c>
    </row>
    <row r="44">
      <c r="A44" s="31" t="inlineStr">
        <is>
          <t>CEMPRO</t>
        </is>
      </c>
      <c r="B44" s="31" t="inlineStr">
        <is>
          <t>Cemindia Projects Ltd</t>
        </is>
      </c>
      <c r="C44" s="31" t="inlineStr">
        <is>
          <t>realty</t>
        </is>
      </c>
      <c r="D44" s="31" t="inlineStr">
        <is>
          <t>construction</t>
        </is>
      </c>
      <c r="E44" s="31" t="inlineStr">
        <is>
          <t>midcap</t>
        </is>
      </c>
      <c r="F44" s="31" t="n">
        <v>19281.44</v>
      </c>
      <c r="G44" s="31" t="n">
        <v>1178.5</v>
      </c>
      <c r="H44" s="31" t="n">
        <v>5</v>
      </c>
      <c r="I44" s="31" t="n">
        <v>156648</v>
      </c>
      <c r="J44" s="31" t="inlineStr">
        <is>
          <t>509496</t>
        </is>
      </c>
    </row>
    <row r="45">
      <c r="A45" s="31" t="inlineStr">
        <is>
          <t>HFCL</t>
        </is>
      </c>
      <c r="B45" s="31" t="inlineStr">
        <is>
          <t>HFCL Ltd</t>
        </is>
      </c>
      <c r="C45" s="31" t="inlineStr">
        <is>
          <t>telecom</t>
        </is>
      </c>
      <c r="D45" s="31" t="inlineStr">
        <is>
          <t>cables - telephone</t>
        </is>
      </c>
      <c r="E45" s="31" t="inlineStr">
        <is>
          <t>largecap</t>
        </is>
      </c>
      <c r="F45" s="31" t="n">
        <v>26304.93</v>
      </c>
      <c r="G45" s="31" t="n">
        <v>180.45</v>
      </c>
      <c r="H45" s="31" t="n">
        <v>5</v>
      </c>
      <c r="I45" s="31" t="n">
        <v>7783340</v>
      </c>
      <c r="J45" s="31" t="inlineStr">
        <is>
          <t>500183</t>
        </is>
      </c>
    </row>
    <row r="46">
      <c r="A46" s="31" t="inlineStr">
        <is>
          <t>QPOWER</t>
        </is>
      </c>
      <c r="B46" s="31" t="inlineStr">
        <is>
          <t>Quality Power Electrical Equipments Ltd</t>
        </is>
      </c>
      <c r="C46" s="31" t="inlineStr">
        <is>
          <t>industrials</t>
        </is>
      </c>
      <c r="D46" s="31" t="inlineStr">
        <is>
          <t>electric equipment</t>
        </is>
      </c>
      <c r="E46" s="31" t="inlineStr">
        <is>
          <t>midcap</t>
        </is>
      </c>
      <c r="F46" s="31" t="n">
        <v>9456.700000000001</v>
      </c>
      <c r="G46" s="31" t="n">
        <v>1282.1</v>
      </c>
      <c r="H46" s="31" t="n">
        <v>5</v>
      </c>
      <c r="I46" s="31" t="n">
        <v>267101</v>
      </c>
      <c r="J46" s="31" t="inlineStr">
        <is>
          <t>544367</t>
        </is>
      </c>
    </row>
    <row r="47">
      <c r="A47" s="31" t="inlineStr">
        <is>
          <t>OCCLLTD</t>
        </is>
      </c>
      <c r="B47" s="31" t="inlineStr">
        <is>
          <t>OCCL Ltd</t>
        </is>
      </c>
      <c r="C47" s="31" t="inlineStr">
        <is>
          <t>chemicals</t>
        </is>
      </c>
      <c r="D47" s="31" t="inlineStr">
        <is>
          <t>chemicals</t>
        </is>
      </c>
      <c r="E47" s="31" t="inlineStr">
        <is>
          <t>smallcap</t>
        </is>
      </c>
      <c r="F47" s="31" t="n">
        <v>644.36</v>
      </c>
      <c r="G47" s="31" t="n">
        <v>135.45</v>
      </c>
      <c r="H47" s="31" t="n">
        <v>5</v>
      </c>
      <c r="I47" s="31" t="n">
        <v>32497</v>
      </c>
      <c r="J47" s="31" t="inlineStr">
        <is>
          <t>544278</t>
        </is>
      </c>
    </row>
    <row r="48">
      <c r="A48" s="31" t="inlineStr">
        <is>
          <t>BIRLACABLE</t>
        </is>
      </c>
      <c r="B48" s="31" t="inlineStr">
        <is>
          <t>Birla Cable Limited</t>
        </is>
      </c>
      <c r="C48" s="31" t="inlineStr">
        <is>
          <t>industrials</t>
        </is>
      </c>
      <c r="D48" s="31" t="inlineStr">
        <is>
          <t>cables - telephone</t>
        </is>
      </c>
      <c r="E48" s="31" t="inlineStr">
        <is>
          <t>smallcap</t>
        </is>
      </c>
      <c r="F48" s="31" t="n">
        <v>582.39</v>
      </c>
      <c r="G48" s="31" t="n">
        <v>203.83</v>
      </c>
      <c r="H48" s="31" t="n">
        <v>5</v>
      </c>
      <c r="I48" s="31" t="n">
        <v>54154</v>
      </c>
      <c r="J48" s="31" t="inlineStr">
        <is>
          <t>500060</t>
        </is>
      </c>
    </row>
    <row r="49">
      <c r="A49" s="31" t="inlineStr">
        <is>
          <t>BHAGYANGR</t>
        </is>
      </c>
      <c r="B49" s="31" t="inlineStr">
        <is>
          <t>Bhagyanagar India</t>
        </is>
      </c>
      <c r="C49" s="31" t="inlineStr">
        <is>
          <t>power &amp; utilities</t>
        </is>
      </c>
      <c r="D49" s="31" t="inlineStr">
        <is>
          <t>power generation and supply</t>
        </is>
      </c>
      <c r="E49" s="31" t="inlineStr">
        <is>
          <t>smallcap</t>
        </is>
      </c>
      <c r="F49" s="31" t="n">
        <v>993.76</v>
      </c>
      <c r="G49" s="31" t="n">
        <v>326.1</v>
      </c>
      <c r="H49" s="31" t="n">
        <v>4.99</v>
      </c>
      <c r="I49" s="31" t="n">
        <v>71538</v>
      </c>
      <c r="J49" s="31" t="inlineStr">
        <is>
          <t>512296</t>
        </is>
      </c>
    </row>
    <row r="50">
      <c r="A50" s="31" t="inlineStr">
        <is>
          <t>DEEDEV</t>
        </is>
      </c>
      <c r="B50" s="31" t="inlineStr">
        <is>
          <t>DEE Development Engineers Ltd</t>
        </is>
      </c>
      <c r="C50" s="31" t="inlineStr">
        <is>
          <t>metals &amp; mining</t>
        </is>
      </c>
      <c r="D50" s="31" t="inlineStr">
        <is>
          <t>steel - medium / small</t>
        </is>
      </c>
      <c r="E50" s="31" t="inlineStr">
        <is>
          <t>smallcap</t>
        </is>
      </c>
      <c r="F50" s="31" t="n">
        <v>4548.52</v>
      </c>
      <c r="G50" s="31" t="n">
        <v>689.5</v>
      </c>
      <c r="H50" s="31" t="n">
        <v>4.99</v>
      </c>
      <c r="I50" s="31" t="n">
        <v>54236</v>
      </c>
      <c r="J50" s="31" t="n"/>
    </row>
    <row r="51">
      <c r="A51" s="31" t="inlineStr">
        <is>
          <t>GAYAPROJ</t>
        </is>
      </c>
      <c r="B51" s="31" t="inlineStr">
        <is>
          <t>Gayatri Projects Limited</t>
        </is>
      </c>
      <c r="C51" s="31" t="inlineStr">
        <is>
          <t>realty</t>
        </is>
      </c>
      <c r="D51" s="31" t="inlineStr">
        <is>
          <t>construction</t>
        </is>
      </c>
      <c r="E51" s="31" t="inlineStr">
        <is>
          <t>smallcap</t>
        </is>
      </c>
      <c r="F51" s="31" t="n">
        <v>647.49</v>
      </c>
      <c r="G51" s="31" t="n">
        <v>22.95</v>
      </c>
      <c r="H51" s="31" t="n">
        <v>4.99</v>
      </c>
      <c r="I51" s="31" t="n">
        <v>560787</v>
      </c>
      <c r="J51" s="31" t="inlineStr">
        <is>
          <t>532767</t>
        </is>
      </c>
    </row>
    <row r="52">
      <c r="A52" s="31" t="inlineStr">
        <is>
          <t>MANINDS</t>
        </is>
      </c>
      <c r="B52" s="31" t="inlineStr">
        <is>
          <t>Man Industries (india) Limited</t>
        </is>
      </c>
      <c r="C52" s="31" t="inlineStr">
        <is>
          <t>metals &amp; mining</t>
        </is>
      </c>
      <c r="D52" s="31" t="inlineStr">
        <is>
          <t>steel - medium / small</t>
        </is>
      </c>
      <c r="E52" s="31" t="inlineStr">
        <is>
          <t>smallcap</t>
        </is>
      </c>
      <c r="F52" s="31" t="n">
        <v>4095.15</v>
      </c>
      <c r="G52" s="31" t="n">
        <v>573.05</v>
      </c>
      <c r="H52" s="31" t="n">
        <v>4.96</v>
      </c>
      <c r="I52" s="31" t="n">
        <v>1364170</v>
      </c>
      <c r="J52" s="31" t="inlineStr">
        <is>
          <t>513269</t>
        </is>
      </c>
    </row>
    <row r="53">
      <c r="A53" s="31" t="inlineStr">
        <is>
          <t>CREDITACC</t>
        </is>
      </c>
      <c r="B53" s="31" t="inlineStr">
        <is>
          <t>CreditAccess Grameen Ltd</t>
        </is>
      </c>
      <c r="C53" s="31" t="inlineStr">
        <is>
          <t>financials</t>
        </is>
      </c>
      <c r="D53" s="31" t="inlineStr">
        <is>
          <t>finance &amp; investments</t>
        </is>
      </c>
      <c r="E53" s="31" t="inlineStr">
        <is>
          <t>largecap</t>
        </is>
      </c>
      <c r="F53" s="31" t="n">
        <v>20992.09</v>
      </c>
      <c r="G53" s="31" t="n">
        <v>1375</v>
      </c>
      <c r="H53" s="31" t="n">
        <v>4.93</v>
      </c>
      <c r="I53" s="31" t="n">
        <v>290020</v>
      </c>
      <c r="J53" s="31" t="inlineStr">
        <is>
          <t>541770</t>
        </is>
      </c>
    </row>
    <row r="54">
      <c r="A54" s="31" t="inlineStr">
        <is>
          <t>AURUM</t>
        </is>
      </c>
      <c r="B54" s="31" t="inlineStr">
        <is>
          <t>Aurum Proptech Ltd</t>
        </is>
      </c>
      <c r="C54" s="31" t="inlineStr">
        <is>
          <t>i.t</t>
        </is>
      </c>
      <c r="D54" s="31" t="inlineStr">
        <is>
          <t>computers - software - medium / small</t>
        </is>
      </c>
      <c r="E54" s="31" t="inlineStr">
        <is>
          <t>smallcap</t>
        </is>
      </c>
      <c r="F54" s="31" t="n">
        <v>1405.84</v>
      </c>
      <c r="G54" s="31" t="n">
        <v>192.29</v>
      </c>
      <c r="H54" s="31" t="n">
        <v>4.85</v>
      </c>
      <c r="I54" s="31" t="n">
        <v>313160</v>
      </c>
      <c r="J54" s="31" t="inlineStr">
        <is>
          <t>539289</t>
        </is>
      </c>
    </row>
    <row r="55">
      <c r="A55" s="31" t="inlineStr">
        <is>
          <t>SKYGOLD</t>
        </is>
      </c>
      <c r="B55" s="31" t="inlineStr">
        <is>
          <t>Sky Gold Ltd</t>
        </is>
      </c>
      <c r="C55" s="31" t="inlineStr">
        <is>
          <t>consumer discretionary</t>
        </is>
      </c>
      <c r="D55" s="31" t="inlineStr">
        <is>
          <t>diamond cutting / jewellery</t>
        </is>
      </c>
      <c r="E55" s="31" t="inlineStr">
        <is>
          <t>midcap</t>
        </is>
      </c>
      <c r="F55" s="31" t="n">
        <v>7882.31</v>
      </c>
      <c r="G55" s="31" t="n">
        <v>533.65</v>
      </c>
      <c r="H55" s="31" t="n">
        <v>4.85</v>
      </c>
      <c r="I55" s="31" t="n">
        <v>961184</v>
      </c>
      <c r="J55" s="31" t="inlineStr">
        <is>
          <t>541967</t>
        </is>
      </c>
    </row>
    <row r="56">
      <c r="A56" s="31" t="inlineStr">
        <is>
          <t>SILVERTUC</t>
        </is>
      </c>
      <c r="B56" s="31" t="inlineStr">
        <is>
          <t>Silver Touch Technologies Ltd</t>
        </is>
      </c>
      <c r="C56" s="31" t="inlineStr">
        <is>
          <t>i.t</t>
        </is>
      </c>
      <c r="D56" s="31" t="inlineStr">
        <is>
          <t>computers - software - medium / small</t>
        </is>
      </c>
      <c r="E56" s="31" t="inlineStr">
        <is>
          <t>smallcap</t>
        </is>
      </c>
      <c r="F56" s="31" t="n">
        <v>2520.73</v>
      </c>
      <c r="G56" s="31" t="n">
        <v>208.36</v>
      </c>
      <c r="H56" s="31" t="n">
        <v>4.82</v>
      </c>
      <c r="I56" s="31" t="n">
        <v>718929</v>
      </c>
      <c r="J56" s="31" t="inlineStr">
        <is>
          <t>535031</t>
        </is>
      </c>
    </row>
    <row r="57">
      <c r="A57" s="31" t="inlineStr">
        <is>
          <t>SHRIRAMFIN</t>
        </is>
      </c>
      <c r="B57" s="31" t="inlineStr">
        <is>
          <t>Shriram Finance Ltd</t>
        </is>
      </c>
      <c r="C57" s="31" t="inlineStr">
        <is>
          <t>financials</t>
        </is>
      </c>
      <c r="D57" s="31" t="inlineStr">
        <is>
          <t>finance &amp; investments</t>
        </is>
      </c>
      <c r="E57" s="31" t="inlineStr">
        <is>
          <t>largecap</t>
        </is>
      </c>
      <c r="F57" s="31" t="n">
        <v>224669.79</v>
      </c>
      <c r="G57" s="31" t="n">
        <v>1000.65</v>
      </c>
      <c r="H57" s="31" t="n">
        <v>4.79</v>
      </c>
      <c r="I57" s="31" t="n">
        <v>12251483</v>
      </c>
      <c r="J57" s="31" t="inlineStr">
        <is>
          <t>511218</t>
        </is>
      </c>
    </row>
    <row r="58">
      <c r="A58" s="31" t="inlineStr">
        <is>
          <t>MAITHANALL</t>
        </is>
      </c>
      <c r="B58" s="31" t="inlineStr">
        <is>
          <t>Maithan Alloys Limited</t>
        </is>
      </c>
      <c r="C58" s="31" t="inlineStr">
        <is>
          <t>metals &amp; mining</t>
        </is>
      </c>
      <c r="D58" s="31" t="inlineStr">
        <is>
          <t>mining / minerals / metals</t>
        </is>
      </c>
      <c r="E58" s="31" t="inlineStr">
        <is>
          <t>smallcap</t>
        </is>
      </c>
      <c r="F58" s="31" t="n">
        <v>2953.37</v>
      </c>
      <c r="G58" s="31" t="n">
        <v>1062.9</v>
      </c>
      <c r="H58" s="31" t="n">
        <v>4.77</v>
      </c>
      <c r="I58" s="31" t="n">
        <v>192412</v>
      </c>
      <c r="J58" s="31" t="inlineStr">
        <is>
          <t>590078</t>
        </is>
      </c>
    </row>
    <row r="59">
      <c r="A59" s="31" t="inlineStr">
        <is>
          <t>ORCHPHARMA</t>
        </is>
      </c>
      <c r="B59" s="31" t="inlineStr">
        <is>
          <t>Orchid Pharma Ltd</t>
        </is>
      </c>
      <c r="C59" s="31" t="inlineStr">
        <is>
          <t>healthcare</t>
        </is>
      </c>
      <c r="D59" s="31" t="inlineStr">
        <is>
          <t>pharmaceuticals - indian - bulk drugs &amp; formln</t>
        </is>
      </c>
      <c r="E59" s="31" t="inlineStr">
        <is>
          <t>smallcap</t>
        </is>
      </c>
      <c r="F59" s="31" t="n">
        <v>4651.45</v>
      </c>
      <c r="G59" s="31" t="n">
        <v>960.85</v>
      </c>
      <c r="H59" s="31" t="n">
        <v>4.77</v>
      </c>
      <c r="I59" s="31" t="n">
        <v>246525</v>
      </c>
      <c r="J59" s="31" t="inlineStr">
        <is>
          <t>524372</t>
        </is>
      </c>
    </row>
    <row r="60">
      <c r="A60" s="31" t="inlineStr">
        <is>
          <t>VENUSREM</t>
        </is>
      </c>
      <c r="B60" s="31" t="inlineStr">
        <is>
          <t>Venus Remedies Limited</t>
        </is>
      </c>
      <c r="C60" s="31" t="inlineStr">
        <is>
          <t>healthcare</t>
        </is>
      </c>
      <c r="D60" s="31" t="inlineStr">
        <is>
          <t>pharmaceuticals - indian - formulations</t>
        </is>
      </c>
      <c r="E60" s="31" t="inlineStr">
        <is>
          <t>smallcap</t>
        </is>
      </c>
      <c r="F60" s="31" t="n">
        <v>2402.72</v>
      </c>
      <c r="G60" s="31" t="n">
        <v>1883</v>
      </c>
      <c r="H60" s="31" t="n">
        <v>4.76</v>
      </c>
      <c r="I60" s="31" t="n">
        <v>91246</v>
      </c>
      <c r="J60" s="31" t="inlineStr">
        <is>
          <t>526953</t>
        </is>
      </c>
    </row>
    <row r="61">
      <c r="A61" s="31" t="inlineStr">
        <is>
          <t>HMVL</t>
        </is>
      </c>
      <c r="B61" s="31" t="inlineStr">
        <is>
          <t>Hindustan Media Ventures Limited</t>
        </is>
      </c>
      <c r="C61" s="31" t="inlineStr">
        <is>
          <t>media</t>
        </is>
      </c>
      <c r="D61" s="31" t="inlineStr">
        <is>
          <t>entertainment / electronic media software</t>
        </is>
      </c>
      <c r="E61" s="31" t="inlineStr">
        <is>
          <t>smallcap</t>
        </is>
      </c>
      <c r="F61" s="31" t="n">
        <v>579.72</v>
      </c>
      <c r="G61" s="31" t="n">
        <v>82.40000000000001</v>
      </c>
      <c r="H61" s="31" t="n">
        <v>4.71</v>
      </c>
      <c r="I61" s="31" t="n">
        <v>99588</v>
      </c>
      <c r="J61" s="31" t="inlineStr">
        <is>
          <t>533217</t>
        </is>
      </c>
    </row>
    <row r="62">
      <c r="A62" s="31" t="inlineStr">
        <is>
          <t>CRAFTSMAN</t>
        </is>
      </c>
      <c r="B62" s="31" t="inlineStr">
        <is>
          <t>Craftsman Automation Ltd</t>
        </is>
      </c>
      <c r="C62" s="31" t="inlineStr">
        <is>
          <t>auto</t>
        </is>
      </c>
      <c r="D62" s="31" t="inlineStr">
        <is>
          <t>auto ancillaries</t>
        </is>
      </c>
      <c r="E62" s="31" t="inlineStr">
        <is>
          <t>largecap</t>
        </is>
      </c>
      <c r="F62" s="31" t="n">
        <v>21273.22</v>
      </c>
      <c r="G62" s="31" t="n">
        <v>9337</v>
      </c>
      <c r="H62" s="31" t="n">
        <v>4.7</v>
      </c>
      <c r="I62" s="31" t="n">
        <v>109175</v>
      </c>
      <c r="J62" s="31" t="inlineStr">
        <is>
          <t>543276</t>
        </is>
      </c>
    </row>
    <row r="63">
      <c r="A63" s="31" t="inlineStr">
        <is>
          <t>NAM-INDIA</t>
        </is>
      </c>
      <c r="B63" s="31" t="inlineStr">
        <is>
          <t>Nippon Life India Asset Management Ltd</t>
        </is>
      </c>
      <c r="C63" s="31" t="inlineStr">
        <is>
          <t>financials</t>
        </is>
      </c>
      <c r="D63" s="31" t="inlineStr">
        <is>
          <t>finance &amp; investments</t>
        </is>
      </c>
      <c r="E63" s="31" t="inlineStr">
        <is>
          <t>largecap</t>
        </is>
      </c>
      <c r="F63" s="31" t="n">
        <v>69497.21000000001</v>
      </c>
      <c r="G63" s="31" t="n">
        <v>1140.1</v>
      </c>
      <c r="H63" s="31" t="n">
        <v>4.68</v>
      </c>
      <c r="I63" s="31" t="n">
        <v>1550884</v>
      </c>
      <c r="J63" s="31" t="inlineStr">
        <is>
          <t>540767</t>
        </is>
      </c>
    </row>
    <row r="64">
      <c r="A64" s="31" t="inlineStr">
        <is>
          <t>MMFL</t>
        </is>
      </c>
      <c r="B64" s="31" t="inlineStr">
        <is>
          <t>Mm Forgings Limited</t>
        </is>
      </c>
      <c r="C64" s="31" t="inlineStr">
        <is>
          <t>industrials</t>
        </is>
      </c>
      <c r="D64" s="31" t="inlineStr">
        <is>
          <t>castings &amp; forgings</t>
        </is>
      </c>
      <c r="E64" s="31" t="inlineStr">
        <is>
          <t>smallcap</t>
        </is>
      </c>
      <c r="F64" s="31" t="n">
        <v>2163.02</v>
      </c>
      <c r="G64" s="31" t="n">
        <v>468.7</v>
      </c>
      <c r="H64" s="31" t="n">
        <v>4.62</v>
      </c>
      <c r="I64" s="31" t="n">
        <v>175576</v>
      </c>
      <c r="J64" s="31" t="inlineStr">
        <is>
          <t>522241</t>
        </is>
      </c>
    </row>
    <row r="65">
      <c r="A65" s="31" t="inlineStr">
        <is>
          <t>KAMDHENU</t>
        </is>
      </c>
      <c r="B65" s="31" t="inlineStr">
        <is>
          <t>Kamdhenu Limited</t>
        </is>
      </c>
      <c r="C65" s="31" t="inlineStr">
        <is>
          <t>metals &amp; mining</t>
        </is>
      </c>
      <c r="D65" s="31" t="inlineStr">
        <is>
          <t>steel - medium / small</t>
        </is>
      </c>
      <c r="E65" s="31" t="inlineStr">
        <is>
          <t>smallcap</t>
        </is>
      </c>
      <c r="F65" s="31" t="n">
        <v>825.64</v>
      </c>
      <c r="G65" s="31" t="n">
        <v>30.64</v>
      </c>
      <c r="H65" s="31" t="n">
        <v>4.61</v>
      </c>
      <c r="I65" s="31" t="n">
        <v>3896157</v>
      </c>
      <c r="J65" s="31" t="inlineStr">
        <is>
          <t>532741</t>
        </is>
      </c>
    </row>
    <row r="66">
      <c r="A66" s="31" t="inlineStr">
        <is>
          <t>WELSPUNLIV</t>
        </is>
      </c>
      <c r="B66" s="31" t="inlineStr">
        <is>
          <t>Welspun Living Ltd</t>
        </is>
      </c>
      <c r="C66" s="31" t="inlineStr">
        <is>
          <t>textiles</t>
        </is>
      </c>
      <c r="D66" s="31" t="inlineStr">
        <is>
          <t>textiles - products</t>
        </is>
      </c>
      <c r="E66" s="31" t="inlineStr">
        <is>
          <t>midcap</t>
        </is>
      </c>
      <c r="F66" s="31" t="n">
        <v>13288.1</v>
      </c>
      <c r="G66" s="31" t="n">
        <v>144.93</v>
      </c>
      <c r="H66" s="31" t="n">
        <v>4.61</v>
      </c>
      <c r="I66" s="31" t="n">
        <v>2873971</v>
      </c>
      <c r="J66" s="31" t="inlineStr">
        <is>
          <t>514162</t>
        </is>
      </c>
    </row>
    <row r="67">
      <c r="A67" s="31" t="inlineStr">
        <is>
          <t>MANALIPETC</t>
        </is>
      </c>
      <c r="B67" s="31" t="inlineStr">
        <is>
          <t>Manali Petrochemicals Limited</t>
        </is>
      </c>
      <c r="C67" s="31" t="inlineStr">
        <is>
          <t>energy</t>
        </is>
      </c>
      <c r="D67" s="31" t="inlineStr">
        <is>
          <t>petrochemicals</t>
        </is>
      </c>
      <c r="E67" s="31" t="inlineStr">
        <is>
          <t>smallcap</t>
        </is>
      </c>
      <c r="F67" s="31" t="n">
        <v>1121.44</v>
      </c>
      <c r="G67" s="31" t="n">
        <v>68.2</v>
      </c>
      <c r="H67" s="31" t="n">
        <v>4.6</v>
      </c>
      <c r="I67" s="31" t="n">
        <v>2352553</v>
      </c>
      <c r="J67" s="31" t="inlineStr">
        <is>
          <t>500268</t>
        </is>
      </c>
    </row>
    <row r="68">
      <c r="A68" s="31" t="inlineStr">
        <is>
          <t>NUVAMA</t>
        </is>
      </c>
      <c r="B68" s="31" t="inlineStr">
        <is>
          <t>Nuvama Wealth Management Ltd</t>
        </is>
      </c>
      <c r="C68" s="31" t="inlineStr">
        <is>
          <t>financials</t>
        </is>
      </c>
      <c r="D68" s="31" t="inlineStr">
        <is>
          <t>finance &amp; investments</t>
        </is>
      </c>
      <c r="E68" s="31" t="inlineStr">
        <is>
          <t>largecap</t>
        </is>
      </c>
      <c r="F68" s="31" t="n">
        <v>28910.01</v>
      </c>
      <c r="G68" s="31" t="n">
        <v>1660.9</v>
      </c>
      <c r="H68" s="31" t="n">
        <v>4.58</v>
      </c>
      <c r="I68" s="31" t="n">
        <v>978451</v>
      </c>
      <c r="J68" s="31" t="inlineStr">
        <is>
          <t>543988</t>
        </is>
      </c>
    </row>
    <row r="69">
      <c r="A69" s="31" t="inlineStr">
        <is>
          <t>BELRISE</t>
        </is>
      </c>
      <c r="B69" s="31" t="inlineStr">
        <is>
          <t>Belrise Industries Ltd</t>
        </is>
      </c>
      <c r="C69" s="31" t="inlineStr">
        <is>
          <t>auto</t>
        </is>
      </c>
      <c r="D69" s="31" t="inlineStr">
        <is>
          <t>auto ancillaries</t>
        </is>
      </c>
      <c r="E69" s="31" t="inlineStr">
        <is>
          <t>largecap</t>
        </is>
      </c>
      <c r="F69" s="31" t="n">
        <v>20309.71</v>
      </c>
      <c r="G69" s="31" t="n">
        <v>238.26</v>
      </c>
      <c r="H69" s="31" t="n">
        <v>4.39</v>
      </c>
      <c r="I69" s="31" t="n">
        <v>6682701</v>
      </c>
      <c r="J69" s="31" t="n"/>
    </row>
    <row r="70">
      <c r="A70" s="31" t="inlineStr">
        <is>
          <t>INGERRAND</t>
        </is>
      </c>
      <c r="B70" s="31" t="inlineStr">
        <is>
          <t>Ingersoll Rand (india) Limited</t>
        </is>
      </c>
      <c r="C70" s="31" t="inlineStr">
        <is>
          <t>industrials</t>
        </is>
      </c>
      <c r="D70" s="31" t="inlineStr">
        <is>
          <t>compressors / drilling equipment</t>
        </is>
      </c>
      <c r="E70" s="31" t="inlineStr">
        <is>
          <t>midcap</t>
        </is>
      </c>
      <c r="F70" s="31" t="n">
        <v>13085.25</v>
      </c>
      <c r="G70" s="31" t="n">
        <v>4326.1</v>
      </c>
      <c r="H70" s="31" t="n">
        <v>4.37</v>
      </c>
      <c r="I70" s="31" t="n">
        <v>37192</v>
      </c>
      <c r="J70" s="31" t="inlineStr">
        <is>
          <t>500210</t>
        </is>
      </c>
    </row>
    <row r="71">
      <c r="A71" s="31" t="inlineStr">
        <is>
          <t>SBCL</t>
        </is>
      </c>
      <c r="B71" s="31" t="inlineStr">
        <is>
          <t>Shivalik Bimetal Controls Ltd</t>
        </is>
      </c>
      <c r="C71" s="31" t="inlineStr">
        <is>
          <t>metals &amp; mining</t>
        </is>
      </c>
      <c r="D71" s="31" t="inlineStr">
        <is>
          <t>mining / minerals / metals</t>
        </is>
      </c>
      <c r="E71" s="31" t="inlineStr">
        <is>
          <t>smallcap</t>
        </is>
      </c>
      <c r="F71" s="31" t="n">
        <v>4006.37</v>
      </c>
      <c r="G71" s="31" t="n">
        <v>725.75</v>
      </c>
      <c r="H71" s="31" t="n">
        <v>4.35</v>
      </c>
      <c r="I71" s="31" t="n">
        <v>563848</v>
      </c>
      <c r="J71" s="31" t="inlineStr">
        <is>
          <t>513097</t>
        </is>
      </c>
    </row>
    <row r="72">
      <c r="A72" s="31" t="inlineStr">
        <is>
          <t>AVALON</t>
        </is>
      </c>
      <c r="B72" s="31" t="inlineStr">
        <is>
          <t>Avalon Technologies Ltd</t>
        </is>
      </c>
      <c r="C72" s="31" t="inlineStr">
        <is>
          <t>consumer discretionary</t>
        </is>
      </c>
      <c r="D72" s="31" t="inlineStr">
        <is>
          <t>electronics - components</t>
        </is>
      </c>
      <c r="E72" s="31" t="inlineStr">
        <is>
          <t>midcap</t>
        </is>
      </c>
      <c r="F72" s="31" t="n">
        <v>11263.45</v>
      </c>
      <c r="G72" s="31" t="n">
        <v>1760</v>
      </c>
      <c r="H72" s="31" t="n">
        <v>4.33</v>
      </c>
      <c r="I72" s="31" t="n">
        <v>611900</v>
      </c>
      <c r="J72" s="31" t="inlineStr">
        <is>
          <t>543896</t>
        </is>
      </c>
    </row>
    <row r="73">
      <c r="A73" s="31" t="inlineStr">
        <is>
          <t>STLTECH</t>
        </is>
      </c>
      <c r="B73" s="31" t="inlineStr">
        <is>
          <t>Sterlite Technologies Limited</t>
        </is>
      </c>
      <c r="C73" s="31" t="inlineStr">
        <is>
          <t>industrials</t>
        </is>
      </c>
      <c r="D73" s="31" t="inlineStr">
        <is>
          <t>cables - telephone</t>
        </is>
      </c>
      <c r="E73" s="31" t="inlineStr">
        <is>
          <t>largecap</t>
        </is>
      </c>
      <c r="F73" s="31" t="n">
        <v>28489.86</v>
      </c>
      <c r="G73" s="31" t="n">
        <v>608.8</v>
      </c>
      <c r="H73" s="31" t="n">
        <v>4.31</v>
      </c>
      <c r="I73" s="31" t="n">
        <v>3215618</v>
      </c>
      <c r="J73" s="31" t="inlineStr">
        <is>
          <t>532374</t>
        </is>
      </c>
    </row>
    <row r="74">
      <c r="A74" s="31" t="inlineStr">
        <is>
          <t>HARSHA</t>
        </is>
      </c>
      <c r="B74" s="31" t="inlineStr">
        <is>
          <t>Harsha Engineers International Ltd</t>
        </is>
      </c>
      <c r="C74" s="31" t="inlineStr">
        <is>
          <t>industrials</t>
        </is>
      </c>
      <c r="D74" s="31" t="inlineStr">
        <is>
          <t>engineering</t>
        </is>
      </c>
      <c r="E74" s="31" t="inlineStr">
        <is>
          <t>smallcap</t>
        </is>
      </c>
      <c r="F74" s="31" t="n">
        <v>3664.53</v>
      </c>
      <c r="G74" s="31" t="n">
        <v>419.8</v>
      </c>
      <c r="H74" s="31" t="n">
        <v>4.3</v>
      </c>
      <c r="I74" s="31" t="n">
        <v>274824</v>
      </c>
      <c r="J74" s="31" t="inlineStr">
        <is>
          <t>543600</t>
        </is>
      </c>
    </row>
    <row r="75">
      <c r="A75" s="31" t="inlineStr">
        <is>
          <t>EICHERMOT</t>
        </is>
      </c>
      <c r="B75" s="31" t="inlineStr">
        <is>
          <t>Eicher Motors Limited</t>
        </is>
      </c>
      <c r="C75" s="31" t="inlineStr">
        <is>
          <t>auto</t>
        </is>
      </c>
      <c r="D75" s="31" t="inlineStr">
        <is>
          <t>automobiles - motorcycles / mopeds</t>
        </is>
      </c>
      <c r="E75" s="31" t="inlineStr">
        <is>
          <t>largecap</t>
        </is>
      </c>
      <c r="F75" s="31" t="n">
        <v>200578.55</v>
      </c>
      <c r="G75" s="31" t="n">
        <v>7624.5</v>
      </c>
      <c r="H75" s="31" t="n">
        <v>4.27</v>
      </c>
      <c r="I75" s="31" t="n">
        <v>784420</v>
      </c>
      <c r="J75" s="31" t="inlineStr">
        <is>
          <t>505200</t>
        </is>
      </c>
    </row>
    <row r="76">
      <c r="A76" s="31" t="inlineStr">
        <is>
          <t>AEGISLOG</t>
        </is>
      </c>
      <c r="B76" s="31" t="inlineStr">
        <is>
          <t>Aegis Logistics Ltd</t>
        </is>
      </c>
      <c r="C76" s="31" t="inlineStr">
        <is>
          <t>services</t>
        </is>
      </c>
      <c r="D76" s="31" t="inlineStr">
        <is>
          <t>trading</t>
        </is>
      </c>
      <c r="E76" s="31" t="inlineStr">
        <is>
          <t>largecap</t>
        </is>
      </c>
      <c r="F76" s="31" t="n">
        <v>33148.44</v>
      </c>
      <c r="G76" s="31" t="n">
        <v>984.3</v>
      </c>
      <c r="H76" s="31" t="n">
        <v>4.22</v>
      </c>
      <c r="I76" s="31" t="n">
        <v>8796567</v>
      </c>
      <c r="J76" s="31" t="inlineStr">
        <is>
          <t>500003</t>
        </is>
      </c>
    </row>
    <row r="77">
      <c r="A77" s="31" t="inlineStr">
        <is>
          <t>FINEORG</t>
        </is>
      </c>
      <c r="B77" s="31" t="inlineStr">
        <is>
          <t>Fine Organic Industries Ltd</t>
        </is>
      </c>
      <c r="C77" s="31" t="inlineStr">
        <is>
          <t>chemicals</t>
        </is>
      </c>
      <c r="D77" s="31" t="inlineStr">
        <is>
          <t>chemicals</t>
        </is>
      </c>
      <c r="E77" s="31" t="inlineStr">
        <is>
          <t>midcap</t>
        </is>
      </c>
      <c r="F77" s="31" t="n">
        <v>14485.92</v>
      </c>
      <c r="G77" s="31" t="n">
        <v>4924</v>
      </c>
      <c r="H77" s="31" t="n">
        <v>4.22</v>
      </c>
      <c r="I77" s="31" t="n">
        <v>36777</v>
      </c>
      <c r="J77" s="31" t="inlineStr">
        <is>
          <t>541557</t>
        </is>
      </c>
    </row>
    <row r="78">
      <c r="A78" s="31" t="inlineStr">
        <is>
          <t>SJS</t>
        </is>
      </c>
      <c r="B78" s="31" t="inlineStr">
        <is>
          <t>S J S Enterprises Ltd</t>
        </is>
      </c>
      <c r="C78" s="31" t="inlineStr">
        <is>
          <t>auto</t>
        </is>
      </c>
      <c r="D78" s="31" t="inlineStr">
        <is>
          <t>plastics products</t>
        </is>
      </c>
      <c r="E78" s="31" t="inlineStr">
        <is>
          <t>midcap</t>
        </is>
      </c>
      <c r="F78" s="31" t="n">
        <v>6767.96</v>
      </c>
      <c r="G78" s="31" t="n">
        <v>2203.8</v>
      </c>
      <c r="H78" s="31" t="n">
        <v>4.19</v>
      </c>
      <c r="I78" s="31" t="n">
        <v>158547</v>
      </c>
      <c r="J78" s="31" t="inlineStr">
        <is>
          <t>543387</t>
        </is>
      </c>
    </row>
    <row r="79">
      <c r="A79" s="31" t="inlineStr">
        <is>
          <t>CYIENTDLM</t>
        </is>
      </c>
      <c r="B79" s="31" t="inlineStr">
        <is>
          <t>Cyient DLM Ltd</t>
        </is>
      </c>
      <c r="C79" s="31" t="inlineStr">
        <is>
          <t>consumer discretionary</t>
        </is>
      </c>
      <c r="D79" s="31" t="inlineStr">
        <is>
          <t>electronics - components</t>
        </is>
      </c>
      <c r="E79" s="31" t="inlineStr">
        <is>
          <t>smallcap</t>
        </is>
      </c>
      <c r="F79" s="31" t="n">
        <v>3569.02</v>
      </c>
      <c r="G79" s="31" t="n">
        <v>468.55</v>
      </c>
      <c r="H79" s="31" t="n">
        <v>4.19</v>
      </c>
      <c r="I79" s="31" t="n">
        <v>644174</v>
      </c>
      <c r="J79" s="31" t="inlineStr">
        <is>
          <t>543933</t>
        </is>
      </c>
    </row>
    <row r="80">
      <c r="A80" s="31" t="inlineStr">
        <is>
          <t>BHAGERIA</t>
        </is>
      </c>
      <c r="B80" s="31" t="inlineStr">
        <is>
          <t>Bhageria Industries Limited</t>
        </is>
      </c>
      <c r="C80" s="31" t="inlineStr">
        <is>
          <t>chemicals</t>
        </is>
      </c>
      <c r="D80" s="31" t="inlineStr">
        <is>
          <t>dyes and pigments</t>
        </is>
      </c>
      <c r="E80" s="31" t="inlineStr">
        <is>
          <t>smallcap</t>
        </is>
      </c>
      <c r="F80" s="31" t="n">
        <v>913.25</v>
      </c>
      <c r="G80" s="31" t="n">
        <v>217.8</v>
      </c>
      <c r="H80" s="31" t="n">
        <v>4.09</v>
      </c>
      <c r="I80" s="31" t="n">
        <v>244316</v>
      </c>
      <c r="J80" s="31" t="inlineStr">
        <is>
          <t>530803</t>
        </is>
      </c>
    </row>
    <row r="81">
      <c r="A81" s="31" t="inlineStr">
        <is>
          <t>ABSLAMC</t>
        </is>
      </c>
      <c r="B81" s="31" t="inlineStr">
        <is>
          <t>Aditya Birla Sun Life AMC Ltd</t>
        </is>
      </c>
      <c r="C81" s="31" t="inlineStr">
        <is>
          <t>financials</t>
        </is>
      </c>
      <c r="D81" s="31" t="inlineStr">
        <is>
          <t>finance &amp; investments</t>
        </is>
      </c>
      <c r="E81" s="31" t="inlineStr">
        <is>
          <t>largecap</t>
        </is>
      </c>
      <c r="F81" s="31" t="n">
        <v>31803.34</v>
      </c>
      <c r="G81" s="31" t="n">
        <v>1146.1</v>
      </c>
      <c r="H81" s="31" t="n">
        <v>4.08</v>
      </c>
      <c r="I81" s="31" t="n">
        <v>1017809</v>
      </c>
      <c r="J81" s="31" t="inlineStr">
        <is>
          <t>543374</t>
        </is>
      </c>
    </row>
    <row r="82">
      <c r="A82" s="31" t="inlineStr">
        <is>
          <t>MANAPPURAM</t>
        </is>
      </c>
      <c r="B82" s="31" t="inlineStr">
        <is>
          <t>Manappuram Finance Limited</t>
        </is>
      </c>
      <c r="C82" s="31" t="inlineStr">
        <is>
          <t>financials</t>
        </is>
      </c>
      <c r="D82" s="31" t="inlineStr">
        <is>
          <t>finance &amp; investments</t>
        </is>
      </c>
      <c r="E82" s="31" t="inlineStr">
        <is>
          <t>largecap</t>
        </is>
      </c>
      <c r="F82" s="31" t="n">
        <v>28668.54</v>
      </c>
      <c r="G82" s="31" t="n">
        <v>317.65</v>
      </c>
      <c r="H82" s="31" t="n">
        <v>4.08</v>
      </c>
      <c r="I82" s="31" t="n">
        <v>2566512</v>
      </c>
      <c r="J82" s="31" t="inlineStr">
        <is>
          <t>531213</t>
        </is>
      </c>
    </row>
    <row r="83">
      <c r="A83" s="31" t="inlineStr">
        <is>
          <t>PETRONET</t>
        </is>
      </c>
      <c r="B83" s="31" t="inlineStr">
        <is>
          <t>Petronet Lng Limited</t>
        </is>
      </c>
      <c r="C83" s="31" t="inlineStr">
        <is>
          <t>energy</t>
        </is>
      </c>
      <c r="D83" s="31" t="inlineStr">
        <is>
          <t>miscellaneous</t>
        </is>
      </c>
      <c r="E83" s="31" t="inlineStr">
        <is>
          <t>largecap</t>
        </is>
      </c>
      <c r="F83" s="31" t="n">
        <v>41212.5</v>
      </c>
      <c r="G83" s="31" t="n">
        <v>285.9</v>
      </c>
      <c r="H83" s="31" t="n">
        <v>4.06</v>
      </c>
      <c r="I83" s="31" t="n">
        <v>4766702</v>
      </c>
      <c r="J83" s="31" t="inlineStr">
        <is>
          <t>532522</t>
        </is>
      </c>
    </row>
    <row r="84">
      <c r="A84" s="31" t="inlineStr">
        <is>
          <t>MUTHOOTMF</t>
        </is>
      </c>
      <c r="B84" s="31" t="inlineStr">
        <is>
          <t>Muthoot Microfin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smallcap</t>
        </is>
      </c>
      <c r="F84" s="31" t="n">
        <v>3198.43</v>
      </c>
      <c r="G84" s="31" t="n">
        <v>195.21</v>
      </c>
      <c r="H84" s="31" t="n">
        <v>4.06</v>
      </c>
      <c r="I84" s="31" t="n">
        <v>364564</v>
      </c>
      <c r="J84" s="31" t="inlineStr">
        <is>
          <t>544055</t>
        </is>
      </c>
    </row>
    <row r="85">
      <c r="A85" s="31" t="inlineStr">
        <is>
          <t>UJJIVANSFB</t>
        </is>
      </c>
      <c r="B85" s="31" t="inlineStr">
        <is>
          <t>Ujjivan Small Finance Bank Ltd</t>
        </is>
      </c>
      <c r="C85" s="31" t="inlineStr">
        <is>
          <t>bank</t>
        </is>
      </c>
      <c r="D85" s="31" t="inlineStr">
        <is>
          <t>banks - private sector</t>
        </is>
      </c>
      <c r="E85" s="31" t="inlineStr">
        <is>
          <t>midcap</t>
        </is>
      </c>
      <c r="F85" s="31" t="n">
        <v>10638.3</v>
      </c>
      <c r="G85" s="31" t="n">
        <v>56.95</v>
      </c>
      <c r="H85" s="31" t="n">
        <v>4</v>
      </c>
      <c r="I85" s="31" t="n">
        <v>11313700</v>
      </c>
      <c r="J85" s="31" t="inlineStr">
        <is>
          <t>542904</t>
        </is>
      </c>
    </row>
    <row r="86">
      <c r="A86" s="31" t="inlineStr">
        <is>
          <t>PASUPTAC</t>
        </is>
      </c>
      <c r="B86" s="31" t="inlineStr">
        <is>
          <t>Pasupati Acrylon Ltd</t>
        </is>
      </c>
      <c r="C86" s="31" t="inlineStr">
        <is>
          <t>textiles</t>
        </is>
      </c>
      <c r="D86" s="31" t="inlineStr">
        <is>
          <t>textiles - manmade</t>
        </is>
      </c>
      <c r="E86" s="31" t="inlineStr">
        <is>
          <t>smallcap</t>
        </is>
      </c>
      <c r="F86" s="31" t="n">
        <v>590.42</v>
      </c>
      <c r="G86" s="31" t="n">
        <v>68.88</v>
      </c>
      <c r="H86" s="31" t="n">
        <v>3.99</v>
      </c>
      <c r="I86" s="31" t="n">
        <v>144309</v>
      </c>
      <c r="J86" s="31" t="inlineStr">
        <is>
          <t>500456</t>
        </is>
      </c>
    </row>
    <row r="87">
      <c r="A87" s="31" t="inlineStr">
        <is>
          <t>MINDACORP</t>
        </is>
      </c>
      <c r="B87" s="31" t="inlineStr">
        <is>
          <t>Minda Corporation Limited</t>
        </is>
      </c>
      <c r="C87" s="31" t="inlineStr">
        <is>
          <t>auto</t>
        </is>
      </c>
      <c r="D87" s="31" t="inlineStr">
        <is>
          <t>auto ancillaries</t>
        </is>
      </c>
      <c r="E87" s="31" t="inlineStr">
        <is>
          <t>midcap</t>
        </is>
      </c>
      <c r="F87" s="31" t="n">
        <v>15234.14</v>
      </c>
      <c r="G87" s="31" t="n">
        <v>662.55</v>
      </c>
      <c r="H87" s="31" t="n">
        <v>3.98</v>
      </c>
      <c r="I87" s="31" t="n">
        <v>1844349</v>
      </c>
      <c r="J87" s="31" t="inlineStr">
        <is>
          <t>538962</t>
        </is>
      </c>
    </row>
    <row r="88">
      <c r="A88" s="31" t="inlineStr">
        <is>
          <t>NIBE</t>
        </is>
      </c>
      <c r="B88" s="31" t="inlineStr">
        <is>
          <t>NIBE Ltd</t>
        </is>
      </c>
      <c r="C88" s="31" t="inlineStr">
        <is>
          <t>aerospace &amp; defence</t>
        </is>
      </c>
      <c r="D88" s="31" t="inlineStr">
        <is>
          <t>engineering</t>
        </is>
      </c>
      <c r="E88" s="31" t="inlineStr">
        <is>
          <t>smallcap</t>
        </is>
      </c>
      <c r="F88" s="31" t="n">
        <v>2358.63</v>
      </c>
      <c r="G88" s="31" t="n">
        <v>1641.3</v>
      </c>
      <c r="H88" s="31" t="n">
        <v>3.97</v>
      </c>
      <c r="I88" s="31" t="n">
        <v>383334</v>
      </c>
      <c r="J88" s="31" t="inlineStr">
        <is>
          <t>535136</t>
        </is>
      </c>
    </row>
    <row r="89">
      <c r="A89" s="31" t="inlineStr">
        <is>
          <t>IRISDOREME</t>
        </is>
      </c>
      <c r="B89" s="31" t="inlineStr">
        <is>
          <t>Iris Clothings Ltd</t>
        </is>
      </c>
      <c r="C89" s="31" t="inlineStr">
        <is>
          <t>consumer discretionary</t>
        </is>
      </c>
      <c r="D89" s="31" t="inlineStr">
        <is>
          <t>textiles - products</t>
        </is>
      </c>
      <c r="E89" s="31" t="inlineStr">
        <is>
          <t>smallcap</t>
        </is>
      </c>
      <c r="F89" s="31" t="n">
        <v>696.23</v>
      </c>
      <c r="G89" s="31" t="n">
        <v>38.02</v>
      </c>
      <c r="H89" s="31" t="n">
        <v>3.94</v>
      </c>
      <c r="I89" s="31" t="n">
        <v>544589</v>
      </c>
      <c r="J89" s="31" t="inlineStr">
        <is>
          <t>535123</t>
        </is>
      </c>
    </row>
    <row r="90">
      <c r="A90" s="31" t="inlineStr">
        <is>
          <t>RAINBOW</t>
        </is>
      </c>
      <c r="B90" s="31" t="inlineStr">
        <is>
          <t>Rainbow Childrens Medicare Ltd</t>
        </is>
      </c>
      <c r="C90" s="31" t="inlineStr">
        <is>
          <t>healthcare</t>
        </is>
      </c>
      <c r="D90" s="31" t="inlineStr">
        <is>
          <t>healthcare</t>
        </is>
      </c>
      <c r="E90" s="31" t="inlineStr">
        <is>
          <t>midcap</t>
        </is>
      </c>
      <c r="F90" s="31" t="n">
        <v>13862.82</v>
      </c>
      <c r="G90" s="31" t="n">
        <v>1418.6</v>
      </c>
      <c r="H90" s="31" t="n">
        <v>3.93</v>
      </c>
      <c r="I90" s="31" t="n">
        <v>332699</v>
      </c>
      <c r="J90" s="31" t="inlineStr">
        <is>
          <t>543524</t>
        </is>
      </c>
    </row>
    <row r="91">
      <c r="A91" s="31" t="inlineStr">
        <is>
          <t>PGIL</t>
        </is>
      </c>
      <c r="B91" s="31" t="inlineStr">
        <is>
          <t>Pearl Global Industries Limited</t>
        </is>
      </c>
      <c r="C91" s="31" t="inlineStr">
        <is>
          <t>consumer discretionary</t>
        </is>
      </c>
      <c r="D91" s="31" t="inlineStr">
        <is>
          <t>textiles - products</t>
        </is>
      </c>
      <c r="E91" s="31" t="inlineStr">
        <is>
          <t>midcap</t>
        </is>
      </c>
      <c r="F91" s="31" t="n">
        <v>7525.95</v>
      </c>
      <c r="G91" s="31" t="n">
        <v>1694.9</v>
      </c>
      <c r="H91" s="31" t="n">
        <v>3.92</v>
      </c>
      <c r="I91" s="31" t="n">
        <v>136258</v>
      </c>
      <c r="J91" s="31" t="inlineStr">
        <is>
          <t>532808</t>
        </is>
      </c>
    </row>
    <row r="92">
      <c r="A92" s="31" t="inlineStr">
        <is>
          <t>BHARATFORG</t>
        </is>
      </c>
      <c r="B92" s="31" t="inlineStr">
        <is>
          <t>Bharat Forge Limited</t>
        </is>
      </c>
      <c r="C92" s="31" t="inlineStr">
        <is>
          <t>industrials</t>
        </is>
      </c>
      <c r="D92" s="31" t="inlineStr">
        <is>
          <t>castings &amp; forgings</t>
        </is>
      </c>
      <c r="E92" s="31" t="inlineStr">
        <is>
          <t>largecap</t>
        </is>
      </c>
      <c r="F92" s="31" t="n">
        <v>92993.02</v>
      </c>
      <c r="G92" s="31" t="n">
        <v>2020.5</v>
      </c>
      <c r="H92" s="31" t="n">
        <v>3.88</v>
      </c>
      <c r="I92" s="31" t="n">
        <v>1665028</v>
      </c>
      <c r="J92" s="31" t="inlineStr">
        <is>
          <t>500493</t>
        </is>
      </c>
    </row>
    <row r="93">
      <c r="A93" s="31" t="inlineStr">
        <is>
          <t>EQUITASBNK</t>
        </is>
      </c>
      <c r="B93" s="31" t="inlineStr">
        <is>
          <t>Equitas Small Finance Bank Ltd</t>
        </is>
      </c>
      <c r="C93" s="31" t="inlineStr">
        <is>
          <t>bank</t>
        </is>
      </c>
      <c r="D93" s="31" t="inlineStr">
        <is>
          <t>banks - private sector</t>
        </is>
      </c>
      <c r="E93" s="31" t="inlineStr">
        <is>
          <t>midcap</t>
        </is>
      </c>
      <c r="F93" s="31" t="n">
        <v>8619.440000000001</v>
      </c>
      <c r="G93" s="31" t="n">
        <v>78.45999999999999</v>
      </c>
      <c r="H93" s="31" t="n">
        <v>3.87</v>
      </c>
      <c r="I93" s="31" t="n">
        <v>8069568</v>
      </c>
      <c r="J93" s="31" t="inlineStr">
        <is>
          <t>543243</t>
        </is>
      </c>
    </row>
    <row r="94">
      <c r="A94" s="31" t="inlineStr">
        <is>
          <t>ANGELONE</t>
        </is>
      </c>
      <c r="B94" s="31" t="inlineStr">
        <is>
          <t>Angel One Ltd</t>
        </is>
      </c>
      <c r="C94" s="31" t="inlineStr">
        <is>
          <t>financials</t>
        </is>
      </c>
      <c r="D94" s="31" t="inlineStr">
        <is>
          <t>finance &amp; investments</t>
        </is>
      </c>
      <c r="E94" s="31" t="inlineStr">
        <is>
          <t>largecap</t>
        </is>
      </c>
      <c r="F94" s="31" t="n">
        <v>30923.67</v>
      </c>
      <c r="G94" s="31" t="n">
        <v>352.3</v>
      </c>
      <c r="H94" s="31" t="n">
        <v>3.77</v>
      </c>
      <c r="I94" s="31" t="n">
        <v>14953832</v>
      </c>
      <c r="J94" s="31" t="n"/>
    </row>
    <row r="95">
      <c r="A95" s="31" t="inlineStr">
        <is>
          <t>TIRUPATIFL</t>
        </is>
      </c>
      <c r="B95" s="31" t="inlineStr">
        <is>
          <t>Tirupati Forge Ltd</t>
        </is>
      </c>
      <c r="C95" s="31" t="inlineStr">
        <is>
          <t>industrials</t>
        </is>
      </c>
      <c r="D95" s="31" t="inlineStr">
        <is>
          <t>castings &amp; forgings</t>
        </is>
      </c>
      <c r="E95" s="31" t="inlineStr">
        <is>
          <t>smallcap</t>
        </is>
      </c>
      <c r="F95" s="31" t="n">
        <v>582.91</v>
      </c>
      <c r="G95" s="31" t="n">
        <v>46.78</v>
      </c>
      <c r="H95" s="31" t="n">
        <v>3.68</v>
      </c>
      <c r="I95" s="31" t="n">
        <v>327346</v>
      </c>
      <c r="J95" s="31" t="inlineStr">
        <is>
          <t>535021</t>
        </is>
      </c>
    </row>
    <row r="96">
      <c r="A96" s="31" t="inlineStr">
        <is>
          <t>RPGLIFE</t>
        </is>
      </c>
      <c r="B96" s="31" t="inlineStr">
        <is>
          <t>Rpg Life Sciences Limited</t>
        </is>
      </c>
      <c r="C96" s="31" t="inlineStr">
        <is>
          <t>healthcare</t>
        </is>
      </c>
      <c r="D96" s="31" t="inlineStr">
        <is>
          <t>pharmaceuticals - indian - bulk drugs &amp; formln</t>
        </is>
      </c>
      <c r="E96" s="31" t="inlineStr">
        <is>
          <t>smallcap</t>
        </is>
      </c>
      <c r="F96" s="31" t="n">
        <v>3666.2</v>
      </c>
      <c r="G96" s="31" t="n">
        <v>2297.7</v>
      </c>
      <c r="H96" s="31" t="n">
        <v>3.65</v>
      </c>
      <c r="I96" s="31" t="n">
        <v>17951</v>
      </c>
      <c r="J96" s="31" t="inlineStr">
        <is>
          <t>532983</t>
        </is>
      </c>
    </row>
    <row r="97">
      <c r="A97" s="31" t="inlineStr">
        <is>
          <t>SAMMAANCAP</t>
        </is>
      </c>
      <c r="B97" s="31" t="inlineStr">
        <is>
          <t>Sammaan Capital Ltd</t>
        </is>
      </c>
      <c r="C97" s="31" t="inlineStr">
        <is>
          <t>financials</t>
        </is>
      </c>
      <c r="D97" s="31" t="inlineStr">
        <is>
          <t>finance - housing</t>
        </is>
      </c>
      <c r="E97" s="31" t="inlineStr">
        <is>
          <t>largecap</t>
        </is>
      </c>
      <c r="F97" s="31" t="n">
        <v>20262.09</v>
      </c>
      <c r="G97" s="31" t="n">
        <v>180.75</v>
      </c>
      <c r="H97" s="31" t="n">
        <v>3.63</v>
      </c>
      <c r="I97" s="31" t="n">
        <v>12331468</v>
      </c>
      <c r="J97" s="31" t="inlineStr">
        <is>
          <t>535789</t>
        </is>
      </c>
    </row>
    <row r="98">
      <c r="A98" s="31" t="inlineStr">
        <is>
          <t>UFBL</t>
        </is>
      </c>
      <c r="B98" s="31" t="inlineStr">
        <is>
          <t>United Foodbrands Ltd</t>
        </is>
      </c>
      <c r="C98" s="31" t="inlineStr">
        <is>
          <t>consumer discretionary</t>
        </is>
      </c>
      <c r="D98" s="31" t="inlineStr">
        <is>
          <t>hotels</t>
        </is>
      </c>
      <c r="E98" s="31" t="inlineStr">
        <is>
          <t>smallcap</t>
        </is>
      </c>
      <c r="F98" s="31" t="n">
        <v>2320.17</v>
      </c>
      <c r="G98" s="31" t="n">
        <v>614.95</v>
      </c>
      <c r="H98" s="31" t="n">
        <v>3.6</v>
      </c>
      <c r="I98" s="31" t="n">
        <v>269958</v>
      </c>
      <c r="J98" s="31" t="inlineStr">
        <is>
          <t>543283</t>
        </is>
      </c>
    </row>
    <row r="99">
      <c r="A99" s="31" t="inlineStr">
        <is>
          <t>VBL</t>
        </is>
      </c>
      <c r="B99" s="31" t="inlineStr">
        <is>
          <t>Varun Beverages Limited</t>
        </is>
      </c>
      <c r="C99" s="31" t="inlineStr">
        <is>
          <t>fmcg</t>
        </is>
      </c>
      <c r="D99" s="31" t="inlineStr">
        <is>
          <t>food - processing - indian</t>
        </is>
      </c>
      <c r="E99" s="31" t="inlineStr">
        <is>
          <t>largecap</t>
        </is>
      </c>
      <c r="F99" s="31" t="n">
        <v>176612.97</v>
      </c>
      <c r="G99" s="31" t="n">
        <v>541</v>
      </c>
      <c r="H99" s="31" t="n">
        <v>3.6</v>
      </c>
      <c r="I99" s="31" t="n">
        <v>7594901</v>
      </c>
      <c r="J99" s="31" t="inlineStr">
        <is>
          <t>540180</t>
        </is>
      </c>
    </row>
    <row r="100">
      <c r="A100" s="31" t="inlineStr">
        <is>
          <t>AVTNPL</t>
        </is>
      </c>
      <c r="B100" s="31" t="inlineStr">
        <is>
          <t>Avt Natural Products Limited</t>
        </is>
      </c>
      <c r="C100" s="31" t="inlineStr">
        <is>
          <t>fmcg</t>
        </is>
      </c>
      <c r="D100" s="31" t="inlineStr">
        <is>
          <t>solvent extraction</t>
        </is>
      </c>
      <c r="E100" s="31" t="inlineStr">
        <is>
          <t>smallcap</t>
        </is>
      </c>
      <c r="F100" s="31" t="n">
        <v>1066.14</v>
      </c>
      <c r="G100" s="31" t="n">
        <v>72.5</v>
      </c>
      <c r="H100" s="31" t="n">
        <v>3.56</v>
      </c>
      <c r="I100" s="31" t="n">
        <v>180428</v>
      </c>
      <c r="J100" s="31" t="inlineStr">
        <is>
          <t>519105</t>
        </is>
      </c>
    </row>
    <row r="101">
      <c r="A101" s="31" t="inlineStr">
        <is>
          <t>GRAVITA</t>
        </is>
      </c>
      <c r="B101" s="31" t="inlineStr">
        <is>
          <t>Gravita India Limited</t>
        </is>
      </c>
      <c r="C101" s="31" t="inlineStr">
        <is>
          <t>metals &amp; mining</t>
        </is>
      </c>
      <c r="D101" s="31" t="inlineStr">
        <is>
          <t>mining / minerals / metals</t>
        </is>
      </c>
      <c r="E101" s="31" t="inlineStr">
        <is>
          <t>midcap</t>
        </is>
      </c>
      <c r="F101" s="31" t="n">
        <v>11830.76</v>
      </c>
      <c r="G101" s="31" t="n">
        <v>1659.5</v>
      </c>
      <c r="H101" s="31" t="n">
        <v>3.53</v>
      </c>
      <c r="I101" s="31" t="n">
        <v>133971</v>
      </c>
      <c r="J101" s="31" t="inlineStr">
        <is>
          <t>533282</t>
        </is>
      </c>
    </row>
    <row r="102">
      <c r="A102" s="31" t="inlineStr">
        <is>
          <t>OAL</t>
        </is>
      </c>
      <c r="B102" s="31" t="inlineStr">
        <is>
          <t>Oriental Aromatics Ltd</t>
        </is>
      </c>
      <c r="C102" s="31" t="inlineStr">
        <is>
          <t>chemicals</t>
        </is>
      </c>
      <c r="D102" s="31" t="inlineStr">
        <is>
          <t>chemicals</t>
        </is>
      </c>
      <c r="E102" s="31" t="inlineStr">
        <is>
          <t>smallcap</t>
        </is>
      </c>
      <c r="F102" s="31" t="n">
        <v>1100.47</v>
      </c>
      <c r="G102" s="31" t="n">
        <v>338.55</v>
      </c>
      <c r="H102" s="31" t="n">
        <v>3.53</v>
      </c>
      <c r="I102" s="31" t="n">
        <v>25594</v>
      </c>
      <c r="J102" s="31" t="inlineStr">
        <is>
          <t>500078</t>
        </is>
      </c>
    </row>
    <row r="103">
      <c r="A103" s="31" t="inlineStr">
        <is>
          <t>SENCO</t>
        </is>
      </c>
      <c r="B103" s="31" t="inlineStr">
        <is>
          <t>Senco Gold Ltd</t>
        </is>
      </c>
      <c r="C103" s="31" t="inlineStr">
        <is>
          <t>consumer discretionary</t>
        </is>
      </c>
      <c r="D103" s="31" t="inlineStr">
        <is>
          <t>diamond cutting / jewellery</t>
        </is>
      </c>
      <c r="E103" s="31" t="inlineStr">
        <is>
          <t>midcap</t>
        </is>
      </c>
      <c r="F103" s="31" t="n">
        <v>5542.4</v>
      </c>
      <c r="G103" s="31" t="n">
        <v>350.2</v>
      </c>
      <c r="H103" s="31" t="n">
        <v>3.5</v>
      </c>
      <c r="I103" s="31" t="n">
        <v>1130498</v>
      </c>
      <c r="J103" s="31" t="inlineStr">
        <is>
          <t>543936</t>
        </is>
      </c>
    </row>
    <row r="104">
      <c r="A104" s="31" t="inlineStr">
        <is>
          <t>ACMESOLAR</t>
        </is>
      </c>
      <c r="B104" s="31" t="inlineStr">
        <is>
          <t>ACME Solar Holdings Ltd</t>
        </is>
      </c>
      <c r="C104" s="31" t="inlineStr">
        <is>
          <t>realty</t>
        </is>
      </c>
      <c r="D104" s="31" t="inlineStr">
        <is>
          <t>engineering - turnkey services</t>
        </is>
      </c>
      <c r="E104" s="31" t="inlineStr">
        <is>
          <t>largecap</t>
        </is>
      </c>
      <c r="F104" s="31" t="n">
        <v>20345.5</v>
      </c>
      <c r="G104" s="31" t="n">
        <v>347.25</v>
      </c>
      <c r="H104" s="31" t="n">
        <v>3.43</v>
      </c>
      <c r="I104" s="31" t="n">
        <v>2101286</v>
      </c>
      <c r="J104" s="31" t="inlineStr">
        <is>
          <t>544283</t>
        </is>
      </c>
    </row>
    <row r="105">
      <c r="A105" s="31" t="inlineStr">
        <is>
          <t>FIEMIND</t>
        </is>
      </c>
      <c r="B105" s="31" t="inlineStr">
        <is>
          <t>Fiem Industries Limited</t>
        </is>
      </c>
      <c r="C105" s="31" t="inlineStr">
        <is>
          <t>auto</t>
        </is>
      </c>
      <c r="D105" s="31" t="inlineStr">
        <is>
          <t>auto ancillaries</t>
        </is>
      </c>
      <c r="E105" s="31" t="inlineStr">
        <is>
          <t>midcap</t>
        </is>
      </c>
      <c r="F105" s="31" t="n">
        <v>6076.42</v>
      </c>
      <c r="G105" s="31" t="n">
        <v>2386.8</v>
      </c>
      <c r="H105" s="31" t="n">
        <v>3.38</v>
      </c>
      <c r="I105" s="31" t="n">
        <v>144754</v>
      </c>
      <c r="J105" s="31" t="inlineStr">
        <is>
          <t>532768</t>
        </is>
      </c>
    </row>
    <row r="106">
      <c r="A106" s="31" t="inlineStr">
        <is>
          <t>YESBANK</t>
        </is>
      </c>
      <c r="B106" s="31" t="inlineStr">
        <is>
          <t>Yes Bank Limited</t>
        </is>
      </c>
      <c r="C106" s="31" t="inlineStr">
        <is>
          <t>bank</t>
        </is>
      </c>
      <c r="D106" s="31" t="inlineStr">
        <is>
          <t>banks - private sector</t>
        </is>
      </c>
      <c r="E106" s="31" t="inlineStr">
        <is>
          <t>largecap</t>
        </is>
      </c>
      <c r="F106" s="31" t="n">
        <v>72233.17999999999</v>
      </c>
      <c r="G106" s="31" t="n">
        <v>23.78</v>
      </c>
      <c r="H106" s="31" t="n">
        <v>3.3</v>
      </c>
      <c r="I106" s="31" t="n">
        <v>161580507</v>
      </c>
      <c r="J106" s="31" t="inlineStr">
        <is>
          <t>532648</t>
        </is>
      </c>
    </row>
    <row r="107">
      <c r="A107" s="31" t="inlineStr">
        <is>
          <t>MOTHERSON</t>
        </is>
      </c>
      <c r="B107" s="31" t="inlineStr">
        <is>
          <t>Samvardhana Motherson International Ltd</t>
        </is>
      </c>
      <c r="C107" s="31" t="inlineStr">
        <is>
          <t>auto</t>
        </is>
      </c>
      <c r="D107" s="31" t="inlineStr">
        <is>
          <t>auto ancillaries</t>
        </is>
      </c>
      <c r="E107" s="31" t="inlineStr">
        <is>
          <t>largecap</t>
        </is>
      </c>
      <c r="F107" s="31" t="n">
        <v>151350.71</v>
      </c>
      <c r="G107" s="31" t="n">
        <v>148.12</v>
      </c>
      <c r="H107" s="31" t="n">
        <v>3.29</v>
      </c>
      <c r="I107" s="31" t="n">
        <v>21819103</v>
      </c>
      <c r="J107" s="31" t="inlineStr">
        <is>
          <t>517334</t>
        </is>
      </c>
    </row>
    <row r="108">
      <c r="A108" s="31" t="inlineStr">
        <is>
          <t>JINDALSAW</t>
        </is>
      </c>
      <c r="B108" s="31" t="inlineStr">
        <is>
          <t>Jindal Saw Limited</t>
        </is>
      </c>
      <c r="C108" s="31" t="inlineStr">
        <is>
          <t>industrials</t>
        </is>
      </c>
      <c r="D108" s="31" t="inlineStr">
        <is>
          <t>steel - large</t>
        </is>
      </c>
      <c r="E108" s="31" t="inlineStr">
        <is>
          <t>midcap</t>
        </is>
      </c>
      <c r="F108" s="31" t="n">
        <v>15252.27</v>
      </c>
      <c r="G108" s="31" t="n">
        <v>246.31</v>
      </c>
      <c r="H108" s="31" t="n">
        <v>3.27</v>
      </c>
      <c r="I108" s="31" t="n">
        <v>2767217</v>
      </c>
      <c r="J108" s="31" t="inlineStr">
        <is>
          <t>500378</t>
        </is>
      </c>
    </row>
    <row r="109">
      <c r="A109" s="31" t="inlineStr">
        <is>
          <t>WSTCSTPAPR</t>
        </is>
      </c>
      <c r="B109" s="31" t="inlineStr">
        <is>
          <t>West Coast Paper Mills Limited</t>
        </is>
      </c>
      <c r="C109" s="31" t="inlineStr">
        <is>
          <t>building materials</t>
        </is>
      </c>
      <c r="D109" s="31" t="inlineStr">
        <is>
          <t>paper</t>
        </is>
      </c>
      <c r="E109" s="31" t="inlineStr">
        <is>
          <t>smallcap</t>
        </is>
      </c>
      <c r="F109" s="31" t="n">
        <v>3265.13</v>
      </c>
      <c r="G109" s="31" t="n">
        <v>510.45</v>
      </c>
      <c r="H109" s="31" t="n">
        <v>3.26</v>
      </c>
      <c r="I109" s="31" t="n">
        <v>293881</v>
      </c>
      <c r="J109" s="31" t="inlineStr">
        <is>
          <t>500444</t>
        </is>
      </c>
    </row>
    <row r="110">
      <c r="A110" s="31" t="inlineStr">
        <is>
          <t>PRUDENT</t>
        </is>
      </c>
      <c r="B110" s="31" t="inlineStr">
        <is>
          <t>Prudent Corporate Advisory Services Ltd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midcap</t>
        </is>
      </c>
      <c r="F110" s="31" t="n">
        <v>12045.62</v>
      </c>
      <c r="G110" s="31" t="n">
        <v>3003.7</v>
      </c>
      <c r="H110" s="31" t="n">
        <v>3.25</v>
      </c>
      <c r="I110" s="31" t="n">
        <v>43154</v>
      </c>
      <c r="J110" s="31" t="inlineStr">
        <is>
          <t>543527</t>
        </is>
      </c>
    </row>
    <row r="111">
      <c r="A111" s="31" t="inlineStr">
        <is>
          <t>WABAG</t>
        </is>
      </c>
      <c r="B111" s="31" t="inlineStr">
        <is>
          <t>Va Tech Wabag Limited</t>
        </is>
      </c>
      <c r="C111" s="31" t="inlineStr">
        <is>
          <t>realty</t>
        </is>
      </c>
      <c r="D111" s="31" t="inlineStr">
        <is>
          <t>engineering - turnkey services</t>
        </is>
      </c>
      <c r="E111" s="31" t="inlineStr">
        <is>
          <t>midcap</t>
        </is>
      </c>
      <c r="F111" s="31" t="n">
        <v>9831.209999999999</v>
      </c>
      <c r="G111" s="31" t="n">
        <v>1629.1</v>
      </c>
      <c r="H111" s="31" t="n">
        <v>3.25</v>
      </c>
      <c r="I111" s="31" t="n">
        <v>659667</v>
      </c>
      <c r="J111" s="31" t="inlineStr">
        <is>
          <t>533269</t>
        </is>
      </c>
    </row>
    <row r="112">
      <c r="A112" s="31" t="inlineStr">
        <is>
          <t>AADHARHFC</t>
        </is>
      </c>
      <c r="B112" s="31" t="inlineStr">
        <is>
          <t>Aadhar Housing Finance Ltd</t>
        </is>
      </c>
      <c r="C112" s="31" t="inlineStr">
        <is>
          <t>financials</t>
        </is>
      </c>
      <c r="D112" s="31" t="inlineStr">
        <is>
          <t>finance - housing</t>
        </is>
      </c>
      <c r="E112" s="31" t="inlineStr">
        <is>
          <t>largecap</t>
        </is>
      </c>
      <c r="F112" s="31" t="n">
        <v>20637.11</v>
      </c>
      <c r="G112" s="31" t="n">
        <v>488.95</v>
      </c>
      <c r="H112" s="31" t="n">
        <v>3.23</v>
      </c>
      <c r="I112" s="31" t="n">
        <v>664826</v>
      </c>
      <c r="J112" s="31" t="inlineStr">
        <is>
          <t>544176</t>
        </is>
      </c>
    </row>
    <row r="113">
      <c r="A113" s="31" t="inlineStr">
        <is>
          <t>TRIVENI</t>
        </is>
      </c>
      <c r="B113" s="31" t="inlineStr">
        <is>
          <t>Triveni Engineering &amp; Industries Limited</t>
        </is>
      </c>
      <c r="C113" s="31" t="inlineStr">
        <is>
          <t>fmcg</t>
        </is>
      </c>
      <c r="D113" s="31" t="inlineStr">
        <is>
          <t>sugar</t>
        </is>
      </c>
      <c r="E113" s="31" t="inlineStr">
        <is>
          <t>midcap</t>
        </is>
      </c>
      <c r="F113" s="31" t="n">
        <v>8448.370000000001</v>
      </c>
      <c r="G113" s="31" t="n">
        <v>398.35</v>
      </c>
      <c r="H113" s="31" t="n">
        <v>3.21</v>
      </c>
      <c r="I113" s="31" t="n">
        <v>768098</v>
      </c>
      <c r="J113" s="31" t="inlineStr">
        <is>
          <t>532356</t>
        </is>
      </c>
    </row>
    <row r="114">
      <c r="A114" s="31" t="inlineStr">
        <is>
          <t>AIAENG</t>
        </is>
      </c>
      <c r="B114" s="31" t="inlineStr">
        <is>
          <t>Aia Engineering Limited</t>
        </is>
      </c>
      <c r="C114" s="31" t="inlineStr">
        <is>
          <t>industrials</t>
        </is>
      </c>
      <c r="D114" s="31" t="inlineStr">
        <is>
          <t>castings &amp; forgings</t>
        </is>
      </c>
      <c r="E114" s="31" t="inlineStr">
        <is>
          <t>largecap</t>
        </is>
      </c>
      <c r="F114" s="31" t="n">
        <v>40442.25</v>
      </c>
      <c r="G114" s="31" t="n">
        <v>4469.2</v>
      </c>
      <c r="H114" s="31" t="n">
        <v>3.13</v>
      </c>
      <c r="I114" s="31" t="n">
        <v>58196</v>
      </c>
      <c r="J114" s="31" t="inlineStr">
        <is>
          <t>532683</t>
        </is>
      </c>
    </row>
    <row r="115">
      <c r="A115" s="31" t="inlineStr">
        <is>
          <t>CIEINDIA</t>
        </is>
      </c>
      <c r="B115" s="31" t="inlineStr">
        <is>
          <t>CIE Automotive India Ltd</t>
        </is>
      </c>
      <c r="C115" s="31" t="inlineStr">
        <is>
          <t>industrials</t>
        </is>
      </c>
      <c r="D115" s="31" t="inlineStr">
        <is>
          <t>castings &amp; forgings</t>
        </is>
      </c>
      <c r="E115" s="31" t="inlineStr">
        <is>
          <t>midcap</t>
        </is>
      </c>
      <c r="F115" s="31" t="n">
        <v>17097.86</v>
      </c>
      <c r="G115" s="31" t="n">
        <v>464.8</v>
      </c>
      <c r="H115" s="31" t="n">
        <v>3.13</v>
      </c>
      <c r="I115" s="31" t="n">
        <v>425873</v>
      </c>
      <c r="J115" s="31" t="inlineStr">
        <is>
          <t>532756</t>
        </is>
      </c>
    </row>
    <row r="116">
      <c r="A116" s="31" t="inlineStr">
        <is>
          <t>MMTC</t>
        </is>
      </c>
      <c r="B116" s="31" t="inlineStr">
        <is>
          <t>Mmtc Limited</t>
        </is>
      </c>
      <c r="C116" s="31" t="inlineStr">
        <is>
          <t>services</t>
        </is>
      </c>
      <c r="D116" s="31" t="inlineStr">
        <is>
          <t>trading</t>
        </is>
      </c>
      <c r="E116" s="31" t="inlineStr">
        <is>
          <t>midcap</t>
        </is>
      </c>
      <c r="F116" s="31" t="n">
        <v>10209</v>
      </c>
      <c r="G116" s="31" t="n">
        <v>70.19</v>
      </c>
      <c r="H116" s="31" t="n">
        <v>3.13</v>
      </c>
      <c r="I116" s="31" t="n">
        <v>27495624</v>
      </c>
      <c r="J116" s="31" t="inlineStr">
        <is>
          <t>513377</t>
        </is>
      </c>
    </row>
    <row r="117">
      <c r="A117" s="31" t="inlineStr">
        <is>
          <t>360ONE</t>
        </is>
      </c>
      <c r="B117" s="31" t="inlineStr">
        <is>
          <t>360 ONE WAM Ltd</t>
        </is>
      </c>
      <c r="C117" s="31" t="inlineStr">
        <is>
          <t>financials</t>
        </is>
      </c>
      <c r="D117" s="31" t="inlineStr">
        <is>
          <t>finance &amp; investments</t>
        </is>
      </c>
      <c r="E117" s="31" t="inlineStr">
        <is>
          <t>largecap</t>
        </is>
      </c>
      <c r="F117" s="31" t="n">
        <v>44545.26</v>
      </c>
      <c r="G117" s="31" t="n">
        <v>1130.8</v>
      </c>
      <c r="H117" s="31" t="n">
        <v>3.1</v>
      </c>
      <c r="I117" s="31" t="n">
        <v>2132710</v>
      </c>
      <c r="J117" s="31" t="inlineStr">
        <is>
          <t>542772</t>
        </is>
      </c>
    </row>
    <row r="118">
      <c r="A118" s="31" t="inlineStr">
        <is>
          <t>VSSL</t>
        </is>
      </c>
      <c r="B118" s="31" t="inlineStr">
        <is>
          <t>Vardhman Special Steels Limited</t>
        </is>
      </c>
      <c r="C118" s="31" t="inlineStr">
        <is>
          <t>metals &amp; mining</t>
        </is>
      </c>
      <c r="D118" s="31" t="inlineStr">
        <is>
          <t>steel - medium / small</t>
        </is>
      </c>
      <c r="E118" s="31" t="inlineStr">
        <is>
          <t>smallcap</t>
        </is>
      </c>
      <c r="F118" s="31" t="n">
        <v>2669.98</v>
      </c>
      <c r="G118" s="31" t="n">
        <v>284.65</v>
      </c>
      <c r="H118" s="31" t="n">
        <v>3.08</v>
      </c>
      <c r="I118" s="31" t="n">
        <v>109687</v>
      </c>
      <c r="J118" s="31" t="inlineStr">
        <is>
          <t>534392</t>
        </is>
      </c>
    </row>
    <row r="119">
      <c r="A119" s="31" t="inlineStr">
        <is>
          <t>GRWRHITECH</t>
        </is>
      </c>
      <c r="B119" s="31" t="inlineStr">
        <is>
          <t>Garware Hi Tech Films Ltd</t>
        </is>
      </c>
      <c r="C119" s="31" t="inlineStr">
        <is>
          <t>industrials</t>
        </is>
      </c>
      <c r="D119" s="31" t="inlineStr">
        <is>
          <t>packaging</t>
        </is>
      </c>
      <c r="E119" s="31" t="inlineStr">
        <is>
          <t>midcap</t>
        </is>
      </c>
      <c r="F119" s="31" t="n">
        <v>14244.94</v>
      </c>
      <c r="G119" s="31" t="n">
        <v>6320.5</v>
      </c>
      <c r="H119" s="31" t="n">
        <v>3.08</v>
      </c>
      <c r="I119" s="31" t="n">
        <v>65564</v>
      </c>
      <c r="J119" s="31" t="inlineStr">
        <is>
          <t>500655</t>
        </is>
      </c>
    </row>
    <row r="120">
      <c r="A120" s="31" t="inlineStr">
        <is>
          <t>BANDHANBNK</t>
        </is>
      </c>
      <c r="B120" s="31" t="inlineStr">
        <is>
          <t>Bandhan Bank Ltd</t>
        </is>
      </c>
      <c r="C120" s="31" t="inlineStr">
        <is>
          <t>bank</t>
        </is>
      </c>
      <c r="D120" s="31" t="inlineStr">
        <is>
          <t>banks - private sector</t>
        </is>
      </c>
      <c r="E120" s="31" t="inlineStr">
        <is>
          <t>largecap</t>
        </is>
      </c>
      <c r="F120" s="31" t="n">
        <v>32960.49</v>
      </c>
      <c r="G120" s="31" t="n">
        <v>210.88</v>
      </c>
      <c r="H120" s="31" t="n">
        <v>3.07</v>
      </c>
      <c r="I120" s="31" t="n">
        <v>13330721</v>
      </c>
      <c r="J120" s="31" t="inlineStr">
        <is>
          <t>541153</t>
        </is>
      </c>
    </row>
    <row r="121">
      <c r="A121" s="31" t="inlineStr">
        <is>
          <t>CUPID</t>
        </is>
      </c>
      <c r="B121" s="31" t="inlineStr">
        <is>
          <t>Cupid Limited</t>
        </is>
      </c>
      <c r="C121" s="31" t="inlineStr">
        <is>
          <t>fmcg</t>
        </is>
      </c>
      <c r="D121" s="31" t="inlineStr">
        <is>
          <t>personal care - indian</t>
        </is>
      </c>
      <c r="E121" s="31" t="inlineStr">
        <is>
          <t>largecap</t>
        </is>
      </c>
      <c r="F121" s="31" t="n">
        <v>21510.54</v>
      </c>
      <c r="G121" s="31" t="n">
        <v>164.83</v>
      </c>
      <c r="H121" s="31" t="n">
        <v>3.04</v>
      </c>
      <c r="I121" s="31" t="n">
        <v>18403212</v>
      </c>
      <c r="J121" s="31" t="inlineStr">
        <is>
          <t>530843</t>
        </is>
      </c>
    </row>
    <row r="122">
      <c r="A122" s="31" t="inlineStr">
        <is>
          <t>APOLLO</t>
        </is>
      </c>
      <c r="B122" s="31" t="inlineStr">
        <is>
          <t>Apollo Micro Systems Ltd</t>
        </is>
      </c>
      <c r="C122" s="31" t="inlineStr">
        <is>
          <t>aerospace &amp; defence</t>
        </is>
      </c>
      <c r="D122" s="31" t="inlineStr">
        <is>
          <t>electronics - components</t>
        </is>
      </c>
      <c r="E122" s="31" t="inlineStr">
        <is>
          <t>midcap</t>
        </is>
      </c>
      <c r="F122" s="31" t="n">
        <v>14627.55</v>
      </c>
      <c r="G122" s="31" t="n">
        <v>421.65</v>
      </c>
      <c r="H122" s="31" t="n">
        <v>2.99</v>
      </c>
      <c r="I122" s="31" t="n">
        <v>27989987</v>
      </c>
      <c r="J122" s="31" t="inlineStr">
        <is>
          <t>540879</t>
        </is>
      </c>
    </row>
    <row r="123">
      <c r="A123" s="31" t="inlineStr">
        <is>
          <t>LT</t>
        </is>
      </c>
      <c r="B123" s="31" t="inlineStr">
        <is>
          <t>Larsen &amp; Toubro Limited</t>
        </is>
      </c>
      <c r="C123" s="31" t="inlineStr">
        <is>
          <t>realty</t>
        </is>
      </c>
      <c r="D123" s="31" t="inlineStr">
        <is>
          <t>engineering - turnkey services</t>
        </is>
      </c>
      <c r="E123" s="31" t="inlineStr">
        <is>
          <t>largecap</t>
        </is>
      </c>
      <c r="F123" s="31" t="n">
        <v>557034.74</v>
      </c>
      <c r="G123" s="31" t="n">
        <v>4169.8</v>
      </c>
      <c r="H123" s="31" t="n">
        <v>2.98</v>
      </c>
      <c r="I123" s="31" t="n">
        <v>3978153</v>
      </c>
      <c r="J123" s="31" t="inlineStr">
        <is>
          <t>500510</t>
        </is>
      </c>
    </row>
    <row r="124">
      <c r="A124" s="31" t="inlineStr">
        <is>
          <t>CAPITALSFB</t>
        </is>
      </c>
      <c r="B124" s="31" t="inlineStr">
        <is>
          <t>Capital Small Finance Bank Ltd</t>
        </is>
      </c>
      <c r="C124" s="31" t="inlineStr">
        <is>
          <t>bank</t>
        </is>
      </c>
      <c r="D124" s="31" t="inlineStr">
        <is>
          <t>banks - private sector</t>
        </is>
      </c>
      <c r="E124" s="31" t="inlineStr">
        <is>
          <t>smallcap</t>
        </is>
      </c>
      <c r="F124" s="31" t="n">
        <v>1279.45</v>
      </c>
      <c r="G124" s="31" t="n">
        <v>289.95</v>
      </c>
      <c r="H124" s="31" t="n">
        <v>2.93</v>
      </c>
      <c r="I124" s="31" t="n">
        <v>114980</v>
      </c>
      <c r="J124" s="31" t="n"/>
    </row>
    <row r="125">
      <c r="A125" s="31" t="inlineStr">
        <is>
          <t>GMRAIRPORT</t>
        </is>
      </c>
      <c r="B125" s="31" t="inlineStr">
        <is>
          <t>GMR Airports Ltd</t>
        </is>
      </c>
      <c r="C125" s="31" t="inlineStr">
        <is>
          <t>miscellaneous</t>
        </is>
      </c>
      <c r="D125" s="31" t="inlineStr">
        <is>
          <t>miscellaneous</t>
        </is>
      </c>
      <c r="E125" s="31" t="inlineStr">
        <is>
          <t>largecap</t>
        </is>
      </c>
      <c r="F125" s="31" t="n">
        <v>109443.79</v>
      </c>
      <c r="G125" s="31" t="n">
        <v>106.66</v>
      </c>
      <c r="H125" s="31" t="n">
        <v>2.9</v>
      </c>
      <c r="I125" s="31" t="n">
        <v>23906470</v>
      </c>
      <c r="J125" s="31" t="inlineStr">
        <is>
          <t>532754</t>
        </is>
      </c>
    </row>
    <row r="126">
      <c r="A126" s="31" t="inlineStr">
        <is>
          <t>GAIL</t>
        </is>
      </c>
      <c r="B126" s="31" t="inlineStr">
        <is>
          <t>Gail (india) Limited</t>
        </is>
      </c>
      <c r="C126" s="31" t="inlineStr">
        <is>
          <t>energy</t>
        </is>
      </c>
      <c r="D126" s="31" t="inlineStr">
        <is>
          <t>miscellaneous</t>
        </is>
      </c>
      <c r="E126" s="31" t="inlineStr">
        <is>
          <t>largecap</t>
        </is>
      </c>
      <c r="F126" s="31" t="n">
        <v>112105.45</v>
      </c>
      <c r="G126" s="31" t="n">
        <v>175.41</v>
      </c>
      <c r="H126" s="31" t="n">
        <v>2.88</v>
      </c>
      <c r="I126" s="31" t="n">
        <v>18354141</v>
      </c>
      <c r="J126" s="31" t="inlineStr">
        <is>
          <t>532155</t>
        </is>
      </c>
    </row>
    <row r="127">
      <c r="A127" s="31" t="inlineStr">
        <is>
          <t>ABCAPITAL</t>
        </is>
      </c>
      <c r="B127" s="31" t="inlineStr">
        <is>
          <t>Aditya Birla Capital Ltd</t>
        </is>
      </c>
      <c r="C127" s="31" t="inlineStr">
        <is>
          <t>financials</t>
        </is>
      </c>
      <c r="D127" s="31" t="inlineStr">
        <is>
          <t>finance &amp; investments</t>
        </is>
      </c>
      <c r="E127" s="31" t="inlineStr">
        <is>
          <t>largecap</t>
        </is>
      </c>
      <c r="F127" s="31" t="n">
        <v>93808.09</v>
      </c>
      <c r="G127" s="31" t="n">
        <v>368.2</v>
      </c>
      <c r="H127" s="31" t="n">
        <v>2.82</v>
      </c>
      <c r="I127" s="31" t="n">
        <v>4180867</v>
      </c>
      <c r="J127" s="31" t="inlineStr">
        <is>
          <t>540691</t>
        </is>
      </c>
    </row>
    <row r="128">
      <c r="A128" s="31" t="inlineStr">
        <is>
          <t>INDOTECH</t>
        </is>
      </c>
      <c r="B128" s="31" t="inlineStr">
        <is>
          <t>Indo Tech Transformers Limited</t>
        </is>
      </c>
      <c r="C128" s="31" t="inlineStr">
        <is>
          <t>industrials</t>
        </is>
      </c>
      <c r="D128" s="31" t="inlineStr">
        <is>
          <t>electric equipment</t>
        </is>
      </c>
      <c r="E128" s="31" t="inlineStr">
        <is>
          <t>smallcap</t>
        </is>
      </c>
      <c r="F128" s="31" t="n">
        <v>2765.45</v>
      </c>
      <c r="G128" s="31" t="n">
        <v>2676.5</v>
      </c>
      <c r="H128" s="31" t="n">
        <v>2.78</v>
      </c>
      <c r="I128" s="31" t="n">
        <v>28707</v>
      </c>
      <c r="J128" s="31" t="inlineStr">
        <is>
          <t>532717</t>
        </is>
      </c>
    </row>
    <row r="129">
      <c r="A129" s="31" t="inlineStr">
        <is>
          <t>NAVNETEDUL</t>
        </is>
      </c>
      <c r="B129" s="31" t="inlineStr">
        <is>
          <t>Navneet Education Limited</t>
        </is>
      </c>
      <c r="C129" s="31" t="inlineStr">
        <is>
          <t>miscellaneous</t>
        </is>
      </c>
      <c r="D129" s="31" t="inlineStr">
        <is>
          <t>printing &amp; stationery</t>
        </is>
      </c>
      <c r="E129" s="31" t="inlineStr">
        <is>
          <t>smallcap</t>
        </is>
      </c>
      <c r="F129" s="31" t="n">
        <v>3141.01</v>
      </c>
      <c r="G129" s="31" t="n">
        <v>145.9</v>
      </c>
      <c r="H129" s="31" t="n">
        <v>2.75</v>
      </c>
      <c r="I129" s="31" t="n">
        <v>166493</v>
      </c>
      <c r="J129" s="31" t="inlineStr">
        <is>
          <t>508989</t>
        </is>
      </c>
    </row>
    <row r="130">
      <c r="A130" s="31" t="inlineStr">
        <is>
          <t>CGCL</t>
        </is>
      </c>
      <c r="B130" s="31" t="inlineStr">
        <is>
          <t>Capri Global Capital Limited</t>
        </is>
      </c>
      <c r="C130" s="31" t="inlineStr">
        <is>
          <t>financials</t>
        </is>
      </c>
      <c r="D130" s="31" t="inlineStr">
        <is>
          <t>finance &amp; investments</t>
        </is>
      </c>
      <c r="E130" s="31" t="inlineStr">
        <is>
          <t>largecap</t>
        </is>
      </c>
      <c r="F130" s="31" t="n">
        <v>20058.99</v>
      </c>
      <c r="G130" s="31" t="n">
        <v>214.18</v>
      </c>
      <c r="H130" s="31" t="n">
        <v>2.73</v>
      </c>
      <c r="I130" s="31" t="n">
        <v>5764981</v>
      </c>
      <c r="J130" s="31" t="inlineStr">
        <is>
          <t>531595</t>
        </is>
      </c>
    </row>
    <row r="131">
      <c r="A131" s="31" t="inlineStr">
        <is>
          <t>SYRMA</t>
        </is>
      </c>
      <c r="B131" s="31" t="inlineStr">
        <is>
          <t>Syrma SGS Technology Ltd</t>
        </is>
      </c>
      <c r="C131" s="31" t="inlineStr">
        <is>
          <t>consumer discretionary</t>
        </is>
      </c>
      <c r="D131" s="31" t="inlineStr">
        <is>
          <t>electronics - components</t>
        </is>
      </c>
      <c r="E131" s="31" t="inlineStr">
        <is>
          <t>largecap</t>
        </is>
      </c>
      <c r="F131" s="31" t="n">
        <v>24425.84</v>
      </c>
      <c r="G131" s="31" t="n">
        <v>1301.1</v>
      </c>
      <c r="H131" s="31" t="n">
        <v>2.72</v>
      </c>
      <c r="I131" s="31" t="n">
        <v>1429054</v>
      </c>
      <c r="J131" s="31" t="inlineStr">
        <is>
          <t>543573</t>
        </is>
      </c>
    </row>
    <row r="132">
      <c r="A132" s="31" t="inlineStr">
        <is>
          <t>IMPAL</t>
        </is>
      </c>
      <c r="B132" s="31" t="inlineStr">
        <is>
          <t>India Motor Parts And Accessories Limited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smallcap</t>
        </is>
      </c>
      <c r="F132" s="31" t="n">
        <v>1329.87</v>
      </c>
      <c r="G132" s="31" t="n">
        <v>1094.6</v>
      </c>
      <c r="H132" s="31" t="n">
        <v>2.72</v>
      </c>
      <c r="I132" s="31" t="n">
        <v>4999</v>
      </c>
      <c r="J132" s="31" t="inlineStr">
        <is>
          <t>590065</t>
        </is>
      </c>
    </row>
    <row r="133">
      <c r="A133" s="31" t="inlineStr">
        <is>
          <t>TIINDIA</t>
        </is>
      </c>
      <c r="B133" s="31" t="inlineStr">
        <is>
          <t>Tube Investments of India Ltd</t>
        </is>
      </c>
      <c r="C133" s="31" t="inlineStr">
        <is>
          <t>industrials</t>
        </is>
      </c>
      <c r="D133" s="31" t="inlineStr">
        <is>
          <t>steel - large</t>
        </is>
      </c>
      <c r="E133" s="31" t="inlineStr">
        <is>
          <t>largecap</t>
        </is>
      </c>
      <c r="F133" s="31" t="n">
        <v>60810.44</v>
      </c>
      <c r="G133" s="31" t="n">
        <v>3226.1</v>
      </c>
      <c r="H133" s="31" t="n">
        <v>2.68</v>
      </c>
      <c r="I133" s="31" t="n">
        <v>261683</v>
      </c>
      <c r="J133" s="31" t="inlineStr">
        <is>
          <t>540762</t>
        </is>
      </c>
    </row>
    <row r="134">
      <c r="A134" s="31" t="inlineStr">
        <is>
          <t>DCBBANK</t>
        </is>
      </c>
      <c r="B134" s="31" t="inlineStr">
        <is>
          <t>Dcb Bank Limited</t>
        </is>
      </c>
      <c r="C134" s="31" t="inlineStr">
        <is>
          <t>bank</t>
        </is>
      </c>
      <c r="D134" s="31" t="inlineStr">
        <is>
          <t>banks - private sector</t>
        </is>
      </c>
      <c r="E134" s="31" t="inlineStr">
        <is>
          <t>midcap</t>
        </is>
      </c>
      <c r="F134" s="31" t="n">
        <v>5789.73</v>
      </c>
      <c r="G134" s="31" t="n">
        <v>184.61</v>
      </c>
      <c r="H134" s="31" t="n">
        <v>2.64</v>
      </c>
      <c r="I134" s="31" t="n">
        <v>1267664</v>
      </c>
      <c r="J134" s="31" t="inlineStr">
        <is>
          <t>532772</t>
        </is>
      </c>
    </row>
    <row r="135">
      <c r="A135" s="31" t="inlineStr">
        <is>
          <t>INDNIPPON</t>
        </is>
      </c>
      <c r="B135" s="31" t="inlineStr">
        <is>
          <t>India Nippon Electricals Limited</t>
        </is>
      </c>
      <c r="C135" s="31" t="inlineStr">
        <is>
          <t>auto</t>
        </is>
      </c>
      <c r="D135" s="31" t="inlineStr">
        <is>
          <t>auto ancillaries</t>
        </is>
      </c>
      <c r="E135" s="31" t="inlineStr">
        <is>
          <t>smallcap</t>
        </is>
      </c>
      <c r="F135" s="31" t="n">
        <v>2013.87</v>
      </c>
      <c r="G135" s="31" t="n">
        <v>913.6</v>
      </c>
      <c r="H135" s="31" t="n">
        <v>2.62</v>
      </c>
      <c r="I135" s="31" t="n">
        <v>33524</v>
      </c>
      <c r="J135" s="31" t="inlineStr">
        <is>
          <t>532240</t>
        </is>
      </c>
    </row>
    <row r="136">
      <c r="A136" s="31" t="inlineStr">
        <is>
          <t>BAJFINANCE</t>
        </is>
      </c>
      <c r="B136" s="31" t="inlineStr">
        <is>
          <t>Bajaj Finance Limited</t>
        </is>
      </c>
      <c r="C136" s="31" t="inlineStr">
        <is>
          <t>financials</t>
        </is>
      </c>
      <c r="D136" s="31" t="inlineStr">
        <is>
          <t>finance &amp; investments</t>
        </is>
      </c>
      <c r="E136" s="31" t="inlineStr">
        <is>
          <t>largecap</t>
        </is>
      </c>
      <c r="F136" s="31" t="n">
        <v>571410.51</v>
      </c>
      <c r="G136" s="31" t="n">
        <v>942.3</v>
      </c>
      <c r="H136" s="31" t="n">
        <v>2.61</v>
      </c>
      <c r="I136" s="31" t="n">
        <v>11989428</v>
      </c>
      <c r="J136" s="31" t="inlineStr">
        <is>
          <t>500034</t>
        </is>
      </c>
    </row>
    <row r="137">
      <c r="A137" s="31" t="inlineStr">
        <is>
          <t>JAMNAAUTO</t>
        </is>
      </c>
      <c r="B137" s="31" t="inlineStr">
        <is>
          <t>Jamna Auto Industries Limited</t>
        </is>
      </c>
      <c r="C137" s="31" t="inlineStr">
        <is>
          <t>auto</t>
        </is>
      </c>
      <c r="D137" s="31" t="inlineStr">
        <is>
          <t>auto ancillaries</t>
        </is>
      </c>
      <c r="E137" s="31" t="inlineStr">
        <is>
          <t>smallcap</t>
        </is>
      </c>
      <c r="F137" s="31" t="n">
        <v>4868.48</v>
      </c>
      <c r="G137" s="31" t="n">
        <v>124.96</v>
      </c>
      <c r="H137" s="31" t="n">
        <v>2.59</v>
      </c>
      <c r="I137" s="31" t="n">
        <v>2666042</v>
      </c>
      <c r="J137" s="31" t="inlineStr">
        <is>
          <t>520051</t>
        </is>
      </c>
    </row>
    <row r="138">
      <c r="A138" s="31" t="inlineStr">
        <is>
          <t>ZFCVINDIA</t>
        </is>
      </c>
      <c r="B138" s="31" t="inlineStr">
        <is>
          <t>ZF Commercial Vehicle Control System India Ltd</t>
        </is>
      </c>
      <c r="C138" s="31" t="inlineStr">
        <is>
          <t>auto</t>
        </is>
      </c>
      <c r="D138" s="31" t="inlineStr">
        <is>
          <t>auto ancillaries</t>
        </is>
      </c>
      <c r="E138" s="31" t="inlineStr">
        <is>
          <t>largecap</t>
        </is>
      </c>
      <c r="F138" s="31" t="n">
        <v>27908.9</v>
      </c>
      <c r="G138" s="31" t="n">
        <v>15092</v>
      </c>
      <c r="H138" s="31" t="n">
        <v>2.57</v>
      </c>
      <c r="I138" s="31" t="n">
        <v>26097</v>
      </c>
      <c r="J138" s="31" t="inlineStr">
        <is>
          <t>533023</t>
        </is>
      </c>
    </row>
    <row r="139">
      <c r="A139" s="31" t="inlineStr">
        <is>
          <t>SATIN</t>
        </is>
      </c>
      <c r="B139" s="31" t="inlineStr">
        <is>
          <t>Satin Creditcare Network Limited</t>
        </is>
      </c>
      <c r="C139" s="31" t="inlineStr">
        <is>
          <t>financials</t>
        </is>
      </c>
      <c r="D139" s="31" t="inlineStr">
        <is>
          <t>finance &amp; investments</t>
        </is>
      </c>
      <c r="E139" s="31" t="inlineStr">
        <is>
          <t>smallcap</t>
        </is>
      </c>
      <c r="F139" s="31" t="n">
        <v>2500.18</v>
      </c>
      <c r="G139" s="31" t="n">
        <v>232.11</v>
      </c>
      <c r="H139" s="31" t="n">
        <v>2.56</v>
      </c>
      <c r="I139" s="31" t="n">
        <v>552368</v>
      </c>
      <c r="J139" s="31" t="inlineStr">
        <is>
          <t>539404</t>
        </is>
      </c>
    </row>
    <row r="140">
      <c r="A140" s="31" t="inlineStr">
        <is>
          <t>BLSE</t>
        </is>
      </c>
      <c r="B140" s="31" t="inlineStr">
        <is>
          <t>BLS E-Services Ltd</t>
        </is>
      </c>
      <c r="C140" s="31" t="inlineStr">
        <is>
          <t>i.t</t>
        </is>
      </c>
      <c r="D140" s="31" t="inlineStr">
        <is>
          <t>computers - software - medium / small</t>
        </is>
      </c>
      <c r="E140" s="31" t="inlineStr">
        <is>
          <t>smallcap</t>
        </is>
      </c>
      <c r="F140" s="31" t="n">
        <v>2075.16</v>
      </c>
      <c r="G140" s="31" t="n">
        <v>234.25</v>
      </c>
      <c r="H140" s="31" t="n">
        <v>2.56</v>
      </c>
      <c r="I140" s="31" t="n">
        <v>349544</v>
      </c>
      <c r="J140" s="31" t="inlineStr">
        <is>
          <t>544107</t>
        </is>
      </c>
    </row>
    <row r="141">
      <c r="A141" s="31" t="inlineStr">
        <is>
          <t>KSB</t>
        </is>
      </c>
      <c r="B141" s="31" t="inlineStr">
        <is>
          <t>KSB Ltd</t>
        </is>
      </c>
      <c r="C141" s="31" t="inlineStr">
        <is>
          <t>industrials</t>
        </is>
      </c>
      <c r="D141" s="31" t="inlineStr">
        <is>
          <t>pumps</t>
        </is>
      </c>
      <c r="E141" s="31" t="inlineStr">
        <is>
          <t>midcap</t>
        </is>
      </c>
      <c r="F141" s="31" t="n">
        <v>14528.79</v>
      </c>
      <c r="G141" s="31" t="n">
        <v>855.3</v>
      </c>
      <c r="H141" s="31" t="n">
        <v>2.46</v>
      </c>
      <c r="I141" s="31" t="n">
        <v>374055</v>
      </c>
      <c r="J141" s="31" t="inlineStr">
        <is>
          <t>500249</t>
        </is>
      </c>
    </row>
    <row r="142">
      <c r="A142" s="31" t="inlineStr">
        <is>
          <t>STYLAMIND</t>
        </is>
      </c>
      <c r="B142" s="31" t="inlineStr">
        <is>
          <t>Stylam Industries Ltd</t>
        </is>
      </c>
      <c r="C142" s="31" t="inlineStr">
        <is>
          <t>building materials</t>
        </is>
      </c>
      <c r="D142" s="31" t="inlineStr">
        <is>
          <t>miscellaneous</t>
        </is>
      </c>
      <c r="E142" s="31" t="inlineStr">
        <is>
          <t>midcap</t>
        </is>
      </c>
      <c r="F142" s="31" t="n">
        <v>5389.31</v>
      </c>
      <c r="G142" s="31" t="n">
        <v>3257.2</v>
      </c>
      <c r="H142" s="31" t="n">
        <v>2.43</v>
      </c>
      <c r="I142" s="31" t="n">
        <v>31529</v>
      </c>
      <c r="J142" s="31" t="inlineStr">
        <is>
          <t>526951</t>
        </is>
      </c>
    </row>
    <row r="143">
      <c r="A143" s="31" t="inlineStr">
        <is>
          <t>SAKAR</t>
        </is>
      </c>
      <c r="B143" s="31" t="inlineStr">
        <is>
          <t>Sakar Healthcare Ltd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smallcap</t>
        </is>
      </c>
      <c r="F143" s="31" t="n">
        <v>1833.62</v>
      </c>
      <c r="G143" s="31" t="n">
        <v>844.15</v>
      </c>
      <c r="H143" s="31" t="n">
        <v>2.43</v>
      </c>
      <c r="I143" s="31" t="n">
        <v>88816</v>
      </c>
      <c r="J143" s="31" t="inlineStr">
        <is>
          <t>538377</t>
        </is>
      </c>
    </row>
    <row r="144">
      <c r="A144" s="31" t="inlineStr">
        <is>
          <t>IDFCFIRSTB</t>
        </is>
      </c>
      <c r="B144" s="31" t="inlineStr">
        <is>
          <t>IDFC First Bank Ltd</t>
        </is>
      </c>
      <c r="C144" s="31" t="inlineStr">
        <is>
          <t>bank</t>
        </is>
      </c>
      <c r="D144" s="31" t="inlineStr">
        <is>
          <t>banks - private sector</t>
        </is>
      </c>
      <c r="E144" s="31" t="inlineStr">
        <is>
          <t>largecap</t>
        </is>
      </c>
      <c r="F144" s="31" t="n">
        <v>65803</v>
      </c>
      <c r="G144" s="31" t="n">
        <v>78.33</v>
      </c>
      <c r="H144" s="31" t="n">
        <v>2.39</v>
      </c>
      <c r="I144" s="31" t="n">
        <v>28524089</v>
      </c>
      <c r="J144" s="31" t="inlineStr">
        <is>
          <t>539437</t>
        </is>
      </c>
    </row>
    <row r="145">
      <c r="A145" s="31" t="inlineStr">
        <is>
          <t>TITAN</t>
        </is>
      </c>
      <c r="B145" s="31" t="inlineStr">
        <is>
          <t>Titan Company Limited</t>
        </is>
      </c>
      <c r="C145" s="31" t="inlineStr">
        <is>
          <t>consumer discretionary</t>
        </is>
      </c>
      <c r="D145" s="31" t="inlineStr">
        <is>
          <t>diamond cutting / jewellery</t>
        </is>
      </c>
      <c r="E145" s="31" t="inlineStr">
        <is>
          <t>largecap</t>
        </is>
      </c>
      <c r="F145" s="31" t="n">
        <v>371449.73</v>
      </c>
      <c r="G145" s="31" t="n">
        <v>4283.5</v>
      </c>
      <c r="H145" s="31" t="n">
        <v>2.38</v>
      </c>
      <c r="I145" s="31" t="n">
        <v>1076822</v>
      </c>
      <c r="J145" s="31" t="inlineStr">
        <is>
          <t>500114</t>
        </is>
      </c>
    </row>
    <row r="146">
      <c r="A146" s="31" t="inlineStr">
        <is>
          <t>CUMMINSIND</t>
        </is>
      </c>
      <c r="B146" s="31" t="inlineStr">
        <is>
          <t>Cummins India Limited</t>
        </is>
      </c>
      <c r="C146" s="31" t="inlineStr">
        <is>
          <t>industrials</t>
        </is>
      </c>
      <c r="D146" s="31" t="inlineStr">
        <is>
          <t>engines</t>
        </is>
      </c>
      <c r="E146" s="31" t="inlineStr">
        <is>
          <t>largecap</t>
        </is>
      </c>
      <c r="F146" s="31" t="n">
        <v>155827.98</v>
      </c>
      <c r="G146" s="31" t="n">
        <v>5754</v>
      </c>
      <c r="H146" s="31" t="n">
        <v>2.36</v>
      </c>
      <c r="I146" s="31" t="n">
        <v>409781</v>
      </c>
      <c r="J146" s="31" t="inlineStr">
        <is>
          <t>500480</t>
        </is>
      </c>
    </row>
    <row r="147">
      <c r="A147" s="31" t="inlineStr">
        <is>
          <t>SPARC</t>
        </is>
      </c>
      <c r="B147" s="31" t="inlineStr">
        <is>
          <t>Sun Pharma Advanced Research Company Limited</t>
        </is>
      </c>
      <c r="C147" s="31" t="inlineStr">
        <is>
          <t>healthcare</t>
        </is>
      </c>
      <c r="D147" s="31" t="inlineStr">
        <is>
          <t>miscellaneous</t>
        </is>
      </c>
      <c r="E147" s="31" t="inlineStr">
        <is>
          <t>midcap</t>
        </is>
      </c>
      <c r="F147" s="31" t="n">
        <v>7261.5</v>
      </c>
      <c r="G147" s="31" t="n">
        <v>229.03</v>
      </c>
      <c r="H147" s="31" t="n">
        <v>2.36</v>
      </c>
      <c r="I147" s="31" t="n">
        <v>4011382</v>
      </c>
      <c r="J147" s="31" t="inlineStr">
        <is>
          <t>532872</t>
        </is>
      </c>
    </row>
    <row r="148">
      <c r="A148" s="31" t="inlineStr">
        <is>
          <t>BEPL</t>
        </is>
      </c>
      <c r="B148" s="31" t="inlineStr">
        <is>
          <t>Bhansali Engineering Polymers Limited</t>
        </is>
      </c>
      <c r="C148" s="31" t="inlineStr">
        <is>
          <t>energy</t>
        </is>
      </c>
      <c r="D148" s="31" t="inlineStr">
        <is>
          <t>petrochemicals</t>
        </is>
      </c>
      <c r="E148" s="31" t="inlineStr">
        <is>
          <t>smallcap</t>
        </is>
      </c>
      <c r="F148" s="31" t="n">
        <v>2417.66</v>
      </c>
      <c r="G148" s="31" t="n">
        <v>99.44</v>
      </c>
      <c r="H148" s="31" t="n">
        <v>2.36</v>
      </c>
      <c r="I148" s="31" t="n">
        <v>802086</v>
      </c>
      <c r="J148" s="31" t="inlineStr">
        <is>
          <t>500052</t>
        </is>
      </c>
    </row>
    <row r="149">
      <c r="A149" s="31" t="inlineStr">
        <is>
          <t>RITCO</t>
        </is>
      </c>
      <c r="B149" s="31" t="inlineStr">
        <is>
          <t>Ritco Logistics Ltd</t>
        </is>
      </c>
      <c r="C149" s="31" t="inlineStr">
        <is>
          <t>transportation</t>
        </is>
      </c>
      <c r="D149" s="31" t="inlineStr">
        <is>
          <t>miscellaneous</t>
        </is>
      </c>
      <c r="E149" s="31" t="inlineStr">
        <is>
          <t>smallcap</t>
        </is>
      </c>
      <c r="F149" s="31" t="n">
        <v>720.58</v>
      </c>
      <c r="G149" s="31" t="n">
        <v>257.7</v>
      </c>
      <c r="H149" s="31" t="n">
        <v>2.36</v>
      </c>
      <c r="I149" s="31" t="n">
        <v>52345</v>
      </c>
      <c r="J149" s="31" t="inlineStr">
        <is>
          <t>542383</t>
        </is>
      </c>
    </row>
    <row r="150">
      <c r="A150" s="31" t="inlineStr">
        <is>
          <t>TEXINFRA</t>
        </is>
      </c>
      <c r="B150" s="31" t="inlineStr">
        <is>
          <t>Texmaco Infrastructure &amp; Holdings Limited</t>
        </is>
      </c>
      <c r="C150" s="31" t="inlineStr">
        <is>
          <t>realty</t>
        </is>
      </c>
      <c r="D150" s="31" t="inlineStr">
        <is>
          <t>construction</t>
        </is>
      </c>
      <c r="E150" s="31" t="inlineStr">
        <is>
          <t>smallcap</t>
        </is>
      </c>
      <c r="F150" s="31" t="n">
        <v>1259.61</v>
      </c>
      <c r="G150" s="31" t="n">
        <v>101.16</v>
      </c>
      <c r="H150" s="31" t="n">
        <v>2.34</v>
      </c>
      <c r="I150" s="31" t="n">
        <v>104976</v>
      </c>
      <c r="J150" s="31" t="inlineStr">
        <is>
          <t>505400</t>
        </is>
      </c>
    </row>
    <row r="151">
      <c r="A151" s="31" t="inlineStr">
        <is>
          <t>JSWDULUX</t>
        </is>
      </c>
      <c r="B151" s="31" t="inlineStr">
        <is>
          <t>JSW Dulux Ltd</t>
        </is>
      </c>
      <c r="C151" s="31" t="inlineStr">
        <is>
          <t>building materials</t>
        </is>
      </c>
      <c r="D151" s="31" t="inlineStr">
        <is>
          <t>paints / varnishes</t>
        </is>
      </c>
      <c r="E151" s="31" t="inlineStr">
        <is>
          <t>midcap</t>
        </is>
      </c>
      <c r="F151" s="31" t="n">
        <v>14428.99</v>
      </c>
      <c r="G151" s="31" t="n">
        <v>3242.6</v>
      </c>
      <c r="H151" s="31" t="n">
        <v>2.34</v>
      </c>
      <c r="I151" s="31" t="n">
        <v>18835</v>
      </c>
      <c r="J151" s="31" t="inlineStr">
        <is>
          <t>500710</t>
        </is>
      </c>
    </row>
    <row r="152">
      <c r="A152" s="31" t="inlineStr">
        <is>
          <t>APOLLOPIPE</t>
        </is>
      </c>
      <c r="B152" s="31" t="inlineStr">
        <is>
          <t>Apollo Pipes Ltd</t>
        </is>
      </c>
      <c r="C152" s="31" t="inlineStr">
        <is>
          <t>plastic products</t>
        </is>
      </c>
      <c r="D152" s="31" t="inlineStr">
        <is>
          <t>plastics products</t>
        </is>
      </c>
      <c r="E152" s="31" t="inlineStr">
        <is>
          <t>smallcap</t>
        </is>
      </c>
      <c r="F152" s="31" t="n">
        <v>2180.39</v>
      </c>
      <c r="G152" s="31" t="n">
        <v>506.5</v>
      </c>
      <c r="H152" s="31" t="n">
        <v>2.32</v>
      </c>
      <c r="I152" s="31" t="n">
        <v>200479</v>
      </c>
      <c r="J152" s="31" t="inlineStr">
        <is>
          <t>531761</t>
        </is>
      </c>
    </row>
    <row r="153">
      <c r="A153" s="31" t="inlineStr">
        <is>
          <t>PIDILITIND</t>
        </is>
      </c>
      <c r="B153" s="31" t="inlineStr">
        <is>
          <t>Pidilite Industries Limited</t>
        </is>
      </c>
      <c r="C153" s="31" t="inlineStr">
        <is>
          <t>chemicals</t>
        </is>
      </c>
      <c r="D153" s="31" t="inlineStr">
        <is>
          <t>chemicals</t>
        </is>
      </c>
      <c r="E153" s="31" t="inlineStr">
        <is>
          <t>largecap</t>
        </is>
      </c>
      <c r="F153" s="31" t="n">
        <v>156278.01</v>
      </c>
      <c r="G153" s="31" t="n">
        <v>1571</v>
      </c>
      <c r="H153" s="31" t="n">
        <v>2.31</v>
      </c>
      <c r="I153" s="31" t="n">
        <v>1848652</v>
      </c>
      <c r="J153" s="31" t="inlineStr">
        <is>
          <t>500331</t>
        </is>
      </c>
    </row>
    <row r="154">
      <c r="A154" s="31" t="inlineStr">
        <is>
          <t>CGPOWER</t>
        </is>
      </c>
      <c r="B154" s="31" t="inlineStr">
        <is>
          <t>CG Power and Industrial Solutions Ltd</t>
        </is>
      </c>
      <c r="C154" s="31" t="inlineStr">
        <is>
          <t>industrials</t>
        </is>
      </c>
      <c r="D154" s="31" t="inlineStr">
        <is>
          <t>electric equipment</t>
        </is>
      </c>
      <c r="E154" s="31" t="inlineStr">
        <is>
          <t>largecap</t>
        </is>
      </c>
      <c r="F154" s="31" t="n">
        <v>144018.67</v>
      </c>
      <c r="G154" s="31" t="n">
        <v>935.5</v>
      </c>
      <c r="H154" s="31" t="n">
        <v>2.3</v>
      </c>
      <c r="I154" s="31" t="n">
        <v>2742582</v>
      </c>
      <c r="J154" s="31" t="inlineStr">
        <is>
          <t>500093</t>
        </is>
      </c>
    </row>
    <row r="155">
      <c r="A155" s="31" t="inlineStr">
        <is>
          <t>KIRLOSENG</t>
        </is>
      </c>
      <c r="B155" s="31" t="inlineStr">
        <is>
          <t>Kirloskar Oil Engines Limited</t>
        </is>
      </c>
      <c r="C155" s="31" t="inlineStr">
        <is>
          <t>industrials</t>
        </is>
      </c>
      <c r="D155" s="31" t="inlineStr">
        <is>
          <t>engines</t>
        </is>
      </c>
      <c r="E155" s="31" t="inlineStr">
        <is>
          <t>largecap</t>
        </is>
      </c>
      <c r="F155" s="31" t="n">
        <v>27480.16</v>
      </c>
      <c r="G155" s="31" t="n">
        <v>1933.8</v>
      </c>
      <c r="H155" s="31" t="n">
        <v>2.29</v>
      </c>
      <c r="I155" s="31" t="n">
        <v>317640</v>
      </c>
      <c r="J155" s="31" t="inlineStr">
        <is>
          <t>533293</t>
        </is>
      </c>
    </row>
    <row r="156">
      <c r="A156" s="31" t="inlineStr">
        <is>
          <t>POWERMECH</t>
        </is>
      </c>
      <c r="B156" s="31" t="inlineStr">
        <is>
          <t>Power Mech Projects Limited</t>
        </is>
      </c>
      <c r="C156" s="31" t="inlineStr">
        <is>
          <t>realty</t>
        </is>
      </c>
      <c r="D156" s="31" t="inlineStr">
        <is>
          <t>engineering - turnkey services</t>
        </is>
      </c>
      <c r="E156" s="31" t="inlineStr">
        <is>
          <t>midcap</t>
        </is>
      </c>
      <c r="F156" s="31" t="n">
        <v>8819.360000000001</v>
      </c>
      <c r="G156" s="31" t="n">
        <v>2852.3</v>
      </c>
      <c r="H156" s="31" t="n">
        <v>2.25</v>
      </c>
      <c r="I156" s="31" t="n">
        <v>291255</v>
      </c>
      <c r="J156" s="31" t="inlineStr">
        <is>
          <t>539302</t>
        </is>
      </c>
    </row>
    <row r="157">
      <c r="A157" s="31" t="inlineStr">
        <is>
          <t>UNIVCABLES</t>
        </is>
      </c>
      <c r="B157" s="31" t="inlineStr">
        <is>
          <t>Universal Cables Limited</t>
        </is>
      </c>
      <c r="C157" s="31" t="inlineStr">
        <is>
          <t>industrials</t>
        </is>
      </c>
      <c r="D157" s="31" t="inlineStr">
        <is>
          <t>cables - power</t>
        </is>
      </c>
      <c r="E157" s="31" t="inlineStr">
        <is>
          <t>smallcap</t>
        </is>
      </c>
      <c r="F157" s="31" t="n">
        <v>4082.26</v>
      </c>
      <c r="G157" s="31" t="n">
        <v>1203</v>
      </c>
      <c r="H157" s="31" t="n">
        <v>2.24</v>
      </c>
      <c r="I157" s="31" t="n">
        <v>285030</v>
      </c>
      <c r="J157" s="31" t="inlineStr">
        <is>
          <t>504212</t>
        </is>
      </c>
    </row>
    <row r="158">
      <c r="A158" s="31" t="inlineStr">
        <is>
          <t>VARROC</t>
        </is>
      </c>
      <c r="B158" s="31" t="inlineStr">
        <is>
          <t>Varroc Engineering Ltd</t>
        </is>
      </c>
      <c r="C158" s="31" t="inlineStr">
        <is>
          <t>auto</t>
        </is>
      </c>
      <c r="D158" s="31" t="inlineStr">
        <is>
          <t>auto ancillaries</t>
        </is>
      </c>
      <c r="E158" s="31" t="inlineStr">
        <is>
          <t>midcap</t>
        </is>
      </c>
      <c r="F158" s="31" t="n">
        <v>8714.17</v>
      </c>
      <c r="G158" s="31" t="n">
        <v>583</v>
      </c>
      <c r="H158" s="31" t="n">
        <v>2.22</v>
      </c>
      <c r="I158" s="31" t="n">
        <v>81383</v>
      </c>
      <c r="J158" s="31" t="inlineStr">
        <is>
          <t>541578</t>
        </is>
      </c>
    </row>
    <row r="159">
      <c r="A159" s="31" t="inlineStr">
        <is>
          <t>KAJARIACER</t>
        </is>
      </c>
      <c r="B159" s="31" t="inlineStr">
        <is>
          <t>Kajaria Ceramics Limited</t>
        </is>
      </c>
      <c r="C159" s="31" t="inlineStr">
        <is>
          <t>building materials</t>
        </is>
      </c>
      <c r="D159" s="31" t="inlineStr">
        <is>
          <t>ceramics - tiles / sanitaryware</t>
        </is>
      </c>
      <c r="E159" s="31" t="inlineStr">
        <is>
          <t>midcap</t>
        </is>
      </c>
      <c r="F159" s="31" t="n">
        <v>17238.04</v>
      </c>
      <c r="G159" s="31" t="n">
        <v>1106.2</v>
      </c>
      <c r="H159" s="31" t="n">
        <v>2.21</v>
      </c>
      <c r="I159" s="31" t="n">
        <v>113822</v>
      </c>
      <c r="J159" s="31" t="inlineStr">
        <is>
          <t>500233</t>
        </is>
      </c>
    </row>
    <row r="160">
      <c r="A160" s="31" t="inlineStr">
        <is>
          <t>ITDC</t>
        </is>
      </c>
      <c r="B160" s="31" t="inlineStr">
        <is>
          <t>India Tourism Development Corporation Ltd</t>
        </is>
      </c>
      <c r="C160" s="31" t="inlineStr">
        <is>
          <t>services</t>
        </is>
      </c>
      <c r="D160" s="31" t="inlineStr">
        <is>
          <t>hotels</t>
        </is>
      </c>
      <c r="E160" s="31" t="inlineStr">
        <is>
          <t>midcap</t>
        </is>
      </c>
      <c r="F160" s="31" t="n">
        <v>5018.37</v>
      </c>
      <c r="G160" s="31" t="n">
        <v>598.05</v>
      </c>
      <c r="H160" s="31" t="n">
        <v>2.21</v>
      </c>
      <c r="I160" s="31" t="n">
        <v>704171</v>
      </c>
      <c r="J160" s="31" t="inlineStr">
        <is>
          <t>532189</t>
        </is>
      </c>
    </row>
    <row r="161">
      <c r="A161" s="31" t="inlineStr">
        <is>
          <t>KERNEX</t>
        </is>
      </c>
      <c r="B161" s="31" t="inlineStr">
        <is>
          <t>Kernex Microsystems (india) Limited</t>
        </is>
      </c>
      <c r="C161" s="31" t="inlineStr">
        <is>
          <t>consumer discretionary</t>
        </is>
      </c>
      <c r="D161" s="31" t="inlineStr">
        <is>
          <t>electronics - components</t>
        </is>
      </c>
      <c r="E161" s="31" t="inlineStr">
        <is>
          <t>smallcap</t>
        </is>
      </c>
      <c r="F161" s="31" t="n">
        <v>3349.23</v>
      </c>
      <c r="G161" s="31" t="n">
        <v>2037.2</v>
      </c>
      <c r="H161" s="31" t="n">
        <v>2.2</v>
      </c>
      <c r="I161" s="31" t="n">
        <v>307957</v>
      </c>
      <c r="J161" s="31" t="inlineStr">
        <is>
          <t>532686</t>
        </is>
      </c>
    </row>
    <row r="162">
      <c r="A162" s="31" t="inlineStr">
        <is>
          <t>ESAFSFB</t>
        </is>
      </c>
      <c r="B162" s="31" t="inlineStr">
        <is>
          <t>ESAF Small Finance Bank Ltd</t>
        </is>
      </c>
      <c r="C162" s="31" t="inlineStr">
        <is>
          <t>bank</t>
        </is>
      </c>
      <c r="D162" s="31" t="inlineStr">
        <is>
          <t>banks - private sector</t>
        </is>
      </c>
      <c r="E162" s="31" t="inlineStr">
        <is>
          <t>smallcap</t>
        </is>
      </c>
      <c r="F162" s="31" t="n">
        <v>1468.61</v>
      </c>
      <c r="G162" s="31" t="n">
        <v>29.1</v>
      </c>
      <c r="H162" s="31" t="n">
        <v>2.18</v>
      </c>
      <c r="I162" s="31" t="n">
        <v>705497</v>
      </c>
      <c r="J162" s="31" t="inlineStr">
        <is>
          <t>544020</t>
        </is>
      </c>
    </row>
    <row r="163">
      <c r="A163" s="31" t="inlineStr">
        <is>
          <t>TBZ</t>
        </is>
      </c>
      <c r="B163" s="31" t="inlineStr">
        <is>
          <t>Tribhovandas Bhimji Zaveri Limited</t>
        </is>
      </c>
      <c r="C163" s="31" t="inlineStr">
        <is>
          <t>consumer discretionary</t>
        </is>
      </c>
      <c r="D163" s="31" t="inlineStr">
        <is>
          <t>diamond cutting / jewellery</t>
        </is>
      </c>
      <c r="E163" s="31" t="inlineStr">
        <is>
          <t>smallcap</t>
        </is>
      </c>
      <c r="F163" s="31" t="n">
        <v>1226.31</v>
      </c>
      <c r="G163" s="31" t="n">
        <v>187.76</v>
      </c>
      <c r="H163" s="31" t="n">
        <v>2.17</v>
      </c>
      <c r="I163" s="31" t="n">
        <v>1334062</v>
      </c>
      <c r="J163" s="31" t="inlineStr">
        <is>
          <t>534369</t>
        </is>
      </c>
    </row>
    <row r="164">
      <c r="A164" s="31" t="inlineStr">
        <is>
          <t>BALRAMCHIN</t>
        </is>
      </c>
      <c r="B164" s="31" t="inlineStr">
        <is>
          <t>Balrampur Chini Mills Limited</t>
        </is>
      </c>
      <c r="C164" s="31" t="inlineStr">
        <is>
          <t>fmcg</t>
        </is>
      </c>
      <c r="D164" s="31" t="inlineStr">
        <is>
          <t>sugar</t>
        </is>
      </c>
      <c r="E164" s="31" t="inlineStr">
        <is>
          <t>midcap</t>
        </is>
      </c>
      <c r="F164" s="31" t="n">
        <v>11407.37</v>
      </c>
      <c r="G164" s="31" t="n">
        <v>551.6</v>
      </c>
      <c r="H164" s="31" t="n">
        <v>2.16</v>
      </c>
      <c r="I164" s="31" t="n">
        <v>1156477</v>
      </c>
      <c r="J164" s="31" t="inlineStr">
        <is>
          <t>500038</t>
        </is>
      </c>
    </row>
    <row r="165">
      <c r="A165" s="31" t="inlineStr">
        <is>
          <t>NINSYS</t>
        </is>
      </c>
      <c r="B165" s="31" t="inlineStr">
        <is>
          <t>NINtec Systems Ltd</t>
        </is>
      </c>
      <c r="C165" s="31" t="inlineStr">
        <is>
          <t>i.t</t>
        </is>
      </c>
      <c r="D165" s="31" t="inlineStr">
        <is>
          <t>computers - software - medium / small</t>
        </is>
      </c>
      <c r="E165" s="31" t="inlineStr">
        <is>
          <t>smallcap</t>
        </is>
      </c>
      <c r="F165" s="31" t="n">
        <v>1280.91</v>
      </c>
      <c r="G165" s="31" t="n">
        <v>704.25</v>
      </c>
      <c r="H165" s="31" t="n">
        <v>2.13</v>
      </c>
      <c r="I165" s="31" t="n">
        <v>4464</v>
      </c>
      <c r="J165" s="31" t="inlineStr">
        <is>
          <t>539843</t>
        </is>
      </c>
    </row>
    <row r="166">
      <c r="A166" s="31" t="inlineStr">
        <is>
          <t>BSE</t>
        </is>
      </c>
      <c r="B166" s="31" t="inlineStr">
        <is>
          <t>BSE (Bombay stock exchange) Ltd</t>
        </is>
      </c>
      <c r="C166" s="31" t="inlineStr">
        <is>
          <t>financials</t>
        </is>
      </c>
      <c r="D166" s="31" t="inlineStr">
        <is>
          <t>miscellaneous</t>
        </is>
      </c>
      <c r="E166" s="31" t="inlineStr">
        <is>
          <t>largecap</t>
        </is>
      </c>
      <c r="F166" s="31" t="n">
        <v>164830.03</v>
      </c>
      <c r="G166" s="31" t="n">
        <v>4126</v>
      </c>
      <c r="H166" s="31" t="n">
        <v>2.1</v>
      </c>
      <c r="I166" s="31" t="n">
        <v>4653050</v>
      </c>
      <c r="J166" s="31" t="inlineStr">
        <is>
          <t>20</t>
        </is>
      </c>
    </row>
    <row r="167">
      <c r="A167" s="31" t="inlineStr">
        <is>
          <t>FILATEX</t>
        </is>
      </c>
      <c r="B167" s="31" t="inlineStr">
        <is>
          <t>Filatex India Limited</t>
        </is>
      </c>
      <c r="C167" s="31" t="inlineStr">
        <is>
          <t>textiles</t>
        </is>
      </c>
      <c r="D167" s="31" t="inlineStr">
        <is>
          <t>textiles - manmade</t>
        </is>
      </c>
      <c r="E167" s="31" t="inlineStr">
        <is>
          <t>smallcap</t>
        </is>
      </c>
      <c r="F167" s="31" t="n">
        <v>2305.55</v>
      </c>
      <c r="G167" s="31" t="n">
        <v>53.01</v>
      </c>
      <c r="H167" s="31" t="n">
        <v>2.1</v>
      </c>
      <c r="I167" s="31" t="n">
        <v>1851441</v>
      </c>
      <c r="J167" s="31" t="inlineStr">
        <is>
          <t>526227</t>
        </is>
      </c>
    </row>
    <row r="168">
      <c r="A168" s="31" t="inlineStr">
        <is>
          <t>NBCC</t>
        </is>
      </c>
      <c r="B168" s="31" t="inlineStr">
        <is>
          <t>Nbcc (india) Limited</t>
        </is>
      </c>
      <c r="C168" s="31" t="inlineStr">
        <is>
          <t>miscellaneous</t>
        </is>
      </c>
      <c r="D168" s="31" t="inlineStr">
        <is>
          <t>miscellaneous</t>
        </is>
      </c>
      <c r="E168" s="31" t="inlineStr">
        <is>
          <t>largecap</t>
        </is>
      </c>
      <c r="F168" s="31" t="n">
        <v>28393.2</v>
      </c>
      <c r="G168" s="31" t="n">
        <v>107.36</v>
      </c>
      <c r="H168" s="31" t="n">
        <v>2.09</v>
      </c>
      <c r="I168" s="31" t="n">
        <v>21708282</v>
      </c>
      <c r="J168" s="31" t="inlineStr">
        <is>
          <t>534309</t>
        </is>
      </c>
    </row>
    <row r="169">
      <c r="A169" s="31" t="inlineStr">
        <is>
          <t>MAHABANK</t>
        </is>
      </c>
      <c r="B169" s="31" t="inlineStr">
        <is>
          <t>Bank Of Maharashtra Ltd</t>
        </is>
      </c>
      <c r="C169" s="31" t="inlineStr">
        <is>
          <t>bank</t>
        </is>
      </c>
      <c r="D169" s="31" t="inlineStr">
        <is>
          <t>banks - public sector</t>
        </is>
      </c>
      <c r="E169" s="31" t="inlineStr">
        <is>
          <t>largecap</t>
        </is>
      </c>
      <c r="F169" s="31" t="n">
        <v>67147.27</v>
      </c>
      <c r="G169" s="31" t="n">
        <v>89.12</v>
      </c>
      <c r="H169" s="31" t="n">
        <v>2.08</v>
      </c>
      <c r="I169" s="31" t="n">
        <v>33101447</v>
      </c>
      <c r="J169" s="31" t="inlineStr">
        <is>
          <t>532525</t>
        </is>
      </c>
    </row>
    <row r="170">
      <c r="A170" s="31" t="inlineStr">
        <is>
          <t>JTLIND</t>
        </is>
      </c>
      <c r="B170" s="31" t="inlineStr">
        <is>
          <t>JTL Industries Ltd</t>
        </is>
      </c>
      <c r="C170" s="31" t="inlineStr">
        <is>
          <t>metals &amp; mining</t>
        </is>
      </c>
      <c r="D170" s="31" t="inlineStr">
        <is>
          <t>steel - medium / small</t>
        </is>
      </c>
      <c r="E170" s="31" t="inlineStr">
        <is>
          <t>smallcap</t>
        </is>
      </c>
      <c r="F170" s="31" t="n">
        <v>2947.72</v>
      </c>
      <c r="G170" s="31" t="n">
        <v>76.48999999999999</v>
      </c>
      <c r="H170" s="31" t="n">
        <v>2</v>
      </c>
      <c r="I170" s="31" t="n">
        <v>3632324</v>
      </c>
      <c r="J170" s="31" t="inlineStr">
        <is>
          <t>534600</t>
        </is>
      </c>
    </row>
    <row r="171">
      <c r="A171" s="31" t="inlineStr">
        <is>
          <t>NGLFINE</t>
        </is>
      </c>
      <c r="B171" s="31" t="inlineStr">
        <is>
          <t>NGL Fine Chem Ltd</t>
        </is>
      </c>
      <c r="C171" s="31" t="inlineStr">
        <is>
          <t>healthcare</t>
        </is>
      </c>
      <c r="D171" s="31" t="inlineStr">
        <is>
          <t>pharmaceuticals - indian - bulk drugs</t>
        </is>
      </c>
      <c r="E171" s="31" t="inlineStr">
        <is>
          <t>smallcap</t>
        </is>
      </c>
      <c r="F171" s="31" t="n">
        <v>1883.56</v>
      </c>
      <c r="G171" s="31" t="n">
        <v>3109.3</v>
      </c>
      <c r="H171" s="31" t="n">
        <v>1.98</v>
      </c>
      <c r="I171" s="31" t="n">
        <v>53959</v>
      </c>
      <c r="J171" s="31" t="inlineStr">
        <is>
          <t>524774</t>
        </is>
      </c>
    </row>
    <row r="172">
      <c r="A172" s="31" t="inlineStr">
        <is>
          <t>TFCILTD</t>
        </is>
      </c>
      <c r="B172" s="31" t="inlineStr">
        <is>
          <t>Tourism Finance Corporation Of India Limited</t>
        </is>
      </c>
      <c r="C172" s="31" t="inlineStr">
        <is>
          <t>financials</t>
        </is>
      </c>
      <c r="D172" s="31" t="inlineStr">
        <is>
          <t>finance - term-lending institutions</t>
        </is>
      </c>
      <c r="E172" s="31" t="inlineStr">
        <is>
          <t>smallcap</t>
        </is>
      </c>
      <c r="F172" s="31" t="n">
        <v>3457.51</v>
      </c>
      <c r="G172" s="31" t="n">
        <v>76.16</v>
      </c>
      <c r="H172" s="31" t="n">
        <v>1.98</v>
      </c>
      <c r="I172" s="31" t="n">
        <v>4329103</v>
      </c>
      <c r="J172" s="31" t="inlineStr">
        <is>
          <t>526650</t>
        </is>
      </c>
    </row>
    <row r="173">
      <c r="A173" s="31" t="inlineStr">
        <is>
          <t>GEOJITFSL</t>
        </is>
      </c>
      <c r="B173" s="31" t="inlineStr">
        <is>
          <t>Geojit Financial Services Ltd</t>
        </is>
      </c>
      <c r="C173" s="31" t="inlineStr">
        <is>
          <t>financials</t>
        </is>
      </c>
      <c r="D173" s="31" t="inlineStr">
        <is>
          <t>finance &amp; investments</t>
        </is>
      </c>
      <c r="E173" s="31" t="inlineStr">
        <is>
          <t>smallcap</t>
        </is>
      </c>
      <c r="F173" s="31" t="n">
        <v>2093.97</v>
      </c>
      <c r="G173" s="31" t="n">
        <v>76.48999999999999</v>
      </c>
      <c r="H173" s="31" t="n">
        <v>1.96</v>
      </c>
      <c r="I173" s="31" t="n">
        <v>549609</v>
      </c>
      <c r="J173" s="31" t="inlineStr">
        <is>
          <t>532285</t>
        </is>
      </c>
    </row>
    <row r="174">
      <c r="A174" s="31" t="inlineStr">
        <is>
          <t>GRASIM</t>
        </is>
      </c>
      <c r="B174" s="31" t="inlineStr">
        <is>
          <t>Grasim Industries Limited</t>
        </is>
      </c>
      <c r="C174" s="31" t="inlineStr">
        <is>
          <t>textiles</t>
        </is>
      </c>
      <c r="D174" s="31" t="inlineStr">
        <is>
          <t>textiles - manmade</t>
        </is>
      </c>
      <c r="E174" s="31" t="inlineStr">
        <is>
          <t>largecap</t>
        </is>
      </c>
      <c r="F174" s="31" t="n">
        <v>211354.3</v>
      </c>
      <c r="G174" s="31" t="n">
        <v>3164.5</v>
      </c>
      <c r="H174" s="31" t="n">
        <v>1.9</v>
      </c>
      <c r="I174" s="31" t="n">
        <v>1033542</v>
      </c>
      <c r="J174" s="31" t="inlineStr">
        <is>
          <t>500300</t>
        </is>
      </c>
    </row>
    <row r="175">
      <c r="A175" s="31" t="inlineStr">
        <is>
          <t>NORTHARC</t>
        </is>
      </c>
      <c r="B175" s="31" t="inlineStr">
        <is>
          <t>Northern ARC Capital Ltd</t>
        </is>
      </c>
      <c r="C175" s="31" t="inlineStr">
        <is>
          <t>financials</t>
        </is>
      </c>
      <c r="D175" s="31" t="inlineStr">
        <is>
          <t>finance &amp; investments</t>
        </is>
      </c>
      <c r="E175" s="31" t="inlineStr">
        <is>
          <t>smallcap</t>
        </is>
      </c>
      <c r="F175" s="31" t="n">
        <v>4676.7</v>
      </c>
      <c r="G175" s="31" t="n">
        <v>294.9</v>
      </c>
      <c r="H175" s="31" t="n">
        <v>1.88</v>
      </c>
      <c r="I175" s="31" t="n">
        <v>531708</v>
      </c>
      <c r="J175" s="31" t="n"/>
    </row>
    <row r="176">
      <c r="A176" s="31" t="inlineStr">
        <is>
          <t>CERA</t>
        </is>
      </c>
      <c r="B176" s="31" t="inlineStr">
        <is>
          <t>Cera Sanitaryware Limited</t>
        </is>
      </c>
      <c r="C176" s="31" t="inlineStr">
        <is>
          <t>building materials</t>
        </is>
      </c>
      <c r="D176" s="31" t="inlineStr">
        <is>
          <t>ceramics - tiles / sanitaryware</t>
        </is>
      </c>
      <c r="E176" s="31" t="inlineStr">
        <is>
          <t>midcap</t>
        </is>
      </c>
      <c r="F176" s="31" t="n">
        <v>7924.25</v>
      </c>
      <c r="G176" s="31" t="n">
        <v>6259</v>
      </c>
      <c r="H176" s="31" t="n">
        <v>1.87</v>
      </c>
      <c r="I176" s="31" t="n">
        <v>44984</v>
      </c>
      <c r="J176" s="31" t="inlineStr">
        <is>
          <t>532443</t>
        </is>
      </c>
    </row>
    <row r="177">
      <c r="A177" s="31" t="inlineStr">
        <is>
          <t>RBLBANK</t>
        </is>
      </c>
      <c r="B177" s="31" t="inlineStr">
        <is>
          <t>Rbl Bank Limited</t>
        </is>
      </c>
      <c r="C177" s="31" t="inlineStr">
        <is>
          <t>bank</t>
        </is>
      </c>
      <c r="D177" s="31" t="inlineStr">
        <is>
          <t>banks - private sector</t>
        </is>
      </c>
      <c r="E177" s="31" t="inlineStr">
        <is>
          <t>largecap</t>
        </is>
      </c>
      <c r="F177" s="31" t="n">
        <v>22613.61</v>
      </c>
      <c r="G177" s="31" t="n">
        <v>372.65</v>
      </c>
      <c r="H177" s="31" t="n">
        <v>1.86</v>
      </c>
      <c r="I177" s="31" t="n">
        <v>8331313</v>
      </c>
      <c r="J177" s="31" t="inlineStr">
        <is>
          <t>540065</t>
        </is>
      </c>
    </row>
    <row r="178">
      <c r="A178" s="31" t="inlineStr">
        <is>
          <t>GLOSTERLTD</t>
        </is>
      </c>
      <c r="B178" s="31" t="inlineStr">
        <is>
          <t>Gloster Ltd</t>
        </is>
      </c>
      <c r="C178" s="31" t="inlineStr">
        <is>
          <t>textiles</t>
        </is>
      </c>
      <c r="D178" s="31" t="inlineStr">
        <is>
          <t>textiles - jute - yarn / products</t>
        </is>
      </c>
      <c r="E178" s="31" t="inlineStr">
        <is>
          <t>smallcap</t>
        </is>
      </c>
      <c r="F178" s="31" t="n">
        <v>731.89</v>
      </c>
      <c r="G178" s="31" t="n">
        <v>680.85</v>
      </c>
      <c r="H178" s="31" t="n">
        <v>1.8</v>
      </c>
      <c r="I178" s="31" t="n">
        <v>4345</v>
      </c>
      <c r="J178" s="31" t="inlineStr">
        <is>
          <t>542351</t>
        </is>
      </c>
    </row>
    <row r="179">
      <c r="A179" s="31" t="inlineStr">
        <is>
          <t>TVSSRICHAK</t>
        </is>
      </c>
      <c r="B179" s="31" t="inlineStr">
        <is>
          <t>Tvs Srichakra Limited</t>
        </is>
      </c>
      <c r="C179" s="31" t="inlineStr">
        <is>
          <t>auto</t>
        </is>
      </c>
      <c r="D179" s="31" t="inlineStr">
        <is>
          <t>tyres</t>
        </is>
      </c>
      <c r="E179" s="31" t="inlineStr">
        <is>
          <t>smallcap</t>
        </is>
      </c>
      <c r="F179" s="31" t="n">
        <v>3051.64</v>
      </c>
      <c r="G179" s="31" t="n">
        <v>4057.2</v>
      </c>
      <c r="H179" s="31" t="n">
        <v>1.8</v>
      </c>
      <c r="I179" s="31" t="n">
        <v>11410</v>
      </c>
      <c r="J179" s="31" t="inlineStr">
        <is>
          <t>509243</t>
        </is>
      </c>
    </row>
    <row r="180">
      <c r="A180" s="31" t="inlineStr">
        <is>
          <t>AMBIKCO</t>
        </is>
      </c>
      <c r="B180" s="31" t="inlineStr">
        <is>
          <t>Ambika Cotton Mills Limited</t>
        </is>
      </c>
      <c r="C180" s="31" t="inlineStr">
        <is>
          <t>textiles</t>
        </is>
      </c>
      <c r="D180" s="31" t="inlineStr">
        <is>
          <t>textiles - cotton/blended</t>
        </is>
      </c>
      <c r="E180" s="31" t="inlineStr">
        <is>
          <t>smallcap</t>
        </is>
      </c>
      <c r="F180" s="31" t="n">
        <v>920.0599999999999</v>
      </c>
      <c r="G180" s="31" t="n">
        <v>1636</v>
      </c>
      <c r="H180" s="31" t="n">
        <v>1.8</v>
      </c>
      <c r="I180" s="31" t="n">
        <v>24877</v>
      </c>
      <c r="J180" s="31" t="inlineStr">
        <is>
          <t>531978</t>
        </is>
      </c>
    </row>
    <row r="181">
      <c r="A181" s="31" t="inlineStr">
        <is>
          <t>AUBANK</t>
        </is>
      </c>
      <c r="B181" s="31" t="inlineStr">
        <is>
          <t>AU Small Finance Bank Ltd</t>
        </is>
      </c>
      <c r="C181" s="31" t="inlineStr">
        <is>
          <t>bank</t>
        </is>
      </c>
      <c r="D181" s="31" t="inlineStr">
        <is>
          <t>banks - private sector</t>
        </is>
      </c>
      <c r="E181" s="31" t="inlineStr">
        <is>
          <t>largecap</t>
        </is>
      </c>
      <c r="F181" s="31" t="n">
        <v>75986.53</v>
      </c>
      <c r="G181" s="31" t="n">
        <v>1033.6</v>
      </c>
      <c r="H181" s="31" t="n">
        <v>1.78</v>
      </c>
      <c r="I181" s="31" t="n">
        <v>1771740</v>
      </c>
      <c r="J181" s="31" t="inlineStr">
        <is>
          <t>540611</t>
        </is>
      </c>
    </row>
    <row r="182">
      <c r="A182" s="31" t="inlineStr">
        <is>
          <t>NAZARA</t>
        </is>
      </c>
      <c r="B182" s="31" t="inlineStr">
        <is>
          <t>Nazara Technologies Ltd</t>
        </is>
      </c>
      <c r="C182" s="31" t="inlineStr">
        <is>
          <t>i.t</t>
        </is>
      </c>
      <c r="D182" s="31" t="inlineStr">
        <is>
          <t>telecommunications - service provider</t>
        </is>
      </c>
      <c r="E182" s="31" t="inlineStr">
        <is>
          <t>midcap</t>
        </is>
      </c>
      <c r="F182" s="31" t="n">
        <v>10589.74</v>
      </c>
      <c r="G182" s="31" t="n">
        <v>290.95</v>
      </c>
      <c r="H182" s="31" t="n">
        <v>1.78</v>
      </c>
      <c r="I182" s="31" t="n">
        <v>1750641</v>
      </c>
      <c r="J182" s="31" t="inlineStr">
        <is>
          <t>543280</t>
        </is>
      </c>
    </row>
    <row r="183">
      <c r="A183" s="31" t="inlineStr">
        <is>
          <t>TVSSCS</t>
        </is>
      </c>
      <c r="B183" s="31" t="inlineStr">
        <is>
          <t>TVS Supply Chain Solutions Ltd</t>
        </is>
      </c>
      <c r="C183" s="31" t="inlineStr">
        <is>
          <t>transportation</t>
        </is>
      </c>
      <c r="D183" s="31" t="inlineStr">
        <is>
          <t>miscellaneous</t>
        </is>
      </c>
      <c r="E183" s="31" t="inlineStr">
        <is>
          <t>midcap</t>
        </is>
      </c>
      <c r="F183" s="31" t="n">
        <v>5835.05</v>
      </c>
      <c r="G183" s="31" t="n">
        <v>134.6</v>
      </c>
      <c r="H183" s="31" t="n">
        <v>1.77</v>
      </c>
      <c r="I183" s="31" t="n">
        <v>2115857</v>
      </c>
      <c r="J183" s="31" t="inlineStr">
        <is>
          <t>543965</t>
        </is>
      </c>
    </row>
    <row r="184">
      <c r="A184" s="31" t="inlineStr">
        <is>
          <t>BFINVEST</t>
        </is>
      </c>
      <c r="B184" s="31" t="inlineStr">
        <is>
          <t>Bf Investment Limited</t>
        </is>
      </c>
      <c r="C184" s="31" t="inlineStr">
        <is>
          <t>financials</t>
        </is>
      </c>
      <c r="D184" s="31" t="inlineStr">
        <is>
          <t>finance &amp; investments</t>
        </is>
      </c>
      <c r="E184" s="31" t="inlineStr">
        <is>
          <t>smallcap</t>
        </is>
      </c>
      <c r="F184" s="31" t="n">
        <v>1647.21</v>
      </c>
      <c r="G184" s="31" t="n">
        <v>445</v>
      </c>
      <c r="H184" s="31" t="n">
        <v>1.76</v>
      </c>
      <c r="I184" s="31" t="n">
        <v>41379</v>
      </c>
      <c r="J184" s="31" t="inlineStr">
        <is>
          <t>533303</t>
        </is>
      </c>
    </row>
    <row r="185">
      <c r="A185" s="31" t="inlineStr">
        <is>
          <t>SUPRAJIT</t>
        </is>
      </c>
      <c r="B185" s="31" t="inlineStr">
        <is>
          <t>Suprajit Engineering Limited</t>
        </is>
      </c>
      <c r="C185" s="31" t="inlineStr">
        <is>
          <t>auto</t>
        </is>
      </c>
      <c r="D185" s="31" t="inlineStr">
        <is>
          <t>auto ancillaries</t>
        </is>
      </c>
      <c r="E185" s="31" t="inlineStr">
        <is>
          <t>midcap</t>
        </is>
      </c>
      <c r="F185" s="31" t="n">
        <v>6313.99</v>
      </c>
      <c r="G185" s="31" t="n">
        <v>468.35</v>
      </c>
      <c r="H185" s="31" t="n">
        <v>1.75</v>
      </c>
      <c r="I185" s="31" t="n">
        <v>312619</v>
      </c>
      <c r="J185" s="31" t="inlineStr">
        <is>
          <t>532509</t>
        </is>
      </c>
    </row>
    <row r="186">
      <c r="A186" s="31" t="inlineStr">
        <is>
          <t>STARHEALTH</t>
        </is>
      </c>
      <c r="B186" s="31" t="inlineStr">
        <is>
          <t>Star Health &amp; Allied Insurance Company Ltd</t>
        </is>
      </c>
      <c r="C186" s="31" t="inlineStr">
        <is>
          <t>financials</t>
        </is>
      </c>
      <c r="D186" s="31" t="inlineStr">
        <is>
          <t>finance &amp; investments</t>
        </is>
      </c>
      <c r="E186" s="31" t="inlineStr">
        <is>
          <t>largecap</t>
        </is>
      </c>
      <c r="F186" s="31" t="n">
        <v>30573.45</v>
      </c>
      <c r="G186" s="31" t="n">
        <v>528.65</v>
      </c>
      <c r="H186" s="31" t="n">
        <v>1.74</v>
      </c>
      <c r="I186" s="31" t="n">
        <v>289392</v>
      </c>
      <c r="J186" s="31" t="inlineStr">
        <is>
          <t>543412</t>
        </is>
      </c>
    </row>
    <row r="187">
      <c r="A187" s="31" t="inlineStr">
        <is>
          <t>USHAMART</t>
        </is>
      </c>
      <c r="B187" s="31" t="inlineStr">
        <is>
          <t>Usha Martin Limited</t>
        </is>
      </c>
      <c r="C187" s="31" t="inlineStr">
        <is>
          <t>metals &amp; mining</t>
        </is>
      </c>
      <c r="D187" s="31" t="inlineStr">
        <is>
          <t>steel - medium / small</t>
        </is>
      </c>
      <c r="E187" s="31" t="inlineStr">
        <is>
          <t>midcap</t>
        </is>
      </c>
      <c r="F187" s="31" t="n">
        <v>14825.7</v>
      </c>
      <c r="G187" s="31" t="n">
        <v>494.95</v>
      </c>
      <c r="H187" s="31" t="n">
        <v>1.74</v>
      </c>
      <c r="I187" s="31" t="n">
        <v>407783</v>
      </c>
      <c r="J187" s="31" t="inlineStr">
        <is>
          <t>517146</t>
        </is>
      </c>
    </row>
    <row r="188">
      <c r="A188" s="31" t="inlineStr">
        <is>
          <t>INDUSINDBK</t>
        </is>
      </c>
      <c r="B188" s="31" t="inlineStr">
        <is>
          <t>Indusind Bank Limited</t>
        </is>
      </c>
      <c r="C188" s="31" t="inlineStr">
        <is>
          <t>bank</t>
        </is>
      </c>
      <c r="D188" s="31" t="inlineStr">
        <is>
          <t>banks - private sector</t>
        </is>
      </c>
      <c r="E188" s="31" t="inlineStr">
        <is>
          <t>largecap</t>
        </is>
      </c>
      <c r="F188" s="31" t="n">
        <v>71471.3</v>
      </c>
      <c r="G188" s="31" t="n">
        <v>933.2</v>
      </c>
      <c r="H188" s="31" t="n">
        <v>1.73</v>
      </c>
      <c r="I188" s="31" t="n">
        <v>3037001</v>
      </c>
      <c r="J188" s="31" t="inlineStr">
        <is>
          <t>532187</t>
        </is>
      </c>
    </row>
    <row r="189">
      <c r="A189" s="31" t="inlineStr">
        <is>
          <t>KEI</t>
        </is>
      </c>
      <c r="B189" s="31" t="inlineStr">
        <is>
          <t>Kei Industries Limited</t>
        </is>
      </c>
      <c r="C189" s="31" t="inlineStr">
        <is>
          <t>industrials</t>
        </is>
      </c>
      <c r="D189" s="31" t="inlineStr">
        <is>
          <t>cables - power</t>
        </is>
      </c>
      <c r="E189" s="31" t="inlineStr">
        <is>
          <t>largecap</t>
        </is>
      </c>
      <c r="F189" s="31" t="n">
        <v>51332.74</v>
      </c>
      <c r="G189" s="31" t="n">
        <v>5460.5</v>
      </c>
      <c r="H189" s="31" t="n">
        <v>1.69</v>
      </c>
      <c r="I189" s="31" t="n">
        <v>244814</v>
      </c>
      <c r="J189" s="31" t="inlineStr">
        <is>
          <t>517569</t>
        </is>
      </c>
    </row>
    <row r="190">
      <c r="A190" s="31" t="inlineStr">
        <is>
          <t>TMPV</t>
        </is>
      </c>
      <c r="B190" s="31" t="inlineStr">
        <is>
          <t>Tata Motors Passenger Vehicles Ltd</t>
        </is>
      </c>
      <c r="C190" s="31" t="inlineStr">
        <is>
          <t>auto</t>
        </is>
      </c>
      <c r="D190" s="31" t="inlineStr">
        <is>
          <t>automobiles - passenger cars</t>
        </is>
      </c>
      <c r="E190" s="31" t="inlineStr">
        <is>
          <t>largecap</t>
        </is>
      </c>
      <c r="F190" s="31" t="n">
        <v>143612.73</v>
      </c>
      <c r="G190" s="31" t="n">
        <v>396.4</v>
      </c>
      <c r="H190" s="31" t="n">
        <v>1.64</v>
      </c>
      <c r="I190" s="31" t="n">
        <v>11097635</v>
      </c>
      <c r="J190" s="31" t="inlineStr">
        <is>
          <t>500570</t>
        </is>
      </c>
    </row>
    <row r="191">
      <c r="A191" s="31" t="inlineStr">
        <is>
          <t>J&amp;KBANK</t>
        </is>
      </c>
      <c r="B191" s="31" t="inlineStr">
        <is>
          <t>The Jammu &amp; Kashmir Bank Limited</t>
        </is>
      </c>
      <c r="C191" s="31" t="inlineStr">
        <is>
          <t>bank</t>
        </is>
      </c>
      <c r="D191" s="31" t="inlineStr">
        <is>
          <t>banks - private sector</t>
        </is>
      </c>
      <c r="E191" s="31" t="inlineStr">
        <is>
          <t>midcap</t>
        </is>
      </c>
      <c r="F191" s="31" t="n">
        <v>17332.61</v>
      </c>
      <c r="G191" s="31" t="n">
        <v>159.91</v>
      </c>
      <c r="H191" s="31" t="n">
        <v>1.59</v>
      </c>
      <c r="I191" s="31" t="n">
        <v>6242841</v>
      </c>
      <c r="J191" s="31" t="inlineStr">
        <is>
          <t>532209</t>
        </is>
      </c>
    </row>
    <row r="192">
      <c r="A192" s="31" t="inlineStr">
        <is>
          <t>VTL</t>
        </is>
      </c>
      <c r="B192" s="31" t="inlineStr">
        <is>
          <t>Vardhman Textiles Limited</t>
        </is>
      </c>
      <c r="C192" s="31" t="inlineStr">
        <is>
          <t>textiles</t>
        </is>
      </c>
      <c r="D192" s="31" t="inlineStr">
        <is>
          <t>textiles - cotton/blended</t>
        </is>
      </c>
      <c r="E192" s="31" t="inlineStr">
        <is>
          <t>midcap</t>
        </is>
      </c>
      <c r="F192" s="31" t="n">
        <v>18162.56</v>
      </c>
      <c r="G192" s="31" t="n">
        <v>637.8</v>
      </c>
      <c r="H192" s="31" t="n">
        <v>1.58</v>
      </c>
      <c r="I192" s="31" t="n">
        <v>909584</v>
      </c>
      <c r="J192" s="31" t="inlineStr">
        <is>
          <t>502986</t>
        </is>
      </c>
    </row>
    <row r="193">
      <c r="A193" s="31" t="inlineStr">
        <is>
          <t>SIS</t>
        </is>
      </c>
      <c r="B193" s="31" t="inlineStr">
        <is>
          <t>Security &amp; Intelligence Services India</t>
        </is>
      </c>
      <c r="C193" s="31" t="inlineStr">
        <is>
          <t>miscellaneous</t>
        </is>
      </c>
      <c r="D193" s="31" t="inlineStr">
        <is>
          <t>miscellaneous</t>
        </is>
      </c>
      <c r="E193" s="31" t="inlineStr">
        <is>
          <t>midcap</t>
        </is>
      </c>
      <c r="F193" s="31" t="n">
        <v>5949.68</v>
      </c>
      <c r="G193" s="31" t="n">
        <v>427.75</v>
      </c>
      <c r="H193" s="31" t="n">
        <v>1.57</v>
      </c>
      <c r="I193" s="31" t="n">
        <v>100650</v>
      </c>
      <c r="J193" s="31" t="inlineStr">
        <is>
          <t>540673</t>
        </is>
      </c>
    </row>
    <row r="194">
      <c r="A194" s="31" t="inlineStr">
        <is>
          <t>NRL</t>
        </is>
      </c>
      <c r="B194" s="31" t="inlineStr">
        <is>
          <t>Nupur Recyclers Ltd</t>
        </is>
      </c>
      <c r="C194" s="31" t="inlineStr">
        <is>
          <t>services</t>
        </is>
      </c>
      <c r="D194" s="31" t="inlineStr">
        <is>
          <t>trading</t>
        </is>
      </c>
      <c r="E194" s="31" t="inlineStr">
        <is>
          <t>smallcap</t>
        </is>
      </c>
      <c r="F194" s="31" t="n">
        <v>515.05</v>
      </c>
      <c r="G194" s="31" t="n">
        <v>75.73</v>
      </c>
      <c r="H194" s="31" t="n">
        <v>1.56</v>
      </c>
      <c r="I194" s="31" t="n">
        <v>87937</v>
      </c>
      <c r="J194" s="31" t="inlineStr">
        <is>
          <t>535413</t>
        </is>
      </c>
    </row>
    <row r="195">
      <c r="A195" s="31" t="inlineStr">
        <is>
          <t>KAPSTON</t>
        </is>
      </c>
      <c r="B195" s="31" t="inlineStr">
        <is>
          <t>Kapston Services Ltd</t>
        </is>
      </c>
      <c r="C195" s="31" t="inlineStr">
        <is>
          <t>miscellaneous</t>
        </is>
      </c>
      <c r="D195" s="31" t="inlineStr">
        <is>
          <t>miscellaneous</t>
        </is>
      </c>
      <c r="E195" s="31" t="inlineStr">
        <is>
          <t>smallcap</t>
        </is>
      </c>
      <c r="F195" s="31" t="n">
        <v>1032.26</v>
      </c>
      <c r="G195" s="31" t="n">
        <v>344.5</v>
      </c>
      <c r="H195" s="31" t="n">
        <v>1.56</v>
      </c>
      <c r="I195" s="31" t="n">
        <v>15622</v>
      </c>
      <c r="J195" s="31" t="inlineStr">
        <is>
          <t>535064</t>
        </is>
      </c>
    </row>
    <row r="196">
      <c r="A196" s="31" t="inlineStr">
        <is>
          <t>MSPL</t>
        </is>
      </c>
      <c r="B196" s="31" t="inlineStr">
        <is>
          <t>Msp Steel &amp; Power Limited</t>
        </is>
      </c>
      <c r="C196" s="31" t="inlineStr">
        <is>
          <t>metals &amp; mining</t>
        </is>
      </c>
      <c r="D196" s="31" t="inlineStr">
        <is>
          <t>steel - medium / small</t>
        </is>
      </c>
      <c r="E196" s="31" t="inlineStr">
        <is>
          <t>smallcap</t>
        </is>
      </c>
      <c r="F196" s="31" t="n">
        <v>2350.51</v>
      </c>
      <c r="G196" s="31" t="n">
        <v>42.11</v>
      </c>
      <c r="H196" s="31" t="n">
        <v>1.54</v>
      </c>
      <c r="I196" s="31" t="n">
        <v>6117843</v>
      </c>
      <c r="J196" s="31" t="inlineStr">
        <is>
          <t>532650</t>
        </is>
      </c>
    </row>
    <row r="197">
      <c r="A197" s="31" t="inlineStr">
        <is>
          <t>INDHOTEL</t>
        </is>
      </c>
      <c r="B197" s="31" t="inlineStr">
        <is>
          <t>The Indian Hotels Company Limited</t>
        </is>
      </c>
      <c r="C197" s="31" t="inlineStr">
        <is>
          <t>services</t>
        </is>
      </c>
      <c r="D197" s="31" t="inlineStr">
        <is>
          <t>hotels</t>
        </is>
      </c>
      <c r="E197" s="31" t="inlineStr">
        <is>
          <t>largecap</t>
        </is>
      </c>
      <c r="F197" s="31" t="n">
        <v>96715.10000000001</v>
      </c>
      <c r="G197" s="31" t="n">
        <v>689.85</v>
      </c>
      <c r="H197" s="31" t="n">
        <v>1.53</v>
      </c>
      <c r="I197" s="31" t="n">
        <v>2663696</v>
      </c>
      <c r="J197" s="31" t="inlineStr">
        <is>
          <t>500850</t>
        </is>
      </c>
    </row>
    <row r="198">
      <c r="A198" s="31" t="inlineStr">
        <is>
          <t>NEOGEN</t>
        </is>
      </c>
      <c r="B198" s="31" t="inlineStr">
        <is>
          <t>Neogen Chemicals Ltd</t>
        </is>
      </c>
      <c r="C198" s="31" t="inlineStr">
        <is>
          <t>chemicals</t>
        </is>
      </c>
      <c r="D198" s="31" t="inlineStr">
        <is>
          <t>chemicals</t>
        </is>
      </c>
      <c r="E198" s="31" t="inlineStr">
        <is>
          <t>midcap</t>
        </is>
      </c>
      <c r="F198" s="31" t="n">
        <v>5568.61</v>
      </c>
      <c r="G198" s="31" t="n">
        <v>2064.4</v>
      </c>
      <c r="H198" s="31" t="n">
        <v>1.51</v>
      </c>
      <c r="I198" s="31" t="n">
        <v>111918</v>
      </c>
      <c r="J198" s="31" t="inlineStr">
        <is>
          <t>542665</t>
        </is>
      </c>
    </row>
    <row r="199">
      <c r="A199" s="31" t="inlineStr">
        <is>
          <t>ICIL</t>
        </is>
      </c>
      <c r="B199" s="31" t="inlineStr">
        <is>
          <t>Indo Count Industries Limited</t>
        </is>
      </c>
      <c r="C199" s="31" t="inlineStr">
        <is>
          <t>textiles</t>
        </is>
      </c>
      <c r="D199" s="31" t="inlineStr">
        <is>
          <t>textiles - cotton/blended</t>
        </is>
      </c>
      <c r="E199" s="31" t="inlineStr">
        <is>
          <t>midcap</t>
        </is>
      </c>
      <c r="F199" s="31" t="n">
        <v>6821.98</v>
      </c>
      <c r="G199" s="31" t="n">
        <v>349.6</v>
      </c>
      <c r="H199" s="31" t="n">
        <v>1.5</v>
      </c>
      <c r="I199" s="31" t="n">
        <v>522016</v>
      </c>
      <c r="J199" s="31" t="inlineStr">
        <is>
          <t>521016</t>
        </is>
      </c>
    </row>
    <row r="200">
      <c r="A200" s="31" t="inlineStr">
        <is>
          <t>DLINKINDIA</t>
        </is>
      </c>
      <c r="B200" s="31" t="inlineStr">
        <is>
          <t>D-link (india) Limited</t>
        </is>
      </c>
      <c r="C200" s="31" t="inlineStr">
        <is>
          <t>services</t>
        </is>
      </c>
      <c r="D200" s="31" t="inlineStr">
        <is>
          <t>trading</t>
        </is>
      </c>
      <c r="E200" s="31" t="inlineStr">
        <is>
          <t>smallcap</t>
        </is>
      </c>
      <c r="F200" s="31" t="n">
        <v>1781.1</v>
      </c>
      <c r="G200" s="31" t="n">
        <v>509.1</v>
      </c>
      <c r="H200" s="31" t="n">
        <v>1.49</v>
      </c>
      <c r="I200" s="31" t="n">
        <v>138419</v>
      </c>
      <c r="J200" s="31" t="inlineStr">
        <is>
          <t>533146</t>
        </is>
      </c>
    </row>
    <row r="201">
      <c r="A201" s="31" t="inlineStr">
        <is>
          <t>WELENT</t>
        </is>
      </c>
      <c r="B201" s="31" t="inlineStr">
        <is>
          <t>Welspun Enterprises Limited</t>
        </is>
      </c>
      <c r="C201" s="31" t="inlineStr">
        <is>
          <t>realty</t>
        </is>
      </c>
      <c r="D201" s="31" t="inlineStr">
        <is>
          <t>construction</t>
        </is>
      </c>
      <c r="E201" s="31" t="inlineStr">
        <is>
          <t>midcap</t>
        </is>
      </c>
      <c r="F201" s="31" t="n">
        <v>7643.9</v>
      </c>
      <c r="G201" s="31" t="n">
        <v>560.35</v>
      </c>
      <c r="H201" s="31" t="n">
        <v>1.47</v>
      </c>
      <c r="I201" s="31" t="n">
        <v>167750</v>
      </c>
      <c r="J201" s="31" t="inlineStr">
        <is>
          <t>532553</t>
        </is>
      </c>
    </row>
    <row r="202">
      <c r="A202" s="31" t="inlineStr">
        <is>
          <t>KIRLPNU</t>
        </is>
      </c>
      <c r="B202" s="31" t="inlineStr">
        <is>
          <t>Kirloskar Pneumatic Company Ltd</t>
        </is>
      </c>
      <c r="C202" s="31" t="inlineStr">
        <is>
          <t>industrials</t>
        </is>
      </c>
      <c r="D202" s="31" t="inlineStr">
        <is>
          <t>compressors / drilling equipment</t>
        </is>
      </c>
      <c r="E202" s="31" t="inlineStr">
        <is>
          <t>midcap</t>
        </is>
      </c>
      <c r="F202" s="31" t="n">
        <v>10432.29</v>
      </c>
      <c r="G202" s="31" t="n">
        <v>1629.2</v>
      </c>
      <c r="H202" s="31" t="n">
        <v>1.44</v>
      </c>
      <c r="I202" s="31" t="n">
        <v>84431</v>
      </c>
      <c r="J202" s="31" t="inlineStr">
        <is>
          <t>505283</t>
        </is>
      </c>
    </row>
    <row r="203">
      <c r="A203" s="31" t="inlineStr">
        <is>
          <t>TINNARUBR</t>
        </is>
      </c>
      <c r="B203" s="31" t="inlineStr">
        <is>
          <t>Tinna Rubber &amp; Infrastructure Ltd</t>
        </is>
      </c>
      <c r="C203" s="31" t="inlineStr">
        <is>
          <t>fmcg</t>
        </is>
      </c>
      <c r="D203" s="31" t="inlineStr">
        <is>
          <t>miscellaneous</t>
        </is>
      </c>
      <c r="E203" s="31" t="inlineStr">
        <is>
          <t>smallcap</t>
        </is>
      </c>
      <c r="F203" s="31" t="n">
        <v>1537.92</v>
      </c>
      <c r="G203" s="31" t="n">
        <v>865.85</v>
      </c>
      <c r="H203" s="31" t="n">
        <v>1.43</v>
      </c>
      <c r="I203" s="31" t="n">
        <v>49498</v>
      </c>
      <c r="J203" s="31" t="inlineStr">
        <is>
          <t>530475</t>
        </is>
      </c>
    </row>
    <row r="204">
      <c r="A204" s="31" t="inlineStr">
        <is>
          <t>TATATECH</t>
        </is>
      </c>
      <c r="B204" s="31" t="inlineStr">
        <is>
          <t>Tata Technologies Ltd</t>
        </is>
      </c>
      <c r="C204" s="31" t="inlineStr">
        <is>
          <t>i.t</t>
        </is>
      </c>
      <c r="D204" s="31" t="inlineStr">
        <is>
          <t>computers - software - medium / small</t>
        </is>
      </c>
      <c r="E204" s="31" t="inlineStr">
        <is>
          <t>largecap</t>
        </is>
      </c>
      <c r="F204" s="31" t="n">
        <v>30895.03</v>
      </c>
      <c r="G204" s="31" t="n">
        <v>771.9</v>
      </c>
      <c r="H204" s="31" t="n">
        <v>1.43</v>
      </c>
      <c r="I204" s="31" t="n">
        <v>1357665</v>
      </c>
      <c r="J204" s="31" t="inlineStr">
        <is>
          <t>544028</t>
        </is>
      </c>
    </row>
    <row r="205">
      <c r="A205" s="31" t="inlineStr">
        <is>
          <t>TEGA</t>
        </is>
      </c>
      <c r="B205" s="31" t="inlineStr">
        <is>
          <t>Tega Industries Ltd</t>
        </is>
      </c>
      <c r="C205" s="31" t="inlineStr">
        <is>
          <t>industrials</t>
        </is>
      </c>
      <c r="D205" s="31" t="inlineStr">
        <is>
          <t>engineering</t>
        </is>
      </c>
      <c r="E205" s="31" t="inlineStr">
        <is>
          <t>midcap</t>
        </is>
      </c>
      <c r="F205" s="31" t="n">
        <v>13196.18</v>
      </c>
      <c r="G205" s="31" t="n">
        <v>1781.7</v>
      </c>
      <c r="H205" s="31" t="n">
        <v>1.43</v>
      </c>
      <c r="I205" s="31" t="n">
        <v>80855</v>
      </c>
      <c r="J205" s="31" t="inlineStr">
        <is>
          <t>543413</t>
        </is>
      </c>
    </row>
    <row r="206">
      <c r="A206" s="31" t="inlineStr">
        <is>
          <t>RADICO</t>
        </is>
      </c>
      <c r="B206" s="31" t="inlineStr">
        <is>
          <t>Radico Khaitan Limited</t>
        </is>
      </c>
      <c r="C206" s="31" t="inlineStr">
        <is>
          <t>fmcg</t>
        </is>
      </c>
      <c r="D206" s="31" t="inlineStr">
        <is>
          <t>breweries &amp; distilleries</t>
        </is>
      </c>
      <c r="E206" s="31" t="inlineStr">
        <is>
          <t>largecap</t>
        </is>
      </c>
      <c r="F206" s="31" t="n">
        <v>47422.63</v>
      </c>
      <c r="G206" s="31" t="n">
        <v>3592</v>
      </c>
      <c r="H206" s="31" t="n">
        <v>1.42</v>
      </c>
      <c r="I206" s="31" t="n">
        <v>300882</v>
      </c>
      <c r="J206" s="31" t="inlineStr">
        <is>
          <t>532497</t>
        </is>
      </c>
    </row>
    <row r="207">
      <c r="A207" s="31" t="inlineStr">
        <is>
          <t>TALBROAUTO</t>
        </is>
      </c>
      <c r="B207" s="31" t="inlineStr">
        <is>
          <t>Talbros Automotive Components Limited</t>
        </is>
      </c>
      <c r="C207" s="31" t="inlineStr">
        <is>
          <t>auto</t>
        </is>
      </c>
      <c r="D207" s="31" t="inlineStr">
        <is>
          <t>auto ancillaries</t>
        </is>
      </c>
      <c r="E207" s="31" t="inlineStr">
        <is>
          <t>smallcap</t>
        </is>
      </c>
      <c r="F207" s="31" t="n">
        <v>2220.67</v>
      </c>
      <c r="G207" s="31" t="n">
        <v>364.8</v>
      </c>
      <c r="H207" s="31" t="n">
        <v>1.4</v>
      </c>
      <c r="I207" s="31" t="n">
        <v>381398</v>
      </c>
      <c r="J207" s="31" t="inlineStr">
        <is>
          <t>505160</t>
        </is>
      </c>
    </row>
    <row r="208">
      <c r="A208" s="31" t="inlineStr">
        <is>
          <t>SSWL</t>
        </is>
      </c>
      <c r="B208" s="31" t="inlineStr">
        <is>
          <t>Steel Strips Wheels Limited</t>
        </is>
      </c>
      <c r="C208" s="31" t="inlineStr">
        <is>
          <t>auto</t>
        </is>
      </c>
      <c r="D208" s="31" t="inlineStr">
        <is>
          <t>auto ancillaries</t>
        </is>
      </c>
      <c r="E208" s="31" t="inlineStr">
        <is>
          <t>smallcap</t>
        </is>
      </c>
      <c r="F208" s="31" t="n">
        <v>3640.77</v>
      </c>
      <c r="G208" s="31" t="n">
        <v>234.84</v>
      </c>
      <c r="H208" s="31" t="n">
        <v>1.39</v>
      </c>
      <c r="I208" s="31" t="n">
        <v>1351249</v>
      </c>
      <c r="J208" s="31" t="inlineStr">
        <is>
          <t>513262</t>
        </is>
      </c>
    </row>
    <row r="209">
      <c r="A209" s="31" t="inlineStr">
        <is>
          <t>SURYODAY</t>
        </is>
      </c>
      <c r="B209" s="31" t="inlineStr">
        <is>
          <t>Suryoday Small Finance Bank Ltd</t>
        </is>
      </c>
      <c r="C209" s="31" t="inlineStr">
        <is>
          <t>bank</t>
        </is>
      </c>
      <c r="D209" s="31" t="inlineStr">
        <is>
          <t>banks - private sector</t>
        </is>
      </c>
      <c r="E209" s="31" t="inlineStr">
        <is>
          <t>smallcap</t>
        </is>
      </c>
      <c r="F209" s="31" t="n">
        <v>1803.21</v>
      </c>
      <c r="G209" s="31" t="n">
        <v>171.89</v>
      </c>
      <c r="H209" s="31" t="n">
        <v>1.32</v>
      </c>
      <c r="I209" s="31" t="n">
        <v>347090</v>
      </c>
      <c r="J209" s="31" t="inlineStr">
        <is>
          <t>543279</t>
        </is>
      </c>
    </row>
    <row r="210">
      <c r="A210" s="31" t="inlineStr">
        <is>
          <t>THYROCARE</t>
        </is>
      </c>
      <c r="B210" s="31" t="inlineStr">
        <is>
          <t>Thyrocare Technologies Limited</t>
        </is>
      </c>
      <c r="C210" s="31" t="inlineStr">
        <is>
          <t>healthcare</t>
        </is>
      </c>
      <c r="D210" s="31" t="inlineStr">
        <is>
          <t>healthcare</t>
        </is>
      </c>
      <c r="E210" s="31" t="inlineStr">
        <is>
          <t>midcap</t>
        </is>
      </c>
      <c r="F210" s="31" t="n">
        <v>8418.25</v>
      </c>
      <c r="G210" s="31" t="n">
        <v>535.6</v>
      </c>
      <c r="H210" s="31" t="n">
        <v>1.27</v>
      </c>
      <c r="I210" s="31" t="n">
        <v>385967</v>
      </c>
      <c r="J210" s="31" t="inlineStr">
        <is>
          <t>539871</t>
        </is>
      </c>
    </row>
    <row r="211">
      <c r="A211" s="31" t="inlineStr">
        <is>
          <t>SOTL</t>
        </is>
      </c>
      <c r="B211" s="31" t="inlineStr">
        <is>
          <t>Savita Oil Technologies Limited</t>
        </is>
      </c>
      <c r="C211" s="31" t="inlineStr">
        <is>
          <t>energy</t>
        </is>
      </c>
      <c r="D211" s="31" t="inlineStr">
        <is>
          <t>petrochemicals</t>
        </is>
      </c>
      <c r="E211" s="31" t="inlineStr">
        <is>
          <t>smallcap</t>
        </is>
      </c>
      <c r="F211" s="31" t="n">
        <v>3910.34</v>
      </c>
      <c r="G211" s="31" t="n">
        <v>577.55</v>
      </c>
      <c r="H211" s="31" t="n">
        <v>1.26</v>
      </c>
      <c r="I211" s="31" t="n">
        <v>1218159</v>
      </c>
      <c r="J211" s="31" t="inlineStr">
        <is>
          <t>524667</t>
        </is>
      </c>
    </row>
    <row r="212">
      <c r="A212" s="31" t="inlineStr">
        <is>
          <t>PIXTRANS</t>
        </is>
      </c>
      <c r="B212" s="31" t="inlineStr">
        <is>
          <t>Pix Transmission Ltd</t>
        </is>
      </c>
      <c r="C212" s="31" t="inlineStr">
        <is>
          <t>fmcg</t>
        </is>
      </c>
      <c r="D212" s="31" t="inlineStr">
        <is>
          <t>miscellaneous</t>
        </is>
      </c>
      <c r="E212" s="31" t="inlineStr">
        <is>
          <t>smallcap</t>
        </is>
      </c>
      <c r="F212" s="31" t="n">
        <v>2185.75</v>
      </c>
      <c r="G212" s="31" t="n">
        <v>1624.4</v>
      </c>
      <c r="H212" s="31" t="n">
        <v>1.26</v>
      </c>
      <c r="I212" s="31" t="n">
        <v>10768</v>
      </c>
      <c r="J212" s="31" t="inlineStr">
        <is>
          <t>500333</t>
        </is>
      </c>
    </row>
    <row r="213">
      <c r="A213" s="31" t="inlineStr">
        <is>
          <t>LOKESHMACH</t>
        </is>
      </c>
      <c r="B213" s="31" t="inlineStr">
        <is>
          <t>Lokesh Machines Limited</t>
        </is>
      </c>
      <c r="C213" s="31" t="inlineStr">
        <is>
          <t>industrials</t>
        </is>
      </c>
      <c r="D213" s="31" t="inlineStr">
        <is>
          <t>engineering</t>
        </is>
      </c>
      <c r="E213" s="31" t="inlineStr">
        <is>
          <t>smallcap</t>
        </is>
      </c>
      <c r="F213" s="31" t="n">
        <v>565.64</v>
      </c>
      <c r="G213" s="31" t="n">
        <v>268.9</v>
      </c>
      <c r="H213" s="31" t="n">
        <v>1.24</v>
      </c>
      <c r="I213" s="31" t="n">
        <v>48147</v>
      </c>
      <c r="J213" s="31" t="inlineStr">
        <is>
          <t>532740</t>
        </is>
      </c>
    </row>
    <row r="214">
      <c r="A214" s="31" t="inlineStr">
        <is>
          <t>CENTUM</t>
        </is>
      </c>
      <c r="B214" s="31" t="inlineStr">
        <is>
          <t>Centum Electronics Limited</t>
        </is>
      </c>
      <c r="C214" s="31" t="inlineStr">
        <is>
          <t>consumer discretionary</t>
        </is>
      </c>
      <c r="D214" s="31" t="inlineStr">
        <is>
          <t>electronics - components</t>
        </is>
      </c>
      <c r="E214" s="31" t="inlineStr">
        <is>
          <t>midcap</t>
        </is>
      </c>
      <c r="F214" s="31" t="n">
        <v>5281.4</v>
      </c>
      <c r="G214" s="31" t="n">
        <v>3626.6</v>
      </c>
      <c r="H214" s="31" t="n">
        <v>1.22</v>
      </c>
      <c r="I214" s="31" t="n">
        <v>97703</v>
      </c>
      <c r="J214" s="31" t="inlineStr">
        <is>
          <t>517544</t>
        </is>
      </c>
    </row>
    <row r="215">
      <c r="A215" s="31" t="inlineStr">
        <is>
          <t>RANEHOLDIN</t>
        </is>
      </c>
      <c r="B215" s="31" t="inlineStr">
        <is>
          <t>Rane Holdings Limited</t>
        </is>
      </c>
      <c r="C215" s="31" t="inlineStr">
        <is>
          <t>financials</t>
        </is>
      </c>
      <c r="D215" s="31" t="inlineStr">
        <is>
          <t>finance &amp; investments</t>
        </is>
      </c>
      <c r="E215" s="31" t="inlineStr">
        <is>
          <t>smallcap</t>
        </is>
      </c>
      <c r="F215" s="31" t="n">
        <v>2070.28</v>
      </c>
      <c r="G215" s="31" t="n">
        <v>1467.7</v>
      </c>
      <c r="H215" s="31" t="n">
        <v>1.22</v>
      </c>
      <c r="I215" s="31" t="n">
        <v>9158</v>
      </c>
      <c r="J215" s="31" t="inlineStr">
        <is>
          <t>505800</t>
        </is>
      </c>
    </row>
    <row r="216">
      <c r="A216" s="31" t="inlineStr">
        <is>
          <t>CARBORUNIV</t>
        </is>
      </c>
      <c r="B216" s="31" t="inlineStr">
        <is>
          <t>Carborundum Universal Limited</t>
        </is>
      </c>
      <c r="C216" s="31" t="inlineStr">
        <is>
          <t>industrials</t>
        </is>
      </c>
      <c r="D216" s="31" t="inlineStr">
        <is>
          <t>abrasives and grinding wheels</t>
        </is>
      </c>
      <c r="E216" s="31" t="inlineStr">
        <is>
          <t>largecap</t>
        </is>
      </c>
      <c r="F216" s="31" t="n">
        <v>20060.77</v>
      </c>
      <c r="G216" s="31" t="n">
        <v>1065.9</v>
      </c>
      <c r="H216" s="31" t="n">
        <v>1.22</v>
      </c>
      <c r="I216" s="31" t="n">
        <v>142437</v>
      </c>
      <c r="J216" s="31" t="inlineStr">
        <is>
          <t>513375</t>
        </is>
      </c>
    </row>
    <row r="217">
      <c r="A217" s="31" t="inlineStr">
        <is>
          <t>GNFC</t>
        </is>
      </c>
      <c r="B217" s="31" t="inlineStr">
        <is>
          <t>Gujarat Narmada Valley Fertilizers And Chemicals Limited</t>
        </is>
      </c>
      <c r="C217" s="31" t="inlineStr">
        <is>
          <t>chemicals</t>
        </is>
      </c>
      <c r="D217" s="31" t="inlineStr">
        <is>
          <t>chemicals</t>
        </is>
      </c>
      <c r="E217" s="31" t="inlineStr">
        <is>
          <t>midcap</t>
        </is>
      </c>
      <c r="F217" s="31" t="n">
        <v>7403.61</v>
      </c>
      <c r="G217" s="31" t="n">
        <v>509.95</v>
      </c>
      <c r="H217" s="31" t="n">
        <v>1.21</v>
      </c>
      <c r="I217" s="31" t="n">
        <v>323032</v>
      </c>
      <c r="J217" s="31" t="inlineStr">
        <is>
          <t>500670</t>
        </is>
      </c>
    </row>
    <row r="218">
      <c r="A218" s="31" t="inlineStr">
        <is>
          <t>JSWINFRA</t>
        </is>
      </c>
      <c r="B218" s="31" t="inlineStr">
        <is>
          <t>JSW Infrastructure Ltd</t>
        </is>
      </c>
      <c r="C218" s="31" t="inlineStr">
        <is>
          <t>transportation</t>
        </is>
      </c>
      <c r="D218" s="31" t="inlineStr">
        <is>
          <t>miscellaneous</t>
        </is>
      </c>
      <c r="E218" s="31" t="inlineStr">
        <is>
          <t>largecap</t>
        </is>
      </c>
      <c r="F218" s="31" t="n">
        <v>61110.05</v>
      </c>
      <c r="G218" s="31" t="n">
        <v>294.45</v>
      </c>
      <c r="H218" s="31" t="n">
        <v>1.19</v>
      </c>
      <c r="I218" s="31" t="n">
        <v>4516301</v>
      </c>
      <c r="J218" s="31" t="inlineStr">
        <is>
          <t>543994</t>
        </is>
      </c>
    </row>
    <row r="219">
      <c r="A219" s="31" t="inlineStr">
        <is>
          <t>SOMANYCERA</t>
        </is>
      </c>
      <c r="B219" s="31" t="inlineStr">
        <is>
          <t>Somany Ceramics Limited</t>
        </is>
      </c>
      <c r="C219" s="31" t="inlineStr">
        <is>
          <t>building materials</t>
        </is>
      </c>
      <c r="D219" s="31" t="inlineStr">
        <is>
          <t>ceramics - tiles / sanitaryware</t>
        </is>
      </c>
      <c r="E219" s="31" t="inlineStr">
        <is>
          <t>smallcap</t>
        </is>
      </c>
      <c r="F219" s="31" t="n">
        <v>2108.67</v>
      </c>
      <c r="G219" s="31" t="n">
        <v>520.1</v>
      </c>
      <c r="H219" s="31" t="n">
        <v>1.16</v>
      </c>
      <c r="I219" s="31" t="n">
        <v>135201</v>
      </c>
      <c r="J219" s="31" t="inlineStr">
        <is>
          <t>531548</t>
        </is>
      </c>
    </row>
    <row r="220">
      <c r="A220" s="31" t="inlineStr">
        <is>
          <t>IBULLSLTD</t>
        </is>
      </c>
      <c r="B220" s="31" t="inlineStr">
        <is>
          <t>Indiabulls Limited</t>
        </is>
      </c>
      <c r="C220" s="31" t="inlineStr">
        <is>
          <t>miscellaneous</t>
        </is>
      </c>
      <c r="D220" s="31" t="inlineStr">
        <is>
          <t>diversified - medium / small</t>
        </is>
      </c>
      <c r="E220" s="31" t="inlineStr">
        <is>
          <t>midcap</t>
        </is>
      </c>
      <c r="F220" s="31" t="n">
        <v>5464.62</v>
      </c>
      <c r="G220" s="31" t="n">
        <v>23.78</v>
      </c>
      <c r="H220" s="31" t="n">
        <v>1.15</v>
      </c>
      <c r="I220" s="31" t="n">
        <v>3678800</v>
      </c>
      <c r="J220" s="31" t="inlineStr">
        <is>
          <t>533520</t>
        </is>
      </c>
    </row>
    <row r="221">
      <c r="A221" s="31" t="inlineStr">
        <is>
          <t>PANAMAPET</t>
        </is>
      </c>
      <c r="B221" s="31" t="inlineStr">
        <is>
          <t>Panama Petrochem Limited</t>
        </is>
      </c>
      <c r="C221" s="31" t="inlineStr">
        <is>
          <t>energy</t>
        </is>
      </c>
      <c r="D221" s="31" t="inlineStr">
        <is>
          <t>petrochemicals</t>
        </is>
      </c>
      <c r="E221" s="31" t="inlineStr">
        <is>
          <t>smallcap</t>
        </is>
      </c>
      <c r="F221" s="31" t="n">
        <v>2282.12</v>
      </c>
      <c r="G221" s="31" t="n">
        <v>381.5</v>
      </c>
      <c r="H221" s="31" t="n">
        <v>1.13</v>
      </c>
      <c r="I221" s="31" t="n">
        <v>158432</v>
      </c>
      <c r="J221" s="31" t="inlineStr">
        <is>
          <t>524820</t>
        </is>
      </c>
    </row>
    <row r="222">
      <c r="A222" s="31" t="inlineStr">
        <is>
          <t>CREST</t>
        </is>
      </c>
      <c r="B222" s="31" t="inlineStr">
        <is>
          <t>Crest Ventures Limited</t>
        </is>
      </c>
      <c r="C222" s="31" t="inlineStr">
        <is>
          <t>financials</t>
        </is>
      </c>
      <c r="D222" s="31" t="inlineStr">
        <is>
          <t>finance &amp; investments</t>
        </is>
      </c>
      <c r="E222" s="31" t="inlineStr">
        <is>
          <t>smallcap</t>
        </is>
      </c>
      <c r="F222" s="31" t="n">
        <v>1077.82</v>
      </c>
      <c r="G222" s="31" t="n">
        <v>382.9</v>
      </c>
      <c r="H222" s="31" t="n">
        <v>1.07</v>
      </c>
      <c r="I222" s="31" t="n">
        <v>7445</v>
      </c>
      <c r="J222" s="31" t="inlineStr">
        <is>
          <t>511413</t>
        </is>
      </c>
    </row>
    <row r="223">
      <c r="A223" s="31" t="inlineStr">
        <is>
          <t>MARINE</t>
        </is>
      </c>
      <c r="B223" s="31" t="inlineStr">
        <is>
          <t>Marine Electricals (India) Ltd</t>
        </is>
      </c>
      <c r="C223" s="31" t="inlineStr">
        <is>
          <t>industrials</t>
        </is>
      </c>
      <c r="D223" s="31" t="inlineStr">
        <is>
          <t>electric equipment</t>
        </is>
      </c>
      <c r="E223" s="31" t="inlineStr">
        <is>
          <t>smallcap</t>
        </is>
      </c>
      <c r="F223" s="31" t="n">
        <v>598.73</v>
      </c>
      <c r="G223" s="31" t="n">
        <v>246.65</v>
      </c>
      <c r="H223" s="31" t="n">
        <v>1.07</v>
      </c>
      <c r="I223" s="31" t="n">
        <v>458056</v>
      </c>
      <c r="J223" s="31" t="inlineStr">
        <is>
          <t>535119</t>
        </is>
      </c>
    </row>
    <row r="224">
      <c r="A224" s="31" t="inlineStr">
        <is>
          <t>VENUSPIPES</t>
        </is>
      </c>
      <c r="B224" s="31" t="inlineStr">
        <is>
          <t>Venus Pipes &amp; Tubes Ltd</t>
        </is>
      </c>
      <c r="C224" s="31" t="inlineStr">
        <is>
          <t>metals &amp; mining</t>
        </is>
      </c>
      <c r="D224" s="31" t="inlineStr">
        <is>
          <t>steel - medium / small</t>
        </is>
      </c>
      <c r="E224" s="31" t="inlineStr">
        <is>
          <t>smallcap</t>
        </is>
      </c>
      <c r="F224" s="31" t="n">
        <v>2929.88</v>
      </c>
      <c r="G224" s="31" t="n">
        <v>1429.1</v>
      </c>
      <c r="H224" s="31" t="n">
        <v>1.05</v>
      </c>
      <c r="I224" s="31" t="n">
        <v>35868</v>
      </c>
      <c r="J224" s="31" t="inlineStr">
        <is>
          <t>543528</t>
        </is>
      </c>
    </row>
    <row r="225">
      <c r="A225" s="31" t="inlineStr">
        <is>
          <t>ASAHIINDIA</t>
        </is>
      </c>
      <c r="B225" s="31" t="inlineStr">
        <is>
          <t>Asahi India Glass Limited</t>
        </is>
      </c>
      <c r="C225" s="31" t="inlineStr">
        <is>
          <t>building materials</t>
        </is>
      </c>
      <c r="D225" s="31" t="inlineStr">
        <is>
          <t>glass &amp; glass products</t>
        </is>
      </c>
      <c r="E225" s="31" t="inlineStr">
        <is>
          <t>largecap</t>
        </is>
      </c>
      <c r="F225" s="31" t="n">
        <v>22525.37</v>
      </c>
      <c r="G225" s="31" t="n">
        <v>892.85</v>
      </c>
      <c r="H225" s="31" t="n">
        <v>1.05</v>
      </c>
      <c r="I225" s="31" t="n">
        <v>42685</v>
      </c>
      <c r="J225" s="31" t="inlineStr">
        <is>
          <t>515030</t>
        </is>
      </c>
    </row>
    <row r="226">
      <c r="A226" s="31" t="inlineStr">
        <is>
          <t>ADOR</t>
        </is>
      </c>
      <c r="B226" s="31" t="inlineStr">
        <is>
          <t>Ador Welding Ltd</t>
        </is>
      </c>
      <c r="C226" s="31" t="inlineStr">
        <is>
          <t>industrials</t>
        </is>
      </c>
      <c r="D226" s="31" t="inlineStr">
        <is>
          <t>electrodes - welding equipment</t>
        </is>
      </c>
      <c r="E226" s="31" t="inlineStr">
        <is>
          <t>smallcap</t>
        </is>
      </c>
      <c r="F226" s="31" t="n">
        <v>2028.65</v>
      </c>
      <c r="G226" s="31" t="n">
        <v>1177.8</v>
      </c>
      <c r="H226" s="31" t="n">
        <v>1.04</v>
      </c>
      <c r="I226" s="31" t="n">
        <v>22844</v>
      </c>
      <c r="J226" s="31" t="inlineStr">
        <is>
          <t>517041</t>
        </is>
      </c>
    </row>
    <row r="227">
      <c r="A227" s="31" t="inlineStr">
        <is>
          <t>SWANDEF</t>
        </is>
      </c>
      <c r="B227" s="31" t="inlineStr">
        <is>
          <t>Swan Defence and Heavy Industries Ltd</t>
        </is>
      </c>
      <c r="C227" s="31" t="inlineStr">
        <is>
          <t>transportation</t>
        </is>
      </c>
      <c r="D227" s="31" t="inlineStr">
        <is>
          <t>miscellaneous</t>
        </is>
      </c>
      <c r="E227" s="31" t="inlineStr">
        <is>
          <t>midcap</t>
        </is>
      </c>
      <c r="F227" s="31" t="n">
        <v>10420</v>
      </c>
      <c r="G227" s="31" t="n">
        <v>1998.2</v>
      </c>
      <c r="H227" s="31" t="n">
        <v>1.03</v>
      </c>
      <c r="I227" s="31" t="n">
        <v>120838</v>
      </c>
      <c r="J227" s="31" t="inlineStr">
        <is>
          <t>533107</t>
        </is>
      </c>
    </row>
    <row r="228">
      <c r="A228" s="31" t="inlineStr">
        <is>
          <t>PARAS</t>
        </is>
      </c>
      <c r="B228" s="31" t="inlineStr">
        <is>
          <t>Paras Defence and Space Technologies Ltd</t>
        </is>
      </c>
      <c r="C228" s="31" t="inlineStr">
        <is>
          <t>aerospace &amp; defence</t>
        </is>
      </c>
      <c r="D228" s="31" t="inlineStr">
        <is>
          <t>engineering</t>
        </is>
      </c>
      <c r="E228" s="31" t="inlineStr">
        <is>
          <t>midcap</t>
        </is>
      </c>
      <c r="F228" s="31" t="n">
        <v>8841.639999999999</v>
      </c>
      <c r="G228" s="31" t="n">
        <v>1108.15</v>
      </c>
      <c r="H228" s="31" t="n">
        <v>1</v>
      </c>
      <c r="I228" s="31" t="n">
        <v>6807197</v>
      </c>
      <c r="J228" s="31" t="inlineStr">
        <is>
          <t>543367</t>
        </is>
      </c>
    </row>
    <row r="229">
      <c r="A229" s="31" t="inlineStr">
        <is>
          <t>SANSTAR</t>
        </is>
      </c>
      <c r="B229" s="31" t="inlineStr">
        <is>
          <t>Sanstar Ltd</t>
        </is>
      </c>
      <c r="C229" s="31" t="inlineStr">
        <is>
          <t>fmcg</t>
        </is>
      </c>
      <c r="D229" s="31" t="inlineStr">
        <is>
          <t>miscellaneous</t>
        </is>
      </c>
      <c r="E229" s="31" t="inlineStr">
        <is>
          <t>smallcap</t>
        </is>
      </c>
      <c r="F229" s="31" t="n">
        <v>2122.78</v>
      </c>
      <c r="G229" s="31" t="n">
        <v>117.65</v>
      </c>
      <c r="H229" s="31" t="n">
        <v>1</v>
      </c>
      <c r="I229" s="31" t="n">
        <v>764851</v>
      </c>
      <c r="J229" s="31" t="inlineStr">
        <is>
          <t>544217</t>
        </is>
      </c>
    </row>
    <row r="230">
      <c r="A230" s="31" t="inlineStr">
        <is>
          <t>NRBBEARING</t>
        </is>
      </c>
      <c r="B230" s="31" t="inlineStr">
        <is>
          <t>Nrb Bearing Limited</t>
        </is>
      </c>
      <c r="C230" s="31" t="inlineStr">
        <is>
          <t>industrials</t>
        </is>
      </c>
      <c r="D230" s="31" t="inlineStr">
        <is>
          <t>bearings</t>
        </is>
      </c>
      <c r="E230" s="31" t="inlineStr">
        <is>
          <t>smallcap</t>
        </is>
      </c>
      <c r="F230" s="31" t="n">
        <v>4127.45</v>
      </c>
      <c r="G230" s="31" t="n">
        <v>430.05</v>
      </c>
      <c r="H230" s="31" t="n">
        <v>0.99</v>
      </c>
      <c r="I230" s="31" t="n">
        <v>467062</v>
      </c>
      <c r="J230" s="31" t="inlineStr">
        <is>
          <t>530367</t>
        </is>
      </c>
    </row>
    <row r="231">
      <c r="A231" s="31" t="inlineStr">
        <is>
          <t>ASTRAMICRO</t>
        </is>
      </c>
      <c r="B231" s="31" t="inlineStr">
        <is>
          <t>Astra Microwave Products Limited</t>
        </is>
      </c>
      <c r="C231" s="31" t="inlineStr">
        <is>
          <t>aerospace &amp; defence</t>
        </is>
      </c>
      <c r="D231" s="31" t="inlineStr">
        <is>
          <t>telecommunications - equipment</t>
        </is>
      </c>
      <c r="E231" s="31" t="inlineStr">
        <is>
          <t>midcap</t>
        </is>
      </c>
      <c r="F231" s="31" t="n">
        <v>13708.16</v>
      </c>
      <c r="G231" s="31" t="n">
        <v>1458</v>
      </c>
      <c r="H231" s="31" t="n">
        <v>0.98</v>
      </c>
      <c r="I231" s="31" t="n">
        <v>807916</v>
      </c>
      <c r="J231" s="31" t="inlineStr">
        <is>
          <t>532493</t>
        </is>
      </c>
    </row>
    <row r="232">
      <c r="A232" s="31" t="inlineStr">
        <is>
          <t>GREENPLY</t>
        </is>
      </c>
      <c r="B232" s="31" t="inlineStr">
        <is>
          <t>Greenply Industries Limited</t>
        </is>
      </c>
      <c r="C232" s="31" t="inlineStr">
        <is>
          <t>building materials</t>
        </is>
      </c>
      <c r="D232" s="31" t="inlineStr">
        <is>
          <t>miscellaneous</t>
        </is>
      </c>
      <c r="E232" s="31" t="inlineStr">
        <is>
          <t>smallcap</t>
        </is>
      </c>
      <c r="F232" s="31" t="n">
        <v>3634.4</v>
      </c>
      <c r="G232" s="31" t="n">
        <v>293.8</v>
      </c>
      <c r="H232" s="31" t="n">
        <v>0.97</v>
      </c>
      <c r="I232" s="31" t="n">
        <v>227152</v>
      </c>
      <c r="J232" s="31" t="inlineStr">
        <is>
          <t>526797</t>
        </is>
      </c>
    </row>
    <row r="233">
      <c r="A233" s="31" t="inlineStr">
        <is>
          <t>KOPRAN</t>
        </is>
      </c>
      <c r="B233" s="31" t="inlineStr">
        <is>
          <t>Kopran Limited</t>
        </is>
      </c>
      <c r="C233" s="31" t="inlineStr">
        <is>
          <t>healthcare</t>
        </is>
      </c>
      <c r="D233" s="31" t="inlineStr">
        <is>
          <t>pharmaceuticals - indian - bulk drugs &amp; formln</t>
        </is>
      </c>
      <c r="E233" s="31" t="inlineStr">
        <is>
          <t>smallcap</t>
        </is>
      </c>
      <c r="F233" s="31" t="n">
        <v>877.0599999999999</v>
      </c>
      <c r="G233" s="31" t="n">
        <v>183.38</v>
      </c>
      <c r="H233" s="31" t="n">
        <v>0.96</v>
      </c>
      <c r="I233" s="31" t="n">
        <v>85299</v>
      </c>
      <c r="J233" s="31" t="inlineStr">
        <is>
          <t>524280</t>
        </is>
      </c>
    </row>
    <row r="234">
      <c r="A234" s="31" t="inlineStr">
        <is>
          <t>TMB</t>
        </is>
      </c>
      <c r="B234" s="31" t="inlineStr">
        <is>
          <t>Tamilnad Mercantile Bank Ltd</t>
        </is>
      </c>
      <c r="C234" s="31" t="inlineStr">
        <is>
          <t>bank</t>
        </is>
      </c>
      <c r="D234" s="31" t="inlineStr">
        <is>
          <t>banks - private sector</t>
        </is>
      </c>
      <c r="E234" s="31" t="inlineStr">
        <is>
          <t>midcap</t>
        </is>
      </c>
      <c r="F234" s="31" t="n">
        <v>12146.35</v>
      </c>
      <c r="G234" s="31" t="n">
        <v>774.2</v>
      </c>
      <c r="H234" s="31" t="n">
        <v>0.93</v>
      </c>
      <c r="I234" s="31" t="n">
        <v>270891</v>
      </c>
      <c r="J234" s="31" t="inlineStr">
        <is>
          <t>543596</t>
        </is>
      </c>
    </row>
    <row r="235">
      <c r="A235" s="31" t="inlineStr">
        <is>
          <t>BANARISUG</t>
        </is>
      </c>
      <c r="B235" s="31" t="inlineStr">
        <is>
          <t>Bannari Amman Sugars Limited</t>
        </is>
      </c>
      <c r="C235" s="31" t="inlineStr">
        <is>
          <t>fmcg</t>
        </is>
      </c>
      <c r="D235" s="31" t="inlineStr">
        <is>
          <t>sugar</t>
        </is>
      </c>
      <c r="E235" s="31" t="inlineStr">
        <is>
          <t>smallcap</t>
        </is>
      </c>
      <c r="F235" s="31" t="n">
        <v>4533.85</v>
      </c>
      <c r="G235" s="31" t="n">
        <v>3649.3</v>
      </c>
      <c r="H235" s="31" t="n">
        <v>0.93</v>
      </c>
      <c r="I235" s="31" t="n">
        <v>266</v>
      </c>
      <c r="J235" s="31" t="inlineStr">
        <is>
          <t>500041</t>
        </is>
      </c>
    </row>
    <row r="236">
      <c r="A236" s="31" t="inlineStr">
        <is>
          <t>SKIPPER</t>
        </is>
      </c>
      <c r="B236" s="31" t="inlineStr">
        <is>
          <t>Skipper Limited</t>
        </is>
      </c>
      <c r="C236" s="31" t="inlineStr">
        <is>
          <t>industrials</t>
        </is>
      </c>
      <c r="D236" s="31" t="inlineStr">
        <is>
          <t>engineering</t>
        </is>
      </c>
      <c r="E236" s="31" t="inlineStr">
        <is>
          <t>midcap</t>
        </is>
      </c>
      <c r="F236" s="31" t="n">
        <v>6149.32</v>
      </c>
      <c r="G236" s="31" t="n">
        <v>549.7</v>
      </c>
      <c r="H236" s="31" t="n">
        <v>0.93</v>
      </c>
      <c r="I236" s="31" t="n">
        <v>670738</v>
      </c>
      <c r="J236" s="31" t="inlineStr">
        <is>
          <t>538562</t>
        </is>
      </c>
    </row>
    <row r="237">
      <c r="A237" s="31" t="inlineStr">
        <is>
          <t>EPL</t>
        </is>
      </c>
      <c r="B237" s="31" t="inlineStr">
        <is>
          <t>EPL Ltd</t>
        </is>
      </c>
      <c r="C237" s="31" t="inlineStr">
        <is>
          <t>industrials</t>
        </is>
      </c>
      <c r="D237" s="31" t="inlineStr">
        <is>
          <t>packaging</t>
        </is>
      </c>
      <c r="E237" s="31" t="inlineStr">
        <is>
          <t>midcap</t>
        </is>
      </c>
      <c r="F237" s="31" t="n">
        <v>7199.17</v>
      </c>
      <c r="G237" s="31" t="n">
        <v>226.87</v>
      </c>
      <c r="H237" s="31" t="n">
        <v>0.92</v>
      </c>
      <c r="I237" s="31" t="n">
        <v>712928</v>
      </c>
      <c r="J237" s="31" t="inlineStr">
        <is>
          <t>500135</t>
        </is>
      </c>
    </row>
    <row r="238">
      <c r="A238" s="31" t="inlineStr">
        <is>
          <t>LALPATHLAB</t>
        </is>
      </c>
      <c r="B238" s="31" t="inlineStr">
        <is>
          <t>Dr. Lal Path Labs Ltd.</t>
        </is>
      </c>
      <c r="C238" s="31" t="inlineStr">
        <is>
          <t>healthcare</t>
        </is>
      </c>
      <c r="D238" s="31" t="inlineStr">
        <is>
          <t>healthcare</t>
        </is>
      </c>
      <c r="E238" s="31" t="inlineStr">
        <is>
          <t>largecap</t>
        </is>
      </c>
      <c r="F238" s="31" t="n">
        <v>26833.94</v>
      </c>
      <c r="G238" s="31" t="n">
        <v>1616</v>
      </c>
      <c r="H238" s="31" t="n">
        <v>0.91</v>
      </c>
      <c r="I238" s="31" t="n">
        <v>217507</v>
      </c>
      <c r="J238" s="31" t="inlineStr">
        <is>
          <t>539524</t>
        </is>
      </c>
    </row>
    <row r="239">
      <c r="A239" s="31" t="inlineStr">
        <is>
          <t>RPEL</t>
        </is>
      </c>
      <c r="B239" s="31" t="inlineStr">
        <is>
          <t>Raghav Productivity Enhancers Ltd</t>
        </is>
      </c>
      <c r="C239" s="31" t="inlineStr">
        <is>
          <t>building materials</t>
        </is>
      </c>
      <c r="D239" s="31" t="inlineStr">
        <is>
          <t>refractories / intermediates</t>
        </is>
      </c>
      <c r="E239" s="31" t="inlineStr">
        <is>
          <t>midcap</t>
        </is>
      </c>
      <c r="F239" s="31" t="n">
        <v>5459.16</v>
      </c>
      <c r="G239" s="31" t="n">
        <v>1199.9</v>
      </c>
      <c r="H239" s="31" t="n">
        <v>0.91</v>
      </c>
      <c r="I239" s="31" t="n">
        <v>135079</v>
      </c>
      <c r="J239" s="31" t="inlineStr">
        <is>
          <t>539837</t>
        </is>
      </c>
    </row>
    <row r="240">
      <c r="A240" s="31" t="inlineStr">
        <is>
          <t>PANACEABIO</t>
        </is>
      </c>
      <c r="B240" s="31" t="inlineStr">
        <is>
          <t>Panacea Biotec Limited</t>
        </is>
      </c>
      <c r="C240" s="31" t="inlineStr">
        <is>
          <t>healthcare</t>
        </is>
      </c>
      <c r="D240" s="31" t="inlineStr">
        <is>
          <t>pharmaceuticals - indian - bulk drugs &amp; formln</t>
        </is>
      </c>
      <c r="E240" s="31" t="inlineStr">
        <is>
          <t>smallcap</t>
        </is>
      </c>
      <c r="F240" s="31" t="n">
        <v>3283.04</v>
      </c>
      <c r="G240" s="31" t="n">
        <v>540.8</v>
      </c>
      <c r="H240" s="31" t="n">
        <v>0.9</v>
      </c>
      <c r="I240" s="31" t="n">
        <v>678210</v>
      </c>
      <c r="J240" s="31" t="inlineStr">
        <is>
          <t>531349</t>
        </is>
      </c>
    </row>
    <row r="241">
      <c r="A241" s="31" t="inlineStr">
        <is>
          <t>SANSERA</t>
        </is>
      </c>
      <c r="B241" s="31" t="inlineStr">
        <is>
          <t>Sansera Engineering Ltd</t>
        </is>
      </c>
      <c r="C241" s="31" t="inlineStr">
        <is>
          <t>auto</t>
        </is>
      </c>
      <c r="D241" s="31" t="inlineStr">
        <is>
          <t>auto ancillaries</t>
        </is>
      </c>
      <c r="E241" s="31" t="inlineStr">
        <is>
          <t>midcap</t>
        </is>
      </c>
      <c r="F241" s="31" t="n">
        <v>18164.81</v>
      </c>
      <c r="G241" s="31" t="n">
        <v>2940.1</v>
      </c>
      <c r="H241" s="31" t="n">
        <v>0.89</v>
      </c>
      <c r="I241" s="31" t="n">
        <v>178249</v>
      </c>
      <c r="J241" s="31" t="inlineStr">
        <is>
          <t>543358</t>
        </is>
      </c>
    </row>
    <row r="242">
      <c r="A242" s="31" t="inlineStr">
        <is>
          <t>RRKABEL</t>
        </is>
      </c>
      <c r="B242" s="31" t="inlineStr">
        <is>
          <t>R R Kabel Ltd</t>
        </is>
      </c>
      <c r="C242" s="31" t="inlineStr">
        <is>
          <t>industrials</t>
        </is>
      </c>
      <c r="D242" s="31" t="inlineStr">
        <is>
          <t>cables - power</t>
        </is>
      </c>
      <c r="E242" s="31" t="inlineStr">
        <is>
          <t>largecap</t>
        </is>
      </c>
      <c r="F242" s="31" t="n">
        <v>24523.54</v>
      </c>
      <c r="G242" s="31" t="n">
        <v>2187.4</v>
      </c>
      <c r="H242" s="31" t="n">
        <v>0.89</v>
      </c>
      <c r="I242" s="31" t="n">
        <v>287659</v>
      </c>
      <c r="J242" s="31" t="inlineStr">
        <is>
          <t>543981</t>
        </is>
      </c>
    </row>
    <row r="243">
      <c r="A243" s="31" t="inlineStr">
        <is>
          <t>CONFIPET</t>
        </is>
      </c>
      <c r="B243" s="31" t="inlineStr">
        <is>
          <t>Confidence Petroleum India Ltd</t>
        </is>
      </c>
      <c r="C243" s="31" t="inlineStr">
        <is>
          <t>miscellaneous</t>
        </is>
      </c>
      <c r="D243" s="31" t="inlineStr">
        <is>
          <t>miscellaneous</t>
        </is>
      </c>
      <c r="E243" s="31" t="inlineStr">
        <is>
          <t>smallcap</t>
        </is>
      </c>
      <c r="F243" s="31" t="n">
        <v>2339.64</v>
      </c>
      <c r="G243" s="31" t="n">
        <v>71.05</v>
      </c>
      <c r="H243" s="31" t="n">
        <v>0.89</v>
      </c>
      <c r="I243" s="31" t="n">
        <v>1923562</v>
      </c>
      <c r="J243" s="31" t="inlineStr">
        <is>
          <t>526829</t>
        </is>
      </c>
    </row>
    <row r="244">
      <c r="A244" s="31" t="inlineStr">
        <is>
          <t>AXISBANK</t>
        </is>
      </c>
      <c r="B244" s="31" t="inlineStr">
        <is>
          <t>Axis Bank Limited</t>
        </is>
      </c>
      <c r="C244" s="31" t="inlineStr">
        <is>
          <t>bank</t>
        </is>
      </c>
      <c r="D244" s="31" t="inlineStr">
        <is>
          <t>banks - private sector</t>
        </is>
      </c>
      <c r="E244" s="31" t="inlineStr">
        <is>
          <t>largecap</t>
        </is>
      </c>
      <c r="F244" s="31" t="n">
        <v>421561.45</v>
      </c>
      <c r="G244" s="31" t="n">
        <v>1368.3</v>
      </c>
      <c r="H244" s="31" t="n">
        <v>0.88</v>
      </c>
      <c r="I244" s="31" t="n">
        <v>7522828</v>
      </c>
      <c r="J244" s="31" t="inlineStr">
        <is>
          <t>532215</t>
        </is>
      </c>
    </row>
    <row r="245">
      <c r="A245" s="31" t="inlineStr">
        <is>
          <t>SFL</t>
        </is>
      </c>
      <c r="B245" s="31" t="inlineStr">
        <is>
          <t>Sheela Foam Limited</t>
        </is>
      </c>
      <c r="C245" s="31" t="inlineStr">
        <is>
          <t>consumer discretionary</t>
        </is>
      </c>
      <c r="D245" s="31" t="inlineStr">
        <is>
          <t>miscellaneous</t>
        </is>
      </c>
      <c r="E245" s="31" t="inlineStr">
        <is>
          <t>midcap</t>
        </is>
      </c>
      <c r="F245" s="31" t="n">
        <v>7648.35</v>
      </c>
      <c r="G245" s="31" t="n">
        <v>709.6</v>
      </c>
      <c r="H245" s="31" t="n">
        <v>0.86</v>
      </c>
      <c r="I245" s="31" t="n">
        <v>206946</v>
      </c>
      <c r="J245" s="31" t="inlineStr">
        <is>
          <t>540203</t>
        </is>
      </c>
    </row>
    <row r="246">
      <c r="A246" s="31" t="inlineStr">
        <is>
          <t>ARVIND</t>
        </is>
      </c>
      <c r="B246" s="31" t="inlineStr">
        <is>
          <t>Arvind Limited</t>
        </is>
      </c>
      <c r="C246" s="31" t="inlineStr">
        <is>
          <t>textiles</t>
        </is>
      </c>
      <c r="D246" s="31" t="inlineStr">
        <is>
          <t>textiles - cotton/blended</t>
        </is>
      </c>
      <c r="E246" s="31" t="inlineStr">
        <is>
          <t>midcap</t>
        </is>
      </c>
      <c r="F246" s="31" t="n">
        <v>12961.57</v>
      </c>
      <c r="G246" s="31" t="n">
        <v>498.7</v>
      </c>
      <c r="H246" s="31" t="n">
        <v>0.85</v>
      </c>
      <c r="I246" s="31" t="n">
        <v>1866512</v>
      </c>
      <c r="J246" s="31" t="inlineStr">
        <is>
          <t>500101</t>
        </is>
      </c>
    </row>
    <row r="247">
      <c r="A247" s="31" t="inlineStr">
        <is>
          <t>ITI</t>
        </is>
      </c>
      <c r="B247" s="31" t="inlineStr">
        <is>
          <t>Iti Limited</t>
        </is>
      </c>
      <c r="C247" s="31" t="inlineStr">
        <is>
          <t>aerospace &amp; defence</t>
        </is>
      </c>
      <c r="D247" s="31" t="inlineStr">
        <is>
          <t>telecommunications - equipment</t>
        </is>
      </c>
      <c r="E247" s="31" t="inlineStr">
        <is>
          <t>largecap</t>
        </is>
      </c>
      <c r="F247" s="31" t="n">
        <v>28813.35</v>
      </c>
      <c r="G247" s="31" t="n">
        <v>301.75</v>
      </c>
      <c r="H247" s="31" t="n">
        <v>0.84</v>
      </c>
      <c r="I247" s="31" t="n">
        <v>457627</v>
      </c>
      <c r="J247" s="31" t="inlineStr">
        <is>
          <t>523610</t>
        </is>
      </c>
    </row>
    <row r="248">
      <c r="A248" s="31" t="inlineStr">
        <is>
          <t>BERGEPAINT</t>
        </is>
      </c>
      <c r="B248" s="31" t="inlineStr">
        <is>
          <t>Berger Paints (i) Limited</t>
        </is>
      </c>
      <c r="C248" s="31" t="inlineStr">
        <is>
          <t>building materials</t>
        </is>
      </c>
      <c r="D248" s="31" t="inlineStr">
        <is>
          <t>paints / varnishes</t>
        </is>
      </c>
      <c r="E248" s="31" t="inlineStr">
        <is>
          <t>largecap</t>
        </is>
      </c>
      <c r="F248" s="31" t="n">
        <v>60066.63</v>
      </c>
      <c r="G248" s="31" t="n">
        <v>519.4</v>
      </c>
      <c r="H248" s="31" t="n">
        <v>0.83</v>
      </c>
      <c r="I248" s="31" t="n">
        <v>480247</v>
      </c>
      <c r="J248" s="31" t="inlineStr">
        <is>
          <t>509480</t>
        </is>
      </c>
    </row>
    <row r="249">
      <c r="A249" s="31" t="inlineStr">
        <is>
          <t>CHAMBLFERT</t>
        </is>
      </c>
      <c r="B249" s="31" t="inlineStr">
        <is>
          <t>Chambal Fertilizers &amp; Chemicals Limited</t>
        </is>
      </c>
      <c r="C249" s="31" t="inlineStr">
        <is>
          <t>chemicals</t>
        </is>
      </c>
      <c r="D249" s="31" t="inlineStr">
        <is>
          <t>fertilizers</t>
        </is>
      </c>
      <c r="E249" s="31" t="inlineStr">
        <is>
          <t>midcap</t>
        </is>
      </c>
      <c r="F249" s="31" t="n">
        <v>18838.67</v>
      </c>
      <c r="G249" s="31" t="n">
        <v>474.1</v>
      </c>
      <c r="H249" s="31" t="n">
        <v>0.83</v>
      </c>
      <c r="I249" s="31" t="n">
        <v>684749</v>
      </c>
      <c r="J249" s="31" t="inlineStr">
        <is>
          <t>500085</t>
        </is>
      </c>
    </row>
    <row r="250">
      <c r="A250" s="31" t="inlineStr">
        <is>
          <t>ELGIEQUIP</t>
        </is>
      </c>
      <c r="B250" s="31" t="inlineStr">
        <is>
          <t>Elgi Equipments Limited</t>
        </is>
      </c>
      <c r="C250" s="31" t="inlineStr">
        <is>
          <t>industrials</t>
        </is>
      </c>
      <c r="D250" s="31" t="inlineStr">
        <is>
          <t>compressors / drilling equipment</t>
        </is>
      </c>
      <c r="E250" s="31" t="inlineStr">
        <is>
          <t>midcap</t>
        </is>
      </c>
      <c r="F250" s="31" t="n">
        <v>19136.55</v>
      </c>
      <c r="G250" s="31" t="n">
        <v>608.8</v>
      </c>
      <c r="H250" s="31" t="n">
        <v>0.82</v>
      </c>
      <c r="I250" s="31" t="n">
        <v>287300</v>
      </c>
      <c r="J250" s="31" t="inlineStr">
        <is>
          <t>522074</t>
        </is>
      </c>
    </row>
    <row r="251">
      <c r="A251" s="31" t="inlineStr">
        <is>
          <t>PTL</t>
        </is>
      </c>
      <c r="B251" s="31" t="inlineStr">
        <is>
          <t>Ptl Enterprises Limited</t>
        </is>
      </c>
      <c r="C251" s="31" t="inlineStr">
        <is>
          <t>miscellaneous</t>
        </is>
      </c>
      <c r="D251" s="31" t="inlineStr">
        <is>
          <t>miscellaneous</t>
        </is>
      </c>
      <c r="E251" s="31" t="inlineStr">
        <is>
          <t>smallcap</t>
        </is>
      </c>
      <c r="F251" s="31" t="n">
        <v>539.4400000000001</v>
      </c>
      <c r="G251" s="31" t="n">
        <v>41.08</v>
      </c>
      <c r="H251" s="31" t="n">
        <v>0.8100000000000001</v>
      </c>
      <c r="I251" s="31" t="n">
        <v>108840</v>
      </c>
      <c r="J251" s="31" t="inlineStr">
        <is>
          <t>509220</t>
        </is>
      </c>
    </row>
    <row r="252">
      <c r="A252" s="31" t="inlineStr">
        <is>
          <t>MUFIN</t>
        </is>
      </c>
      <c r="B252" s="31" t="inlineStr">
        <is>
          <t>Mufin Green Finance Ltd</t>
        </is>
      </c>
      <c r="C252" s="31" t="inlineStr">
        <is>
          <t>financials</t>
        </is>
      </c>
      <c r="D252" s="31" t="inlineStr">
        <is>
          <t>finance &amp; investments</t>
        </is>
      </c>
      <c r="E252" s="31" t="inlineStr">
        <is>
          <t>smallcap</t>
        </is>
      </c>
      <c r="F252" s="31" t="n">
        <v>2426.69</v>
      </c>
      <c r="G252" s="31" t="n">
        <v>123.41</v>
      </c>
      <c r="H252" s="31" t="n">
        <v>0.78</v>
      </c>
      <c r="I252" s="31" t="n">
        <v>544168</v>
      </c>
      <c r="J252" s="31" t="inlineStr">
        <is>
          <t>542774</t>
        </is>
      </c>
    </row>
    <row r="253">
      <c r="A253" s="31" t="inlineStr">
        <is>
          <t>EXIDEIND</t>
        </is>
      </c>
      <c r="B253" s="31" t="inlineStr">
        <is>
          <t>Exide Industries Limited</t>
        </is>
      </c>
      <c r="C253" s="31" t="inlineStr">
        <is>
          <t>auto</t>
        </is>
      </c>
      <c r="D253" s="31" t="inlineStr">
        <is>
          <t>auto ancillaries</t>
        </is>
      </c>
      <c r="E253" s="31" t="inlineStr">
        <is>
          <t>largecap</t>
        </is>
      </c>
      <c r="F253" s="31" t="n">
        <v>33315.75</v>
      </c>
      <c r="G253" s="31" t="n">
        <v>394.85</v>
      </c>
      <c r="H253" s="31" t="n">
        <v>0.74</v>
      </c>
      <c r="I253" s="31" t="n">
        <v>3677720</v>
      </c>
      <c r="J253" s="31" t="inlineStr">
        <is>
          <t>500086</t>
        </is>
      </c>
    </row>
    <row r="254">
      <c r="A254" s="31" t="inlineStr">
        <is>
          <t>UNIONBANK</t>
        </is>
      </c>
      <c r="B254" s="31" t="inlineStr">
        <is>
          <t>Union Bank Of India Ltd</t>
        </is>
      </c>
      <c r="C254" s="31" t="inlineStr">
        <is>
          <t>bank</t>
        </is>
      </c>
      <c r="D254" s="31" t="inlineStr">
        <is>
          <t>banks - public sector</t>
        </is>
      </c>
      <c r="E254" s="31" t="inlineStr">
        <is>
          <t>largecap</t>
        </is>
      </c>
      <c r="F254" s="31" t="n">
        <v>129809.46</v>
      </c>
      <c r="G254" s="31" t="n">
        <v>171.3</v>
      </c>
      <c r="H254" s="31" t="n">
        <v>0.74</v>
      </c>
      <c r="I254" s="31" t="n">
        <v>8365210</v>
      </c>
      <c r="J254" s="31" t="inlineStr">
        <is>
          <t>532477</t>
        </is>
      </c>
    </row>
    <row r="255">
      <c r="A255" s="31" t="inlineStr">
        <is>
          <t>PRIVISCL</t>
        </is>
      </c>
      <c r="B255" s="31" t="inlineStr">
        <is>
          <t>Privi Speciality Chemicals Ltd</t>
        </is>
      </c>
      <c r="C255" s="31" t="inlineStr">
        <is>
          <t>chemicals</t>
        </is>
      </c>
      <c r="D255" s="31" t="inlineStr">
        <is>
          <t>chemicals</t>
        </is>
      </c>
      <c r="E255" s="31" t="inlineStr">
        <is>
          <t>midcap</t>
        </is>
      </c>
      <c r="F255" s="31" t="n">
        <v>13454.37</v>
      </c>
      <c r="G255" s="31" t="n">
        <v>3469.1</v>
      </c>
      <c r="H255" s="31" t="n">
        <v>0.72</v>
      </c>
      <c r="I255" s="31" t="n">
        <v>169830</v>
      </c>
      <c r="J255" s="31" t="inlineStr">
        <is>
          <t>530117</t>
        </is>
      </c>
    </row>
    <row r="256">
      <c r="A256" s="31" t="inlineStr">
        <is>
          <t>ADANIENT</t>
        </is>
      </c>
      <c r="B256" s="31" t="inlineStr">
        <is>
          <t>Adani Enterprises Limited</t>
        </is>
      </c>
      <c r="C256" s="31" t="inlineStr">
        <is>
          <t>services</t>
        </is>
      </c>
      <c r="D256" s="31" t="inlineStr">
        <is>
          <t>trading</t>
        </is>
      </c>
      <c r="E256" s="31" t="inlineStr">
        <is>
          <t>largecap</t>
        </is>
      </c>
      <c r="F256" s="31" t="n">
        <v>377670.09</v>
      </c>
      <c r="G256" s="31" t="n">
        <v>2942.5</v>
      </c>
      <c r="H256" s="31" t="n">
        <v>0.72</v>
      </c>
      <c r="I256" s="31" t="n">
        <v>1174229</v>
      </c>
      <c r="J256" s="31" t="inlineStr">
        <is>
          <t>512599</t>
        </is>
      </c>
    </row>
    <row r="257">
      <c r="A257" s="31" t="inlineStr">
        <is>
          <t>IGIL</t>
        </is>
      </c>
      <c r="B257" s="31" t="inlineStr">
        <is>
          <t>International Gemmological Institute (India) Ltd</t>
        </is>
      </c>
      <c r="C257" s="31" t="inlineStr">
        <is>
          <t>miscellaneous</t>
        </is>
      </c>
      <c r="D257" s="31" t="inlineStr">
        <is>
          <t>miscellaneous</t>
        </is>
      </c>
      <c r="E257" s="31" t="inlineStr">
        <is>
          <t>midcap</t>
        </is>
      </c>
      <c r="F257" s="31" t="n">
        <v>15849.46</v>
      </c>
      <c r="G257" s="31" t="n">
        <v>369.25</v>
      </c>
      <c r="H257" s="31" t="n">
        <v>0.68</v>
      </c>
      <c r="I257" s="31" t="n">
        <v>961759</v>
      </c>
      <c r="J257" s="31" t="inlineStr">
        <is>
          <t>544311</t>
        </is>
      </c>
    </row>
    <row r="258">
      <c r="A258" s="31" t="inlineStr">
        <is>
          <t>RML</t>
        </is>
      </c>
      <c r="B258" s="31" t="inlineStr">
        <is>
          <t>Rane (madras) Limited</t>
        </is>
      </c>
      <c r="C258" s="31" t="inlineStr">
        <is>
          <t>auto</t>
        </is>
      </c>
      <c r="D258" s="31" t="inlineStr">
        <is>
          <t>auto ancillaries</t>
        </is>
      </c>
      <c r="E258" s="31" t="inlineStr">
        <is>
          <t>smallcap</t>
        </is>
      </c>
      <c r="F258" s="31" t="n">
        <v>2550.08</v>
      </c>
      <c r="G258" s="31" t="n">
        <v>928.75</v>
      </c>
      <c r="H258" s="31" t="n">
        <v>0.66</v>
      </c>
      <c r="I258" s="31" t="n">
        <v>21592</v>
      </c>
      <c r="J258" s="31" t="inlineStr">
        <is>
          <t>532661</t>
        </is>
      </c>
    </row>
    <row r="259">
      <c r="A259" s="31" t="inlineStr">
        <is>
          <t>KOTAKBANK</t>
        </is>
      </c>
      <c r="B259" s="31" t="inlineStr">
        <is>
          <t>Kotak Mahindra Bank Limited</t>
        </is>
      </c>
      <c r="C259" s="31" t="inlineStr">
        <is>
          <t>bank</t>
        </is>
      </c>
      <c r="D259" s="31" t="inlineStr">
        <is>
          <t>banks - private sector</t>
        </is>
      </c>
      <c r="E259" s="31" t="inlineStr">
        <is>
          <t>largecap</t>
        </is>
      </c>
      <c r="F259" s="31" t="n">
        <v>80220.35000000001</v>
      </c>
      <c r="G259" s="31" t="n">
        <v>405.75</v>
      </c>
      <c r="H259" s="31" t="n">
        <v>0.61</v>
      </c>
      <c r="I259" s="31" t="n">
        <v>14269679</v>
      </c>
      <c r="J259" s="31" t="inlineStr">
        <is>
          <t>500247</t>
        </is>
      </c>
    </row>
    <row r="260">
      <c r="A260" s="31" t="inlineStr">
        <is>
          <t>GOCLCORP</t>
        </is>
      </c>
      <c r="B260" s="31" t="inlineStr">
        <is>
          <t>Gocl Corporation Limited</t>
        </is>
      </c>
      <c r="C260" s="31" t="inlineStr">
        <is>
          <t>miscellaneous</t>
        </is>
      </c>
      <c r="D260" s="31" t="inlineStr">
        <is>
          <t>diversified - medium / small</t>
        </is>
      </c>
      <c r="E260" s="31" t="inlineStr">
        <is>
          <t>smallcap</t>
        </is>
      </c>
      <c r="F260" s="31" t="n">
        <v>1994.55</v>
      </c>
      <c r="G260" s="31" t="n">
        <v>404.75</v>
      </c>
      <c r="H260" s="31" t="n">
        <v>0.6</v>
      </c>
      <c r="I260" s="31" t="n">
        <v>46150</v>
      </c>
      <c r="J260" s="31" t="inlineStr">
        <is>
          <t>506480</t>
        </is>
      </c>
    </row>
    <row r="261">
      <c r="A261" s="31" t="inlineStr">
        <is>
          <t>UNIPARTS</t>
        </is>
      </c>
      <c r="B261" s="31" t="inlineStr">
        <is>
          <t>Uniparts India Ltd</t>
        </is>
      </c>
      <c r="C261" s="31" t="inlineStr">
        <is>
          <t>industrials</t>
        </is>
      </c>
      <c r="D261" s="31" t="inlineStr">
        <is>
          <t>engineering</t>
        </is>
      </c>
      <c r="E261" s="31" t="inlineStr">
        <is>
          <t>smallcap</t>
        </is>
      </c>
      <c r="F261" s="31" t="n">
        <v>2978.09</v>
      </c>
      <c r="G261" s="31" t="n">
        <v>663.65</v>
      </c>
      <c r="H261" s="31" t="n">
        <v>0.6</v>
      </c>
      <c r="I261" s="31" t="n">
        <v>161621</v>
      </c>
      <c r="J261" s="31" t="inlineStr">
        <is>
          <t>543689</t>
        </is>
      </c>
    </row>
    <row r="262">
      <c r="A262" s="31" t="inlineStr">
        <is>
          <t>SUVEN</t>
        </is>
      </c>
      <c r="B262" s="31" t="inlineStr">
        <is>
          <t>Suven Life Sciences Limited</t>
        </is>
      </c>
      <c r="C262" s="31" t="inlineStr">
        <is>
          <t>healthcare</t>
        </is>
      </c>
      <c r="D262" s="31" t="inlineStr">
        <is>
          <t>miscellaneous</t>
        </is>
      </c>
      <c r="E262" s="31" t="inlineStr">
        <is>
          <t>midcap</t>
        </is>
      </c>
      <c r="F262" s="31" t="n">
        <v>7074.3</v>
      </c>
      <c r="G262" s="31" t="n">
        <v>269.85</v>
      </c>
      <c r="H262" s="31" t="n">
        <v>0.6</v>
      </c>
      <c r="I262" s="31" t="n">
        <v>741977</v>
      </c>
      <c r="J262" s="31" t="inlineStr">
        <is>
          <t>530239</t>
        </is>
      </c>
    </row>
    <row r="263">
      <c r="A263" s="31" t="inlineStr">
        <is>
          <t>MBAPL</t>
        </is>
      </c>
      <c r="B263" s="31" t="inlineStr">
        <is>
          <t>Madhya Bharat Agro Products Ltd</t>
        </is>
      </c>
      <c r="C263" s="31" t="inlineStr">
        <is>
          <t>chemicals</t>
        </is>
      </c>
      <c r="D263" s="31" t="inlineStr">
        <is>
          <t>fertilizers</t>
        </is>
      </c>
      <c r="E263" s="31" t="inlineStr">
        <is>
          <t>smallcap</t>
        </is>
      </c>
      <c r="F263" s="31" t="n">
        <v>4936.03</v>
      </c>
      <c r="G263" s="31" t="n">
        <v>566.65</v>
      </c>
      <c r="H263" s="31" t="n">
        <v>0.59</v>
      </c>
      <c r="I263" s="31" t="n">
        <v>204994</v>
      </c>
      <c r="J263" s="31" t="inlineStr">
        <is>
          <t>538370</t>
        </is>
      </c>
    </row>
    <row r="264">
      <c r="A264" s="31" t="inlineStr">
        <is>
          <t>AETHER</t>
        </is>
      </c>
      <c r="B264" s="31" t="inlineStr">
        <is>
          <t>Aether Industries Ltd</t>
        </is>
      </c>
      <c r="C264" s="31" t="inlineStr">
        <is>
          <t>chemicals</t>
        </is>
      </c>
      <c r="D264" s="31" t="inlineStr">
        <is>
          <t>chemicals</t>
        </is>
      </c>
      <c r="E264" s="31" t="inlineStr">
        <is>
          <t>midcap</t>
        </is>
      </c>
      <c r="F264" s="31" t="n">
        <v>15163.98</v>
      </c>
      <c r="G264" s="31" t="n">
        <v>1149.6</v>
      </c>
      <c r="H264" s="31" t="n">
        <v>0.59</v>
      </c>
      <c r="I264" s="31" t="n">
        <v>135913</v>
      </c>
      <c r="J264" s="31" t="inlineStr">
        <is>
          <t>543534</t>
        </is>
      </c>
    </row>
    <row r="265">
      <c r="A265" s="31" t="inlineStr">
        <is>
          <t>LLOYDSENGG</t>
        </is>
      </c>
      <c r="B265" s="31" t="inlineStr">
        <is>
          <t>Lloyds Engineering Works Ltd</t>
        </is>
      </c>
      <c r="C265" s="31" t="inlineStr">
        <is>
          <t>industrials</t>
        </is>
      </c>
      <c r="D265" s="31" t="inlineStr">
        <is>
          <t>engineering</t>
        </is>
      </c>
      <c r="E265" s="31" t="inlineStr">
        <is>
          <t>midcap</t>
        </is>
      </c>
      <c r="F265" s="31" t="n">
        <v>10499.7</v>
      </c>
      <c r="G265" s="31" t="n">
        <v>71.34999999999999</v>
      </c>
      <c r="H265" s="31" t="n">
        <v>0.58</v>
      </c>
      <c r="I265" s="31" t="n">
        <v>4981799</v>
      </c>
      <c r="J265" s="31" t="inlineStr">
        <is>
          <t>539992</t>
        </is>
      </c>
    </row>
    <row r="266">
      <c r="A266" s="31" t="inlineStr">
        <is>
          <t>INNOVACAP</t>
        </is>
      </c>
      <c r="B266" s="31" t="inlineStr">
        <is>
          <t>Innova Captab Ltd</t>
        </is>
      </c>
      <c r="C266" s="31" t="inlineStr">
        <is>
          <t>healthcare</t>
        </is>
      </c>
      <c r="D266" s="31" t="inlineStr">
        <is>
          <t>pharmaceuticals - indian - bulk drugs &amp; formln</t>
        </is>
      </c>
      <c r="E266" s="31" t="inlineStr">
        <is>
          <t>midcap</t>
        </is>
      </c>
      <c r="F266" s="31" t="n">
        <v>5393.16</v>
      </c>
      <c r="G266" s="31" t="n">
        <v>947.95</v>
      </c>
      <c r="H266" s="31" t="n">
        <v>0.58</v>
      </c>
      <c r="I266" s="31" t="n">
        <v>92876</v>
      </c>
      <c r="J266" s="31" t="inlineStr">
        <is>
          <t>544067</t>
        </is>
      </c>
    </row>
    <row r="267">
      <c r="A267" s="31" t="inlineStr">
        <is>
          <t>AEROENTER</t>
        </is>
      </c>
      <c r="B267" s="31" t="inlineStr">
        <is>
          <t>Aeroflex Enterprises Ltd</t>
        </is>
      </c>
      <c r="C267" s="31" t="inlineStr">
        <is>
          <t>metals &amp; mining</t>
        </is>
      </c>
      <c r="D267" s="31" t="inlineStr">
        <is>
          <t>steel - medium / small</t>
        </is>
      </c>
      <c r="E267" s="31" t="inlineStr">
        <is>
          <t>smallcap</t>
        </is>
      </c>
      <c r="F267" s="31" t="n">
        <v>1241.45</v>
      </c>
      <c r="G267" s="31" t="n">
        <v>110.42</v>
      </c>
      <c r="H267" s="31" t="n">
        <v>0.58</v>
      </c>
      <c r="I267" s="31" t="n">
        <v>996951</v>
      </c>
      <c r="J267" s="31" t="inlineStr">
        <is>
          <t>511076</t>
        </is>
      </c>
    </row>
    <row r="268">
      <c r="A268" s="31" t="inlineStr">
        <is>
          <t>DIFFNKG</t>
        </is>
      </c>
      <c r="B268" s="31" t="inlineStr">
        <is>
          <t>Diffusion Engineers Ltd</t>
        </is>
      </c>
      <c r="C268" s="31" t="inlineStr">
        <is>
          <t>industrials</t>
        </is>
      </c>
      <c r="D268" s="31" t="inlineStr">
        <is>
          <t>electrodes - welding equipment</t>
        </is>
      </c>
      <c r="E268" s="31" t="inlineStr">
        <is>
          <t>smallcap</t>
        </is>
      </c>
      <c r="F268" s="31" t="n">
        <v>1353.89</v>
      </c>
      <c r="G268" s="31" t="n">
        <v>363.85</v>
      </c>
      <c r="H268" s="31" t="n">
        <v>0.58</v>
      </c>
      <c r="I268" s="31" t="n">
        <v>134305</v>
      </c>
      <c r="J268" s="31" t="inlineStr">
        <is>
          <t>544264</t>
        </is>
      </c>
    </row>
    <row r="269">
      <c r="A269" s="31" t="inlineStr">
        <is>
          <t>SOUTHBANK</t>
        </is>
      </c>
      <c r="B269" s="31" t="inlineStr">
        <is>
          <t>The South Indian Bank Limited</t>
        </is>
      </c>
      <c r="C269" s="31" t="inlineStr">
        <is>
          <t>bank</t>
        </is>
      </c>
      <c r="D269" s="31" t="inlineStr">
        <is>
          <t>banks - private sector</t>
        </is>
      </c>
      <c r="E269" s="31" t="inlineStr">
        <is>
          <t>midcap</t>
        </is>
      </c>
      <c r="F269" s="31" t="n">
        <v>12213.57</v>
      </c>
      <c r="G269" s="31" t="n">
        <v>46.92</v>
      </c>
      <c r="H269" s="31" t="n">
        <v>0.5600000000000001</v>
      </c>
      <c r="I269" s="31" t="n">
        <v>26102262</v>
      </c>
      <c r="J269" s="31" t="inlineStr">
        <is>
          <t>532218</t>
        </is>
      </c>
    </row>
    <row r="270">
      <c r="A270" s="31" t="inlineStr">
        <is>
          <t>CEIGALL</t>
        </is>
      </c>
      <c r="B270" s="31" t="inlineStr">
        <is>
          <t>Ceigall India Ltd</t>
        </is>
      </c>
      <c r="C270" s="31" t="inlineStr">
        <is>
          <t>realty</t>
        </is>
      </c>
      <c r="D270" s="31" t="inlineStr">
        <is>
          <t>construction</t>
        </is>
      </c>
      <c r="E270" s="31" t="inlineStr">
        <is>
          <t>midcap</t>
        </is>
      </c>
      <c r="F270" s="31" t="n">
        <v>6533.55</v>
      </c>
      <c r="G270" s="31" t="n">
        <v>377.15</v>
      </c>
      <c r="H270" s="31" t="n">
        <v>0.5600000000000001</v>
      </c>
      <c r="I270" s="31" t="n">
        <v>784306</v>
      </c>
      <c r="J270" s="31" t="inlineStr">
        <is>
          <t>544223</t>
        </is>
      </c>
    </row>
    <row r="271">
      <c r="A271" s="31" t="inlineStr">
        <is>
          <t>COMSYN</t>
        </is>
      </c>
      <c r="B271" s="31" t="inlineStr">
        <is>
          <t>Commercial Syn Bags Ltd</t>
        </is>
      </c>
      <c r="C271" s="31" t="inlineStr">
        <is>
          <t>industrials</t>
        </is>
      </c>
      <c r="D271" s="31" t="inlineStr">
        <is>
          <t>packaging</t>
        </is>
      </c>
      <c r="E271" s="31" t="inlineStr">
        <is>
          <t>smallcap</t>
        </is>
      </c>
      <c r="F271" s="31" t="n">
        <v>685.36</v>
      </c>
      <c r="G271" s="31" t="n">
        <v>170.84</v>
      </c>
      <c r="H271" s="31" t="n">
        <v>0.55</v>
      </c>
      <c r="I271" s="31" t="n">
        <v>23355</v>
      </c>
      <c r="J271" s="31" t="inlineStr">
        <is>
          <t>539986</t>
        </is>
      </c>
    </row>
    <row r="272">
      <c r="A272" s="31" t="inlineStr">
        <is>
          <t>STOVEKRAFT</t>
        </is>
      </c>
      <c r="B272" s="31" t="inlineStr">
        <is>
          <t>Stove Kraft Ltd</t>
        </is>
      </c>
      <c r="C272" s="31" t="inlineStr">
        <is>
          <t>consumer discretionary</t>
        </is>
      </c>
      <c r="D272" s="31" t="inlineStr">
        <is>
          <t>domestic appliances</t>
        </is>
      </c>
      <c r="E272" s="31" t="inlineStr">
        <is>
          <t>smallcap</t>
        </is>
      </c>
      <c r="F272" s="31" t="n">
        <v>2171.67</v>
      </c>
      <c r="G272" s="31" t="n">
        <v>659.55</v>
      </c>
      <c r="H272" s="31" t="n">
        <v>0.55</v>
      </c>
      <c r="I272" s="31" t="n">
        <v>118319</v>
      </c>
      <c r="J272" s="31" t="inlineStr">
        <is>
          <t>543260</t>
        </is>
      </c>
    </row>
    <row r="273">
      <c r="A273" s="31" t="inlineStr">
        <is>
          <t>NETWEB</t>
        </is>
      </c>
      <c r="B273" s="31" t="inlineStr">
        <is>
          <t>Netweb Technologies India Ltd</t>
        </is>
      </c>
      <c r="C273" s="31" t="inlineStr">
        <is>
          <t>i.t</t>
        </is>
      </c>
      <c r="D273" s="31" t="inlineStr">
        <is>
          <t>computers - hardware</t>
        </is>
      </c>
      <c r="E273" s="31" t="inlineStr">
        <is>
          <t>largecap</t>
        </is>
      </c>
      <c r="F273" s="31" t="n">
        <v>26120.97</v>
      </c>
      <c r="G273" s="31" t="n">
        <v>4612.3</v>
      </c>
      <c r="H273" s="31" t="n">
        <v>0.54</v>
      </c>
      <c r="I273" s="31" t="n">
        <v>1579906</v>
      </c>
      <c r="J273" s="31" t="inlineStr">
        <is>
          <t>543945</t>
        </is>
      </c>
    </row>
    <row r="274">
      <c r="A274" s="31" t="inlineStr">
        <is>
          <t>RUBYMILLS</t>
        </is>
      </c>
      <c r="B274" s="31" t="inlineStr">
        <is>
          <t>The Ruby Mills Limited</t>
        </is>
      </c>
      <c r="C274" s="31" t="inlineStr">
        <is>
          <t>textiles</t>
        </is>
      </c>
      <c r="D274" s="31" t="inlineStr">
        <is>
          <t>textiles - composite</t>
        </is>
      </c>
      <c r="E274" s="31" t="inlineStr">
        <is>
          <t>smallcap</t>
        </is>
      </c>
      <c r="F274" s="31" t="n">
        <v>1110.88</v>
      </c>
      <c r="G274" s="31" t="n">
        <v>333.95</v>
      </c>
      <c r="H274" s="31" t="n">
        <v>0.53</v>
      </c>
      <c r="I274" s="31" t="n">
        <v>13026</v>
      </c>
      <c r="J274" s="31" t="inlineStr">
        <is>
          <t>503169</t>
        </is>
      </c>
    </row>
    <row r="275">
      <c r="A275" s="31" t="inlineStr">
        <is>
          <t>RPTECH</t>
        </is>
      </c>
      <c r="B275" s="31" t="inlineStr">
        <is>
          <t>Rashi Peripherals Ltd</t>
        </is>
      </c>
      <c r="C275" s="31" t="inlineStr">
        <is>
          <t>services</t>
        </is>
      </c>
      <c r="D275" s="31" t="inlineStr">
        <is>
          <t>trading</t>
        </is>
      </c>
      <c r="E275" s="31" t="inlineStr">
        <is>
          <t>smallcap</t>
        </is>
      </c>
      <c r="F275" s="31" t="n">
        <v>3679.84</v>
      </c>
      <c r="G275" s="31" t="n">
        <v>561.25</v>
      </c>
      <c r="H275" s="31" t="n">
        <v>0.51</v>
      </c>
      <c r="I275" s="31" t="n">
        <v>159601</v>
      </c>
      <c r="J275" s="31" t="n"/>
    </row>
    <row r="276">
      <c r="A276" s="31" t="inlineStr">
        <is>
          <t>MAYURUNIQ</t>
        </is>
      </c>
      <c r="B276" s="31" t="inlineStr">
        <is>
          <t>Mayur Uniquoters Ltd</t>
        </is>
      </c>
      <c r="C276" s="31" t="inlineStr">
        <is>
          <t>consumer discretionary</t>
        </is>
      </c>
      <c r="D276" s="31" t="inlineStr">
        <is>
          <t>leather / leather products</t>
        </is>
      </c>
      <c r="E276" s="31" t="inlineStr">
        <is>
          <t>smallcap</t>
        </is>
      </c>
      <c r="F276" s="31" t="n">
        <v>3446.66</v>
      </c>
      <c r="G276" s="31" t="n">
        <v>797.1</v>
      </c>
      <c r="H276" s="31" t="n">
        <v>0.49</v>
      </c>
      <c r="I276" s="31" t="n">
        <v>140066</v>
      </c>
      <c r="J276" s="31" t="inlineStr">
        <is>
          <t>522249</t>
        </is>
      </c>
    </row>
    <row r="277">
      <c r="A277" s="31" t="inlineStr">
        <is>
          <t>SPORTKING</t>
        </is>
      </c>
      <c r="B277" s="31" t="inlineStr">
        <is>
          <t>Sportking India Ltd</t>
        </is>
      </c>
      <c r="C277" s="31" t="inlineStr">
        <is>
          <t>textiles</t>
        </is>
      </c>
      <c r="D277" s="31" t="inlineStr">
        <is>
          <t>textiles - spinning - synthetic / blended</t>
        </is>
      </c>
      <c r="E277" s="31" t="inlineStr">
        <is>
          <t>smallcap</t>
        </is>
      </c>
      <c r="F277" s="31" t="n">
        <v>2320.59</v>
      </c>
      <c r="G277" s="31" t="n">
        <v>183.49</v>
      </c>
      <c r="H277" s="31" t="n">
        <v>0.48</v>
      </c>
      <c r="I277" s="31" t="n">
        <v>214785</v>
      </c>
      <c r="J277" s="31" t="inlineStr">
        <is>
          <t>539221</t>
        </is>
      </c>
    </row>
    <row r="278">
      <c r="A278" s="31" t="inlineStr">
        <is>
          <t>BANKBARODA</t>
        </is>
      </c>
      <c r="B278" s="31" t="inlineStr">
        <is>
          <t>Bank Of Baroda Ltd</t>
        </is>
      </c>
      <c r="C278" s="31" t="inlineStr">
        <is>
          <t>bank</t>
        </is>
      </c>
      <c r="D278" s="31" t="inlineStr">
        <is>
          <t>banks - public sector</t>
        </is>
      </c>
      <c r="E278" s="31" t="inlineStr">
        <is>
          <t>largecap</t>
        </is>
      </c>
      <c r="F278" s="31" t="n">
        <v>142083.18</v>
      </c>
      <c r="G278" s="31" t="n">
        <v>276.05</v>
      </c>
      <c r="H278" s="31" t="n">
        <v>0.47</v>
      </c>
      <c r="I278" s="31" t="n">
        <v>9344475</v>
      </c>
      <c r="J278" s="31" t="inlineStr">
        <is>
          <t>532134</t>
        </is>
      </c>
    </row>
    <row r="279">
      <c r="A279" s="31" t="inlineStr">
        <is>
          <t>MENONBE</t>
        </is>
      </c>
      <c r="B279" s="31" t="inlineStr">
        <is>
          <t>Menon Bearings Limited</t>
        </is>
      </c>
      <c r="C279" s="31" t="inlineStr">
        <is>
          <t>auto</t>
        </is>
      </c>
      <c r="D279" s="31" t="inlineStr">
        <is>
          <t>auto ancillaries</t>
        </is>
      </c>
      <c r="E279" s="31" t="inlineStr">
        <is>
          <t>smallcap</t>
        </is>
      </c>
      <c r="F279" s="31" t="n">
        <v>936.71</v>
      </c>
      <c r="G279" s="31" t="n">
        <v>167.92</v>
      </c>
      <c r="H279" s="31" t="n">
        <v>0.46</v>
      </c>
      <c r="I279" s="31" t="n">
        <v>156655</v>
      </c>
      <c r="J279" s="31" t="inlineStr">
        <is>
          <t>523828</t>
        </is>
      </c>
    </row>
    <row r="280">
      <c r="A280" s="31" t="inlineStr">
        <is>
          <t>PSPPROJECT</t>
        </is>
      </c>
      <c r="B280" s="31" t="inlineStr">
        <is>
          <t>PSP Projects Ltd</t>
        </is>
      </c>
      <c r="C280" s="31" t="inlineStr">
        <is>
          <t>realty</t>
        </is>
      </c>
      <c r="D280" s="31" t="inlineStr">
        <is>
          <t>construction</t>
        </is>
      </c>
      <c r="E280" s="31" t="inlineStr">
        <is>
          <t>smallcap</t>
        </is>
      </c>
      <c r="F280" s="31" t="n">
        <v>3635.95</v>
      </c>
      <c r="G280" s="31" t="n">
        <v>921.35</v>
      </c>
      <c r="H280" s="31" t="n">
        <v>0.45</v>
      </c>
      <c r="I280" s="31" t="n">
        <v>114490</v>
      </c>
      <c r="J280" s="31" t="inlineStr">
        <is>
          <t>540544</t>
        </is>
      </c>
    </row>
    <row r="281">
      <c r="A281" s="31" t="inlineStr">
        <is>
          <t>HIRECT</t>
        </is>
      </c>
      <c r="B281" s="31" t="inlineStr">
        <is>
          <t>Hind Rectifiers Limited</t>
        </is>
      </c>
      <c r="C281" s="31" t="inlineStr">
        <is>
          <t>consumer discretionary</t>
        </is>
      </c>
      <c r="D281" s="31" t="inlineStr">
        <is>
          <t>electronics - components</t>
        </is>
      </c>
      <c r="E281" s="31" t="inlineStr">
        <is>
          <t>smallcap</t>
        </is>
      </c>
      <c r="F281" s="31" t="n">
        <v>3885.26</v>
      </c>
      <c r="G281" s="31" t="n">
        <v>1135.6</v>
      </c>
      <c r="H281" s="31" t="n">
        <v>0.45</v>
      </c>
      <c r="I281" s="31" t="n">
        <v>91941</v>
      </c>
      <c r="J281" s="31" t="inlineStr">
        <is>
          <t>504036</t>
        </is>
      </c>
    </row>
    <row r="282">
      <c r="A282" s="31" t="inlineStr">
        <is>
          <t>FEDERALBNK</t>
        </is>
      </c>
      <c r="B282" s="31" t="inlineStr">
        <is>
          <t>The Federal Bank  Limited</t>
        </is>
      </c>
      <c r="C282" s="31" t="inlineStr">
        <is>
          <t>bank</t>
        </is>
      </c>
      <c r="D282" s="31" t="inlineStr">
        <is>
          <t>banks - private sector</t>
        </is>
      </c>
      <c r="E282" s="31" t="inlineStr">
        <is>
          <t>largecap</t>
        </is>
      </c>
      <c r="F282" s="31" t="n">
        <v>77797.39</v>
      </c>
      <c r="G282" s="31" t="n">
        <v>317.1</v>
      </c>
      <c r="H282" s="31" t="n">
        <v>0.44</v>
      </c>
      <c r="I282" s="31" t="n">
        <v>8390759</v>
      </c>
      <c r="J282" s="31" t="inlineStr">
        <is>
          <t>500469</t>
        </is>
      </c>
    </row>
    <row r="283">
      <c r="A283" s="31" t="inlineStr">
        <is>
          <t>LMW</t>
        </is>
      </c>
      <c r="B283" s="31" t="inlineStr">
        <is>
          <t>LMW Ltd</t>
        </is>
      </c>
      <c r="C283" s="31" t="inlineStr">
        <is>
          <t>industrials</t>
        </is>
      </c>
      <c r="D283" s="31" t="inlineStr">
        <is>
          <t>textile machinery</t>
        </is>
      </c>
      <c r="E283" s="31" t="inlineStr">
        <is>
          <t>midcap</t>
        </is>
      </c>
      <c r="F283" s="31" t="n">
        <v>16835.34</v>
      </c>
      <c r="G283" s="31" t="n">
        <v>15827</v>
      </c>
      <c r="H283" s="31" t="n">
        <v>0.43</v>
      </c>
      <c r="I283" s="31" t="n">
        <v>4824</v>
      </c>
      <c r="J283" s="31" t="inlineStr">
        <is>
          <t>500252</t>
        </is>
      </c>
    </row>
    <row r="284">
      <c r="A284" s="31" t="inlineStr">
        <is>
          <t>THANGAMAYL</t>
        </is>
      </c>
      <c r="B284" s="31" t="inlineStr">
        <is>
          <t>Thangamayil Jewellery Limited</t>
        </is>
      </c>
      <c r="C284" s="31" t="inlineStr">
        <is>
          <t>consumer discretionary</t>
        </is>
      </c>
      <c r="D284" s="31" t="inlineStr">
        <is>
          <t>diamond cutting / jewellery</t>
        </is>
      </c>
      <c r="E284" s="31" t="inlineStr">
        <is>
          <t>midcap</t>
        </is>
      </c>
      <c r="F284" s="31" t="n">
        <v>17028.91</v>
      </c>
      <c r="G284" s="31" t="n">
        <v>5501.5</v>
      </c>
      <c r="H284" s="31" t="n">
        <v>0.42</v>
      </c>
      <c r="I284" s="31" t="n">
        <v>117056</v>
      </c>
      <c r="J284" s="31" t="inlineStr">
        <is>
          <t>533158</t>
        </is>
      </c>
    </row>
    <row r="285">
      <c r="A285" s="31" t="inlineStr">
        <is>
          <t>FACT</t>
        </is>
      </c>
      <c r="B285" s="31" t="inlineStr">
        <is>
          <t>Fertilizers And Chemicals Travancore Limited</t>
        </is>
      </c>
      <c r="C285" s="31" t="inlineStr">
        <is>
          <t>chemicals</t>
        </is>
      </c>
      <c r="D285" s="31" t="inlineStr">
        <is>
          <t>fertilizers</t>
        </is>
      </c>
      <c r="E285" s="31" t="inlineStr">
        <is>
          <t>largecap</t>
        </is>
      </c>
      <c r="F285" s="31" t="n">
        <v>58388.54</v>
      </c>
      <c r="G285" s="31" t="n">
        <v>906.05</v>
      </c>
      <c r="H285" s="31" t="n">
        <v>0.41</v>
      </c>
      <c r="I285" s="31" t="n">
        <v>193515</v>
      </c>
      <c r="J285" s="31" t="inlineStr">
        <is>
          <t>590024</t>
        </is>
      </c>
    </row>
    <row r="286">
      <c r="A286" s="31" t="inlineStr">
        <is>
          <t>BLISSGVS</t>
        </is>
      </c>
      <c r="B286" s="31" t="inlineStr">
        <is>
          <t>Bliss Gvs Pharma Limited</t>
        </is>
      </c>
      <c r="C286" s="31" t="inlineStr">
        <is>
          <t>healthcare</t>
        </is>
      </c>
      <c r="D286" s="31" t="inlineStr">
        <is>
          <t>pharmaceuticals - indian - formulations</t>
        </is>
      </c>
      <c r="E286" s="31" t="inlineStr">
        <is>
          <t>smallcap</t>
        </is>
      </c>
      <c r="F286" s="31" t="n">
        <v>4631.97</v>
      </c>
      <c r="G286" s="31" t="n">
        <v>439.55</v>
      </c>
      <c r="H286" s="31" t="n">
        <v>0.39</v>
      </c>
      <c r="I286" s="31" t="n">
        <v>687767</v>
      </c>
      <c r="J286" s="31" t="inlineStr">
        <is>
          <t>506197</t>
        </is>
      </c>
    </row>
    <row r="287">
      <c r="A287" s="31" t="inlineStr">
        <is>
          <t>RELIGARE</t>
        </is>
      </c>
      <c r="B287" s="31" t="inlineStr">
        <is>
          <t>Religare Enterprises Limited</t>
        </is>
      </c>
      <c r="C287" s="31" t="inlineStr">
        <is>
          <t>financials</t>
        </is>
      </c>
      <c r="D287" s="31" t="inlineStr">
        <is>
          <t>finance &amp; investments</t>
        </is>
      </c>
      <c r="E287" s="31" t="inlineStr">
        <is>
          <t>midcap</t>
        </is>
      </c>
      <c r="F287" s="31" t="n">
        <v>7983.38</v>
      </c>
      <c r="G287" s="31" t="n">
        <v>240.69</v>
      </c>
      <c r="H287" s="31" t="n">
        <v>0.36</v>
      </c>
      <c r="I287" s="31" t="n">
        <v>1825958</v>
      </c>
      <c r="J287" s="31" t="inlineStr">
        <is>
          <t>532915</t>
        </is>
      </c>
    </row>
    <row r="288">
      <c r="A288" s="31" t="inlineStr">
        <is>
          <t>SBIN</t>
        </is>
      </c>
      <c r="B288" s="31" t="inlineStr">
        <is>
          <t>State Bank Of India Ltd</t>
        </is>
      </c>
      <c r="C288" s="31" t="inlineStr">
        <is>
          <t>bank</t>
        </is>
      </c>
      <c r="D288" s="31" t="inlineStr">
        <is>
          <t>banks - public sector</t>
        </is>
      </c>
      <c r="E288" s="31" t="inlineStr">
        <is>
          <t>largecap</t>
        </is>
      </c>
      <c r="F288" s="31" t="n">
        <v>938892.27</v>
      </c>
      <c r="G288" s="31" t="n">
        <v>1020.85</v>
      </c>
      <c r="H288" s="31" t="n">
        <v>0.36</v>
      </c>
      <c r="I288" s="31" t="n">
        <v>12463437</v>
      </c>
      <c r="J288" s="31" t="inlineStr">
        <is>
          <t>500112</t>
        </is>
      </c>
    </row>
    <row r="289">
      <c r="A289" s="31" t="inlineStr">
        <is>
          <t>IDEA</t>
        </is>
      </c>
      <c r="B289" s="31" t="inlineStr">
        <is>
          <t>Vodafone Idea Ltd</t>
        </is>
      </c>
      <c r="C289" s="31" t="inlineStr">
        <is>
          <t>telecom-service</t>
        </is>
      </c>
      <c r="D289" s="31" t="inlineStr">
        <is>
          <t>telecommunications - service provider</t>
        </is>
      </c>
      <c r="E289" s="31" t="inlineStr">
        <is>
          <t>largecap</t>
        </is>
      </c>
      <c r="F289" s="31" t="n">
        <v>161431.12</v>
      </c>
      <c r="G289" s="31" t="n">
        <v>14.95</v>
      </c>
      <c r="H289" s="31" t="n">
        <v>0.34</v>
      </c>
      <c r="I289" s="31" t="n">
        <v>568047552</v>
      </c>
      <c r="J289" s="31" t="inlineStr">
        <is>
          <t>532822</t>
        </is>
      </c>
    </row>
    <row r="290">
      <c r="A290" s="31" t="inlineStr">
        <is>
          <t>THERMAX</t>
        </is>
      </c>
      <c r="B290" s="31" t="inlineStr">
        <is>
          <t>Thermax Limited</t>
        </is>
      </c>
      <c r="C290" s="31" t="inlineStr">
        <is>
          <t>industrials</t>
        </is>
      </c>
      <c r="D290" s="31" t="inlineStr">
        <is>
          <t>electric equipment</t>
        </is>
      </c>
      <c r="E290" s="31" t="inlineStr">
        <is>
          <t>largecap</t>
        </is>
      </c>
      <c r="F290" s="31" t="n">
        <v>56316.84</v>
      </c>
      <c r="G290" s="31" t="n">
        <v>4741</v>
      </c>
      <c r="H290" s="31" t="n">
        <v>0.31</v>
      </c>
      <c r="I290" s="31" t="n">
        <v>277050</v>
      </c>
      <c r="J290" s="31" t="inlineStr">
        <is>
          <t>500411</t>
        </is>
      </c>
    </row>
    <row r="291">
      <c r="A291" s="31" t="inlineStr">
        <is>
          <t>PTCIL</t>
        </is>
      </c>
      <c r="B291" s="31" t="inlineStr">
        <is>
          <t>PTC Industries Ltd</t>
        </is>
      </c>
      <c r="C291" s="31" t="inlineStr">
        <is>
          <t>industrials</t>
        </is>
      </c>
      <c r="D291" s="31" t="inlineStr">
        <is>
          <t>castings &amp; forgings</t>
        </is>
      </c>
      <c r="E291" s="31" t="inlineStr">
        <is>
          <t>largecap</t>
        </is>
      </c>
      <c r="F291" s="31" t="n">
        <v>27889.14</v>
      </c>
      <c r="G291" s="31" t="n">
        <v>18656</v>
      </c>
      <c r="H291" s="31" t="n">
        <v>0.29</v>
      </c>
      <c r="I291" s="31" t="n">
        <v>16148</v>
      </c>
      <c r="J291" s="31" t="inlineStr">
        <is>
          <t>539006</t>
        </is>
      </c>
    </row>
    <row r="292">
      <c r="A292" s="31" t="inlineStr">
        <is>
          <t>VADILALIND</t>
        </is>
      </c>
      <c r="B292" s="31" t="inlineStr">
        <is>
          <t>Vadilal Industries Limited</t>
        </is>
      </c>
      <c r="C292" s="31" t="inlineStr">
        <is>
          <t>fmcg</t>
        </is>
      </c>
      <c r="D292" s="31" t="inlineStr">
        <is>
          <t>food - processing - indian</t>
        </is>
      </c>
      <c r="E292" s="31" t="inlineStr">
        <is>
          <t>smallcap</t>
        </is>
      </c>
      <c r="F292" s="31" t="n">
        <v>4319.38</v>
      </c>
      <c r="G292" s="31" t="n">
        <v>6026.5</v>
      </c>
      <c r="H292" s="31" t="n">
        <v>0.29</v>
      </c>
      <c r="I292" s="31" t="n">
        <v>21305</v>
      </c>
      <c r="J292" s="31" t="inlineStr">
        <is>
          <t>519156</t>
        </is>
      </c>
    </row>
    <row r="293">
      <c r="A293" s="31" t="inlineStr">
        <is>
          <t>MIDHANI</t>
        </is>
      </c>
      <c r="B293" s="31" t="inlineStr">
        <is>
          <t>Mishra Dhatu Nigam Ltd</t>
        </is>
      </c>
      <c r="C293" s="31" t="inlineStr">
        <is>
          <t>aerospace &amp; defence</t>
        </is>
      </c>
      <c r="D293" s="31" t="inlineStr">
        <is>
          <t>steel - medium / small</t>
        </is>
      </c>
      <c r="E293" s="31" t="inlineStr">
        <is>
          <t>midcap</t>
        </is>
      </c>
      <c r="F293" s="31" t="n">
        <v>8151.16</v>
      </c>
      <c r="G293" s="31" t="n">
        <v>436.35</v>
      </c>
      <c r="H293" s="31" t="n">
        <v>0.29</v>
      </c>
      <c r="I293" s="31" t="n">
        <v>1000703</v>
      </c>
      <c r="J293" s="31" t="inlineStr">
        <is>
          <t>541195</t>
        </is>
      </c>
    </row>
    <row r="294">
      <c r="A294" s="31" t="inlineStr">
        <is>
          <t>BOROSCI</t>
        </is>
      </c>
      <c r="B294" s="31" t="inlineStr">
        <is>
          <t>Borosil Scientific Ltd</t>
        </is>
      </c>
      <c r="C294" s="31" t="inlineStr">
        <is>
          <t>building materials</t>
        </is>
      </c>
      <c r="D294" s="31" t="inlineStr">
        <is>
          <t>glass &amp; glass products</t>
        </is>
      </c>
      <c r="E294" s="31" t="inlineStr">
        <is>
          <t>smallcap</t>
        </is>
      </c>
      <c r="F294" s="31" t="n">
        <v>1360.71</v>
      </c>
      <c r="G294" s="31" t="n">
        <v>153.38</v>
      </c>
      <c r="H294" s="31" t="n">
        <v>0.26</v>
      </c>
      <c r="I294" s="31" t="n">
        <v>70752</v>
      </c>
      <c r="J294" s="31" t="inlineStr">
        <is>
          <t>544184</t>
        </is>
      </c>
    </row>
    <row r="295">
      <c r="A295" s="31" t="inlineStr">
        <is>
          <t>XPROINDIA</t>
        </is>
      </c>
      <c r="B295" s="31" t="inlineStr">
        <is>
          <t>Xpro India Limited</t>
        </is>
      </c>
      <c r="C295" s="31" t="inlineStr">
        <is>
          <t>industrials</t>
        </is>
      </c>
      <c r="D295" s="31" t="inlineStr">
        <is>
          <t>packaging</t>
        </is>
      </c>
      <c r="E295" s="31" t="inlineStr">
        <is>
          <t>smallcap</t>
        </is>
      </c>
      <c r="F295" s="31" t="n">
        <v>2833.11</v>
      </c>
      <c r="G295" s="31" t="n">
        <v>1210</v>
      </c>
      <c r="H295" s="31" t="n">
        <v>0.24</v>
      </c>
      <c r="I295" s="31" t="n">
        <v>32082</v>
      </c>
      <c r="J295" s="31" t="inlineStr">
        <is>
          <t>590013</t>
        </is>
      </c>
    </row>
    <row r="296">
      <c r="A296" s="31" t="inlineStr">
        <is>
          <t>CANFINHOME</t>
        </is>
      </c>
      <c r="B296" s="31" t="inlineStr">
        <is>
          <t>Can Fin Homes Limited</t>
        </is>
      </c>
      <c r="C296" s="31" t="inlineStr">
        <is>
          <t>financials</t>
        </is>
      </c>
      <c r="D296" s="31" t="inlineStr">
        <is>
          <t>finance - housing</t>
        </is>
      </c>
      <c r="E296" s="31" t="inlineStr">
        <is>
          <t>midcap</t>
        </is>
      </c>
      <c r="F296" s="31" t="n">
        <v>11481.88</v>
      </c>
      <c r="G296" s="31" t="n">
        <v>864.4</v>
      </c>
      <c r="H296" s="31" t="n">
        <v>0.24</v>
      </c>
      <c r="I296" s="31" t="n">
        <v>147272</v>
      </c>
      <c r="J296" s="31" t="inlineStr">
        <is>
          <t>511196</t>
        </is>
      </c>
    </row>
    <row r="297">
      <c r="A297" s="31" t="inlineStr">
        <is>
          <t>TITAGARH</t>
        </is>
      </c>
      <c r="B297" s="31" t="inlineStr">
        <is>
          <t>Titagarh Rail Systems Ltd</t>
        </is>
      </c>
      <c r="C297" s="31" t="inlineStr">
        <is>
          <t>industrials</t>
        </is>
      </c>
      <c r="D297" s="31" t="inlineStr">
        <is>
          <t>engineering</t>
        </is>
      </c>
      <c r="E297" s="31" t="inlineStr">
        <is>
          <t>midcap</t>
        </is>
      </c>
      <c r="F297" s="31" t="n">
        <v>11563.76</v>
      </c>
      <c r="G297" s="31" t="n">
        <v>860.3</v>
      </c>
      <c r="H297" s="31" t="n">
        <v>0.19</v>
      </c>
      <c r="I297" s="31" t="n">
        <v>1027385</v>
      </c>
      <c r="J297" s="31" t="inlineStr">
        <is>
          <t>532966</t>
        </is>
      </c>
    </row>
    <row r="298">
      <c r="A298" s="31" t="inlineStr">
        <is>
          <t>KPIL</t>
        </is>
      </c>
      <c r="B298" s="31" t="inlineStr">
        <is>
          <t>Kalpataru Projects International Ltd</t>
        </is>
      </c>
      <c r="C298" s="31" t="inlineStr">
        <is>
          <t>realty</t>
        </is>
      </c>
      <c r="D298" s="31" t="inlineStr">
        <is>
          <t>transmisson line towers / equipment</t>
        </is>
      </c>
      <c r="E298" s="31" t="inlineStr">
        <is>
          <t>largecap</t>
        </is>
      </c>
      <c r="F298" s="31" t="n">
        <v>22227.75</v>
      </c>
      <c r="G298" s="31" t="n">
        <v>1303.9</v>
      </c>
      <c r="H298" s="31" t="n">
        <v>0.18</v>
      </c>
      <c r="I298" s="31" t="n">
        <v>163133</v>
      </c>
      <c r="J298" s="31" t="inlineStr">
        <is>
          <t>522287</t>
        </is>
      </c>
    </row>
    <row r="299">
      <c r="A299" s="31" t="inlineStr">
        <is>
          <t>SASKEN</t>
        </is>
      </c>
      <c r="B299" s="31" t="inlineStr">
        <is>
          <t>Sasken Communication Technologies Limited</t>
        </is>
      </c>
      <c r="C299" s="31" t="inlineStr">
        <is>
          <t>i.t</t>
        </is>
      </c>
      <c r="D299" s="31" t="inlineStr">
        <is>
          <t>computers - software - medium / small</t>
        </is>
      </c>
      <c r="E299" s="31" t="inlineStr">
        <is>
          <t>smallcap</t>
        </is>
      </c>
      <c r="F299" s="31" t="n">
        <v>3220.44</v>
      </c>
      <c r="G299" s="31" t="n">
        <v>2124.2</v>
      </c>
      <c r="H299" s="31" t="n">
        <v>0.17</v>
      </c>
      <c r="I299" s="31" t="n">
        <v>64436</v>
      </c>
      <c r="J299" s="31" t="inlineStr">
        <is>
          <t>532663</t>
        </is>
      </c>
    </row>
    <row r="300">
      <c r="A300" s="31" t="inlineStr">
        <is>
          <t>GREENLAM</t>
        </is>
      </c>
      <c r="B300" s="31" t="inlineStr">
        <is>
          <t>Greenlam Industries Limited</t>
        </is>
      </c>
      <c r="C300" s="31" t="inlineStr">
        <is>
          <t>building materials</t>
        </is>
      </c>
      <c r="D300" s="31" t="inlineStr">
        <is>
          <t>miscellaneous</t>
        </is>
      </c>
      <c r="E300" s="31" t="inlineStr">
        <is>
          <t>midcap</t>
        </is>
      </c>
      <c r="F300" s="31" t="n">
        <v>6439.67</v>
      </c>
      <c r="G300" s="31" t="n">
        <v>252.8</v>
      </c>
      <c r="H300" s="31" t="n">
        <v>0.16</v>
      </c>
      <c r="I300" s="31" t="n">
        <v>371752</v>
      </c>
      <c r="J300" s="31" t="inlineStr">
        <is>
          <t>538979</t>
        </is>
      </c>
    </row>
    <row r="301">
      <c r="A301" s="31" t="inlineStr">
        <is>
          <t>RICOAUTO</t>
        </is>
      </c>
      <c r="B301" s="31" t="inlineStr">
        <is>
          <t>Rico Auto Industries Limited</t>
        </is>
      </c>
      <c r="C301" s="31" t="inlineStr">
        <is>
          <t>auto</t>
        </is>
      </c>
      <c r="D301" s="31" t="inlineStr">
        <is>
          <t>auto ancillaries</t>
        </is>
      </c>
      <c r="E301" s="31" t="inlineStr">
        <is>
          <t>smallcap</t>
        </is>
      </c>
      <c r="F301" s="31" t="n">
        <v>1801.86</v>
      </c>
      <c r="G301" s="31" t="n">
        <v>133.39</v>
      </c>
      <c r="H301" s="31" t="n">
        <v>0.15</v>
      </c>
      <c r="I301" s="31" t="n">
        <v>2516523</v>
      </c>
      <c r="J301" s="31" t="inlineStr">
        <is>
          <t>520008</t>
        </is>
      </c>
    </row>
    <row r="302">
      <c r="A302" s="31" t="inlineStr">
        <is>
          <t>ADANIENSOL</t>
        </is>
      </c>
      <c r="B302" s="31" t="inlineStr">
        <is>
          <t>Adani Energy Solutions Ltd</t>
        </is>
      </c>
      <c r="C302" s="31" t="inlineStr">
        <is>
          <t>power &amp; utilities</t>
        </is>
      </c>
      <c r="D302" s="31" t="inlineStr">
        <is>
          <t>power generation and supply</t>
        </is>
      </c>
      <c r="E302" s="31" t="inlineStr">
        <is>
          <t>largecap</t>
        </is>
      </c>
      <c r="F302" s="31" t="n">
        <v>178943.06</v>
      </c>
      <c r="G302" s="31" t="n">
        <v>1491.9</v>
      </c>
      <c r="H302" s="31" t="n">
        <v>0.15</v>
      </c>
      <c r="I302" s="31" t="n">
        <v>1914035</v>
      </c>
      <c r="J302" s="31" t="inlineStr">
        <is>
          <t>539254</t>
        </is>
      </c>
    </row>
    <row r="303">
      <c r="A303" s="31" t="inlineStr">
        <is>
          <t>BAJAJCON</t>
        </is>
      </c>
      <c r="B303" s="31" t="inlineStr">
        <is>
          <t>Bajaj Consumer Care Ltd</t>
        </is>
      </c>
      <c r="C303" s="31" t="inlineStr">
        <is>
          <t>fmcg</t>
        </is>
      </c>
      <c r="D303" s="31" t="inlineStr">
        <is>
          <t>personal care - indian</t>
        </is>
      </c>
      <c r="E303" s="31" t="inlineStr">
        <is>
          <t>midcap</t>
        </is>
      </c>
      <c r="F303" s="31" t="n">
        <v>7728.03</v>
      </c>
      <c r="G303" s="31" t="n">
        <v>592.4</v>
      </c>
      <c r="H303" s="31" t="n">
        <v>0.13</v>
      </c>
      <c r="I303" s="31" t="n">
        <v>997196</v>
      </c>
      <c r="J303" s="31" t="inlineStr">
        <is>
          <t>533229</t>
        </is>
      </c>
    </row>
    <row r="304">
      <c r="A304" s="31" t="inlineStr">
        <is>
          <t>VSTIND</t>
        </is>
      </c>
      <c r="B304" s="31" t="inlineStr">
        <is>
          <t>Vst Industries Limited</t>
        </is>
      </c>
      <c r="C304" s="31" t="inlineStr">
        <is>
          <t>fmcg</t>
        </is>
      </c>
      <c r="D304" s="31" t="inlineStr">
        <is>
          <t>cigarettes</t>
        </is>
      </c>
      <c r="E304" s="31" t="inlineStr">
        <is>
          <t>smallcap</t>
        </is>
      </c>
      <c r="F304" s="31" t="n">
        <v>4412.14</v>
      </c>
      <c r="G304" s="31" t="n">
        <v>259.85</v>
      </c>
      <c r="H304" s="31" t="n">
        <v>0.04</v>
      </c>
      <c r="I304" s="31" t="n">
        <v>516214</v>
      </c>
      <c r="J304" s="31" t="inlineStr">
        <is>
          <t>509966</t>
        </is>
      </c>
    </row>
    <row r="305">
      <c r="A305" s="31" t="inlineStr">
        <is>
          <t>BOSCHLTD</t>
        </is>
      </c>
      <c r="B305" s="31" t="inlineStr">
        <is>
          <t>Bosch Limited</t>
        </is>
      </c>
      <c r="C305" s="31" t="inlineStr">
        <is>
          <t>auto</t>
        </is>
      </c>
      <c r="D305" s="31" t="inlineStr">
        <is>
          <t>auto ancillaries</t>
        </is>
      </c>
      <c r="E305" s="31" t="inlineStr">
        <is>
          <t>largecap</t>
        </is>
      </c>
      <c r="F305" s="31" t="n">
        <v>115202.16</v>
      </c>
      <c r="G305" s="31" t="n">
        <v>39070</v>
      </c>
      <c r="H305" s="31" t="n">
        <v>0.03</v>
      </c>
      <c r="I305" s="31" t="n">
        <v>45458</v>
      </c>
      <c r="J305" s="31" t="inlineStr">
        <is>
          <t>500530</t>
        </is>
      </c>
    </row>
    <row r="306">
      <c r="A306" s="31" t="inlineStr">
        <is>
          <t>POLYCAB</t>
        </is>
      </c>
      <c r="B306" s="31" t="inlineStr">
        <is>
          <t>Polycab India Ltd</t>
        </is>
      </c>
      <c r="C306" s="31" t="inlineStr">
        <is>
          <t>industrials</t>
        </is>
      </c>
      <c r="D306" s="31" t="inlineStr">
        <is>
          <t>cables - power</t>
        </is>
      </c>
      <c r="E306" s="31" t="inlineStr">
        <is>
          <t>largecap</t>
        </is>
      </c>
      <c r="F306" s="31" t="n">
        <v>143835.96</v>
      </c>
      <c r="G306" s="31" t="n">
        <v>9556</v>
      </c>
      <c r="H306" s="31" t="n">
        <v>0.02</v>
      </c>
      <c r="I306" s="31" t="n">
        <v>197986</v>
      </c>
      <c r="J306" s="31" t="inlineStr">
        <is>
          <t>542652</t>
        </is>
      </c>
    </row>
    <row r="307">
      <c r="A307" s="31" t="inlineStr">
        <is>
          <t>MGEL</t>
        </is>
      </c>
      <c r="B307" s="31" t="inlineStr">
        <is>
          <t>Mangalam Global Enterprise Ltd</t>
        </is>
      </c>
      <c r="C307" s="31" t="inlineStr">
        <is>
          <t>services</t>
        </is>
      </c>
      <c r="D307" s="31" t="inlineStr">
        <is>
          <t>trading</t>
        </is>
      </c>
      <c r="E307" s="31" t="inlineStr">
        <is>
          <t>smallcap</t>
        </is>
      </c>
      <c r="F307" s="31" t="n">
        <v>541.79</v>
      </c>
      <c r="G307" s="31" t="n">
        <v>16.44</v>
      </c>
      <c r="H307" s="31" t="n">
        <v>0</v>
      </c>
      <c r="I307" s="31" t="n">
        <v>150642</v>
      </c>
      <c r="J307" s="31" t="inlineStr">
        <is>
          <t>535349</t>
        </is>
      </c>
    </row>
    <row r="308">
      <c r="A308" s="31" t="inlineStr">
        <is>
          <t>VIYASH</t>
        </is>
      </c>
      <c r="B308" s="31" t="inlineStr">
        <is>
          <t>Viyash Scientific Ltd</t>
        </is>
      </c>
      <c r="C308" s="31" t="inlineStr">
        <is>
          <t>healthcare</t>
        </is>
      </c>
      <c r="D308" s="31" t="inlineStr">
        <is>
          <t>pharmaceuticals - indian - bulk drugs &amp; formln</t>
        </is>
      </c>
      <c r="E308" s="31" t="inlineStr">
        <is>
          <t>midcap</t>
        </is>
      </c>
      <c r="F308" s="31" t="n">
        <v>10919.09</v>
      </c>
      <c r="G308" s="31" t="n">
        <v>249.95</v>
      </c>
      <c r="H308" s="31" t="n">
        <v>0</v>
      </c>
      <c r="I308" s="31" t="n">
        <v>1820263</v>
      </c>
      <c r="J308" s="31" t="inlineStr">
        <is>
          <t>512529</t>
        </is>
      </c>
    </row>
    <row r="309">
      <c r="A309" s="31" t="inlineStr">
        <is>
          <t>SPECTRUM</t>
        </is>
      </c>
      <c r="B309" s="31" t="inlineStr">
        <is>
          <t>Spectrum Electrical Industries Ltd</t>
        </is>
      </c>
      <c r="C309" s="31" t="inlineStr">
        <is>
          <t>industrials</t>
        </is>
      </c>
      <c r="D309" s="31" t="inlineStr">
        <is>
          <t>electric equipment</t>
        </is>
      </c>
      <c r="E309" s="31" t="inlineStr">
        <is>
          <t>smallcap</t>
        </is>
      </c>
      <c r="F309" s="31" t="n">
        <v>2511.86</v>
      </c>
      <c r="G309" s="31" t="n">
        <v>1598.4</v>
      </c>
      <c r="H309" s="31" t="n">
        <v>-0.01</v>
      </c>
      <c r="I309" s="31" t="n">
        <v>10010</v>
      </c>
      <c r="J309" s="31" t="inlineStr">
        <is>
          <t>535112</t>
        </is>
      </c>
    </row>
    <row r="310">
      <c r="A310" s="31" t="inlineStr">
        <is>
          <t>JBMA</t>
        </is>
      </c>
      <c r="B310" s="31" t="inlineStr">
        <is>
          <t>Jbm Auto Limited</t>
        </is>
      </c>
      <c r="C310" s="31" t="inlineStr">
        <is>
          <t>auto</t>
        </is>
      </c>
      <c r="D310" s="31" t="inlineStr">
        <is>
          <t>auto ancillaries</t>
        </is>
      </c>
      <c r="E310" s="31" t="inlineStr">
        <is>
          <t>midcap</t>
        </is>
      </c>
      <c r="F310" s="31" t="n">
        <v>16171.48</v>
      </c>
      <c r="G310" s="31" t="n">
        <v>683.3</v>
      </c>
      <c r="H310" s="31" t="n">
        <v>-0.07000000000000001</v>
      </c>
      <c r="I310" s="31" t="n">
        <v>721344</v>
      </c>
      <c r="J310" s="31" t="inlineStr">
        <is>
          <t>532605</t>
        </is>
      </c>
    </row>
    <row r="311">
      <c r="A311" s="31" t="inlineStr">
        <is>
          <t>PARACABLES</t>
        </is>
      </c>
      <c r="B311" s="31" t="inlineStr">
        <is>
          <t>Paramount Communications Limited</t>
        </is>
      </c>
      <c r="C311" s="31" t="inlineStr">
        <is>
          <t>industrials</t>
        </is>
      </c>
      <c r="D311" s="31" t="inlineStr">
        <is>
          <t>cables - power</t>
        </is>
      </c>
      <c r="E311" s="31" t="inlineStr">
        <is>
          <t>smallcap</t>
        </is>
      </c>
      <c r="F311" s="31" t="n">
        <v>1957.01</v>
      </c>
      <c r="G311" s="31" t="n">
        <v>64.06999999999999</v>
      </c>
      <c r="H311" s="31" t="n">
        <v>-0.08</v>
      </c>
      <c r="I311" s="31" t="n">
        <v>2138626</v>
      </c>
      <c r="J311" s="31" t="inlineStr">
        <is>
          <t>530555</t>
        </is>
      </c>
    </row>
    <row r="312">
      <c r="A312" s="31" t="inlineStr">
        <is>
          <t>JSWSTEEL</t>
        </is>
      </c>
      <c r="B312" s="31" t="inlineStr">
        <is>
          <t>Jsw Steel Limited</t>
        </is>
      </c>
      <c r="C312" s="31" t="inlineStr">
        <is>
          <t>metals &amp; mining</t>
        </is>
      </c>
      <c r="D312" s="31" t="inlineStr">
        <is>
          <t>steel - large</t>
        </is>
      </c>
      <c r="E312" s="31" t="inlineStr">
        <is>
          <t>largecap</t>
        </is>
      </c>
      <c r="F312" s="31" t="n">
        <v>317322.11</v>
      </c>
      <c r="G312" s="31" t="n">
        <v>1296.5</v>
      </c>
      <c r="H312" s="31" t="n">
        <v>-0.08</v>
      </c>
      <c r="I312" s="31" t="n">
        <v>1168850</v>
      </c>
      <c r="J312" s="31" t="inlineStr">
        <is>
          <t>500228</t>
        </is>
      </c>
    </row>
    <row r="313">
      <c r="A313" s="31" t="inlineStr">
        <is>
          <t>SBC</t>
        </is>
      </c>
      <c r="B313" s="31" t="inlineStr">
        <is>
          <t>SBC Exports Ltd</t>
        </is>
      </c>
      <c r="C313" s="31" t="inlineStr">
        <is>
          <t>textiles</t>
        </is>
      </c>
      <c r="D313" s="31" t="inlineStr">
        <is>
          <t>textiles - products</t>
        </is>
      </c>
      <c r="E313" s="31" t="inlineStr">
        <is>
          <t>smallcap</t>
        </is>
      </c>
      <c r="F313" s="31" t="n">
        <v>1770.47</v>
      </c>
      <c r="G313" s="31" t="n">
        <v>37.14</v>
      </c>
      <c r="H313" s="31" t="n">
        <v>-0.11</v>
      </c>
      <c r="I313" s="31" t="n">
        <v>10915058</v>
      </c>
      <c r="J313" s="31" t="inlineStr">
        <is>
          <t>542725</t>
        </is>
      </c>
    </row>
    <row r="314">
      <c r="A314" s="31" t="inlineStr">
        <is>
          <t>ATHERENERG</t>
        </is>
      </c>
      <c r="B314" s="31" t="inlineStr">
        <is>
          <t>Ather Energy Ltd</t>
        </is>
      </c>
      <c r="C314" s="31" t="inlineStr">
        <is>
          <t>auto</t>
        </is>
      </c>
      <c r="D314" s="31" t="inlineStr">
        <is>
          <t>automobiles - scooters and 3 - wheelers</t>
        </is>
      </c>
      <c r="E314" s="31" t="inlineStr">
        <is>
          <t>largecap</t>
        </is>
      </c>
      <c r="F314" s="31" t="n">
        <v>39365.59</v>
      </c>
      <c r="G314" s="31" t="n">
        <v>1027.4</v>
      </c>
      <c r="H314" s="31" t="n">
        <v>-0.13</v>
      </c>
      <c r="I314" s="31" t="n">
        <v>2309243</v>
      </c>
      <c r="J314" s="31" t="inlineStr">
        <is>
          <t>544397</t>
        </is>
      </c>
    </row>
    <row r="315">
      <c r="A315" s="31" t="inlineStr">
        <is>
          <t>INDOBORAX</t>
        </is>
      </c>
      <c r="B315" s="31" t="inlineStr">
        <is>
          <t>Indo Borax &amp; Chemicals Ltd</t>
        </is>
      </c>
      <c r="C315" s="31" t="inlineStr">
        <is>
          <t>chemicals</t>
        </is>
      </c>
      <c r="D315" s="31" t="inlineStr">
        <is>
          <t>chemicals</t>
        </is>
      </c>
      <c r="E315" s="31" t="inlineStr">
        <is>
          <t>smallcap</t>
        </is>
      </c>
      <c r="F315" s="31" t="n">
        <v>1198.4</v>
      </c>
      <c r="G315" s="31" t="n">
        <v>372.95</v>
      </c>
      <c r="H315" s="31" t="n">
        <v>-0.13</v>
      </c>
      <c r="I315" s="31" t="n">
        <v>108104</v>
      </c>
      <c r="J315" s="31" t="inlineStr">
        <is>
          <t>524342</t>
        </is>
      </c>
    </row>
    <row r="316">
      <c r="A316" s="31" t="inlineStr">
        <is>
          <t>IKS</t>
        </is>
      </c>
      <c r="B316" s="31" t="inlineStr">
        <is>
          <t>Inventurus Knowledge Solutions Ltd</t>
        </is>
      </c>
      <c r="C316" s="31" t="inlineStr">
        <is>
          <t>i.t</t>
        </is>
      </c>
      <c r="D316" s="31" t="inlineStr">
        <is>
          <t>computers - software - medium / small</t>
        </is>
      </c>
      <c r="E316" s="31" t="inlineStr">
        <is>
          <t>largecap</t>
        </is>
      </c>
      <c r="F316" s="31" t="n">
        <v>28795.12</v>
      </c>
      <c r="G316" s="31" t="n">
        <v>1675.2</v>
      </c>
      <c r="H316" s="31" t="n">
        <v>-0.18</v>
      </c>
      <c r="I316" s="31" t="n">
        <v>131181</v>
      </c>
      <c r="J316" s="31" t="inlineStr">
        <is>
          <t>544309</t>
        </is>
      </c>
    </row>
    <row r="317">
      <c r="A317" s="31" t="inlineStr">
        <is>
          <t>RISHABH</t>
        </is>
      </c>
      <c r="B317" s="31" t="inlineStr">
        <is>
          <t>Rishabh Instruments Ltd</t>
        </is>
      </c>
      <c r="C317" s="31" t="inlineStr">
        <is>
          <t>industrials</t>
        </is>
      </c>
      <c r="D317" s="31" t="inlineStr">
        <is>
          <t>electric equipment</t>
        </is>
      </c>
      <c r="E317" s="31" t="inlineStr">
        <is>
          <t>smallcap</t>
        </is>
      </c>
      <c r="F317" s="31" t="n">
        <v>2144.89</v>
      </c>
      <c r="G317" s="31" t="n">
        <v>555.3</v>
      </c>
      <c r="H317" s="31" t="n">
        <v>-0.21</v>
      </c>
      <c r="I317" s="31" t="n">
        <v>134074</v>
      </c>
      <c r="J317" s="31" t="inlineStr">
        <is>
          <t>543977</t>
        </is>
      </c>
    </row>
    <row r="318">
      <c r="A318" s="31" t="inlineStr">
        <is>
          <t>ADANIGREEN</t>
        </is>
      </c>
      <c r="B318" s="31" t="inlineStr">
        <is>
          <t>Adani Green Energy Ltd</t>
        </is>
      </c>
      <c r="C318" s="31" t="inlineStr">
        <is>
          <t>power &amp; utilities</t>
        </is>
      </c>
      <c r="D318" s="31" t="inlineStr">
        <is>
          <t>power generation and supply</t>
        </is>
      </c>
      <c r="E318" s="31" t="inlineStr">
        <is>
          <t>largecap</t>
        </is>
      </c>
      <c r="F318" s="31" t="n">
        <v>244720.96</v>
      </c>
      <c r="G318" s="31" t="n">
        <v>1482.6</v>
      </c>
      <c r="H318" s="31" t="n">
        <v>-0.21</v>
      </c>
      <c r="I318" s="31" t="n">
        <v>2245384</v>
      </c>
      <c r="J318" s="31" t="inlineStr">
        <is>
          <t>541450</t>
        </is>
      </c>
    </row>
    <row r="319">
      <c r="A319" s="31" t="inlineStr">
        <is>
          <t>NAVINFLUOR</t>
        </is>
      </c>
      <c r="B319" s="31" t="inlineStr">
        <is>
          <t>Navin Fluorine International Limited</t>
        </is>
      </c>
      <c r="C319" s="31" t="inlineStr">
        <is>
          <t>chemicals</t>
        </is>
      </c>
      <c r="D319" s="31" t="inlineStr">
        <is>
          <t>chemicals</t>
        </is>
      </c>
      <c r="E319" s="31" t="inlineStr">
        <is>
          <t>largecap</t>
        </is>
      </c>
      <c r="F319" s="31" t="n">
        <v>37426.83</v>
      </c>
      <c r="G319" s="31" t="n">
        <v>7287</v>
      </c>
      <c r="H319" s="31" t="n">
        <v>-0.22</v>
      </c>
      <c r="I319" s="31" t="n">
        <v>104555</v>
      </c>
      <c r="J319" s="31" t="inlineStr">
        <is>
          <t>532504</t>
        </is>
      </c>
    </row>
    <row r="320">
      <c r="A320" s="31" t="inlineStr">
        <is>
          <t>ZENTEC</t>
        </is>
      </c>
      <c r="B320" s="31" t="inlineStr">
        <is>
          <t>Zen Technologies Limited</t>
        </is>
      </c>
      <c r="C320" s="31" t="inlineStr">
        <is>
          <t>aerospace &amp; defence</t>
        </is>
      </c>
      <c r="D320" s="31" t="inlineStr">
        <is>
          <t>miscellaneous</t>
        </is>
      </c>
      <c r="E320" s="31" t="inlineStr">
        <is>
          <t>midcap</t>
        </is>
      </c>
      <c r="F320" s="31" t="n">
        <v>16196.28</v>
      </c>
      <c r="G320" s="31" t="n">
        <v>1789.1</v>
      </c>
      <c r="H320" s="31" t="n">
        <v>-0.26</v>
      </c>
      <c r="I320" s="31" t="n">
        <v>908641</v>
      </c>
      <c r="J320" s="31" t="inlineStr">
        <is>
          <t>533339</t>
        </is>
      </c>
    </row>
    <row r="321">
      <c r="A321" s="31" t="inlineStr">
        <is>
          <t>NYKAA</t>
        </is>
      </c>
      <c r="B321" s="31" t="inlineStr">
        <is>
          <t>FSN E-Commerce Ventures Ltd</t>
        </is>
      </c>
      <c r="C321" s="31" t="inlineStr">
        <is>
          <t>i.t</t>
        </is>
      </c>
      <c r="D321" s="31" t="inlineStr">
        <is>
          <t>trading</t>
        </is>
      </c>
      <c r="E321" s="31" t="inlineStr">
        <is>
          <t>largecap</t>
        </is>
      </c>
      <c r="F321" s="31" t="n">
        <v>78309.27</v>
      </c>
      <c r="G321" s="31" t="n">
        <v>272.8</v>
      </c>
      <c r="H321" s="31" t="n">
        <v>-0.26</v>
      </c>
      <c r="I321" s="31" t="n">
        <v>5754999</v>
      </c>
      <c r="J321" s="31" t="inlineStr">
        <is>
          <t>543384</t>
        </is>
      </c>
    </row>
    <row r="322">
      <c r="A322" s="31" t="inlineStr">
        <is>
          <t>KDDL</t>
        </is>
      </c>
      <c r="B322" s="31" t="inlineStr">
        <is>
          <t>Kddl Limited</t>
        </is>
      </c>
      <c r="C322" s="31" t="inlineStr">
        <is>
          <t>consumer discretionary</t>
        </is>
      </c>
      <c r="D322" s="31" t="inlineStr">
        <is>
          <t>miscellaneous</t>
        </is>
      </c>
      <c r="E322" s="31" t="inlineStr">
        <is>
          <t>smallcap</t>
        </is>
      </c>
      <c r="F322" s="31" t="n">
        <v>3529.03</v>
      </c>
      <c r="G322" s="31" t="n">
        <v>2861.2</v>
      </c>
      <c r="H322" s="31" t="n">
        <v>-0.28</v>
      </c>
      <c r="I322" s="31" t="n">
        <v>18310</v>
      </c>
      <c r="J322" s="31" t="inlineStr">
        <is>
          <t>532054</t>
        </is>
      </c>
    </row>
    <row r="323">
      <c r="A323" s="31" t="inlineStr">
        <is>
          <t>ADFFOODS</t>
        </is>
      </c>
      <c r="B323" s="31" t="inlineStr">
        <is>
          <t>Adf Foods Limited</t>
        </is>
      </c>
      <c r="C323" s="31" t="inlineStr">
        <is>
          <t>fmcg</t>
        </is>
      </c>
      <c r="D323" s="31" t="inlineStr">
        <is>
          <t>food - processing - indian</t>
        </is>
      </c>
      <c r="E323" s="31" t="inlineStr">
        <is>
          <t>smallcap</t>
        </is>
      </c>
      <c r="F323" s="31" t="n">
        <v>3111.34</v>
      </c>
      <c r="G323" s="31" t="n">
        <v>282.4</v>
      </c>
      <c r="H323" s="31" t="n">
        <v>-0.28</v>
      </c>
      <c r="I323" s="31" t="n">
        <v>224054</v>
      </c>
      <c r="J323" s="31" t="inlineStr">
        <is>
          <t>519183</t>
        </is>
      </c>
    </row>
    <row r="324">
      <c r="A324" s="31" t="inlineStr">
        <is>
          <t>DBOL</t>
        </is>
      </c>
      <c r="B324" s="31" t="inlineStr">
        <is>
          <t>Dhampur Bio Organics Ltd</t>
        </is>
      </c>
      <c r="C324" s="31" t="inlineStr">
        <is>
          <t>fmcg</t>
        </is>
      </c>
      <c r="D324" s="31" t="inlineStr">
        <is>
          <t>sugar</t>
        </is>
      </c>
      <c r="E324" s="31" t="inlineStr">
        <is>
          <t>smallcap</t>
        </is>
      </c>
      <c r="F324" s="31" t="n">
        <v>764.79</v>
      </c>
      <c r="G324" s="31" t="n">
        <v>114.87</v>
      </c>
      <c r="H324" s="31" t="n">
        <v>-0.29</v>
      </c>
      <c r="I324" s="31" t="n">
        <v>39093</v>
      </c>
      <c r="J324" s="31" t="inlineStr">
        <is>
          <t>543593</t>
        </is>
      </c>
    </row>
    <row r="325">
      <c r="A325" s="31" t="inlineStr">
        <is>
          <t>ASIANPAINT</t>
        </is>
      </c>
      <c r="B325" s="31" t="inlineStr">
        <is>
          <t>Asian Paints Limited</t>
        </is>
      </c>
      <c r="C325" s="31" t="inlineStr">
        <is>
          <t>building materials</t>
        </is>
      </c>
      <c r="D325" s="31" t="inlineStr">
        <is>
          <t>paints / varnishes</t>
        </is>
      </c>
      <c r="E325" s="31" t="inlineStr">
        <is>
          <t>largecap</t>
        </is>
      </c>
      <c r="F325" s="31" t="n">
        <v>263530</v>
      </c>
      <c r="G325" s="31" t="n">
        <v>2739.3</v>
      </c>
      <c r="H325" s="31" t="n">
        <v>-0.29</v>
      </c>
      <c r="I325" s="31" t="n">
        <v>2752021</v>
      </c>
      <c r="J325" s="31" t="inlineStr">
        <is>
          <t>500820</t>
        </is>
      </c>
    </row>
    <row r="326">
      <c r="A326" s="31" t="inlineStr">
        <is>
          <t>HITECHCORP</t>
        </is>
      </c>
      <c r="B326" s="31" t="inlineStr">
        <is>
          <t>Hitech Corporation</t>
        </is>
      </c>
      <c r="C326" s="31" t="inlineStr">
        <is>
          <t>industrials</t>
        </is>
      </c>
      <c r="D326" s="31" t="inlineStr">
        <is>
          <t>packaging</t>
        </is>
      </c>
      <c r="E326" s="31" t="inlineStr">
        <is>
          <t>smallcap</t>
        </is>
      </c>
      <c r="F326" s="31" t="n">
        <v>532.48</v>
      </c>
      <c r="G326" s="31" t="n">
        <v>309.1</v>
      </c>
      <c r="H326" s="31" t="n">
        <v>-0.3</v>
      </c>
      <c r="I326" s="31" t="n">
        <v>37957</v>
      </c>
      <c r="J326" s="31" t="inlineStr">
        <is>
          <t>526217</t>
        </is>
      </c>
    </row>
    <row r="327">
      <c r="A327" s="31" t="inlineStr">
        <is>
          <t>APOLLOHOSP</t>
        </is>
      </c>
      <c r="B327" s="31" t="inlineStr">
        <is>
          <t>Apollo Hospitals Enterprise Limited</t>
        </is>
      </c>
      <c r="C327" s="31" t="inlineStr">
        <is>
          <t>healthcare</t>
        </is>
      </c>
      <c r="D327" s="31" t="inlineStr">
        <is>
          <t>healthcare</t>
        </is>
      </c>
      <c r="E327" s="31" t="inlineStr">
        <is>
          <t>largecap</t>
        </is>
      </c>
      <c r="F327" s="31" t="n">
        <v>122188.2</v>
      </c>
      <c r="G327" s="31" t="n">
        <v>8468.5</v>
      </c>
      <c r="H327" s="31" t="n">
        <v>-0.35</v>
      </c>
      <c r="I327" s="31" t="n">
        <v>358223</v>
      </c>
      <c r="J327" s="31" t="inlineStr">
        <is>
          <t>508869</t>
        </is>
      </c>
    </row>
    <row r="328">
      <c r="A328" s="31" t="inlineStr">
        <is>
          <t>LAURUSLABS</t>
        </is>
      </c>
      <c r="B328" s="31" t="inlineStr">
        <is>
          <t>Laurus Labs Limited</t>
        </is>
      </c>
      <c r="C328" s="31" t="inlineStr">
        <is>
          <t>healthcare</t>
        </is>
      </c>
      <c r="D328" s="31" t="inlineStr">
        <is>
          <t>pharmaceuticals - indian - bulk drugs &amp; formln</t>
        </is>
      </c>
      <c r="E328" s="31" t="inlineStr">
        <is>
          <t>largecap</t>
        </is>
      </c>
      <c r="F328" s="31" t="n">
        <v>75272.2</v>
      </c>
      <c r="G328" s="31" t="n">
        <v>1389.1</v>
      </c>
      <c r="H328" s="31" t="n">
        <v>-0.37</v>
      </c>
      <c r="I328" s="31" t="n">
        <v>1241974</v>
      </c>
      <c r="J328" s="31" t="inlineStr">
        <is>
          <t>540222</t>
        </is>
      </c>
    </row>
    <row r="329">
      <c r="A329" s="31" t="inlineStr">
        <is>
          <t>KRN</t>
        </is>
      </c>
      <c r="B329" s="31" t="inlineStr">
        <is>
          <t>KRN Heat Exchanger and Refrigeration Ltd</t>
        </is>
      </c>
      <c r="C329" s="31" t="inlineStr">
        <is>
          <t>industrials</t>
        </is>
      </c>
      <c r="D329" s="31" t="inlineStr">
        <is>
          <t>engineering</t>
        </is>
      </c>
      <c r="E329" s="31" t="inlineStr">
        <is>
          <t>midcap</t>
        </is>
      </c>
      <c r="F329" s="31" t="n">
        <v>8255.620000000001</v>
      </c>
      <c r="G329" s="31" t="n">
        <v>1256</v>
      </c>
      <c r="H329" s="31" t="n">
        <v>-0.41</v>
      </c>
      <c r="I329" s="31" t="n">
        <v>177740</v>
      </c>
      <c r="J329" s="31" t="inlineStr">
        <is>
          <t>544263</t>
        </is>
      </c>
    </row>
    <row r="330">
      <c r="A330" s="31" t="inlineStr">
        <is>
          <t>ADANIPORTS</t>
        </is>
      </c>
      <c r="B330" s="31" t="inlineStr">
        <is>
          <t>Adani Ports And Special Economic Zone Limited</t>
        </is>
      </c>
      <c r="C330" s="31" t="inlineStr">
        <is>
          <t>transportation</t>
        </is>
      </c>
      <c r="D330" s="31" t="inlineStr">
        <is>
          <t>miscellaneous</t>
        </is>
      </c>
      <c r="E330" s="31" t="inlineStr">
        <is>
          <t>largecap</t>
        </is>
      </c>
      <c r="F330" s="31" t="n">
        <v>417684.74</v>
      </c>
      <c r="G330" s="31" t="n">
        <v>1804.8</v>
      </c>
      <c r="H330" s="31" t="n">
        <v>-0.45</v>
      </c>
      <c r="I330" s="31" t="n">
        <v>1421741</v>
      </c>
      <c r="J330" s="31" t="inlineStr">
        <is>
          <t>532921</t>
        </is>
      </c>
    </row>
    <row r="331">
      <c r="A331" s="31" t="inlineStr">
        <is>
          <t>AKUMS</t>
        </is>
      </c>
      <c r="B331" s="31" t="inlineStr">
        <is>
          <t>Akums Drugs &amp; Pharmaceuticals Ltd</t>
        </is>
      </c>
      <c r="C331" s="31" t="inlineStr">
        <is>
          <t>healthcare</t>
        </is>
      </c>
      <c r="D331" s="31" t="inlineStr">
        <is>
          <t>pharmaceuticals - indian - bulk drugs &amp; formln</t>
        </is>
      </c>
      <c r="E331" s="31" t="inlineStr">
        <is>
          <t>midcap</t>
        </is>
      </c>
      <c r="F331" s="31" t="n">
        <v>9804.07</v>
      </c>
      <c r="G331" s="31" t="n">
        <v>619.95</v>
      </c>
      <c r="H331" s="31" t="n">
        <v>-0.47</v>
      </c>
      <c r="I331" s="31" t="n">
        <v>438245</v>
      </c>
      <c r="J331" s="31" t="inlineStr">
        <is>
          <t>544222</t>
        </is>
      </c>
    </row>
    <row r="332">
      <c r="A332" s="31" t="inlineStr">
        <is>
          <t>CARYSIL</t>
        </is>
      </c>
      <c r="B332" s="31" t="inlineStr">
        <is>
          <t>Carysil Ltd</t>
        </is>
      </c>
      <c r="C332" s="31" t="inlineStr">
        <is>
          <t>consumer discretionary</t>
        </is>
      </c>
      <c r="D332" s="31" t="inlineStr">
        <is>
          <t>domestic appliances</t>
        </is>
      </c>
      <c r="E332" s="31" t="inlineStr">
        <is>
          <t>smallcap</t>
        </is>
      </c>
      <c r="F332" s="31" t="n">
        <v>3353.1</v>
      </c>
      <c r="G332" s="31" t="n">
        <v>1173.2</v>
      </c>
      <c r="H332" s="31" t="n">
        <v>-0.48</v>
      </c>
      <c r="I332" s="31" t="n">
        <v>162338</v>
      </c>
      <c r="J332" s="31" t="inlineStr">
        <is>
          <t>524091</t>
        </is>
      </c>
    </row>
    <row r="333">
      <c r="A333" s="31" t="inlineStr">
        <is>
          <t>IDEAFORGE</t>
        </is>
      </c>
      <c r="B333" s="31" t="inlineStr">
        <is>
          <t>Ideaforge Technology Ltd</t>
        </is>
      </c>
      <c r="C333" s="31" t="inlineStr">
        <is>
          <t>aerospace &amp; defence</t>
        </is>
      </c>
      <c r="D333" s="31" t="inlineStr">
        <is>
          <t>engineering</t>
        </is>
      </c>
      <c r="E333" s="31" t="inlineStr">
        <is>
          <t>smallcap</t>
        </is>
      </c>
      <c r="F333" s="31" t="n">
        <v>3761.11</v>
      </c>
      <c r="G333" s="31" t="n">
        <v>864.85</v>
      </c>
      <c r="H333" s="31" t="n">
        <v>-0.49</v>
      </c>
      <c r="I333" s="31" t="n">
        <v>286088</v>
      </c>
      <c r="J333" s="31" t="inlineStr">
        <is>
          <t>543932</t>
        </is>
      </c>
    </row>
    <row r="334">
      <c r="A334" s="31" t="inlineStr">
        <is>
          <t>MONARCH</t>
        </is>
      </c>
      <c r="B334" s="31" t="inlineStr">
        <is>
          <t>Monarch Networth Capital Ltd</t>
        </is>
      </c>
      <c r="C334" s="31" t="inlineStr">
        <is>
          <t>financials</t>
        </is>
      </c>
      <c r="D334" s="31" t="inlineStr">
        <is>
          <t>finance &amp; investments</t>
        </is>
      </c>
      <c r="E334" s="31" t="inlineStr">
        <is>
          <t>smallcap</t>
        </is>
      </c>
      <c r="F334" s="31" t="n">
        <v>2694.73</v>
      </c>
      <c r="G334" s="31" t="n">
        <v>338.3</v>
      </c>
      <c r="H334" s="31" t="n">
        <v>-0.49</v>
      </c>
      <c r="I334" s="31" t="n">
        <v>876419</v>
      </c>
      <c r="J334" s="31" t="inlineStr">
        <is>
          <t>511551</t>
        </is>
      </c>
    </row>
    <row r="335">
      <c r="A335" s="31" t="inlineStr">
        <is>
          <t>SENORES</t>
        </is>
      </c>
      <c r="B335" s="31" t="inlineStr">
        <is>
          <t>Senores Pharmaceuticals Ltd</t>
        </is>
      </c>
      <c r="C335" s="31" t="inlineStr">
        <is>
          <t>healthcare</t>
        </is>
      </c>
      <c r="D335" s="31" t="inlineStr">
        <is>
          <t>pharmaceuticals - indian - formulations</t>
        </is>
      </c>
      <c r="E335" s="31" t="inlineStr">
        <is>
          <t>midcap</t>
        </is>
      </c>
      <c r="F335" s="31" t="n">
        <v>5940.91</v>
      </c>
      <c r="G335" s="31" t="n">
        <v>1283.2</v>
      </c>
      <c r="H335" s="31" t="n">
        <v>-0.53</v>
      </c>
      <c r="I335" s="31" t="n">
        <v>557292</v>
      </c>
      <c r="J335" s="31" t="inlineStr">
        <is>
          <t>544319</t>
        </is>
      </c>
    </row>
    <row r="336">
      <c r="A336" s="31" t="inlineStr">
        <is>
          <t>IOLCP</t>
        </is>
      </c>
      <c r="B336" s="31" t="inlineStr">
        <is>
          <t>Iol Chemicals And Pharmaceuticals Limited</t>
        </is>
      </c>
      <c r="C336" s="31" t="inlineStr">
        <is>
          <t>healthcare</t>
        </is>
      </c>
      <c r="D336" s="31" t="inlineStr">
        <is>
          <t>pharmaceuticals - indian - bulk drugs &amp; formln</t>
        </is>
      </c>
      <c r="E336" s="31" t="inlineStr">
        <is>
          <t>smallcap</t>
        </is>
      </c>
      <c r="F336" s="31" t="n">
        <v>3940.31</v>
      </c>
      <c r="G336" s="31" t="n">
        <v>133.52</v>
      </c>
      <c r="H336" s="31" t="n">
        <v>-0.54</v>
      </c>
      <c r="I336" s="31" t="n">
        <v>2930643</v>
      </c>
      <c r="J336" s="31" t="inlineStr">
        <is>
          <t>524164</t>
        </is>
      </c>
    </row>
    <row r="337">
      <c r="A337" s="31" t="inlineStr">
        <is>
          <t>RKFORGE</t>
        </is>
      </c>
      <c r="B337" s="31" t="inlineStr">
        <is>
          <t>Ramkrishna Forgings Limited</t>
        </is>
      </c>
      <c r="C337" s="31" t="inlineStr">
        <is>
          <t>industrials</t>
        </is>
      </c>
      <c r="D337" s="31" t="inlineStr">
        <is>
          <t>castings &amp; forgings</t>
        </is>
      </c>
      <c r="E337" s="31" t="inlineStr">
        <is>
          <t>midcap</t>
        </is>
      </c>
      <c r="F337" s="31" t="n">
        <v>10758.53</v>
      </c>
      <c r="G337" s="31" t="n">
        <v>589</v>
      </c>
      <c r="H337" s="31" t="n">
        <v>-0.54</v>
      </c>
      <c r="I337" s="31" t="n">
        <v>486403</v>
      </c>
      <c r="J337" s="31" t="inlineStr">
        <is>
          <t>532527</t>
        </is>
      </c>
    </row>
    <row r="338">
      <c r="A338" s="31" t="inlineStr">
        <is>
          <t>MUNJALAU</t>
        </is>
      </c>
      <c r="B338" s="31" t="inlineStr">
        <is>
          <t>Munjal Auto Industries Limited</t>
        </is>
      </c>
      <c r="C338" s="31" t="inlineStr">
        <is>
          <t>auto</t>
        </is>
      </c>
      <c r="D338" s="31" t="inlineStr">
        <is>
          <t>auto ancillaries</t>
        </is>
      </c>
      <c r="E338" s="31" t="inlineStr">
        <is>
          <t>smallcap</t>
        </is>
      </c>
      <c r="F338" s="31" t="n">
        <v>979.4</v>
      </c>
      <c r="G338" s="31" t="n">
        <v>97.31999999999999</v>
      </c>
      <c r="H338" s="31" t="n">
        <v>-0.63</v>
      </c>
      <c r="I338" s="31" t="n">
        <v>347149</v>
      </c>
      <c r="J338" s="31" t="inlineStr">
        <is>
          <t>520059</t>
        </is>
      </c>
    </row>
    <row r="339">
      <c r="A339" s="31" t="inlineStr">
        <is>
          <t>KOVAI</t>
        </is>
      </c>
      <c r="B339" s="31" t="inlineStr">
        <is>
          <t>Kovai Medical Center &amp; Hospital Ltd</t>
        </is>
      </c>
      <c r="C339" s="31" t="inlineStr">
        <is>
          <t>healthcare</t>
        </is>
      </c>
      <c r="D339" s="31" t="inlineStr">
        <is>
          <t>healthcare</t>
        </is>
      </c>
      <c r="E339" s="31" t="inlineStr">
        <is>
          <t>midcap</t>
        </is>
      </c>
      <c r="F339" s="31" t="n">
        <v>6358.55</v>
      </c>
      <c r="G339" s="31" t="n">
        <v>5774.5</v>
      </c>
      <c r="H339" s="31" t="n">
        <v>-0.63</v>
      </c>
      <c r="I339" s="31" t="n">
        <v>2610</v>
      </c>
      <c r="J339" s="31" t="inlineStr">
        <is>
          <t>523323</t>
        </is>
      </c>
    </row>
    <row r="340">
      <c r="A340" s="31" t="inlineStr">
        <is>
          <t>BBOX</t>
        </is>
      </c>
      <c r="B340" s="31" t="inlineStr">
        <is>
          <t>Black Box Ltd</t>
        </is>
      </c>
      <c r="C340" s="31" t="inlineStr">
        <is>
          <t>i.t</t>
        </is>
      </c>
      <c r="D340" s="31" t="inlineStr">
        <is>
          <t>computers - software - medium / small</t>
        </is>
      </c>
      <c r="E340" s="31" t="inlineStr">
        <is>
          <t>midcap</t>
        </is>
      </c>
      <c r="F340" s="31" t="n">
        <v>18079.67</v>
      </c>
      <c r="G340" s="31" t="n">
        <v>1011.7</v>
      </c>
      <c r="H340" s="31" t="n">
        <v>-0.68</v>
      </c>
      <c r="I340" s="31" t="n">
        <v>594923</v>
      </c>
      <c r="J340" s="31" t="inlineStr">
        <is>
          <t>500463</t>
        </is>
      </c>
    </row>
    <row r="341">
      <c r="A341" s="31" t="inlineStr">
        <is>
          <t>SANDHAR</t>
        </is>
      </c>
      <c r="B341" s="31" t="inlineStr">
        <is>
          <t>Sandhar Technologies Limited</t>
        </is>
      </c>
      <c r="C341" s="31" t="inlineStr">
        <is>
          <t>auto</t>
        </is>
      </c>
      <c r="D341" s="31" t="inlineStr">
        <is>
          <t>auto ancillaries</t>
        </is>
      </c>
      <c r="E341" s="31" t="inlineStr">
        <is>
          <t>smallcap</t>
        </is>
      </c>
      <c r="F341" s="31" t="n">
        <v>4285.58</v>
      </c>
      <c r="G341" s="31" t="n">
        <v>707.1</v>
      </c>
      <c r="H341" s="31" t="n">
        <v>-0.6899999999999999</v>
      </c>
      <c r="I341" s="31" t="n">
        <v>326023</v>
      </c>
      <c r="J341" s="31" t="inlineStr">
        <is>
          <t>541163</t>
        </is>
      </c>
    </row>
    <row r="342">
      <c r="A342" s="31" t="inlineStr">
        <is>
          <t>CENTENKA</t>
        </is>
      </c>
      <c r="B342" s="31" t="inlineStr">
        <is>
          <t>Century Enka Limited</t>
        </is>
      </c>
      <c r="C342" s="31" t="inlineStr">
        <is>
          <t>textiles</t>
        </is>
      </c>
      <c r="D342" s="31" t="inlineStr">
        <is>
          <t>textiles - manmade</t>
        </is>
      </c>
      <c r="E342" s="31" t="inlineStr">
        <is>
          <t>smallcap</t>
        </is>
      </c>
      <c r="F342" s="31" t="n">
        <v>1096.68</v>
      </c>
      <c r="G342" s="31" t="n">
        <v>498.45</v>
      </c>
      <c r="H342" s="31" t="n">
        <v>-0.6899999999999999</v>
      </c>
      <c r="I342" s="31" t="n">
        <v>44628</v>
      </c>
      <c r="J342" s="31" t="inlineStr">
        <is>
          <t>500280</t>
        </is>
      </c>
    </row>
    <row r="343">
      <c r="A343" s="31" t="inlineStr">
        <is>
          <t>HONAUT</t>
        </is>
      </c>
      <c r="B343" s="31" t="inlineStr">
        <is>
          <t>Honeywell Automation India Limited</t>
        </is>
      </c>
      <c r="C343" s="31" t="inlineStr">
        <is>
          <t>consumer discretionary</t>
        </is>
      </c>
      <c r="D343" s="31" t="inlineStr">
        <is>
          <t>electronics - components</t>
        </is>
      </c>
      <c r="E343" s="31" t="inlineStr">
        <is>
          <t>largecap</t>
        </is>
      </c>
      <c r="F343" s="31" t="n">
        <v>31970.95</v>
      </c>
      <c r="G343" s="31" t="n">
        <v>35905</v>
      </c>
      <c r="H343" s="31" t="n">
        <v>-0.71</v>
      </c>
      <c r="I343" s="31" t="n">
        <v>4789</v>
      </c>
      <c r="J343" s="31" t="inlineStr">
        <is>
          <t>517174</t>
        </is>
      </c>
    </row>
    <row r="344">
      <c r="A344" s="31" t="inlineStr">
        <is>
          <t>RAJRATAN</t>
        </is>
      </c>
      <c r="B344" s="31" t="inlineStr">
        <is>
          <t>Rajratan Global Wire Ltd</t>
        </is>
      </c>
      <c r="C344" s="31" t="inlineStr">
        <is>
          <t>metals &amp; mining</t>
        </is>
      </c>
      <c r="D344" s="31" t="inlineStr">
        <is>
          <t>steel - medium / small</t>
        </is>
      </c>
      <c r="E344" s="31" t="inlineStr">
        <is>
          <t>smallcap</t>
        </is>
      </c>
      <c r="F344" s="31" t="n">
        <v>2331.4</v>
      </c>
      <c r="G344" s="31" t="n">
        <v>455.85</v>
      </c>
      <c r="H344" s="31" t="n">
        <v>-0.73</v>
      </c>
      <c r="I344" s="31" t="n">
        <v>63168</v>
      </c>
      <c r="J344" s="31" t="inlineStr">
        <is>
          <t>517522</t>
        </is>
      </c>
    </row>
    <row r="345">
      <c r="A345" s="31" t="inlineStr">
        <is>
          <t>INDSWFTLAB</t>
        </is>
      </c>
      <c r="B345" s="31" t="inlineStr">
        <is>
          <t>Ind-swift Laboratories Limited</t>
        </is>
      </c>
      <c r="C345" s="31" t="inlineStr">
        <is>
          <t>healthcare</t>
        </is>
      </c>
      <c r="D345" s="31" t="inlineStr">
        <is>
          <t>pharmaceuticals - indian - bulk drugs &amp; formln</t>
        </is>
      </c>
      <c r="E345" s="31" t="inlineStr">
        <is>
          <t>smallcap</t>
        </is>
      </c>
      <c r="F345" s="31" t="n">
        <v>1415.7</v>
      </c>
      <c r="G345" s="31" t="n">
        <v>161.84</v>
      </c>
      <c r="H345" s="31" t="n">
        <v>-0.73</v>
      </c>
      <c r="I345" s="31" t="n">
        <v>569802</v>
      </c>
      <c r="J345" s="31" t="inlineStr">
        <is>
          <t>532305</t>
        </is>
      </c>
    </row>
    <row r="346">
      <c r="A346" s="31" t="inlineStr">
        <is>
          <t>ASIANENE</t>
        </is>
      </c>
      <c r="B346" s="31" t="inlineStr">
        <is>
          <t>Asian Energy Services Ltd</t>
        </is>
      </c>
      <c r="C346" s="31" t="inlineStr">
        <is>
          <t>energy</t>
        </is>
      </c>
      <c r="D346" s="31" t="inlineStr">
        <is>
          <t>oil drilling / allied services</t>
        </is>
      </c>
      <c r="E346" s="31" t="inlineStr">
        <is>
          <t>smallcap</t>
        </is>
      </c>
      <c r="F346" s="31" t="n">
        <v>1780.13</v>
      </c>
      <c r="G346" s="31" t="n">
        <v>363.45</v>
      </c>
      <c r="H346" s="31" t="n">
        <v>-0.75</v>
      </c>
      <c r="I346" s="31" t="n">
        <v>340786</v>
      </c>
      <c r="J346" s="31" t="inlineStr">
        <is>
          <t>530355</t>
        </is>
      </c>
    </row>
    <row r="347">
      <c r="A347" s="31" t="inlineStr">
        <is>
          <t>SHAILY</t>
        </is>
      </c>
      <c r="B347" s="31" t="inlineStr">
        <is>
          <t>Shaily Engineering Plastics Ltd</t>
        </is>
      </c>
      <c r="C347" s="31" t="inlineStr">
        <is>
          <t>plastic products</t>
        </is>
      </c>
      <c r="D347" s="31" t="inlineStr">
        <is>
          <t>plastics products</t>
        </is>
      </c>
      <c r="E347" s="31" t="inlineStr">
        <is>
          <t>midcap</t>
        </is>
      </c>
      <c r="F347" s="31" t="n">
        <v>13657.85</v>
      </c>
      <c r="G347" s="31" t="n">
        <v>2948.1</v>
      </c>
      <c r="H347" s="31" t="n">
        <v>-0.8</v>
      </c>
      <c r="I347" s="31" t="n">
        <v>209648</v>
      </c>
      <c r="J347" s="31" t="inlineStr">
        <is>
          <t>501423</t>
        </is>
      </c>
    </row>
    <row r="348">
      <c r="A348" s="31" t="inlineStr">
        <is>
          <t>NEULANDLAB</t>
        </is>
      </c>
      <c r="B348" s="31" t="inlineStr">
        <is>
          <t>Neuland Laboratories Limited</t>
        </is>
      </c>
      <c r="C348" s="31" t="inlineStr">
        <is>
          <t>healthcare</t>
        </is>
      </c>
      <c r="D348" s="31" t="inlineStr">
        <is>
          <t>pharmaceuticals - indian - bulk drugs</t>
        </is>
      </c>
      <c r="E348" s="31" t="inlineStr">
        <is>
          <t>largecap</t>
        </is>
      </c>
      <c r="F348" s="31" t="n">
        <v>22064.84</v>
      </c>
      <c r="G348" s="31" t="n">
        <v>17056</v>
      </c>
      <c r="H348" s="31" t="n">
        <v>-0.83</v>
      </c>
      <c r="I348" s="31" t="n">
        <v>37749</v>
      </c>
      <c r="J348" s="31" t="inlineStr">
        <is>
          <t>524558</t>
        </is>
      </c>
    </row>
    <row r="349">
      <c r="A349" s="31" t="inlineStr">
        <is>
          <t>SAILIFE</t>
        </is>
      </c>
      <c r="B349" s="31" t="inlineStr">
        <is>
          <t>Sai Life Sciences Ltd</t>
        </is>
      </c>
      <c r="C349" s="31" t="inlineStr">
        <is>
          <t>healthcare</t>
        </is>
      </c>
      <c r="D349" s="31" t="inlineStr">
        <is>
          <t>pharmaceuticals - indian - bulk drugs &amp; formln</t>
        </is>
      </c>
      <c r="E349" s="31" t="inlineStr">
        <is>
          <t>largecap</t>
        </is>
      </c>
      <c r="F349" s="31" t="n">
        <v>25796.83</v>
      </c>
      <c r="G349" s="31" t="n">
        <v>1207.9</v>
      </c>
      <c r="H349" s="31" t="n">
        <v>-0.84</v>
      </c>
      <c r="I349" s="31" t="n">
        <v>224144</v>
      </c>
      <c r="J349" s="31" t="inlineStr">
        <is>
          <t>544306</t>
        </is>
      </c>
    </row>
    <row r="350">
      <c r="A350" s="31" t="inlineStr">
        <is>
          <t>PGHL</t>
        </is>
      </c>
      <c r="B350" s="31" t="inlineStr">
        <is>
          <t>Procter &amp; Gamble Health Ltd</t>
        </is>
      </c>
      <c r="C350" s="31" t="inlineStr">
        <is>
          <t>healthcare</t>
        </is>
      </c>
      <c r="D350" s="31" t="inlineStr">
        <is>
          <t>pharmaceuticals - multinational</t>
        </is>
      </c>
      <c r="E350" s="31" t="inlineStr">
        <is>
          <t>midcap</t>
        </is>
      </c>
      <c r="F350" s="31" t="n">
        <v>10436.03</v>
      </c>
      <c r="G350" s="31" t="n">
        <v>6226.5</v>
      </c>
      <c r="H350" s="31" t="n">
        <v>-0.96</v>
      </c>
      <c r="I350" s="31" t="n">
        <v>9689</v>
      </c>
      <c r="J350" s="31" t="inlineStr">
        <is>
          <t>500126</t>
        </is>
      </c>
    </row>
    <row r="351">
      <c r="A351" s="31" t="inlineStr">
        <is>
          <t>KPRMILL</t>
        </is>
      </c>
      <c r="B351" s="31" t="inlineStr">
        <is>
          <t>K.p.r. Mill Limited</t>
        </is>
      </c>
      <c r="C351" s="31" t="inlineStr">
        <is>
          <t>consumer discretionary</t>
        </is>
      </c>
      <c r="D351" s="31" t="inlineStr">
        <is>
          <t>textiles - products</t>
        </is>
      </c>
      <c r="E351" s="31" t="inlineStr">
        <is>
          <t>largecap</t>
        </is>
      </c>
      <c r="F351" s="31" t="n">
        <v>36430.54</v>
      </c>
      <c r="G351" s="31" t="n">
        <v>1055.45</v>
      </c>
      <c r="H351" s="31" t="n">
        <v>-0.97</v>
      </c>
      <c r="I351" s="31" t="n">
        <v>225571</v>
      </c>
      <c r="J351" s="31" t="inlineStr">
        <is>
          <t>532889</t>
        </is>
      </c>
    </row>
    <row r="352">
      <c r="A352" s="31" t="inlineStr">
        <is>
          <t>FORTIS</t>
        </is>
      </c>
      <c r="B352" s="31" t="inlineStr">
        <is>
          <t>Fortis Healthcare Limited</t>
        </is>
      </c>
      <c r="C352" s="31" t="inlineStr">
        <is>
          <t>healthcare</t>
        </is>
      </c>
      <c r="D352" s="31" t="inlineStr">
        <is>
          <t>healthcare</t>
        </is>
      </c>
      <c r="E352" s="31" t="inlineStr">
        <is>
          <t>largecap</t>
        </is>
      </c>
      <c r="F352" s="31" t="n">
        <v>74767.28</v>
      </c>
      <c r="G352" s="31" t="n">
        <v>980.15</v>
      </c>
      <c r="H352" s="31" t="n">
        <v>-1.03</v>
      </c>
      <c r="I352" s="31" t="n">
        <v>1246775</v>
      </c>
      <c r="J352" s="31" t="inlineStr">
        <is>
          <t>532843</t>
        </is>
      </c>
    </row>
    <row r="353">
      <c r="A353" s="31" t="inlineStr">
        <is>
          <t>MARKSANS</t>
        </is>
      </c>
      <c r="B353" s="31" t="inlineStr">
        <is>
          <t>Marksans Pharma Limited</t>
        </is>
      </c>
      <c r="C353" s="31" t="inlineStr">
        <is>
          <t>healthcare</t>
        </is>
      </c>
      <c r="D353" s="31" t="inlineStr">
        <is>
          <t>pharmaceuticals - indian - formulations</t>
        </is>
      </c>
      <c r="E353" s="31" t="inlineStr">
        <is>
          <t>midcap</t>
        </is>
      </c>
      <c r="F353" s="31" t="n">
        <v>11436.49</v>
      </c>
      <c r="G353" s="31" t="n">
        <v>249.76</v>
      </c>
      <c r="H353" s="31" t="n">
        <v>-1.03</v>
      </c>
      <c r="I353" s="31" t="n">
        <v>1633878</v>
      </c>
      <c r="J353" s="31" t="inlineStr">
        <is>
          <t>524404</t>
        </is>
      </c>
    </row>
    <row r="354">
      <c r="A354" s="31" t="inlineStr">
        <is>
          <t>KTKBANK</t>
        </is>
      </c>
      <c r="B354" s="31" t="inlineStr">
        <is>
          <t>The Karnataka Bank Limited</t>
        </is>
      </c>
      <c r="C354" s="31" t="inlineStr">
        <is>
          <t>bank</t>
        </is>
      </c>
      <c r="D354" s="31" t="inlineStr">
        <is>
          <t>banks - private sector</t>
        </is>
      </c>
      <c r="E354" s="31" t="inlineStr">
        <is>
          <t>midcap</t>
        </is>
      </c>
      <c r="F354" s="31" t="n">
        <v>10425.33</v>
      </c>
      <c r="G354" s="31" t="n">
        <v>272.7</v>
      </c>
      <c r="H354" s="31" t="n">
        <v>-1.09</v>
      </c>
      <c r="I354" s="31" t="n">
        <v>3006943</v>
      </c>
      <c r="J354" s="31" t="inlineStr">
        <is>
          <t>532652</t>
        </is>
      </c>
    </row>
    <row r="355">
      <c r="A355" s="31" t="inlineStr">
        <is>
          <t>UNIMECH</t>
        </is>
      </c>
      <c r="B355" s="31" t="inlineStr">
        <is>
          <t>Unimech Aerospace and Manufacturing Ltd</t>
        </is>
      </c>
      <c r="C355" s="31" t="inlineStr">
        <is>
          <t>aerospace &amp; defence</t>
        </is>
      </c>
      <c r="D355" s="31" t="inlineStr">
        <is>
          <t>engineering</t>
        </is>
      </c>
      <c r="E355" s="31" t="inlineStr">
        <is>
          <t>midcap</t>
        </is>
      </c>
      <c r="F355" s="31" t="n">
        <v>5897.11</v>
      </c>
      <c r="G355" s="31" t="n">
        <v>1146.85</v>
      </c>
      <c r="H355" s="31" t="n">
        <v>-1.1</v>
      </c>
      <c r="I355" s="31" t="n">
        <v>172409</v>
      </c>
      <c r="J355" s="31" t="inlineStr">
        <is>
          <t>544322</t>
        </is>
      </c>
    </row>
    <row r="356">
      <c r="A356" s="31" t="inlineStr">
        <is>
          <t>RSWM</t>
        </is>
      </c>
      <c r="B356" s="31" t="inlineStr">
        <is>
          <t>Rswm Limited</t>
        </is>
      </c>
      <c r="C356" s="31" t="inlineStr">
        <is>
          <t>textiles</t>
        </is>
      </c>
      <c r="D356" s="31" t="inlineStr">
        <is>
          <t>textiles - cotton/blended</t>
        </is>
      </c>
      <c r="E356" s="31" t="inlineStr">
        <is>
          <t>smallcap</t>
        </is>
      </c>
      <c r="F356" s="31" t="n">
        <v>985.13</v>
      </c>
      <c r="G356" s="31" t="n">
        <v>206.83</v>
      </c>
      <c r="H356" s="31" t="n">
        <v>-1.11</v>
      </c>
      <c r="I356" s="31" t="n">
        <v>189942</v>
      </c>
      <c r="J356" s="31" t="inlineStr">
        <is>
          <t>500350</t>
        </is>
      </c>
    </row>
    <row r="357">
      <c r="A357" s="31" t="inlineStr">
        <is>
          <t>BALAMINES</t>
        </is>
      </c>
      <c r="B357" s="31" t="inlineStr">
        <is>
          <t>Balaji Amines Limited</t>
        </is>
      </c>
      <c r="C357" s="31" t="inlineStr">
        <is>
          <t>chemicals</t>
        </is>
      </c>
      <c r="D357" s="31" t="inlineStr">
        <is>
          <t>chemicals</t>
        </is>
      </c>
      <c r="E357" s="31" t="inlineStr">
        <is>
          <t>midcap</t>
        </is>
      </c>
      <c r="F357" s="31" t="n">
        <v>6911.13</v>
      </c>
      <c r="G357" s="31" t="n">
        <v>2108.1</v>
      </c>
      <c r="H357" s="31" t="n">
        <v>-1.17</v>
      </c>
      <c r="I357" s="31" t="n">
        <v>174477</v>
      </c>
      <c r="J357" s="31" t="inlineStr">
        <is>
          <t>530999</t>
        </is>
      </c>
    </row>
    <row r="358">
      <c r="A358" s="31" t="inlineStr">
        <is>
          <t>DIAMONDYD</t>
        </is>
      </c>
      <c r="B358" s="31" t="inlineStr">
        <is>
          <t>Prataap Snacks Ltd</t>
        </is>
      </c>
      <c r="C358" s="31" t="inlineStr">
        <is>
          <t>fmcg</t>
        </is>
      </c>
      <c r="D358" s="31" t="inlineStr">
        <is>
          <t>food - processing - indian</t>
        </is>
      </c>
      <c r="E358" s="31" t="inlineStr">
        <is>
          <t>smallcap</t>
        </is>
      </c>
      <c r="F358" s="31" t="n">
        <v>2699.67</v>
      </c>
      <c r="G358" s="31" t="n">
        <v>1116</v>
      </c>
      <c r="H358" s="31" t="n">
        <v>-1.19</v>
      </c>
      <c r="I358" s="31" t="n">
        <v>17233</v>
      </c>
      <c r="J358" s="31" t="inlineStr">
        <is>
          <t>540724</t>
        </is>
      </c>
    </row>
    <row r="359">
      <c r="A359" s="31" t="inlineStr">
        <is>
          <t>SOLARA</t>
        </is>
      </c>
      <c r="B359" s="31" t="inlineStr">
        <is>
          <t>Solara Active Pharma Sciences Ltd</t>
        </is>
      </c>
      <c r="C359" s="31" t="inlineStr">
        <is>
          <t>healthcare</t>
        </is>
      </c>
      <c r="D359" s="31" t="inlineStr">
        <is>
          <t>pharmaceuticals - indian - bulk drugs &amp; formln</t>
        </is>
      </c>
      <c r="E359" s="31" t="inlineStr">
        <is>
          <t>smallcap</t>
        </is>
      </c>
      <c r="F359" s="31" t="n">
        <v>2931.61</v>
      </c>
      <c r="G359" s="31" t="n">
        <v>601.2</v>
      </c>
      <c r="H359" s="31" t="n">
        <v>-1.21</v>
      </c>
      <c r="I359" s="31" t="n">
        <v>231686</v>
      </c>
      <c r="J359" s="31" t="inlineStr">
        <is>
          <t>541540</t>
        </is>
      </c>
    </row>
    <row r="360">
      <c r="A360" s="31" t="inlineStr">
        <is>
          <t>INOXINDIA</t>
        </is>
      </c>
      <c r="B360" s="31" t="inlineStr">
        <is>
          <t>Inox India Ltd</t>
        </is>
      </c>
      <c r="C360" s="31" t="inlineStr">
        <is>
          <t>industrials</t>
        </is>
      </c>
      <c r="D360" s="31" t="inlineStr">
        <is>
          <t>packaging</t>
        </is>
      </c>
      <c r="E360" s="31" t="inlineStr">
        <is>
          <t>midcap</t>
        </is>
      </c>
      <c r="F360" s="31" t="n">
        <v>16411.86</v>
      </c>
      <c r="G360" s="31" t="n">
        <v>1786.4</v>
      </c>
      <c r="H360" s="31" t="n">
        <v>-1.21</v>
      </c>
      <c r="I360" s="31" t="n">
        <v>239242</v>
      </c>
      <c r="J360" s="31" t="inlineStr">
        <is>
          <t>544046</t>
        </is>
      </c>
    </row>
    <row r="361">
      <c r="A361" s="31" t="inlineStr">
        <is>
          <t>PREMEXPLN</t>
        </is>
      </c>
      <c r="B361" s="31" t="inlineStr">
        <is>
          <t>Premier Explosives Limited</t>
        </is>
      </c>
      <c r="C361" s="31" t="inlineStr">
        <is>
          <t>aerospace &amp; defence</t>
        </is>
      </c>
      <c r="D361" s="31" t="inlineStr">
        <is>
          <t>chemicals</t>
        </is>
      </c>
      <c r="E361" s="31" t="inlineStr">
        <is>
          <t>smallcap</t>
        </is>
      </c>
      <c r="F361" s="31" t="n">
        <v>3723.77</v>
      </c>
      <c r="G361" s="31" t="n">
        <v>683.3</v>
      </c>
      <c r="H361" s="31" t="n">
        <v>-1.35</v>
      </c>
      <c r="I361" s="31" t="n">
        <v>651573</v>
      </c>
      <c r="J361" s="31" t="inlineStr">
        <is>
          <t>526247</t>
        </is>
      </c>
    </row>
    <row r="362">
      <c r="A362" s="31" t="inlineStr">
        <is>
          <t>WALCHANNAG</t>
        </is>
      </c>
      <c r="B362" s="31" t="inlineStr">
        <is>
          <t>Walchandnagar Industries Limited</t>
        </is>
      </c>
      <c r="C362" s="31" t="inlineStr">
        <is>
          <t>industrials</t>
        </is>
      </c>
      <c r="D362" s="31" t="inlineStr">
        <is>
          <t>engineering</t>
        </is>
      </c>
      <c r="E362" s="31" t="inlineStr">
        <is>
          <t>smallcap</t>
        </is>
      </c>
      <c r="F362" s="31" t="n">
        <v>1800.87</v>
      </c>
      <c r="G362" s="31" t="n">
        <v>261.8</v>
      </c>
      <c r="H362" s="31" t="n">
        <v>-1.38</v>
      </c>
      <c r="I362" s="31" t="n">
        <v>2665858</v>
      </c>
      <c r="J362" s="31" t="inlineStr">
        <is>
          <t>507410</t>
        </is>
      </c>
    </row>
    <row r="363">
      <c r="A363" s="31" t="inlineStr">
        <is>
          <t>SHYAMMETL</t>
        </is>
      </c>
      <c r="B363" s="31" t="inlineStr">
        <is>
          <t>Shyam Metalics &amp; Energy Ltd</t>
        </is>
      </c>
      <c r="C363" s="31" t="inlineStr">
        <is>
          <t>metals &amp; mining</t>
        </is>
      </c>
      <c r="D363" s="31" t="inlineStr">
        <is>
          <t>steel - large</t>
        </is>
      </c>
      <c r="E363" s="31" t="inlineStr">
        <is>
          <t>largecap</t>
        </is>
      </c>
      <c r="F363" s="31" t="n">
        <v>27459.6</v>
      </c>
      <c r="G363" s="31" t="n">
        <v>969.85</v>
      </c>
      <c r="H363" s="31" t="n">
        <v>-1.41</v>
      </c>
      <c r="I363" s="31" t="n">
        <v>229990</v>
      </c>
      <c r="J363" s="31" t="inlineStr">
        <is>
          <t>543299</t>
        </is>
      </c>
    </row>
    <row r="364">
      <c r="A364" s="31" t="inlineStr">
        <is>
          <t>TORNTPHARM</t>
        </is>
      </c>
      <c r="B364" s="31" t="inlineStr">
        <is>
          <t>Torrent Pharmaceuticals Limited</t>
        </is>
      </c>
      <c r="C364" s="31" t="inlineStr">
        <is>
          <t>healthcare</t>
        </is>
      </c>
      <c r="D364" s="31" t="inlineStr">
        <is>
          <t>pharmaceuticals - indian - formulations</t>
        </is>
      </c>
      <c r="E364" s="31" t="inlineStr">
        <is>
          <t>largecap</t>
        </is>
      </c>
      <c r="F364" s="31" t="n">
        <v>154710.18</v>
      </c>
      <c r="G364" s="31" t="n">
        <v>4504</v>
      </c>
      <c r="H364" s="31" t="n">
        <v>-1.47</v>
      </c>
      <c r="I364" s="31" t="n">
        <v>573684</v>
      </c>
      <c r="J364" s="31" t="inlineStr">
        <is>
          <t>500420</t>
        </is>
      </c>
    </row>
    <row r="365">
      <c r="A365" s="31" t="inlineStr">
        <is>
          <t>ZYDUSLIFE</t>
        </is>
      </c>
      <c r="B365" s="31" t="inlineStr">
        <is>
          <t>Zydus Lifesciences Ltd</t>
        </is>
      </c>
      <c r="C365" s="31" t="inlineStr">
        <is>
          <t>healthcare</t>
        </is>
      </c>
      <c r="D365" s="31" t="inlineStr">
        <is>
          <t>pharmaceuticals - indian - bulk drugs &amp; formln</t>
        </is>
      </c>
      <c r="E365" s="31" t="inlineStr">
        <is>
          <t>largecap</t>
        </is>
      </c>
      <c r="F365" s="31" t="n">
        <v>111158.67</v>
      </c>
      <c r="G365" s="31" t="n">
        <v>1088.1</v>
      </c>
      <c r="H365" s="31" t="n">
        <v>-1.5</v>
      </c>
      <c r="I365" s="31" t="n">
        <v>1138903</v>
      </c>
      <c r="J365" s="31" t="inlineStr">
        <is>
          <t>532321</t>
        </is>
      </c>
    </row>
    <row r="366">
      <c r="A366" s="31" t="inlineStr">
        <is>
          <t>ACUTAAS</t>
        </is>
      </c>
      <c r="B366" s="31" t="inlineStr">
        <is>
          <t>Acutaas Chemicals Ltd</t>
        </is>
      </c>
      <c r="C366" s="31" t="inlineStr">
        <is>
          <t>healthcare</t>
        </is>
      </c>
      <c r="D366" s="31" t="inlineStr">
        <is>
          <t>pharmaceuticals - indian - bulk drugs</t>
        </is>
      </c>
      <c r="E366" s="31" t="inlineStr">
        <is>
          <t>largecap</t>
        </is>
      </c>
      <c r="F366" s="31" t="n">
        <v>25750.92</v>
      </c>
      <c r="G366" s="31" t="n">
        <v>3096.7</v>
      </c>
      <c r="H366" s="31" t="n">
        <v>-1.55</v>
      </c>
      <c r="I366" s="31" t="n">
        <v>285988</v>
      </c>
      <c r="J366" s="31" t="inlineStr">
        <is>
          <t>543349</t>
        </is>
      </c>
    </row>
    <row r="367">
      <c r="A367" s="31" t="inlineStr">
        <is>
          <t>PITTIENG</t>
        </is>
      </c>
      <c r="B367" s="31" t="inlineStr">
        <is>
          <t>Pitti Engineering Ltd</t>
        </is>
      </c>
      <c r="C367" s="31" t="inlineStr">
        <is>
          <t>industrials</t>
        </is>
      </c>
      <c r="D367" s="31" t="inlineStr">
        <is>
          <t>engineering</t>
        </is>
      </c>
      <c r="E367" s="31" t="inlineStr">
        <is>
          <t>smallcap</t>
        </is>
      </c>
      <c r="F367" s="31" t="n">
        <v>3739</v>
      </c>
      <c r="G367" s="31" t="n">
        <v>977.5</v>
      </c>
      <c r="H367" s="31" t="n">
        <v>-1.56</v>
      </c>
      <c r="I367" s="31" t="n">
        <v>83731</v>
      </c>
      <c r="J367" s="31" t="inlineStr">
        <is>
          <t>513519</t>
        </is>
      </c>
    </row>
    <row r="368">
      <c r="A368" s="31" t="inlineStr">
        <is>
          <t>HONASA</t>
        </is>
      </c>
      <c r="B368" s="31" t="inlineStr">
        <is>
          <t>Honasa Consumer Ltd</t>
        </is>
      </c>
      <c r="C368" s="31" t="inlineStr">
        <is>
          <t>services</t>
        </is>
      </c>
      <c r="D368" s="31" t="inlineStr">
        <is>
          <t>trading</t>
        </is>
      </c>
      <c r="E368" s="31" t="inlineStr">
        <is>
          <t>midcap</t>
        </is>
      </c>
      <c r="F368" s="31" t="n">
        <v>13458.92</v>
      </c>
      <c r="G368" s="31" t="n">
        <v>407.15</v>
      </c>
      <c r="H368" s="31" t="n">
        <v>-1.57</v>
      </c>
      <c r="I368" s="31" t="n">
        <v>984003</v>
      </c>
      <c r="J368" s="31" t="inlineStr">
        <is>
          <t>544014</t>
        </is>
      </c>
    </row>
    <row r="369">
      <c r="A369" s="31" t="inlineStr">
        <is>
          <t>WELCORP</t>
        </is>
      </c>
      <c r="B369" s="31" t="inlineStr">
        <is>
          <t>Welspun Corp Limited</t>
        </is>
      </c>
      <c r="C369" s="31" t="inlineStr">
        <is>
          <t>industrials</t>
        </is>
      </c>
      <c r="D369" s="31" t="inlineStr">
        <is>
          <t>steel - large</t>
        </is>
      </c>
      <c r="E369" s="31" t="inlineStr">
        <is>
          <t>largecap</t>
        </is>
      </c>
      <c r="F369" s="31" t="n">
        <v>36991.36</v>
      </c>
      <c r="G369" s="31" t="n">
        <v>1379.7</v>
      </c>
      <c r="H369" s="31" t="n">
        <v>-1.61</v>
      </c>
      <c r="I369" s="31" t="n">
        <v>556054</v>
      </c>
      <c r="J369" s="31" t="inlineStr">
        <is>
          <t>532144</t>
        </is>
      </c>
    </row>
    <row r="370">
      <c r="A370" s="31" t="inlineStr">
        <is>
          <t>JNKINDIA</t>
        </is>
      </c>
      <c r="B370" s="31" t="inlineStr">
        <is>
          <t>JNK India Ltd</t>
        </is>
      </c>
      <c r="C370" s="31" t="inlineStr">
        <is>
          <t>realty</t>
        </is>
      </c>
      <c r="D370" s="31" t="inlineStr">
        <is>
          <t>engineering - turnkey services</t>
        </is>
      </c>
      <c r="E370" s="31" t="inlineStr">
        <is>
          <t>smallcap</t>
        </is>
      </c>
      <c r="F370" s="31" t="n">
        <v>2820.36</v>
      </c>
      <c r="G370" s="31" t="n">
        <v>495.9</v>
      </c>
      <c r="H370" s="31" t="n">
        <v>-1.62</v>
      </c>
      <c r="I370" s="31" t="n">
        <v>967424</v>
      </c>
      <c r="J370" s="31" t="inlineStr">
        <is>
          <t>544167</t>
        </is>
      </c>
    </row>
    <row r="371">
      <c r="A371" s="31" t="inlineStr">
        <is>
          <t>WHEELS</t>
        </is>
      </c>
      <c r="B371" s="31" t="inlineStr">
        <is>
          <t>Wheels India Limited</t>
        </is>
      </c>
      <c r="C371" s="31" t="inlineStr">
        <is>
          <t>auto</t>
        </is>
      </c>
      <c r="D371" s="31" t="inlineStr">
        <is>
          <t>auto ancillaries</t>
        </is>
      </c>
      <c r="E371" s="31" t="inlineStr">
        <is>
          <t>smallcap</t>
        </is>
      </c>
      <c r="F371" s="31" t="n">
        <v>3994.06</v>
      </c>
      <c r="G371" s="31" t="n">
        <v>1608.1</v>
      </c>
      <c r="H371" s="31" t="n">
        <v>-1.63</v>
      </c>
      <c r="I371" s="31" t="n">
        <v>165460</v>
      </c>
      <c r="J371" s="31" t="inlineStr">
        <is>
          <t>590073</t>
        </is>
      </c>
    </row>
    <row r="372">
      <c r="A372" s="31" t="inlineStr">
        <is>
          <t>TATACOMM</t>
        </is>
      </c>
      <c r="B372" s="31" t="inlineStr">
        <is>
          <t>Tata Communications Limited</t>
        </is>
      </c>
      <c r="C372" s="31" t="inlineStr">
        <is>
          <t>telecom-service</t>
        </is>
      </c>
      <c r="D372" s="31" t="inlineStr">
        <is>
          <t>telecommunications - service provider</t>
        </is>
      </c>
      <c r="E372" s="31" t="inlineStr">
        <is>
          <t>largecap</t>
        </is>
      </c>
      <c r="F372" s="31" t="n">
        <v>56048.1</v>
      </c>
      <c r="G372" s="31" t="n">
        <v>1933.9</v>
      </c>
      <c r="H372" s="31" t="n">
        <v>-1.66</v>
      </c>
      <c r="I372" s="31" t="n">
        <v>596415</v>
      </c>
      <c r="J372" s="31" t="inlineStr">
        <is>
          <t>500483</t>
        </is>
      </c>
    </row>
    <row r="373">
      <c r="A373" s="31" t="inlineStr">
        <is>
          <t>MODISONLTD</t>
        </is>
      </c>
      <c r="B373" s="31" t="inlineStr">
        <is>
          <t>Modison Ltd</t>
        </is>
      </c>
      <c r="C373" s="31" t="inlineStr">
        <is>
          <t>industrials</t>
        </is>
      </c>
      <c r="D373" s="31" t="inlineStr">
        <is>
          <t>electric equipment</t>
        </is>
      </c>
      <c r="E373" s="31" t="inlineStr">
        <is>
          <t>smallcap</t>
        </is>
      </c>
      <c r="F373" s="31" t="n">
        <v>989.5599999999999</v>
      </c>
      <c r="G373" s="31" t="n">
        <v>299.85</v>
      </c>
      <c r="H373" s="31" t="n">
        <v>-1.67</v>
      </c>
      <c r="I373" s="31" t="n">
        <v>298825</v>
      </c>
      <c r="J373" s="31" t="inlineStr">
        <is>
          <t>506261</t>
        </is>
      </c>
    </row>
    <row r="374">
      <c r="A374" s="31" t="inlineStr">
        <is>
          <t>HSCL</t>
        </is>
      </c>
      <c r="B374" s="31" t="inlineStr">
        <is>
          <t>Himadri Speciality Chemical Limited</t>
        </is>
      </c>
      <c r="C374" s="31" t="inlineStr">
        <is>
          <t>chemicals</t>
        </is>
      </c>
      <c r="D374" s="31" t="inlineStr">
        <is>
          <t>chemicals</t>
        </is>
      </c>
      <c r="E374" s="31" t="inlineStr">
        <is>
          <t>largecap</t>
        </is>
      </c>
      <c r="F374" s="31" t="n">
        <v>34334.06</v>
      </c>
      <c r="G374" s="31" t="n">
        <v>668.9</v>
      </c>
      <c r="H374" s="31" t="n">
        <v>-1.7</v>
      </c>
      <c r="I374" s="31" t="n">
        <v>13206369</v>
      </c>
      <c r="J374" s="31" t="inlineStr">
        <is>
          <t>500184</t>
        </is>
      </c>
    </row>
    <row r="375">
      <c r="A375" s="31" t="inlineStr">
        <is>
          <t>JBCHEPHARM</t>
        </is>
      </c>
      <c r="B375" s="31" t="inlineStr">
        <is>
          <t>Jb Chemicals &amp; Pharmaceuticals Limited</t>
        </is>
      </c>
      <c r="C375" s="31" t="inlineStr">
        <is>
          <t>healthcare</t>
        </is>
      </c>
      <c r="D375" s="31" t="inlineStr">
        <is>
          <t>pharmaceuticals - indian - bulk drugs &amp; formln</t>
        </is>
      </c>
      <c r="E375" s="31" t="inlineStr">
        <is>
          <t>largecap</t>
        </is>
      </c>
      <c r="F375" s="31" t="n">
        <v>36249.34</v>
      </c>
      <c r="G375" s="31" t="n">
        <v>2217.8</v>
      </c>
      <c r="H375" s="31" t="n">
        <v>-1.77</v>
      </c>
      <c r="I375" s="31" t="n">
        <v>212114</v>
      </c>
      <c r="J375" s="31" t="inlineStr">
        <is>
          <t>506943</t>
        </is>
      </c>
    </row>
    <row r="376">
      <c r="A376" s="31" t="inlineStr">
        <is>
          <t>CAPLIPOINT</t>
        </is>
      </c>
      <c r="B376" s="31" t="inlineStr">
        <is>
          <t>Caplin Point Laboratories Limited</t>
        </is>
      </c>
      <c r="C376" s="31" t="inlineStr">
        <is>
          <t>healthcare</t>
        </is>
      </c>
      <c r="D376" s="31" t="inlineStr">
        <is>
          <t>pharmaceuticals - indian - formulations</t>
        </is>
      </c>
      <c r="E376" s="31" t="inlineStr">
        <is>
          <t>midcap</t>
        </is>
      </c>
      <c r="F376" s="31" t="n">
        <v>18302.1</v>
      </c>
      <c r="G376" s="31" t="n">
        <v>2364.6</v>
      </c>
      <c r="H376" s="31" t="n">
        <v>-1.79</v>
      </c>
      <c r="I376" s="31" t="n">
        <v>146915</v>
      </c>
      <c r="J376" s="31" t="inlineStr">
        <is>
          <t>524742</t>
        </is>
      </c>
    </row>
    <row r="377">
      <c r="A377" s="31" t="inlineStr">
        <is>
          <t>PAISALO</t>
        </is>
      </c>
      <c r="B377" s="31" t="inlineStr">
        <is>
          <t>Paisalo Digital Ltd</t>
        </is>
      </c>
      <c r="C377" s="31" t="inlineStr">
        <is>
          <t>financials</t>
        </is>
      </c>
      <c r="D377" s="31" t="inlineStr">
        <is>
          <t>finance &amp; investments</t>
        </is>
      </c>
      <c r="E377" s="31" t="inlineStr">
        <is>
          <t>midcap</t>
        </is>
      </c>
      <c r="F377" s="31" t="n">
        <v>5393.46</v>
      </c>
      <c r="G377" s="31" t="n">
        <v>58.16</v>
      </c>
      <c r="H377" s="31" t="n">
        <v>-1.92</v>
      </c>
      <c r="I377" s="31" t="n">
        <v>8007652</v>
      </c>
      <c r="J377" s="31" t="inlineStr">
        <is>
          <t>532900</t>
        </is>
      </c>
    </row>
    <row r="378">
      <c r="A378" s="31" t="inlineStr">
        <is>
          <t>SKMEGGPROD</t>
        </is>
      </c>
      <c r="B378" s="31" t="inlineStr">
        <is>
          <t>Skm Egg Products Export (india) Limited</t>
        </is>
      </c>
      <c r="C378" s="31" t="inlineStr">
        <is>
          <t>fmcg</t>
        </is>
      </c>
      <c r="D378" s="31" t="inlineStr">
        <is>
          <t>food - processing - indian</t>
        </is>
      </c>
      <c r="E378" s="31" t="inlineStr">
        <is>
          <t>smallcap</t>
        </is>
      </c>
      <c r="F378" s="31" t="n">
        <v>1267.1</v>
      </c>
      <c r="G378" s="31" t="n">
        <v>235.93</v>
      </c>
      <c r="H378" s="31" t="n">
        <v>-1.95</v>
      </c>
      <c r="I378" s="31" t="n">
        <v>619780</v>
      </c>
      <c r="J378" s="31" t="inlineStr">
        <is>
          <t>532143</t>
        </is>
      </c>
    </row>
    <row r="379">
      <c r="A379" s="31" t="inlineStr">
        <is>
          <t>SANGAMIND</t>
        </is>
      </c>
      <c r="B379" s="31" t="inlineStr">
        <is>
          <t>Sangam (india) Limited</t>
        </is>
      </c>
      <c r="C379" s="31" t="inlineStr">
        <is>
          <t>textiles</t>
        </is>
      </c>
      <c r="D379" s="31" t="inlineStr">
        <is>
          <t>textiles - spinning - synthetic / blended</t>
        </is>
      </c>
      <c r="E379" s="31" t="inlineStr">
        <is>
          <t>smallcap</t>
        </is>
      </c>
      <c r="F379" s="31" t="n">
        <v>2724.62</v>
      </c>
      <c r="G379" s="31" t="n">
        <v>531.6</v>
      </c>
      <c r="H379" s="31" t="n">
        <v>-1.96</v>
      </c>
      <c r="I379" s="31" t="n">
        <v>58920</v>
      </c>
      <c r="J379" s="31" t="inlineStr">
        <is>
          <t>514234</t>
        </is>
      </c>
    </row>
    <row r="380">
      <c r="A380" s="31" t="inlineStr">
        <is>
          <t>GOLDIAM</t>
        </is>
      </c>
      <c r="B380" s="31" t="inlineStr">
        <is>
          <t>Goldiam International Limited</t>
        </is>
      </c>
      <c r="C380" s="31" t="inlineStr">
        <is>
          <t>consumer discretionary</t>
        </is>
      </c>
      <c r="D380" s="31" t="inlineStr">
        <is>
          <t>diamond cutting / jewellery</t>
        </is>
      </c>
      <c r="E380" s="31" t="inlineStr">
        <is>
          <t>midcap</t>
        </is>
      </c>
      <c r="F380" s="31" t="n">
        <v>5406.51</v>
      </c>
      <c r="G380" s="31" t="n">
        <v>469</v>
      </c>
      <c r="H380" s="31" t="n">
        <v>-2.05</v>
      </c>
      <c r="I380" s="31" t="n">
        <v>1547840</v>
      </c>
      <c r="J380" s="31" t="inlineStr">
        <is>
          <t>526729</t>
        </is>
      </c>
    </row>
    <row r="381">
      <c r="A381" s="31" t="inlineStr">
        <is>
          <t>NITINSPIN</t>
        </is>
      </c>
      <c r="B381" s="31" t="inlineStr">
        <is>
          <t>Nitin Spinners Limited</t>
        </is>
      </c>
      <c r="C381" s="31" t="inlineStr">
        <is>
          <t>textiles</t>
        </is>
      </c>
      <c r="D381" s="31" t="inlineStr">
        <is>
          <t>textiles - cotton/blended</t>
        </is>
      </c>
      <c r="E381" s="31" t="inlineStr">
        <is>
          <t>smallcap</t>
        </is>
      </c>
      <c r="F381" s="31" t="n">
        <v>3144.67</v>
      </c>
      <c r="G381" s="31" t="n">
        <v>547.9</v>
      </c>
      <c r="H381" s="31" t="n">
        <v>-2.05</v>
      </c>
      <c r="I381" s="31" t="n">
        <v>152970</v>
      </c>
      <c r="J381" s="31" t="inlineStr">
        <is>
          <t>532698</t>
        </is>
      </c>
    </row>
    <row r="382">
      <c r="A382" s="31" t="inlineStr">
        <is>
          <t>MANORAMA</t>
        </is>
      </c>
      <c r="B382" s="31" t="inlineStr">
        <is>
          <t>Manorama Industries Ltd</t>
        </is>
      </c>
      <c r="C382" s="31" t="inlineStr">
        <is>
          <t>fmcg</t>
        </is>
      </c>
      <c r="D382" s="31" t="inlineStr">
        <is>
          <t>food - processing - indian</t>
        </is>
      </c>
      <c r="E382" s="31" t="inlineStr">
        <is>
          <t>midcap</t>
        </is>
      </c>
      <c r="F382" s="31" t="n">
        <v>9340.799999999999</v>
      </c>
      <c r="G382" s="31" t="n">
        <v>1531.7</v>
      </c>
      <c r="H382" s="31" t="n">
        <v>-2.09</v>
      </c>
      <c r="I382" s="31" t="n">
        <v>149436</v>
      </c>
      <c r="J382" s="31" t="inlineStr">
        <is>
          <t>541974</t>
        </is>
      </c>
    </row>
    <row r="383">
      <c r="A383" s="31" t="inlineStr">
        <is>
          <t>APCOTEXIND</t>
        </is>
      </c>
      <c r="B383" s="31" t="inlineStr">
        <is>
          <t>Apcotex Industries Limited</t>
        </is>
      </c>
      <c r="C383" s="31" t="inlineStr">
        <is>
          <t>chemicals</t>
        </is>
      </c>
      <c r="D383" s="31" t="inlineStr">
        <is>
          <t>miscellaneous</t>
        </is>
      </c>
      <c r="E383" s="31" t="inlineStr">
        <is>
          <t>smallcap</t>
        </is>
      </c>
      <c r="F383" s="31" t="n">
        <v>2744.15</v>
      </c>
      <c r="G383" s="31" t="n">
        <v>518.15</v>
      </c>
      <c r="H383" s="31" t="n">
        <v>-2.11</v>
      </c>
      <c r="I383" s="31" t="n">
        <v>486019</v>
      </c>
      <c r="J383" s="31" t="inlineStr">
        <is>
          <t>523694</t>
        </is>
      </c>
    </row>
    <row r="384">
      <c r="A384" s="31" t="inlineStr">
        <is>
          <t>SUPRIYA</t>
        </is>
      </c>
      <c r="B384" s="31" t="inlineStr">
        <is>
          <t>Supriya Lifescience Ltd</t>
        </is>
      </c>
      <c r="C384" s="31" t="inlineStr">
        <is>
          <t>healthcare</t>
        </is>
      </c>
      <c r="D384" s="31" t="inlineStr">
        <is>
          <t>pharmaceuticals - indian - bulk drugs &amp; formln</t>
        </is>
      </c>
      <c r="E384" s="31" t="inlineStr">
        <is>
          <t>midcap</t>
        </is>
      </c>
      <c r="F384" s="31" t="n">
        <v>7864.38</v>
      </c>
      <c r="G384" s="31" t="n">
        <v>955.2</v>
      </c>
      <c r="H384" s="31" t="n">
        <v>-2.25</v>
      </c>
      <c r="I384" s="31" t="n">
        <v>502664</v>
      </c>
      <c r="J384" s="31" t="inlineStr">
        <is>
          <t>543434</t>
        </is>
      </c>
    </row>
    <row r="385">
      <c r="A385" s="31" t="inlineStr">
        <is>
          <t>ZIMLAB</t>
        </is>
      </c>
      <c r="B385" s="31" t="inlineStr">
        <is>
          <t>Zim Laboratories Ltd</t>
        </is>
      </c>
      <c r="C385" s="31" t="inlineStr">
        <is>
          <t>healthcare</t>
        </is>
      </c>
      <c r="D385" s="31" t="inlineStr">
        <is>
          <t>pharmaceuticals - indian - bulk drugs &amp; formln</t>
        </is>
      </c>
      <c r="E385" s="31" t="inlineStr">
        <is>
          <t>smallcap</t>
        </is>
      </c>
      <c r="F385" s="31" t="n">
        <v>611.99</v>
      </c>
      <c r="G385" s="31" t="n">
        <v>111.82</v>
      </c>
      <c r="H385" s="31" t="n">
        <v>-2.25</v>
      </c>
      <c r="I385" s="31" t="n">
        <v>63194</v>
      </c>
      <c r="J385" s="31" t="inlineStr">
        <is>
          <t>541400</t>
        </is>
      </c>
    </row>
    <row r="386">
      <c r="A386" s="31" t="inlineStr">
        <is>
          <t>VINCOFE</t>
        </is>
      </c>
      <c r="B386" s="31" t="inlineStr">
        <is>
          <t>Vintage Coffee &amp; Beverages Ltd</t>
        </is>
      </c>
      <c r="C386" s="31" t="inlineStr">
        <is>
          <t>consumer discretionary</t>
        </is>
      </c>
      <c r="D386" s="31" t="inlineStr">
        <is>
          <t>trading</t>
        </is>
      </c>
      <c r="E386" s="31" t="inlineStr">
        <is>
          <t>smallcap</t>
        </is>
      </c>
      <c r="F386" s="31" t="n">
        <v>2323</v>
      </c>
      <c r="G386" s="31" t="n">
        <v>155.52</v>
      </c>
      <c r="H386" s="31" t="n">
        <v>-2.46</v>
      </c>
      <c r="I386" s="31" t="n">
        <v>3763979</v>
      </c>
      <c r="J386" s="31" t="inlineStr">
        <is>
          <t>538920</t>
        </is>
      </c>
    </row>
    <row r="387">
      <c r="A387" s="31" t="inlineStr">
        <is>
          <t>RAMCOSYS</t>
        </is>
      </c>
      <c r="B387" s="31" t="inlineStr">
        <is>
          <t>Ramco Systems Limited</t>
        </is>
      </c>
      <c r="C387" s="31" t="inlineStr">
        <is>
          <t>i.t</t>
        </is>
      </c>
      <c r="D387" s="31" t="inlineStr">
        <is>
          <t>computers - software - medium / small</t>
        </is>
      </c>
      <c r="E387" s="31" t="inlineStr">
        <is>
          <t>smallcap</t>
        </is>
      </c>
      <c r="F387" s="31" t="n">
        <v>2103.11</v>
      </c>
      <c r="G387" s="31" t="n">
        <v>548.15</v>
      </c>
      <c r="H387" s="31" t="n">
        <v>-2.49</v>
      </c>
      <c r="I387" s="31" t="n">
        <v>312179</v>
      </c>
      <c r="J387" s="31" t="inlineStr">
        <is>
          <t>532370</t>
        </is>
      </c>
    </row>
    <row r="388">
      <c r="A388" s="31" t="inlineStr">
        <is>
          <t>SHILPAMED</t>
        </is>
      </c>
      <c r="B388" s="31" t="inlineStr">
        <is>
          <t>Shilpa Medicare Limited</t>
        </is>
      </c>
      <c r="C388" s="31" t="inlineStr">
        <is>
          <t>healthcare</t>
        </is>
      </c>
      <c r="D388" s="31" t="inlineStr">
        <is>
          <t>pharmaceuticals - indian - formulations</t>
        </is>
      </c>
      <c r="E388" s="31" t="inlineStr">
        <is>
          <t>midcap</t>
        </is>
      </c>
      <c r="F388" s="31" t="n">
        <v>10693.44</v>
      </c>
      <c r="G388" s="31" t="n">
        <v>532.75</v>
      </c>
      <c r="H388" s="31" t="n">
        <v>-2.56</v>
      </c>
      <c r="I388" s="31" t="n">
        <v>865187</v>
      </c>
      <c r="J388" s="31" t="inlineStr">
        <is>
          <t>530549</t>
        </is>
      </c>
    </row>
    <row r="389">
      <c r="A389" s="31" t="inlineStr">
        <is>
          <t>ABDL</t>
        </is>
      </c>
      <c r="B389" s="31" t="inlineStr">
        <is>
          <t>Allied Blenders &amp; Distillers Ltd</t>
        </is>
      </c>
      <c r="C389" s="31" t="inlineStr">
        <is>
          <t>fmcg</t>
        </is>
      </c>
      <c r="D389" s="31" t="inlineStr">
        <is>
          <t>breweries &amp; distilleries</t>
        </is>
      </c>
      <c r="E389" s="31" t="inlineStr">
        <is>
          <t>midcap</t>
        </is>
      </c>
      <c r="F389" s="31" t="n">
        <v>18025.92</v>
      </c>
      <c r="G389" s="31" t="n">
        <v>627.85</v>
      </c>
      <c r="H389" s="31" t="n">
        <v>-2.58</v>
      </c>
      <c r="I389" s="31" t="n">
        <v>554422</v>
      </c>
      <c r="J389" s="31" t="inlineStr">
        <is>
          <t>544203</t>
        </is>
      </c>
    </row>
    <row r="390">
      <c r="A390" s="31" t="inlineStr">
        <is>
          <t>GANESHBE</t>
        </is>
      </c>
      <c r="B390" s="31" t="inlineStr">
        <is>
          <t>Ganesh Benzoplast Ltd</t>
        </is>
      </c>
      <c r="C390" s="31" t="inlineStr">
        <is>
          <t>miscellaneous</t>
        </is>
      </c>
      <c r="D390" s="31" t="inlineStr">
        <is>
          <t>miscellaneous</t>
        </is>
      </c>
      <c r="E390" s="31" t="inlineStr">
        <is>
          <t>smallcap</t>
        </is>
      </c>
      <c r="F390" s="31" t="n">
        <v>779.5</v>
      </c>
      <c r="G390" s="31" t="n">
        <v>105.43</v>
      </c>
      <c r="H390" s="31" t="n">
        <v>-2.63</v>
      </c>
      <c r="I390" s="31" t="n">
        <v>311284</v>
      </c>
      <c r="J390" s="31" t="inlineStr">
        <is>
          <t>500153</t>
        </is>
      </c>
    </row>
    <row r="391">
      <c r="A391" s="31" t="inlineStr">
        <is>
          <t>DATAPATTNS</t>
        </is>
      </c>
      <c r="B391" s="31" t="inlineStr">
        <is>
          <t>Data Patterns (India) Ltd</t>
        </is>
      </c>
      <c r="C391" s="31" t="inlineStr">
        <is>
          <t>aerospace &amp; defence</t>
        </is>
      </c>
      <c r="D391" s="31" t="inlineStr">
        <is>
          <t>electronics - components</t>
        </is>
      </c>
      <c r="E391" s="31" t="inlineStr">
        <is>
          <t>largecap</t>
        </is>
      </c>
      <c r="F391" s="31" t="n">
        <v>25448.63</v>
      </c>
      <c r="G391" s="31" t="n">
        <v>4425.5</v>
      </c>
      <c r="H391" s="31" t="n">
        <v>-2.64</v>
      </c>
      <c r="I391" s="31" t="n">
        <v>1568503</v>
      </c>
      <c r="J391" s="31" t="inlineStr">
        <is>
          <t>543428</t>
        </is>
      </c>
    </row>
    <row r="392">
      <c r="A392" s="31" t="inlineStr">
        <is>
          <t>GUFICBIO</t>
        </is>
      </c>
      <c r="B392" s="31" t="inlineStr">
        <is>
          <t>Gufic Biosciences Limited</t>
        </is>
      </c>
      <c r="C392" s="31" t="inlineStr">
        <is>
          <t>healthcare</t>
        </is>
      </c>
      <c r="D392" s="31" t="inlineStr">
        <is>
          <t>pharmaceuticals - indian - bulk drugs &amp; formln</t>
        </is>
      </c>
      <c r="E392" s="31" t="inlineStr">
        <is>
          <t>smallcap</t>
        </is>
      </c>
      <c r="F392" s="31" t="n">
        <v>3722.99</v>
      </c>
      <c r="G392" s="31" t="n">
        <v>360.4</v>
      </c>
      <c r="H392" s="31" t="n">
        <v>-2.92</v>
      </c>
      <c r="I392" s="31" t="n">
        <v>81363</v>
      </c>
      <c r="J392" s="31" t="inlineStr">
        <is>
          <t>509079</t>
        </is>
      </c>
    </row>
    <row r="393">
      <c r="A393" s="31" t="inlineStr">
        <is>
          <t>YASHO</t>
        </is>
      </c>
      <c r="B393" s="31" t="inlineStr">
        <is>
          <t>Yasho Industries Ltd</t>
        </is>
      </c>
      <c r="C393" s="31" t="inlineStr">
        <is>
          <t>chemicals</t>
        </is>
      </c>
      <c r="D393" s="31" t="inlineStr">
        <is>
          <t>chemicals</t>
        </is>
      </c>
      <c r="E393" s="31" t="inlineStr">
        <is>
          <t>smallcap</t>
        </is>
      </c>
      <c r="F393" s="31" t="n">
        <v>3460.87</v>
      </c>
      <c r="G393" s="31" t="n">
        <v>2786.4</v>
      </c>
      <c r="H393" s="31" t="n">
        <v>-2.93</v>
      </c>
      <c r="I393" s="31" t="n">
        <v>91229</v>
      </c>
      <c r="J393" s="31" t="inlineStr">
        <is>
          <t>541167</t>
        </is>
      </c>
    </row>
    <row r="394">
      <c r="A394" s="31" t="inlineStr">
        <is>
          <t>DEEPAKFERT</t>
        </is>
      </c>
      <c r="B394" s="31" t="inlineStr">
        <is>
          <t>Deepak Fertilizers And Petrochemicals Corporation Limited</t>
        </is>
      </c>
      <c r="C394" s="31" t="inlineStr">
        <is>
          <t>chemicals</t>
        </is>
      </c>
      <c r="D394" s="31" t="inlineStr">
        <is>
          <t>chemicals</t>
        </is>
      </c>
      <c r="E394" s="31" t="inlineStr">
        <is>
          <t>midcap</t>
        </is>
      </c>
      <c r="F394" s="31" t="n">
        <v>19624.93</v>
      </c>
      <c r="G394" s="31" t="n">
        <v>1508.3</v>
      </c>
      <c r="H394" s="31" t="n">
        <v>-2.98</v>
      </c>
      <c r="I394" s="31" t="n">
        <v>640558</v>
      </c>
      <c r="J394" s="31" t="inlineStr">
        <is>
          <t>500645</t>
        </is>
      </c>
    </row>
    <row r="395">
      <c r="A395" s="31" t="inlineStr">
        <is>
          <t>ASTERDM</t>
        </is>
      </c>
      <c r="B395" s="31" t="inlineStr">
        <is>
          <t>Aster DM Healthcare Ltd</t>
        </is>
      </c>
      <c r="C395" s="31" t="inlineStr">
        <is>
          <t>healthcare</t>
        </is>
      </c>
      <c r="D395" s="31" t="inlineStr">
        <is>
          <t>healthcare</t>
        </is>
      </c>
      <c r="E395" s="31" t="inlineStr">
        <is>
          <t>largecap</t>
        </is>
      </c>
      <c r="F395" s="31" t="n">
        <v>42224.27</v>
      </c>
      <c r="G395" s="31" t="n">
        <v>786.7</v>
      </c>
      <c r="H395" s="31" t="n">
        <v>-3.47</v>
      </c>
      <c r="I395" s="31" t="n">
        <v>689891</v>
      </c>
      <c r="J395" s="31" t="inlineStr">
        <is>
          <t>540975</t>
        </is>
      </c>
    </row>
    <row r="396">
      <c r="A396" s="31" t="inlineStr">
        <is>
          <t>SIGMAADV</t>
        </is>
      </c>
      <c r="B396" s="31" t="inlineStr">
        <is>
          <t>Sigma Advanced System Ltd</t>
        </is>
      </c>
      <c r="C396" s="31" t="inlineStr">
        <is>
          <t>aerospace &amp; defence</t>
        </is>
      </c>
      <c r="D396" s="31" t="inlineStr">
        <is>
          <t>electronics - components</t>
        </is>
      </c>
      <c r="E396" s="31" t="inlineStr">
        <is>
          <t>midcap</t>
        </is>
      </c>
      <c r="F396" s="31" t="n">
        <v>8450.690000000001</v>
      </c>
      <c r="G396" s="31" t="n">
        <v>462.2</v>
      </c>
      <c r="H396" s="31" t="n">
        <v>-3.61</v>
      </c>
      <c r="I396" s="31" t="n">
        <v>426532</v>
      </c>
      <c r="J396" s="31" t="inlineStr">
        <is>
          <t>532408</t>
        </is>
      </c>
    </row>
    <row r="397">
      <c r="A397" s="31" t="inlineStr">
        <is>
          <t>BHAGCHEM</t>
        </is>
      </c>
      <c r="B397" s="31" t="inlineStr">
        <is>
          <t>Bhagiradha Chemicals &amp; Industries Ltd</t>
        </is>
      </c>
      <c r="C397" s="31" t="inlineStr">
        <is>
          <t>chemicals</t>
        </is>
      </c>
      <c r="D397" s="31" t="inlineStr">
        <is>
          <t>pesticides / agrochemicals - indian</t>
        </is>
      </c>
      <c r="E397" s="31" t="inlineStr">
        <is>
          <t>smallcap</t>
        </is>
      </c>
      <c r="F397" s="31" t="n">
        <v>3501.58</v>
      </c>
      <c r="G397" s="31" t="n">
        <v>260.08</v>
      </c>
      <c r="H397" s="31" t="n">
        <v>-3.69</v>
      </c>
      <c r="I397" s="31" t="n">
        <v>162389</v>
      </c>
      <c r="J397" s="31" t="inlineStr">
        <is>
          <t>531719</t>
        </is>
      </c>
    </row>
    <row r="398">
      <c r="A398" s="31" t="inlineStr">
        <is>
          <t>ELECTHERM</t>
        </is>
      </c>
      <c r="B398" s="31" t="inlineStr">
        <is>
          <t>Electrotherm (india) Limited</t>
        </is>
      </c>
      <c r="C398" s="31" t="inlineStr">
        <is>
          <t>metals &amp; mining</t>
        </is>
      </c>
      <c r="D398" s="31" t="inlineStr">
        <is>
          <t>steel - medium / small</t>
        </is>
      </c>
      <c r="E398" s="31" t="inlineStr">
        <is>
          <t>smallcap</t>
        </is>
      </c>
      <c r="F398" s="31" t="n">
        <v>1516.52</v>
      </c>
      <c r="G398" s="31" t="n">
        <v>1122.25</v>
      </c>
      <c r="H398" s="31" t="n">
        <v>-5.7</v>
      </c>
      <c r="I398" s="31" t="n">
        <v>59434</v>
      </c>
      <c r="J398" s="31" t="inlineStr">
        <is>
          <t>526608</t>
        </is>
      </c>
    </row>
  </sheetData>
  <autoFilter ref="A1:J3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GVPIL</t>
        </is>
      </c>
      <c r="E2" s="31" t="inlineStr">
        <is>
          <t>GE Power India Ltd</t>
        </is>
      </c>
      <c r="F2" s="31" t="inlineStr">
        <is>
          <t>Infra - General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VENUSREM</t>
        </is>
      </c>
      <c r="E3" s="31" t="inlineStr">
        <is>
          <t>Venus Remedies Limited</t>
        </is>
      </c>
      <c r="F3" s="31" t="inlineStr">
        <is>
          <t>Pharmaceuticals - I V Fluids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26</v>
      </c>
      <c r="K3" s="31" t="n">
        <v>24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GAYAPROJ</t>
        </is>
      </c>
      <c r="E4" s="31" t="inlineStr">
        <is>
          <t>Gayatri Projects Limited</t>
        </is>
      </c>
      <c r="F4" s="31" t="inlineStr">
        <is>
          <t>Construction - Civil/Turnkey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21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CUPID</t>
        </is>
      </c>
      <c r="E5" s="31" t="inlineStr">
        <is>
          <t>Cupid Limited</t>
        </is>
      </c>
      <c r="F5" s="31" t="inlineStr">
        <is>
          <t>Contraceptives/Protectives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29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UNIPARTS</t>
        </is>
      </c>
      <c r="E6" s="31" t="inlineStr">
        <is>
          <t>Uniparts India Ltd</t>
        </is>
      </c>
      <c r="F6" s="31" t="inlineStr">
        <is>
          <t>Castings, Forgings &amp; Fastners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24</v>
      </c>
      <c r="K6" s="31" t="n">
        <v>29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AVALON</t>
        </is>
      </c>
      <c r="E7" s="31" t="inlineStr">
        <is>
          <t>Avalon Technologies Ltd</t>
        </is>
      </c>
      <c r="F7" s="31" t="inlineStr">
        <is>
          <t>Consumer Electronics - EMS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KERNEX</t>
        </is>
      </c>
      <c r="E8" s="31" t="inlineStr">
        <is>
          <t>Kernex Microsystems (india) Limited</t>
        </is>
      </c>
      <c r="F8" s="31" t="inlineStr">
        <is>
          <t>Railways - Kavach/Springs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21</v>
      </c>
      <c r="K8" s="31" t="n">
        <v>26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AEROFLEX</t>
        </is>
      </c>
      <c r="E9" s="31" t="inlineStr">
        <is>
          <t>Aeroflex Industries Ltd</t>
        </is>
      </c>
      <c r="F9" s="31" t="inlineStr">
        <is>
          <t>Stainless Steel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20</v>
      </c>
      <c r="K9" s="31" t="n">
        <v>26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JAYBARMARU</t>
        </is>
      </c>
      <c r="E10" s="31" t="inlineStr">
        <is>
          <t>Jay Bharat Maruti Limited</t>
        </is>
      </c>
      <c r="F10" s="31" t="inlineStr">
        <is>
          <t>Auto Ancillaries - Diversified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24</v>
      </c>
      <c r="K10" s="31" t="n">
        <v>23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APOLLO</t>
        </is>
      </c>
      <c r="E11" s="31" t="inlineStr">
        <is>
          <t>Apollo Micro Systems Ltd</t>
        </is>
      </c>
      <c r="F11" s="31" t="inlineStr">
        <is>
          <t>Aerospace &amp; Defence - Equipments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24</v>
      </c>
      <c r="K11" s="31" t="n">
        <v>29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SATIN</t>
        </is>
      </c>
      <c r="E12" s="31" t="inlineStr">
        <is>
          <t>Satin Creditcare Network Limited</t>
        </is>
      </c>
      <c r="F12" s="31" t="inlineStr">
        <is>
          <t>Finance &amp; Investments - Microfinance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22</v>
      </c>
      <c r="K12" s="31" t="n">
        <v>29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MAHABANK</t>
        </is>
      </c>
      <c r="E13" s="31" t="inlineStr">
        <is>
          <t>Bank Of Maharashtra Ltd</t>
        </is>
      </c>
      <c r="F13" s="31" t="inlineStr">
        <is>
          <t>Banks - PSU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13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IBULLSLTD</t>
        </is>
      </c>
      <c r="E14" s="31" t="inlineStr">
        <is>
          <t>Indiabulls Limited</t>
        </is>
      </c>
      <c r="F14" s="31" t="inlineStr">
        <is>
          <t>Diversified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26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IOLCP</t>
        </is>
      </c>
      <c r="E15" s="31" t="inlineStr">
        <is>
          <t>Iol Chemicals And Pharmaceuticals Limited</t>
        </is>
      </c>
      <c r="F15" s="31" t="inlineStr">
        <is>
          <t>Pharma - API &amp; CRAMS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17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RBLBANK</t>
        </is>
      </c>
      <c r="E16" s="31" t="inlineStr">
        <is>
          <t>Rbl Bank Limited</t>
        </is>
      </c>
      <c r="F16" s="31" t="inlineStr">
        <is>
          <t>Banks - Private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10</v>
      </c>
      <c r="K16" s="31" t="n">
        <v>23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INDOBORAX</t>
        </is>
      </c>
      <c r="E17" s="31" t="inlineStr">
        <is>
          <t>Indo Borax &amp; Chemicals Ltd</t>
        </is>
      </c>
      <c r="F17" s="31" t="inlineStr">
        <is>
          <t>Chemicals - Inorganic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17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BAJAJCON</t>
        </is>
      </c>
      <c r="E18" s="31" t="inlineStr">
        <is>
          <t>Bajaj Consumer Care Ltd</t>
        </is>
      </c>
      <c r="F18" s="31" t="inlineStr">
        <is>
          <t>FMCG - Personal Care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25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BLISSGVS</t>
        </is>
      </c>
      <c r="E19" s="31" t="inlineStr">
        <is>
          <t>Bliss Gvs Pharma Limited</t>
        </is>
      </c>
      <c r="F19" s="31" t="inlineStr">
        <is>
          <t>Pharma - Formulators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THANGAMAYL</t>
        </is>
      </c>
      <c r="E20" s="31" t="inlineStr">
        <is>
          <t>Thangamayil Jewellery Limited</t>
        </is>
      </c>
      <c r="F20" s="31" t="inlineStr">
        <is>
          <t>Diamond, Gems &amp; Jewellery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33</v>
      </c>
      <c r="K20" s="31" t="n">
        <v>16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ATHERENERG</t>
        </is>
      </c>
      <c r="E21" s="31" t="inlineStr">
        <is>
          <t>Ather Energy Ltd</t>
        </is>
      </c>
      <c r="F21" s="31" t="inlineStr">
        <is>
          <t>Auto - 2 &amp; 3 Wheelers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25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NETWEB</t>
        </is>
      </c>
      <c r="E22" s="31" t="inlineStr">
        <is>
          <t>Netweb Technologies India Ltd</t>
        </is>
      </c>
      <c r="F22" s="31" t="inlineStr">
        <is>
          <t>Data Centre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16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AEGISLOG</t>
        </is>
      </c>
      <c r="E23" s="31" t="inlineStr">
        <is>
          <t>Aegis Logistics Ltd</t>
        </is>
      </c>
      <c r="F23" s="31" t="inlineStr">
        <is>
          <t>Logistics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30</v>
      </c>
      <c r="K23" s="31" t="n">
        <v>12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WHEELS</t>
        </is>
      </c>
      <c r="E24" s="31" t="inlineStr">
        <is>
          <t>Wheels India Limited</t>
        </is>
      </c>
      <c r="F24" s="31" t="inlineStr">
        <is>
          <t>Auto Ancillaries - Wheels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24</v>
      </c>
      <c r="K24" s="31" t="n">
        <v>29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STYLAMIND</t>
        </is>
      </c>
      <c r="E25" s="31" t="inlineStr">
        <is>
          <t>Stylam Industries Ltd</t>
        </is>
      </c>
      <c r="F25" s="31" t="inlineStr">
        <is>
          <t>Plywood Boards/Laminates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14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PAISALO</t>
        </is>
      </c>
      <c r="E26" s="31" t="inlineStr">
        <is>
          <t>Paisalo Digital Ltd</t>
        </is>
      </c>
      <c r="F26" s="31" t="inlineStr">
        <is>
          <t>Finance - Capital Markets - Brokers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SAKAR</t>
        </is>
      </c>
      <c r="E27" s="31" t="inlineStr">
        <is>
          <t>Sakar Healthcare Ltd</t>
        </is>
      </c>
      <c r="F27" s="31" t="inlineStr">
        <is>
          <t>Hospitals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26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SYRMA</t>
        </is>
      </c>
      <c r="E28" s="31" t="inlineStr">
        <is>
          <t>Syrma SGS Technology Ltd</t>
        </is>
      </c>
      <c r="F28" s="31" t="inlineStr">
        <is>
          <t>Consumer Electronics - EMS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27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SANSERA</t>
        </is>
      </c>
      <c r="E29" s="31" t="inlineStr">
        <is>
          <t>Sansera Engineering Ltd</t>
        </is>
      </c>
      <c r="F29" s="31" t="inlineStr">
        <is>
          <t>Auto Ancillaries - Diversified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17</v>
      </c>
      <c r="K29" s="31" t="n">
        <v>24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BANARISUG</t>
        </is>
      </c>
      <c r="E30" s="31" t="inlineStr">
        <is>
          <t>Bannari Amman Sugars Limited</t>
        </is>
      </c>
      <c r="F30" s="31" t="inlineStr">
        <is>
          <t>Sugar</t>
        </is>
      </c>
      <c r="G30" s="31" t="n">
        <v>2</v>
      </c>
      <c r="H30" s="31" t="inlineStr">
        <is>
          <t>EMA Crossover</t>
        </is>
      </c>
      <c r="I30" s="31" t="inlineStr">
        <is>
          <t>Yes</t>
        </is>
      </c>
      <c r="J30" s="31" t="n">
        <v>7</v>
      </c>
      <c r="K30" s="31" t="n">
        <v>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RPTECH</t>
        </is>
      </c>
      <c r="E31" s="31" t="inlineStr">
        <is>
          <t>Rashi Peripherals Ltd</t>
        </is>
      </c>
      <c r="F31" s="31" t="inlineStr">
        <is>
          <t>Trading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22</v>
      </c>
      <c r="K31" s="31" t="n">
        <v>28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MAYURUNIQ</t>
        </is>
      </c>
      <c r="E32" s="31" t="inlineStr">
        <is>
          <t>Mayur Uniquoters Ltd</t>
        </is>
      </c>
      <c r="F32" s="31" t="inlineStr">
        <is>
          <t>Plastics - Plastic &amp; Plastic Products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18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PARAS</t>
        </is>
      </c>
      <c r="E33" s="31" t="inlineStr">
        <is>
          <t>Paras Defence and Space Technologies Ltd</t>
        </is>
      </c>
      <c r="F33" s="31" t="inlineStr">
        <is>
          <t>Aerospace &amp; Defence - Equipments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24</v>
      </c>
      <c r="K33" s="31" t="n">
        <v>21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SKMEGGPROD</t>
        </is>
      </c>
      <c r="E34" s="31" t="inlineStr">
        <is>
          <t>Skm Egg Products Export (india) Limited</t>
        </is>
      </c>
      <c r="F34" s="31" t="inlineStr">
        <is>
          <t>FMCG - Animal/Polutry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26</v>
      </c>
      <c r="K34" s="31" t="n">
        <v>21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ACUTAAS</t>
        </is>
      </c>
      <c r="E35" s="31" t="inlineStr">
        <is>
          <t>Acutaas Chemicals Ltd</t>
        </is>
      </c>
      <c r="F35" s="31" t="inlineStr">
        <is>
          <t>Pharma - API &amp; CRAMS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23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CEIGALL</t>
        </is>
      </c>
      <c r="E36" s="31" t="inlineStr">
        <is>
          <t>Ceigall India Ltd</t>
        </is>
      </c>
      <c r="F36" s="31" t="inlineStr">
        <is>
          <t>Construction - Civil/Turnkey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23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GOLDIAM</t>
        </is>
      </c>
      <c r="E37" s="31" t="inlineStr">
        <is>
          <t>Goldiam International Limited</t>
        </is>
      </c>
      <c r="F37" s="31" t="inlineStr">
        <is>
          <t>Lab Grown Diamonds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24</v>
      </c>
      <c r="K37" s="31" t="n">
        <v>20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FEDERALBNK</t>
        </is>
      </c>
      <c r="E38" s="31" t="inlineStr">
        <is>
          <t>The Federal Bank  Limited</t>
        </is>
      </c>
      <c r="F38" s="31" t="inlineStr">
        <is>
          <t>Banks - Private</t>
        </is>
      </c>
      <c r="G38" s="31" t="n">
        <v>2</v>
      </c>
      <c r="H38" s="31" t="inlineStr">
        <is>
          <t>52W Breakout</t>
        </is>
      </c>
      <c r="I38" s="31" t="inlineStr">
        <is>
          <t>Yes</t>
        </is>
      </c>
      <c r="J38" s="31" t="n">
        <v>11</v>
      </c>
      <c r="K38" s="31" t="n">
        <v>13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BHAGYANGR</t>
        </is>
      </c>
      <c r="E39" s="31" t="inlineStr">
        <is>
          <t>Bhagyanagar India</t>
        </is>
      </c>
      <c r="F39" s="31" t="inlineStr">
        <is>
          <t>Recycling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22</v>
      </c>
      <c r="K39" s="31" t="n">
        <v>22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ABSLAMC</t>
        </is>
      </c>
      <c r="E40" s="31" t="inlineStr">
        <is>
          <t>Aditya Birla Sun Life AMC Ltd</t>
        </is>
      </c>
      <c r="F40" s="31" t="inlineStr">
        <is>
          <t>Finance - AMC</t>
        </is>
      </c>
      <c r="G40" s="31" t="n">
        <v>2</v>
      </c>
      <c r="H40" s="31" t="inlineStr">
        <is>
          <t>52W Breakout</t>
        </is>
      </c>
      <c r="I40" s="31" t="inlineStr">
        <is>
          <t>Yes</t>
        </is>
      </c>
      <c r="J40" s="31" t="n">
        <v>11</v>
      </c>
      <c r="K40" s="31" t="n">
        <v>11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BELRISE</t>
        </is>
      </c>
      <c r="E41" s="31" t="inlineStr">
        <is>
          <t>Belrise Industries Ltd</t>
        </is>
      </c>
      <c r="F41" s="31" t="inlineStr">
        <is>
          <t>Auto Ancillaries - 2 Wheelers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13</v>
      </c>
      <c r="K41" s="31" t="n">
        <v>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RRKABEL</t>
        </is>
      </c>
      <c r="E42" s="31" t="inlineStr">
        <is>
          <t>R R Kabel Ltd</t>
        </is>
      </c>
      <c r="F42" s="31" t="inlineStr">
        <is>
          <t>unknown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0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NGLFINE</t>
        </is>
      </c>
      <c r="E43" s="31" t="inlineStr">
        <is>
          <t>NGL Fine Chem Ltd</t>
        </is>
      </c>
      <c r="F43" s="31" t="inlineStr">
        <is>
          <t>Pharma - Animal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26</v>
      </c>
      <c r="K43" s="31" t="n">
        <v>22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SUPRIYA</t>
        </is>
      </c>
      <c r="E44" s="31" t="inlineStr">
        <is>
          <t>Supriya Lifescience Ltd</t>
        </is>
      </c>
      <c r="F44" s="31" t="inlineStr">
        <is>
          <t>Pharma - API &amp; CRAMS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20</v>
      </c>
      <c r="K44" s="31" t="n">
        <v>27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INNOVACAP</t>
        </is>
      </c>
      <c r="E45" s="31" t="inlineStr">
        <is>
          <t>Innova Captab Ltd</t>
        </is>
      </c>
      <c r="F45" s="31" t="inlineStr">
        <is>
          <t>Pharma - API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19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PSPPROJECT</t>
        </is>
      </c>
      <c r="E46" s="31" t="inlineStr">
        <is>
          <t>PSP Projects Ltd</t>
        </is>
      </c>
      <c r="F46" s="31" t="inlineStr">
        <is>
          <t>Construction &amp; Contracting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20</v>
      </c>
      <c r="K46" s="31" t="n">
        <v>18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SIGMAADV</t>
        </is>
      </c>
      <c r="E47" s="31" t="inlineStr">
        <is>
          <t>Sigma Advanced System Ltd</t>
        </is>
      </c>
      <c r="F47" s="31" t="inlineStr">
        <is>
          <t>Aerospace &amp; Defence - Equipments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28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RAIN</t>
        </is>
      </c>
      <c r="E48" s="31" t="inlineStr">
        <is>
          <t>Rain Industries Limited</t>
        </is>
      </c>
      <c r="F48" s="31" t="inlineStr">
        <is>
          <t>Cement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SKIPPER</t>
        </is>
      </c>
      <c r="E49" s="31" t="inlineStr">
        <is>
          <t>Skipper Limited</t>
        </is>
      </c>
      <c r="F49" s="31" t="inlineStr">
        <is>
          <t>Electrical Equipments/HVDC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25</v>
      </c>
      <c r="K49" s="31" t="n">
        <v>19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MMTC</t>
        </is>
      </c>
      <c r="E50" s="31" t="inlineStr">
        <is>
          <t>Mmtc Limited</t>
        </is>
      </c>
      <c r="F50" s="31" t="inlineStr">
        <is>
          <t>Trading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SIS</t>
        </is>
      </c>
      <c r="E51" s="31" t="inlineStr">
        <is>
          <t>Security &amp; Intelligence Services India</t>
        </is>
      </c>
      <c r="F51" s="31" t="inlineStr">
        <is>
          <t>Facility Management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22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SFL</t>
        </is>
      </c>
      <c r="E52" s="31" t="inlineStr">
        <is>
          <t>Sheela Foam Limited</t>
        </is>
      </c>
      <c r="F52" s="31" t="inlineStr">
        <is>
          <t>Mattress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15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GRWRHITECH</t>
        </is>
      </c>
      <c r="E53" s="31" t="inlineStr">
        <is>
          <t>Garware Hi Tech Films Ltd</t>
        </is>
      </c>
      <c r="F53" s="31" t="inlineStr">
        <is>
          <t>Packaging - Films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13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ANGELONE</t>
        </is>
      </c>
      <c r="E54" s="31" t="inlineStr">
        <is>
          <t>Angel One Ltd</t>
        </is>
      </c>
      <c r="F54" s="31" t="inlineStr">
        <is>
          <t>Finance - Capital Markets - Brokers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19</v>
      </c>
      <c r="K54" s="31" t="n">
        <v>22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CGCL</t>
        </is>
      </c>
      <c r="E55" s="31" t="inlineStr">
        <is>
          <t>Capri Global Capital Limited</t>
        </is>
      </c>
      <c r="F55" s="31" t="inlineStr">
        <is>
          <t>Finance &amp; Investments - Gold Loan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21</v>
      </c>
      <c r="K55" s="31" t="n">
        <v>19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NAM-INDIA</t>
        </is>
      </c>
      <c r="E56" s="31" t="inlineStr">
        <is>
          <t>Nippon Life India Asset Management Ltd</t>
        </is>
      </c>
      <c r="F56" s="31" t="inlineStr">
        <is>
          <t>Finance - AMC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18</v>
      </c>
      <c r="K56" s="31" t="n">
        <v>24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BSE</t>
        </is>
      </c>
      <c r="E57" s="31" t="inlineStr">
        <is>
          <t>BSE (Bombay stock exchange) Ltd</t>
        </is>
      </c>
      <c r="F57" s="31" t="inlineStr">
        <is>
          <t>Exchanges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18</v>
      </c>
      <c r="K57" s="31" t="n">
        <v>20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SHILPAMED</t>
        </is>
      </c>
      <c r="E58" s="31" t="inlineStr">
        <is>
          <t>Shilpa Medicare Limited</t>
        </is>
      </c>
      <c r="F58" s="31" t="inlineStr">
        <is>
          <t>Pharma - API &amp; CRAMS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18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SPARC</t>
        </is>
      </c>
      <c r="E59" s="31" t="inlineStr">
        <is>
          <t>Sun Pharma Advanced Research Company Limited</t>
        </is>
      </c>
      <c r="F59" s="31" t="inlineStr">
        <is>
          <t>Pharma - Others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28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SENORES</t>
        </is>
      </c>
      <c r="E60" s="31" t="inlineStr">
        <is>
          <t>Senores Pharmaceuticals Ltd</t>
        </is>
      </c>
      <c r="F60" s="31" t="inlineStr">
        <is>
          <t>Pharma - API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27</v>
      </c>
      <c r="K60" s="31" t="n">
        <v>23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SANDHAR</t>
        </is>
      </c>
      <c r="E61" s="31" t="inlineStr">
        <is>
          <t>Sandhar Technologies Limited</t>
        </is>
      </c>
      <c r="F61" s="31" t="inlineStr">
        <is>
          <t>Auto Ancillaries - 2&amp;3 Wheelers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20</v>
      </c>
      <c r="K61" s="31" t="n">
        <v>24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NRBBEARING</t>
        </is>
      </c>
      <c r="E62" s="31" t="inlineStr">
        <is>
          <t>Nrb Bearing Limited</t>
        </is>
      </c>
      <c r="F62" s="31" t="inlineStr">
        <is>
          <t>Bearings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19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CEMPRO</t>
        </is>
      </c>
      <c r="E63" s="31" t="inlineStr">
        <is>
          <t>Cemindia Projects Ltd</t>
        </is>
      </c>
      <c r="F63" s="31" t="inlineStr">
        <is>
          <t>unknown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0</v>
      </c>
      <c r="K63" s="31" t="n">
        <v>30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SHRIPISTON</t>
        </is>
      </c>
      <c r="E64" s="31" t="inlineStr">
        <is>
          <t>Shriram Pistons &amp; Rings Limited</t>
        </is>
      </c>
      <c r="F64" s="31" t="inlineStr">
        <is>
          <t>Auto Ancillaries - Engine Parts</t>
        </is>
      </c>
      <c r="G64" s="31" t="n">
        <v>2</v>
      </c>
      <c r="H64" s="31" t="inlineStr">
        <is>
          <t>52W Breakout</t>
        </is>
      </c>
      <c r="I64" s="31" t="inlineStr">
        <is>
          <t>Yes</t>
        </is>
      </c>
      <c r="J64" s="31" t="n">
        <v>14</v>
      </c>
      <c r="K64" s="31" t="n">
        <v>6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DIVGIITTS</t>
        </is>
      </c>
      <c r="E65" s="31" t="inlineStr">
        <is>
          <t>Divgi Torqtransfer Systems Ltd</t>
        </is>
      </c>
      <c r="F65" s="31" t="inlineStr">
        <is>
          <t>Auto Ancillaries - Transmission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16</v>
      </c>
      <c r="K65" s="31" t="n">
        <v>20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NAVNETEDUL</t>
        </is>
      </c>
      <c r="E66" s="31" t="inlineStr">
        <is>
          <t>Navneet Education Limited</t>
        </is>
      </c>
      <c r="F66" s="31" t="inlineStr">
        <is>
          <t>Printing &amp; Stationery</t>
        </is>
      </c>
      <c r="G66" s="31" t="n">
        <v>2</v>
      </c>
      <c r="H66" s="31" t="inlineStr">
        <is>
          <t>EMA Crossover</t>
        </is>
      </c>
      <c r="I66" s="31" t="inlineStr">
        <is>
          <t>Yes</t>
        </is>
      </c>
      <c r="J66" s="31" t="n">
        <v>6</v>
      </c>
      <c r="K66" s="31" t="n">
        <v>2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VADILALIND</t>
        </is>
      </c>
      <c r="E67" s="31" t="inlineStr">
        <is>
          <t>Vadilal Industries Limited</t>
        </is>
      </c>
      <c r="F67" s="31" t="inlineStr">
        <is>
          <t>FMCG - Dairy Products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29</v>
      </c>
      <c r="K67" s="31" t="n">
        <v>13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CAPLIPOINT</t>
        </is>
      </c>
      <c r="E68" s="31" t="inlineStr">
        <is>
          <t>Caplin Point Laboratories Limited</t>
        </is>
      </c>
      <c r="F68" s="31" t="inlineStr">
        <is>
          <t>Pharma - Formulators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21</v>
      </c>
      <c r="K68" s="31" t="n">
        <v>27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HFCL</t>
        </is>
      </c>
      <c r="E69" s="31" t="inlineStr">
        <is>
          <t>HFCL Ltd</t>
        </is>
      </c>
      <c r="F69" s="31" t="inlineStr">
        <is>
          <t>Telecom Services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18</v>
      </c>
      <c r="K69" s="31" t="n">
        <v>29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FIEMIND</t>
        </is>
      </c>
      <c r="E70" s="31" t="inlineStr">
        <is>
          <t>Fiem Industries Limited</t>
        </is>
      </c>
      <c r="F70" s="31" t="inlineStr">
        <is>
          <t>Auto Ancillaries - 2&amp;3 Wheelers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18</v>
      </c>
      <c r="K70" s="31" t="n">
        <v>13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GALAPREC</t>
        </is>
      </c>
      <c r="E71" s="31" t="inlineStr">
        <is>
          <t>Gala Precision Engineering Ltd</t>
        </is>
      </c>
      <c r="F71" s="31" t="inlineStr">
        <is>
          <t>Castings, Forgings &amp; Fastners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28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INDNIPPON</t>
        </is>
      </c>
      <c r="E72" s="31" t="inlineStr">
        <is>
          <t>India Nippon Electricals Limited</t>
        </is>
      </c>
      <c r="F72" s="31" t="inlineStr">
        <is>
          <t>Auto Ancillaries - Engine Parts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18</v>
      </c>
      <c r="K72" s="31" t="n">
        <v>14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FCL</t>
        </is>
      </c>
      <c r="E73" s="31" t="inlineStr">
        <is>
          <t>Fineotex Chemical Limited</t>
        </is>
      </c>
      <c r="F73" s="31" t="inlineStr">
        <is>
          <t>Speciality Chemicals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AKUMS</t>
        </is>
      </c>
      <c r="E74" s="31" t="inlineStr">
        <is>
          <t>Akums Drugs &amp; Pharmaceuticals Ltd</t>
        </is>
      </c>
      <c r="F74" s="31" t="inlineStr">
        <is>
          <t>Pharma - Formulators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17</v>
      </c>
      <c r="K74" s="31" t="n">
        <v>11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VINCOFE</t>
        </is>
      </c>
      <c r="E75" s="31" t="inlineStr">
        <is>
          <t>Vintage Coffee &amp; Beverages Ltd</t>
        </is>
      </c>
      <c r="F75" s="31" t="inlineStr">
        <is>
          <t>FMCG - Coffee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21</v>
      </c>
      <c r="K75" s="31" t="n">
        <v>18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CRAFTSMAN</t>
        </is>
      </c>
      <c r="E76" s="31" t="inlineStr">
        <is>
          <t>Craftsman Automation Ltd</t>
        </is>
      </c>
      <c r="F76" s="31" t="inlineStr">
        <is>
          <t>Auto &amp; Auto Ancl - CV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21</v>
      </c>
      <c r="K76" s="31" t="n">
        <v>29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DIFFNKG</t>
        </is>
      </c>
      <c r="E77" s="31" t="inlineStr">
        <is>
          <t>Diffusion Engineers Ltd</t>
        </is>
      </c>
      <c r="F77" s="31" t="inlineStr">
        <is>
          <t>Welding Equipments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6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MINDACORP</t>
        </is>
      </c>
      <c r="E78" s="31" t="inlineStr">
        <is>
          <t>Minda Corporation Limited</t>
        </is>
      </c>
      <c r="F78" s="31" t="inlineStr">
        <is>
          <t>Auto Ancillaries - Diversified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24</v>
      </c>
      <c r="K78" s="31" t="n">
        <v>21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RPEL</t>
        </is>
      </c>
      <c r="E79" s="31" t="inlineStr">
        <is>
          <t>Raghav Productivity Enhancers Ltd</t>
        </is>
      </c>
      <c r="F79" s="31" t="inlineStr">
        <is>
          <t>Steel Products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25</v>
      </c>
      <c r="K79" s="31" t="n">
        <v>25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APARINDS</t>
        </is>
      </c>
      <c r="E80" s="31" t="inlineStr">
        <is>
          <t>Apar Industries Limited</t>
        </is>
      </c>
      <c r="F80" s="31" t="inlineStr">
        <is>
          <t>Cables - Power</t>
        </is>
      </c>
      <c r="G80" s="31" t="n">
        <v>2</v>
      </c>
      <c r="H80" s="31" t="inlineStr">
        <is>
          <t>52W Breakout</t>
        </is>
      </c>
      <c r="I80" s="31" t="inlineStr">
        <is>
          <t>Yes</t>
        </is>
      </c>
      <c r="J80" s="31" t="n">
        <v>10</v>
      </c>
      <c r="K80" s="31" t="n">
        <v>29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SILVERTUC</t>
        </is>
      </c>
      <c r="E81" s="31" t="inlineStr">
        <is>
          <t>Silver Touch Technologies Ltd</t>
        </is>
      </c>
      <c r="F81" s="31" t="inlineStr">
        <is>
          <t>IT - Software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20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CHENNPETRO</t>
        </is>
      </c>
      <c r="E82" s="31" t="inlineStr">
        <is>
          <t>Chennai Petroleum Corporation Limited</t>
        </is>
      </c>
      <c r="F82" s="31" t="inlineStr">
        <is>
          <t>Refineries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16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YASHO</t>
        </is>
      </c>
      <c r="E83" s="31" t="inlineStr">
        <is>
          <t>Yasho Industries Ltd</t>
        </is>
      </c>
      <c r="F83" s="31" t="inlineStr">
        <is>
          <t>Speciality Chemicals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19</v>
      </c>
      <c r="K83" s="31" t="n">
        <v>24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JNKINDIA</t>
        </is>
      </c>
      <c r="E84" s="31" t="inlineStr">
        <is>
          <t>JNK India Ltd</t>
        </is>
      </c>
      <c r="F84" s="31" t="inlineStr">
        <is>
          <t>Capital Goods - Engineering Heavy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33</v>
      </c>
      <c r="K84" s="31" t="n">
        <v>24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SOTL</t>
        </is>
      </c>
      <c r="E85" s="31" t="inlineStr">
        <is>
          <t>Savita Oil Technologies Limited</t>
        </is>
      </c>
      <c r="F85" s="31" t="inlineStr">
        <is>
          <t>Petrochem - Others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23</v>
      </c>
      <c r="K85" s="31" t="n">
        <v>30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SKYGOLD</t>
        </is>
      </c>
      <c r="E86" s="31" t="inlineStr">
        <is>
          <t>Sky Gold Ltd</t>
        </is>
      </c>
      <c r="F86" s="31" t="inlineStr">
        <is>
          <t>Diamond, Gems &amp; Jewellery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22</v>
      </c>
      <c r="K86" s="31" t="n">
        <v>22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TBZ</t>
        </is>
      </c>
      <c r="E87" s="31" t="inlineStr">
        <is>
          <t>Tribhovandas Bhimji Zaveri Limited</t>
        </is>
      </c>
      <c r="F87" s="31" t="inlineStr">
        <is>
          <t>Diamond, Gems &amp; Jewellery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5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AEROENTER</t>
        </is>
      </c>
      <c r="E88" s="31" t="inlineStr">
        <is>
          <t>Aeroflex Enterprises Ltd</t>
        </is>
      </c>
      <c r="F88" s="31" t="inlineStr">
        <is>
          <t>Miscellaneous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19</v>
      </c>
      <c r="K88" s="31" t="n">
        <v>21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DIACABS</t>
        </is>
      </c>
      <c r="E89" s="31" t="inlineStr">
        <is>
          <t>Diamond Power Infrastructure Ltd</t>
        </is>
      </c>
      <c r="F89" s="31" t="inlineStr">
        <is>
          <t>Cables - Power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22</v>
      </c>
      <c r="K89" s="31" t="n">
        <v>28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BHARATFORG</t>
        </is>
      </c>
      <c r="E90" s="31" t="inlineStr">
        <is>
          <t>Bharat Forge Limited</t>
        </is>
      </c>
      <c r="F90" s="31" t="inlineStr">
        <is>
          <t>Castings, Forgings &amp; Fastners</t>
        </is>
      </c>
      <c r="G90" s="31" t="n">
        <v>2</v>
      </c>
      <c r="H90" s="31" t="inlineStr">
        <is>
          <t>52W Breakout</t>
        </is>
      </c>
      <c r="I90" s="31" t="inlineStr">
        <is>
          <t>Yes</t>
        </is>
      </c>
      <c r="J90" s="31" t="n">
        <v>7</v>
      </c>
      <c r="K90" s="31" t="n">
        <v>17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PANAMAPET</t>
        </is>
      </c>
      <c r="E91" s="31" t="inlineStr">
        <is>
          <t>Panama Petrochem Limited</t>
        </is>
      </c>
      <c r="F91" s="31" t="inlineStr">
        <is>
          <t>Speciality Chemicals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24</v>
      </c>
      <c r="K91" s="31" t="n">
        <v>20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EIFFL</t>
        </is>
      </c>
      <c r="E92" s="31" t="inlineStr">
        <is>
          <t>Euro India Fresh Foods Ltd</t>
        </is>
      </c>
      <c r="F92" s="31" t="inlineStr">
        <is>
          <t>Food - Processing - Others</t>
        </is>
      </c>
      <c r="G92" s="31" t="n">
        <v>2</v>
      </c>
      <c r="H92" s="31" t="inlineStr">
        <is>
          <t>EMA Crossover</t>
        </is>
      </c>
      <c r="I92" s="31" t="inlineStr">
        <is>
          <t>Yes</t>
        </is>
      </c>
      <c r="J92" s="31" t="n">
        <v>2</v>
      </c>
      <c r="K92" s="31" t="n">
        <v>1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PTCIL</t>
        </is>
      </c>
      <c r="E93" s="31" t="inlineStr">
        <is>
          <t>PTC Industries Ltd</t>
        </is>
      </c>
      <c r="F93" s="31" t="inlineStr">
        <is>
          <t>Castings - Steel/Alloy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21</v>
      </c>
      <c r="K93" s="31" t="n">
        <v>16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MSTCLTD</t>
        </is>
      </c>
      <c r="E94" s="31" t="inlineStr">
        <is>
          <t>MSTC Ltd</t>
        </is>
      </c>
      <c r="F94" s="31" t="inlineStr">
        <is>
          <t>E-Commerce - Platform - Utility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17</v>
      </c>
      <c r="K94" s="31" t="n">
        <v>10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3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IF(B2=0,"",RANK(B2,$B$2:$B$339,0))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GVPIL</t>
        </is>
      </c>
      <c r="D2" s="31" t="inlineStr">
        <is>
          <t>GE Power India Ltd</t>
        </is>
      </c>
      <c r="E2" s="31" t="inlineStr">
        <is>
          <t>realty</t>
        </is>
      </c>
      <c r="F2" s="31" t="inlineStr">
        <is>
          <t>engineering - turnkey services</t>
        </is>
      </c>
      <c r="G2" s="31" t="inlineStr">
        <is>
          <t>midcap</t>
        </is>
      </c>
      <c r="H2" s="32" t="n">
        <v>6249.13</v>
      </c>
      <c r="I2" s="32" t="n">
        <v>976</v>
      </c>
      <c r="J2" s="32" t="n">
        <v>5</v>
      </c>
      <c r="K2" s="32" t="n">
        <v>347513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88.2</v>
      </c>
      <c r="P2" s="32" t="n">
        <v>58.48</v>
      </c>
      <c r="Q2" s="32" t="inlineStr"/>
      <c r="R2" s="31" t="inlineStr">
        <is>
          <t>Earnings / Momentum Support</t>
        </is>
      </c>
      <c r="S2" s="31" t="inlineStr">
        <is>
          <t>Nifty Realty</t>
        </is>
      </c>
      <c r="T2" s="32" t="n">
        <v>-23.58</v>
      </c>
      <c r="U2" s="32" t="n">
        <v>194.11</v>
      </c>
      <c r="V2" s="32" t="n">
        <v>284.86</v>
      </c>
      <c r="W2" s="32" t="n">
        <v>52.55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Duopoly That Cooperate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only for next 1 to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Between 0.7 to 1.2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IF(B3=0,"",RANK(B3,$B$2:$B$339,0))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KEI</t>
        </is>
      </c>
      <c r="D3" s="31" t="inlineStr">
        <is>
          <t>Kei Industries Limited</t>
        </is>
      </c>
      <c r="E3" s="31" t="inlineStr">
        <is>
          <t>industrials</t>
        </is>
      </c>
      <c r="F3" s="31" t="inlineStr">
        <is>
          <t>cables - power</t>
        </is>
      </c>
      <c r="G3" s="31" t="inlineStr">
        <is>
          <t>largecap</t>
        </is>
      </c>
      <c r="H3" s="32" t="n">
        <v>51332.74</v>
      </c>
      <c r="I3" s="32" t="n">
        <v>5460.5</v>
      </c>
      <c r="J3" s="32" t="n">
        <v>1.69</v>
      </c>
      <c r="K3" s="32" t="n">
        <v>244814</v>
      </c>
      <c r="L3" s="31" t="n">
        <v>57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67.25</v>
      </c>
      <c r="P3" s="32" t="n">
        <v>23.24</v>
      </c>
      <c r="Q3" s="32" t="inlineStr"/>
      <c r="R3" s="31" t="inlineStr">
        <is>
          <t>Earnings / Momentum Support</t>
        </is>
      </c>
      <c r="S3" s="31" t="inlineStr">
        <is>
          <t>Nifty Energy</t>
        </is>
      </c>
      <c r="T3" s="32" t="n">
        <v>9.800000000000001</v>
      </c>
      <c r="U3" s="32" t="n">
        <v>46.45</v>
      </c>
      <c r="V3" s="32" t="n">
        <v>33.38</v>
      </c>
      <c r="W3" s="32" t="n">
        <v>14.32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Yes, More Than 10%</t>
        </is>
      </c>
      <c r="CE3" s="31">
        <f>IF(CD3="Yes, more than 10%",-10,IF(CD3="No",10,0))</f>
        <v/>
      </c>
    </row>
    <row r="4">
      <c r="A4" s="31">
        <f>IF(B4=0,"",RANK(B4,$B$2:$B$339,0))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VBL</t>
        </is>
      </c>
      <c r="D4" s="31" t="inlineStr">
        <is>
          <t>Varun Beverages Limited</t>
        </is>
      </c>
      <c r="E4" s="31" t="inlineStr">
        <is>
          <t>fmcg</t>
        </is>
      </c>
      <c r="F4" s="31" t="inlineStr">
        <is>
          <t>food - processing - indian</t>
        </is>
      </c>
      <c r="G4" s="31" t="inlineStr">
        <is>
          <t>largecap</t>
        </is>
      </c>
      <c r="H4" s="32" t="n">
        <v>176612.97</v>
      </c>
      <c r="I4" s="32" t="n">
        <v>541</v>
      </c>
      <c r="J4" s="32" t="n">
        <v>3.6</v>
      </c>
      <c r="K4" s="32" t="n">
        <v>7594901</v>
      </c>
      <c r="L4" s="31" t="n">
        <v>40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61.28</v>
      </c>
      <c r="P4" s="32" t="n">
        <v>27.47</v>
      </c>
      <c r="Q4" s="32" t="inlineStr"/>
      <c r="R4" s="31" t="inlineStr">
        <is>
          <t>Earnings / Momentum Support</t>
        </is>
      </c>
      <c r="S4" s="31" t="inlineStr">
        <is>
          <t>Nifty FMCG</t>
        </is>
      </c>
      <c r="T4" s="32" t="n">
        <v>-10.45</v>
      </c>
      <c r="U4" s="32" t="n">
        <v>11.48</v>
      </c>
      <c r="V4" s="32" t="n">
        <v>24.5</v>
      </c>
      <c r="W4" s="32" t="n">
        <v>9.34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Duopoly That Cooperate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Yes due to Product Mix change or Operating Leverage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only for next 1 to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Between 0.7 to 1.2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IF(B5=0,"",RANK(B5,$B$2:$B$339,0))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APOLLO</t>
        </is>
      </c>
      <c r="D5" s="31" t="inlineStr">
        <is>
          <t>Apollo Micro Systems Ltd</t>
        </is>
      </c>
      <c r="E5" s="31" t="inlineStr">
        <is>
          <t>aerospace &amp; defence</t>
        </is>
      </c>
      <c r="F5" s="31" t="inlineStr">
        <is>
          <t>electronics - components</t>
        </is>
      </c>
      <c r="G5" s="31" t="inlineStr">
        <is>
          <t>midcap</t>
        </is>
      </c>
      <c r="H5" s="32" t="n">
        <v>14627.55</v>
      </c>
      <c r="I5" s="32" t="n">
        <v>421.65</v>
      </c>
      <c r="J5" s="32" t="n">
        <v>2.99</v>
      </c>
      <c r="K5" s="32" t="n">
        <v>27989987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71.78</v>
      </c>
      <c r="P5" s="32" t="n">
        <v>37.1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-4.43</v>
      </c>
      <c r="U5" s="32" t="n">
        <v>111.18</v>
      </c>
      <c r="V5" s="32" t="n">
        <v>120.98</v>
      </c>
      <c r="W5" s="32" t="n">
        <v>46.5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IF(B6=0,"",RANK(B6,$B$2:$B$339,0))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SBCL</t>
        </is>
      </c>
      <c r="D6" s="31" t="inlineStr">
        <is>
          <t>Shivalik Bimetal Controls Ltd</t>
        </is>
      </c>
      <c r="E6" s="31" t="inlineStr">
        <is>
          <t>metals &amp; mining</t>
        </is>
      </c>
      <c r="F6" s="31" t="inlineStr">
        <is>
          <t>mining / minerals / metals</t>
        </is>
      </c>
      <c r="G6" s="31" t="inlineStr">
        <is>
          <t>smallcap</t>
        </is>
      </c>
      <c r="H6" s="32" t="n">
        <v>4006.37</v>
      </c>
      <c r="I6" s="32" t="n">
        <v>725.75</v>
      </c>
      <c r="J6" s="32" t="n">
        <v>4.35</v>
      </c>
      <c r="K6" s="32" t="n">
        <v>563848</v>
      </c>
      <c r="L6" s="31" t="n">
        <v>79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67.31</v>
      </c>
      <c r="P6" s="32" t="n">
        <v>36.3</v>
      </c>
      <c r="Q6" s="32" t="inlineStr"/>
      <c r="R6" s="31" t="inlineStr">
        <is>
          <t>Earnings / Momentum Support</t>
        </is>
      </c>
      <c r="S6" s="31" t="inlineStr">
        <is>
          <t>Nifty Metal</t>
        </is>
      </c>
      <c r="T6" s="32" t="n">
        <v>38.84</v>
      </c>
      <c r="U6" s="32" t="n">
        <v>43.83</v>
      </c>
      <c r="V6" s="32" t="n">
        <v>3.6</v>
      </c>
      <c r="W6" s="32" t="n">
        <v>24.24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Monopoly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Shallow Cyclical (2 to 3 Years Growth)</t>
        </is>
      </c>
      <c r="AG6" s="31">
        <f>IF(AF6="Structural (10 Years Consistency)",10,IF(AF6="Shallow Cyclical (2 to 3 years growth)",5,0))</f>
        <v/>
      </c>
      <c r="AH6" s="31" t="inlineStr">
        <is>
          <t>Yes due to Product Mix change or Operating Leverage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Fully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Yes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Between 1.5 to 2</t>
        </is>
      </c>
      <c r="BU6" s="31">
        <f>IF(BT6="Above 2",0,IF(BT6="Between 1.5 to 2",5,IF(BT6="Less than 1.5",10,0)))</f>
        <v/>
      </c>
      <c r="BV6" s="31" t="inlineStr">
        <is>
          <t>Less than 50%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IF(B7=0,"",RANK(B7,$B$2:$B$339,0))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APOLLOPIPE</t>
        </is>
      </c>
      <c r="D7" s="31" t="inlineStr">
        <is>
          <t>Apollo Pipes Ltd</t>
        </is>
      </c>
      <c r="E7" s="31" t="inlineStr">
        <is>
          <t>plastic products</t>
        </is>
      </c>
      <c r="F7" s="31" t="inlineStr">
        <is>
          <t>plastics products</t>
        </is>
      </c>
      <c r="G7" s="31" t="inlineStr">
        <is>
          <t>smallcap</t>
        </is>
      </c>
      <c r="H7" s="32" t="n">
        <v>2180.39</v>
      </c>
      <c r="I7" s="32" t="n">
        <v>506.5</v>
      </c>
      <c r="J7" s="32" t="n">
        <v>2.32</v>
      </c>
      <c r="K7" s="32" t="n">
        <v>200479</v>
      </c>
      <c r="L7" s="31" t="n">
        <v>33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66.40000000000001</v>
      </c>
      <c r="P7" s="32" t="n">
        <v>53.83</v>
      </c>
      <c r="Q7" s="32" t="inlineStr"/>
      <c r="R7" s="31" t="inlineStr">
        <is>
          <t>Earnings / Momentum Support</t>
        </is>
      </c>
      <c r="S7" s="31" t="inlineStr">
        <is>
          <t>Nifty Infra</t>
        </is>
      </c>
      <c r="T7" s="32" t="n">
        <v>2.95</v>
      </c>
      <c r="U7" s="32" t="n">
        <v>7.69</v>
      </c>
      <c r="V7" s="32" t="n">
        <v>4.6</v>
      </c>
      <c r="W7" s="32" t="n">
        <v>8.09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Oligopoly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Cyclical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Fully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Yes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Between 1.5 to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IF(B8=0,"",RANK(B8,$B$2:$B$339,0))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APOLLOHOSP</t>
        </is>
      </c>
      <c r="D8" s="31" t="inlineStr">
        <is>
          <t>Apollo Hospitals Enterprise Limited</t>
        </is>
      </c>
      <c r="E8" s="31" t="inlineStr">
        <is>
          <t>healthcare</t>
        </is>
      </c>
      <c r="F8" s="31" t="inlineStr">
        <is>
          <t>healthcare</t>
        </is>
      </c>
      <c r="G8" s="31" t="inlineStr">
        <is>
          <t>largecap</t>
        </is>
      </c>
      <c r="H8" s="32" t="n">
        <v>122188.2</v>
      </c>
      <c r="I8" s="32" t="n">
        <v>8468.5</v>
      </c>
      <c r="J8" s="32" t="n">
        <v>-0.35</v>
      </c>
      <c r="K8" s="32" t="n">
        <v>358223</v>
      </c>
      <c r="L8" s="31" t="n">
        <v>28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66.59999999999999</v>
      </c>
      <c r="P8" s="32" t="n">
        <v>14.28</v>
      </c>
      <c r="Q8" s="32" t="inlineStr"/>
      <c r="R8" s="31" t="inlineStr">
        <is>
          <t>Earnings / Momentum Support</t>
        </is>
      </c>
      <c r="S8" s="31" t="inlineStr">
        <is>
          <t>Nifty Pharma</t>
        </is>
      </c>
      <c r="T8" s="32" t="n">
        <v>10.89</v>
      </c>
      <c r="U8" s="32" t="n">
        <v>21.81</v>
      </c>
      <c r="V8" s="32" t="n">
        <v>9.85</v>
      </c>
      <c r="W8" s="32" t="n">
        <v>6.9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Oligopoly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Cyclical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Fully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Yes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Between 1.5 to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IF(B9=0,"",RANK(B9,$B$2:$B$339,0))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NAVINFLUOR</t>
        </is>
      </c>
      <c r="D9" s="31" t="inlineStr">
        <is>
          <t>Navin Fluorine International Limited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largecap</t>
        </is>
      </c>
      <c r="H9" s="32" t="n">
        <v>37426.83</v>
      </c>
      <c r="I9" s="32" t="n">
        <v>7287</v>
      </c>
      <c r="J9" s="32" t="n">
        <v>-0.22</v>
      </c>
      <c r="K9" s="32" t="n">
        <v>104555</v>
      </c>
      <c r="L9" s="31" t="n">
        <v>57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69.39</v>
      </c>
      <c r="P9" s="32" t="n">
        <v>36.97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-4.43</v>
      </c>
      <c r="U9" s="32" t="n">
        <v>61.12</v>
      </c>
      <c r="V9" s="32" t="n">
        <v>68.59999999999999</v>
      </c>
      <c r="W9" s="32" t="n">
        <v>14.2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Oligopoly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Shallow Cyclical (2 to 3 Years Growth)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IF(B10=0,"",RANK(B10,$B$2:$B$339,0))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APCOTEXIND</t>
        </is>
      </c>
      <c r="D10" s="31" t="inlineStr">
        <is>
          <t>Apcotex Industries Limited</t>
        </is>
      </c>
      <c r="E10" s="31" t="inlineStr">
        <is>
          <t>chemicals</t>
        </is>
      </c>
      <c r="F10" s="31" t="inlineStr">
        <is>
          <t>miscellaneous</t>
        </is>
      </c>
      <c r="G10" s="31" t="inlineStr">
        <is>
          <t>smallcap</t>
        </is>
      </c>
      <c r="H10" s="32" t="n">
        <v>2744.15</v>
      </c>
      <c r="I10" s="32" t="n">
        <v>518.15</v>
      </c>
      <c r="J10" s="32" t="n">
        <v>-2.11</v>
      </c>
      <c r="K10" s="32" t="n">
        <v>486019</v>
      </c>
      <c r="L10" s="31" t="n">
        <v>71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70.14</v>
      </c>
      <c r="P10" s="32" t="n">
        <v>38.19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-4.43</v>
      </c>
      <c r="U10" s="32" t="n">
        <v>40.64</v>
      </c>
      <c r="V10" s="32" t="n">
        <v>47.16</v>
      </c>
      <c r="W10" s="32" t="n">
        <v>18.96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Oligopoly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Cyclical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Fully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1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Sideways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Overhead supply in last 2 years in last 2 years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IF(B11=0,"",RANK(B11,$B$2:$B$339,0))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PRICOLLTD</t>
        </is>
      </c>
      <c r="D11" s="31" t="inlineStr">
        <is>
          <t>Pricol Ltd.</t>
        </is>
      </c>
      <c r="E11" s="31" t="inlineStr">
        <is>
          <t>auto</t>
        </is>
      </c>
      <c r="F11" s="31" t="inlineStr">
        <is>
          <t>auto ancillaries</t>
        </is>
      </c>
      <c r="G11" s="31" t="inlineStr">
        <is>
          <t>midcap</t>
        </is>
      </c>
      <c r="H11" s="32" t="n">
        <v>6709.58</v>
      </c>
      <c r="I11" s="32" t="n">
        <v>581.3</v>
      </c>
      <c r="J11" s="32" t="n">
        <v>5.59</v>
      </c>
      <c r="K11" s="32" t="n">
        <v>1265139</v>
      </c>
      <c r="L11" s="31" t="n">
        <v>27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46.55</v>
      </c>
      <c r="P11" s="32" t="n">
        <v>13.81</v>
      </c>
      <c r="Q11" s="32" t="inlineStr"/>
      <c r="R11" s="31" t="inlineStr">
        <is>
          <t>Earnings / Momentum Support</t>
        </is>
      </c>
      <c r="S11" s="31" t="inlineStr">
        <is>
          <t>Nifty Auto</t>
        </is>
      </c>
      <c r="T11" s="32" t="n">
        <v>12.72</v>
      </c>
      <c r="U11" s="32" t="n">
        <v>25.4</v>
      </c>
      <c r="V11" s="32" t="n">
        <v>11.25</v>
      </c>
      <c r="W11" s="32" t="n">
        <v>6.66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Oligopoly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Shallow Cyclical (2 to 3 Years Growth)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Fully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Allocated capital in Non-core Areas</t>
        </is>
      </c>
      <c r="AU11" s="31">
        <f>IF(AT11="Good",10,0)</f>
        <v/>
      </c>
      <c r="AV11" s="31" t="inlineStr">
        <is>
          <t>Yes only for next 1 to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Between 12 to 20%</t>
        </is>
      </c>
      <c r="BO11" s="31">
        <f>IF(BN11="More than 20%",10,IF(BN11="Between 12 to 20%",5,IF(BN11="Less than 12%",0,0)))</f>
        <v/>
      </c>
      <c r="BP11" s="31" t="inlineStr">
        <is>
          <t>Yes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Between 1.5 to 2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IF(B12=0,"",RANK(B12,$B$2:$B$339,0))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CONFIPET</t>
        </is>
      </c>
      <c r="D12" s="31" t="inlineStr">
        <is>
          <t>Confidence Petroleum India Ltd</t>
        </is>
      </c>
      <c r="E12" s="31" t="inlineStr">
        <is>
          <t>miscellaneous</t>
        </is>
      </c>
      <c r="F12" s="31" t="inlineStr">
        <is>
          <t>miscellaneous</t>
        </is>
      </c>
      <c r="G12" s="31" t="inlineStr">
        <is>
          <t>smallcap</t>
        </is>
      </c>
      <c r="H12" s="32" t="n">
        <v>2339.64</v>
      </c>
      <c r="I12" s="32" t="n">
        <v>71.05</v>
      </c>
      <c r="J12" s="32" t="n">
        <v>0.89</v>
      </c>
      <c r="K12" s="32" t="n">
        <v>1923562</v>
      </c>
      <c r="L12" s="31" t="n">
        <v>86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68.67</v>
      </c>
      <c r="P12" s="32" t="n">
        <v>52.78</v>
      </c>
      <c r="Q12" s="32" t="inlineStr"/>
      <c r="R12" s="31" t="inlineStr">
        <is>
          <t>Earnings / Momentum Support</t>
        </is>
      </c>
      <c r="S12" s="31" t="inlineStr">
        <is>
          <t>Nifty Energy</t>
        </is>
      </c>
      <c r="T12" s="32" t="n">
        <v>9.800000000000001</v>
      </c>
      <c r="U12" s="32" t="n">
        <v>18.77</v>
      </c>
      <c r="V12" s="32" t="n">
        <v>8.16</v>
      </c>
      <c r="W12" s="32" t="n">
        <v>28.98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IF(B13=0,"",RANK(B13,$B$2:$B$339,0))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IBULLSLTD</t>
        </is>
      </c>
      <c r="D13" s="31" t="inlineStr">
        <is>
          <t>Indiabulls Limited</t>
        </is>
      </c>
      <c r="E13" s="31" t="inlineStr">
        <is>
          <t>miscellaneous</t>
        </is>
      </c>
      <c r="F13" s="31" t="inlineStr">
        <is>
          <t>diversified - medium / small</t>
        </is>
      </c>
      <c r="G13" s="31" t="inlineStr">
        <is>
          <t>midcap</t>
        </is>
      </c>
      <c r="H13" s="32" t="n">
        <v>5464.62</v>
      </c>
      <c r="I13" s="32" t="n">
        <v>23.78</v>
      </c>
      <c r="J13" s="32" t="n">
        <v>1.15</v>
      </c>
      <c r="K13" s="32" t="n">
        <v>3678800</v>
      </c>
      <c r="L13" s="31" t="n">
        <v>95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72.08</v>
      </c>
      <c r="P13" s="32" t="n">
        <v>36.21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-4.43</v>
      </c>
      <c r="U13" s="32" t="n">
        <v>27.43</v>
      </c>
      <c r="V13" s="32" t="n">
        <v>33.34</v>
      </c>
      <c r="W13" s="32" t="n">
        <v>47.45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IF(B14=0,"",RANK(B14,$B$2:$B$339,0))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MBAPL</t>
        </is>
      </c>
      <c r="D14" s="31" t="inlineStr">
        <is>
          <t>Madhya Bharat Agro Products Ltd</t>
        </is>
      </c>
      <c r="E14" s="31" t="inlineStr">
        <is>
          <t>chemicals</t>
        </is>
      </c>
      <c r="F14" s="31" t="inlineStr">
        <is>
          <t>fertilizers</t>
        </is>
      </c>
      <c r="G14" s="31" t="inlineStr">
        <is>
          <t>smallcap</t>
        </is>
      </c>
      <c r="H14" s="32" t="n">
        <v>4936.03</v>
      </c>
      <c r="I14" s="32" t="n">
        <v>566.65</v>
      </c>
      <c r="J14" s="32" t="n">
        <v>0.59</v>
      </c>
      <c r="K14" s="32" t="n">
        <v>204994</v>
      </c>
      <c r="L14" s="31" t="n">
        <v>61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67.34999999999999</v>
      </c>
      <c r="P14" s="32" t="n">
        <v>48.57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-4.43</v>
      </c>
      <c r="U14" s="32" t="n">
        <v>61.8</v>
      </c>
      <c r="V14" s="32" t="n">
        <v>69.3</v>
      </c>
      <c r="W14" s="32" t="n">
        <v>15.89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IF(B15=0,"",RANK(B15,$B$2:$B$339,0))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IOLCP</t>
        </is>
      </c>
      <c r="D15" s="31" t="inlineStr">
        <is>
          <t>Iol Chemicals And Pharmaceuticals Limited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smallcap</t>
        </is>
      </c>
      <c r="H15" s="32" t="n">
        <v>3940.31</v>
      </c>
      <c r="I15" s="32" t="n">
        <v>133.52</v>
      </c>
      <c r="J15" s="32" t="n">
        <v>-0.54</v>
      </c>
      <c r="K15" s="32" t="n">
        <v>2930643</v>
      </c>
      <c r="L15" s="31" t="n">
        <v>90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80.97</v>
      </c>
      <c r="P15" s="32" t="n">
        <v>44.74</v>
      </c>
      <c r="Q15" s="32" t="inlineStr"/>
      <c r="R15" s="31" t="inlineStr">
        <is>
          <t>Earnings / Momentum Support</t>
        </is>
      </c>
      <c r="S15" s="31" t="inlineStr">
        <is>
          <t>Nifty Pharma</t>
        </is>
      </c>
      <c r="T15" s="32" t="n">
        <v>10.89</v>
      </c>
      <c r="U15" s="32" t="n">
        <v>53.31</v>
      </c>
      <c r="V15" s="32" t="n">
        <v>38.25</v>
      </c>
      <c r="W15" s="32" t="n">
        <v>35.26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IF(B16=0,"",RANK(B16,$B$2:$B$339,0))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INDOBORAX</t>
        </is>
      </c>
      <c r="D16" s="31" t="inlineStr">
        <is>
          <t>Indo Borax &amp; Chemicals Ltd</t>
        </is>
      </c>
      <c r="E16" s="31" t="inlineStr">
        <is>
          <t>chemicals</t>
        </is>
      </c>
      <c r="F16" s="31" t="inlineStr">
        <is>
          <t>chemicals</t>
        </is>
      </c>
      <c r="G16" s="31" t="inlineStr">
        <is>
          <t>smallcap</t>
        </is>
      </c>
      <c r="H16" s="32" t="n">
        <v>1198.4</v>
      </c>
      <c r="I16" s="32" t="n">
        <v>372.95</v>
      </c>
      <c r="J16" s="32" t="n">
        <v>-0.13</v>
      </c>
      <c r="K16" s="32" t="n">
        <v>108104</v>
      </c>
      <c r="L16" s="31" t="n">
        <v>82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82.41</v>
      </c>
      <c r="P16" s="32" t="n">
        <v>52.55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-4.43</v>
      </c>
      <c r="U16" s="32" t="n">
        <v>83.33</v>
      </c>
      <c r="V16" s="32" t="n">
        <v>91.83</v>
      </c>
      <c r="W16" s="32" t="n">
        <v>25.44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IF(B17=0,"",RANK(B17,$B$2:$B$339,0))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VENUSREM</t>
        </is>
      </c>
      <c r="D17" s="31" t="inlineStr">
        <is>
          <t>Venus Remedies Limited</t>
        </is>
      </c>
      <c r="E17" s="31" t="inlineStr">
        <is>
          <t>healthcare</t>
        </is>
      </c>
      <c r="F17" s="31" t="inlineStr">
        <is>
          <t>pharmaceuticals - indian - formulations</t>
        </is>
      </c>
      <c r="G17" s="31" t="inlineStr">
        <is>
          <t>smallcap</t>
        </is>
      </c>
      <c r="H17" s="32" t="n">
        <v>2402.72</v>
      </c>
      <c r="I17" s="32" t="n">
        <v>1883</v>
      </c>
      <c r="J17" s="32" t="n">
        <v>4.76</v>
      </c>
      <c r="K17" s="32" t="n">
        <v>91246</v>
      </c>
      <c r="L17" s="31" t="n">
        <v>97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82.7</v>
      </c>
      <c r="P17" s="32" t="n">
        <v>52.68</v>
      </c>
      <c r="Q17" s="32" t="inlineStr"/>
      <c r="R17" s="31" t="inlineStr">
        <is>
          <t>Earnings / Momentum Support</t>
        </is>
      </c>
      <c r="S17" s="31" t="inlineStr">
        <is>
          <t>Nifty Pharma</t>
        </is>
      </c>
      <c r="T17" s="32" t="n">
        <v>10.89</v>
      </c>
      <c r="U17" s="32" t="n">
        <v>293.07</v>
      </c>
      <c r="V17" s="32" t="n">
        <v>254.46</v>
      </c>
      <c r="W17" s="32" t="n">
        <v>58.33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IF(B18=0,"",RANK(B18,$B$2:$B$339,0))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TINNARUBR</t>
        </is>
      </c>
      <c r="D18" s="31" t="inlineStr">
        <is>
          <t>Tinna Rubber &amp; Infrastructure Ltd</t>
        </is>
      </c>
      <c r="E18" s="31" t="inlineStr">
        <is>
          <t>fmcg</t>
        </is>
      </c>
      <c r="F18" s="31" t="inlineStr">
        <is>
          <t>miscellaneous</t>
        </is>
      </c>
      <c r="G18" s="31" t="inlineStr">
        <is>
          <t>smallcap</t>
        </is>
      </c>
      <c r="H18" s="32" t="n">
        <v>1537.92</v>
      </c>
      <c r="I18" s="32" t="n">
        <v>865.85</v>
      </c>
      <c r="J18" s="32" t="n">
        <v>1.43</v>
      </c>
      <c r="K18" s="32" t="n">
        <v>49498</v>
      </c>
      <c r="L18" s="31" t="n">
        <v>24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57.37</v>
      </c>
      <c r="P18" s="32" t="n">
        <v>22.16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-10.45</v>
      </c>
      <c r="U18" s="32" t="n">
        <v>-7.89</v>
      </c>
      <c r="V18" s="32" t="n">
        <v>2.87</v>
      </c>
      <c r="W18" s="32" t="n">
        <v>6.07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IF(B19=0,"",RANK(B19,$B$2:$B$339,0))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RADICO</t>
        </is>
      </c>
      <c r="D19" s="31" t="inlineStr">
        <is>
          <t>Radico Khaitan Limited</t>
        </is>
      </c>
      <c r="E19" s="31" t="inlineStr">
        <is>
          <t>fmcg</t>
        </is>
      </c>
      <c r="F19" s="31" t="inlineStr">
        <is>
          <t>breweries &amp; distilleries</t>
        </is>
      </c>
      <c r="G19" s="31" t="inlineStr">
        <is>
          <t>largecap</t>
        </is>
      </c>
      <c r="H19" s="32" t="n">
        <v>47422.63</v>
      </c>
      <c r="I19" s="32" t="n">
        <v>3592</v>
      </c>
      <c r="J19" s="32" t="n">
        <v>1.42</v>
      </c>
      <c r="K19" s="32" t="n">
        <v>300882</v>
      </c>
      <c r="L19" s="31" t="n">
        <v>52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68.48999999999999</v>
      </c>
      <c r="P19" s="32" t="n">
        <v>35.52</v>
      </c>
      <c r="Q19" s="32" t="inlineStr"/>
      <c r="R19" s="31" t="inlineStr">
        <is>
          <t>Earnings / Momentum Support</t>
        </is>
      </c>
      <c r="S19" s="31" t="inlineStr">
        <is>
          <t>Nifty FMCG</t>
        </is>
      </c>
      <c r="T19" s="32" t="n">
        <v>-10.45</v>
      </c>
      <c r="U19" s="32" t="n">
        <v>36</v>
      </c>
      <c r="V19" s="32" t="n">
        <v>51.87</v>
      </c>
      <c r="W19" s="32" t="n">
        <v>12.47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IF(B20=0,"",RANK(B20,$B$2:$B$339,0))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BLISSGVS</t>
        </is>
      </c>
      <c r="D20" s="31" t="inlineStr">
        <is>
          <t>Bliss Gvs Pharma Limited</t>
        </is>
      </c>
      <c r="E20" s="31" t="inlineStr">
        <is>
          <t>healthcare</t>
        </is>
      </c>
      <c r="F20" s="31" t="inlineStr">
        <is>
          <t>pharmaceuticals - indian - formulations</t>
        </is>
      </c>
      <c r="G20" s="31" t="inlineStr">
        <is>
          <t>smallcap</t>
        </is>
      </c>
      <c r="H20" s="32" t="n">
        <v>4631.97</v>
      </c>
      <c r="I20" s="32" t="n">
        <v>439.55</v>
      </c>
      <c r="J20" s="32" t="n">
        <v>0.39</v>
      </c>
      <c r="K20" s="32" t="n">
        <v>687767</v>
      </c>
      <c r="L20" s="31" t="n">
        <v>97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88.26000000000001</v>
      </c>
      <c r="P20" s="32" t="n">
        <v>63.36</v>
      </c>
      <c r="Q20" s="32" t="inlineStr"/>
      <c r="R20" s="31" t="inlineStr">
        <is>
          <t>Earnings / Momentum Support</t>
        </is>
      </c>
      <c r="S20" s="31" t="inlineStr">
        <is>
          <t>Nifty Pharma</t>
        </is>
      </c>
      <c r="T20" s="32" t="n">
        <v>10.89</v>
      </c>
      <c r="U20" s="32" t="n">
        <v>194.84</v>
      </c>
      <c r="V20" s="32" t="n">
        <v>165.88</v>
      </c>
      <c r="W20" s="32" t="n">
        <v>53.79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IF(B21=0,"",RANK(B21,$B$2:$B$339,0))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BAJAJCON</t>
        </is>
      </c>
      <c r="D21" s="31" t="inlineStr">
        <is>
          <t>Bajaj Consumer Care Ltd</t>
        </is>
      </c>
      <c r="E21" s="31" t="inlineStr">
        <is>
          <t>fmcg</t>
        </is>
      </c>
      <c r="F21" s="31" t="inlineStr">
        <is>
          <t>personal care - indian</t>
        </is>
      </c>
      <c r="G21" s="31" t="inlineStr">
        <is>
          <t>midcap</t>
        </is>
      </c>
      <c r="H21" s="32" t="n">
        <v>7728.03</v>
      </c>
      <c r="I21" s="32" t="n">
        <v>592.4</v>
      </c>
      <c r="J21" s="32" t="n">
        <v>0.13</v>
      </c>
      <c r="K21" s="32" t="n">
        <v>997196</v>
      </c>
      <c r="L21" s="31" t="n">
        <v>94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77.31999999999999</v>
      </c>
      <c r="P21" s="32" t="n">
        <v>55.82</v>
      </c>
      <c r="Q21" s="32" t="inlineStr"/>
      <c r="R21" s="31" t="inlineStr">
        <is>
          <t>Earnings / Momentum Support</t>
        </is>
      </c>
      <c r="S21" s="31" t="inlineStr">
        <is>
          <t>Nifty FMCG</t>
        </is>
      </c>
      <c r="T21" s="32" t="n">
        <v>-10.45</v>
      </c>
      <c r="U21" s="32" t="n">
        <v>233.59</v>
      </c>
      <c r="V21" s="32" t="n">
        <v>272.53</v>
      </c>
      <c r="W21" s="32" t="n">
        <v>45.08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IF(B22=0,"",RANK(B22,$B$2:$B$339,0))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OCCLLTD</t>
        </is>
      </c>
      <c r="D22" s="31" t="inlineStr">
        <is>
          <t>OCCL Ltd</t>
        </is>
      </c>
      <c r="E22" s="31" t="inlineStr">
        <is>
          <t>chemicals</t>
        </is>
      </c>
      <c r="F22" s="31" t="inlineStr">
        <is>
          <t>chemicals</t>
        </is>
      </c>
      <c r="G22" s="31" t="inlineStr">
        <is>
          <t>smallcap</t>
        </is>
      </c>
      <c r="H22" s="32" t="n">
        <v>644.36</v>
      </c>
      <c r="I22" s="32" t="n">
        <v>135.45</v>
      </c>
      <c r="J22" s="32" t="n">
        <v>5</v>
      </c>
      <c r="K22" s="32" t="n">
        <v>32497</v>
      </c>
      <c r="L22" s="31" t="n">
        <v>58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68.81999999999999</v>
      </c>
      <c r="P22" s="32" t="n">
        <v>23.33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-4.43</v>
      </c>
      <c r="U22" s="32" t="n">
        <v>7.61</v>
      </c>
      <c r="V22" s="32" t="n">
        <v>12.61</v>
      </c>
      <c r="W22" s="32" t="n">
        <v>14.41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IF(B23=0,"",RANK(B23,$B$2:$B$339,0))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GAYAPROJ</t>
        </is>
      </c>
      <c r="D23" s="31" t="inlineStr">
        <is>
          <t>Gayatri Projects Limited</t>
        </is>
      </c>
      <c r="E23" s="31" t="inlineStr">
        <is>
          <t>realty</t>
        </is>
      </c>
      <c r="F23" s="31" t="inlineStr">
        <is>
          <t>construction</t>
        </is>
      </c>
      <c r="G23" s="31" t="inlineStr">
        <is>
          <t>smallcap</t>
        </is>
      </c>
      <c r="H23" s="32" t="n">
        <v>647.49</v>
      </c>
      <c r="I23" s="32" t="n">
        <v>22.95</v>
      </c>
      <c r="J23" s="32" t="n">
        <v>4.99</v>
      </c>
      <c r="K23" s="32" t="n">
        <v>560787</v>
      </c>
      <c r="L23" s="31" t="n">
        <v>90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75.62</v>
      </c>
      <c r="P23" s="32" t="n">
        <v>59.55</v>
      </c>
      <c r="Q23" s="32" t="inlineStr"/>
      <c r="R23" s="31" t="inlineStr">
        <is>
          <t>Earnings / Momentum Support</t>
        </is>
      </c>
      <c r="S23" s="31" t="inlineStr">
        <is>
          <t>Nifty Realty</t>
        </is>
      </c>
      <c r="T23" s="32" t="n">
        <v>-23.58</v>
      </c>
      <c r="U23" s="32" t="n">
        <v>146.45</v>
      </c>
      <c r="V23" s="32" t="n">
        <v>222.49</v>
      </c>
      <c r="W23" s="32" t="n">
        <v>36.49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IF(B24=0,"",RANK(B24,$B$2:$B$339,0))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AEGISLOG</t>
        </is>
      </c>
      <c r="D24" s="31" t="inlineStr">
        <is>
          <t>Aegis Logistics Ltd</t>
        </is>
      </c>
      <c r="E24" s="31" t="inlineStr">
        <is>
          <t>services</t>
        </is>
      </c>
      <c r="F24" s="31" t="inlineStr">
        <is>
          <t>trading</t>
        </is>
      </c>
      <c r="G24" s="31" t="inlineStr">
        <is>
          <t>largecap</t>
        </is>
      </c>
      <c r="H24" s="32" t="n">
        <v>33148.44</v>
      </c>
      <c r="I24" s="32" t="n">
        <v>984.3</v>
      </c>
      <c r="J24" s="32" t="n">
        <v>4.22</v>
      </c>
      <c r="K24" s="32" t="n">
        <v>8796567</v>
      </c>
      <c r="L24" s="31" t="n">
        <v>68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72.40000000000001</v>
      </c>
      <c r="P24" s="32" t="n">
        <v>23.07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-4.43</v>
      </c>
      <c r="U24" s="32" t="n">
        <v>20.77</v>
      </c>
      <c r="V24" s="32" t="n">
        <v>26.37</v>
      </c>
      <c r="W24" s="32" t="n">
        <v>18.14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IF(B25=0,"",RANK(B25,$B$2:$B$339,0))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PGIL</t>
        </is>
      </c>
      <c r="D25" s="31" t="inlineStr">
        <is>
          <t>Pearl Global Industries Limited</t>
        </is>
      </c>
      <c r="E25" s="31" t="inlineStr">
        <is>
          <t>consumer discretionary</t>
        </is>
      </c>
      <c r="F25" s="31" t="inlineStr">
        <is>
          <t>textiles - products</t>
        </is>
      </c>
      <c r="G25" s="31" t="inlineStr">
        <is>
          <t>midcap</t>
        </is>
      </c>
      <c r="H25" s="32" t="n">
        <v>7525.95</v>
      </c>
      <c r="I25" s="32" t="n">
        <v>1694.9</v>
      </c>
      <c r="J25" s="32" t="n">
        <v>3.92</v>
      </c>
      <c r="K25" s="32" t="n">
        <v>136258</v>
      </c>
      <c r="L25" s="31" t="n">
        <v>29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54.46</v>
      </c>
      <c r="P25" s="32" t="n">
        <v>31.79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-4.43</v>
      </c>
      <c r="U25" s="32" t="n">
        <v>22.23</v>
      </c>
      <c r="V25" s="32" t="n">
        <v>27.9</v>
      </c>
      <c r="W25" s="32" t="n">
        <v>6.98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IF(B26=0,"",RANK(B26,$B$2:$B$339,0))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STYLAMIND</t>
        </is>
      </c>
      <c r="D26" s="31" t="inlineStr">
        <is>
          <t>Stylam Industries Ltd</t>
        </is>
      </c>
      <c r="E26" s="31" t="inlineStr">
        <is>
          <t>building materials</t>
        </is>
      </c>
      <c r="F26" s="31" t="inlineStr">
        <is>
          <t>miscellaneous</t>
        </is>
      </c>
      <c r="G26" s="31" t="inlineStr">
        <is>
          <t>midcap</t>
        </is>
      </c>
      <c r="H26" s="32" t="n">
        <v>5389.31</v>
      </c>
      <c r="I26" s="32" t="n">
        <v>3257.2</v>
      </c>
      <c r="J26" s="32" t="n">
        <v>2.43</v>
      </c>
      <c r="K26" s="32" t="n">
        <v>31529</v>
      </c>
      <c r="L26" s="31" t="n">
        <v>77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90.27</v>
      </c>
      <c r="P26" s="32" t="n">
        <v>59.54</v>
      </c>
      <c r="Q26" s="32" t="inlineStr"/>
      <c r="R26" s="31" t="inlineStr">
        <is>
          <t>Earnings / Momentum Support</t>
        </is>
      </c>
      <c r="S26" s="31" t="inlineStr">
        <is>
          <t>Nifty Infra</t>
        </is>
      </c>
      <c r="T26" s="32" t="n">
        <v>2.95</v>
      </c>
      <c r="U26" s="32" t="n">
        <v>84.75</v>
      </c>
      <c r="V26" s="32" t="n">
        <v>79.45</v>
      </c>
      <c r="W26" s="32" t="n">
        <v>23.25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IF(B27=0,"",RANK(B27,$B$2:$B$339,0))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AMBIKCO</t>
        </is>
      </c>
      <c r="D27" s="31" t="inlineStr">
        <is>
          <t>Ambika Cotton Mills Limited</t>
        </is>
      </c>
      <c r="E27" s="31" t="inlineStr">
        <is>
          <t>textiles</t>
        </is>
      </c>
      <c r="F27" s="31" t="inlineStr">
        <is>
          <t>textiles - cotton/blended</t>
        </is>
      </c>
      <c r="G27" s="31" t="inlineStr">
        <is>
          <t>smallcap</t>
        </is>
      </c>
      <c r="H27" s="32" t="n">
        <v>920.0599999999999</v>
      </c>
      <c r="I27" s="32" t="n">
        <v>1636</v>
      </c>
      <c r="J27" s="32" t="n">
        <v>1.8</v>
      </c>
      <c r="K27" s="32" t="n">
        <v>24877</v>
      </c>
      <c r="L27" s="31" t="n">
        <v>22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63.04</v>
      </c>
      <c r="P27" s="32" t="n">
        <v>24.21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-4.43</v>
      </c>
      <c r="U27" s="32" t="n">
        <v>4.4</v>
      </c>
      <c r="V27" s="32" t="n">
        <v>9.24</v>
      </c>
      <c r="W27" s="32" t="n">
        <v>5.75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IF(B28=0,"",RANK(B28,$B$2:$B$339,0))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NETWEB</t>
        </is>
      </c>
      <c r="D28" s="31" t="inlineStr">
        <is>
          <t>Netweb Technologies India Ltd</t>
        </is>
      </c>
      <c r="E28" s="31" t="inlineStr">
        <is>
          <t>i.t</t>
        </is>
      </c>
      <c r="F28" s="31" t="inlineStr">
        <is>
          <t>computers - hardware</t>
        </is>
      </c>
      <c r="G28" s="31" t="inlineStr">
        <is>
          <t>largecap</t>
        </is>
      </c>
      <c r="H28" s="32" t="n">
        <v>26120.97</v>
      </c>
      <c r="I28" s="32" t="n">
        <v>4612.3</v>
      </c>
      <c r="J28" s="32" t="n">
        <v>0.54</v>
      </c>
      <c r="K28" s="32" t="n">
        <v>1579906</v>
      </c>
      <c r="L28" s="31" t="n">
        <v>88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64.54000000000001</v>
      </c>
      <c r="P28" s="32" t="n">
        <v>44.64</v>
      </c>
      <c r="Q28" s="32" t="inlineStr"/>
      <c r="R28" s="31" t="inlineStr">
        <is>
          <t>Earnings / Momentum Support</t>
        </is>
      </c>
      <c r="S28" s="31" t="inlineStr">
        <is>
          <t>Nifty IT</t>
        </is>
      </c>
      <c r="T28" s="32" t="n">
        <v>-27.75</v>
      </c>
      <c r="U28" s="32" t="n">
        <v>157.77</v>
      </c>
      <c r="V28" s="32" t="n">
        <v>256.75</v>
      </c>
      <c r="W28" s="32" t="n">
        <v>32.3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IF(B29=0,"",RANK(B29,$B$2:$B$339,0))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THANGAMAYL</t>
        </is>
      </c>
      <c r="D29" s="31" t="inlineStr">
        <is>
          <t>Thangamayil Jewellery Limited</t>
        </is>
      </c>
      <c r="E29" s="31" t="inlineStr">
        <is>
          <t>consumer discretionary</t>
        </is>
      </c>
      <c r="F29" s="31" t="inlineStr">
        <is>
          <t>diamond cutting / jewellery</t>
        </is>
      </c>
      <c r="G29" s="31" t="inlineStr">
        <is>
          <t>midcap</t>
        </is>
      </c>
      <c r="H29" s="32" t="n">
        <v>17028.91</v>
      </c>
      <c r="I29" s="32" t="n">
        <v>5501.5</v>
      </c>
      <c r="J29" s="32" t="n">
        <v>0.42</v>
      </c>
      <c r="K29" s="32" t="n">
        <v>117056</v>
      </c>
      <c r="L29" s="31" t="n">
        <v>91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71.18000000000001</v>
      </c>
      <c r="P29" s="32" t="n">
        <v>40.06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-4.43</v>
      </c>
      <c r="U29" s="32" t="n">
        <v>197.76</v>
      </c>
      <c r="V29" s="32" t="n">
        <v>211.57</v>
      </c>
      <c r="W29" s="32" t="n">
        <v>37.47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IF(B30=0,"",RANK(B30,$B$2:$B$339,0))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IDEA</t>
        </is>
      </c>
      <c r="D30" s="31" t="inlineStr">
        <is>
          <t>Vodafone Idea Ltd</t>
        </is>
      </c>
      <c r="E30" s="31" t="inlineStr">
        <is>
          <t>telecom-service</t>
        </is>
      </c>
      <c r="F30" s="31" t="inlineStr">
        <is>
          <t>telecommunications - service provider</t>
        </is>
      </c>
      <c r="G30" s="31" t="inlineStr">
        <is>
          <t>largecap</t>
        </is>
      </c>
      <c r="H30" s="32" t="n">
        <v>161431.12</v>
      </c>
      <c r="I30" s="32" t="n">
        <v>14.95</v>
      </c>
      <c r="J30" s="32" t="n">
        <v>0.34</v>
      </c>
      <c r="K30" s="32" t="n">
        <v>568047552</v>
      </c>
      <c r="L30" s="31" t="n">
        <v>88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74.76000000000001</v>
      </c>
      <c r="P30" s="32" t="n">
        <v>28.67</v>
      </c>
      <c r="Q30" s="32" t="inlineStr"/>
      <c r="R30" s="31" t="inlineStr">
        <is>
          <t>Earnings / Momentum Support</t>
        </is>
      </c>
      <c r="S30" s="31" t="inlineStr">
        <is>
          <t>Nifty 500</t>
        </is>
      </c>
      <c r="T30" s="32" t="n">
        <v>-1.34</v>
      </c>
      <c r="U30" s="32" t="n">
        <v>123.39</v>
      </c>
      <c r="V30" s="32" t="n">
        <v>126.42</v>
      </c>
      <c r="W30" s="32" t="n">
        <v>33.58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Oligopoly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IF(B31=0,"",RANK(B31,$B$2:$B$339,0))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ATHERENERG</t>
        </is>
      </c>
      <c r="D31" s="31" t="inlineStr">
        <is>
          <t>Ather Energy Ltd</t>
        </is>
      </c>
      <c r="E31" s="31" t="inlineStr">
        <is>
          <t>auto</t>
        </is>
      </c>
      <c r="F31" s="31" t="inlineStr">
        <is>
          <t>automobiles - scooters and 3 - wheelers</t>
        </is>
      </c>
      <c r="G31" s="31" t="inlineStr">
        <is>
          <t>largecap</t>
        </is>
      </c>
      <c r="H31" s="32" t="n">
        <v>39365.59</v>
      </c>
      <c r="I31" s="32" t="n">
        <v>1027.4</v>
      </c>
      <c r="J31" s="32" t="n">
        <v>-0.13</v>
      </c>
      <c r="K31" s="32" t="n">
        <v>2309243</v>
      </c>
      <c r="L31" s="31" t="n">
        <v>92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73.01000000000001</v>
      </c>
      <c r="P31" s="32" t="n">
        <v>50.14</v>
      </c>
      <c r="Q31" s="32" t="inlineStr"/>
      <c r="R31" s="31" t="inlineStr">
        <is>
          <t>Earnings / Momentum Support</t>
        </is>
      </c>
      <c r="S31" s="31" t="inlineStr">
        <is>
          <t>Nifty Auto</t>
        </is>
      </c>
      <c r="T31" s="32" t="n">
        <v>12.72</v>
      </c>
      <c r="U31" s="32" t="n">
        <v>227.61</v>
      </c>
      <c r="V31" s="32" t="n">
        <v>190.65</v>
      </c>
      <c r="W31" s="32" t="n">
        <v>38.56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Negative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IF(B32=0,"",RANK(B32,$B$2:$B$339,0))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WHEELS</t>
        </is>
      </c>
      <c r="D32" s="31" t="inlineStr">
        <is>
          <t>Wheels India Limited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smallcap</t>
        </is>
      </c>
      <c r="H32" s="32" t="n">
        <v>3994.06</v>
      </c>
      <c r="I32" s="32" t="n">
        <v>1608.1</v>
      </c>
      <c r="J32" s="32" t="n">
        <v>-1.63</v>
      </c>
      <c r="K32" s="32" t="n">
        <v>165460</v>
      </c>
      <c r="L32" s="31" t="n">
        <v>90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73.42</v>
      </c>
      <c r="P32" s="32" t="n">
        <v>53.57</v>
      </c>
      <c r="Q32" s="32" t="inlineStr"/>
      <c r="R32" s="31" t="inlineStr">
        <is>
          <t>Earnings / Momentum Support</t>
        </is>
      </c>
      <c r="S32" s="31" t="inlineStr">
        <is>
          <t>Nifty Auto</t>
        </is>
      </c>
      <c r="T32" s="32" t="n">
        <v>12.72</v>
      </c>
      <c r="U32" s="32" t="n">
        <v>121.54</v>
      </c>
      <c r="V32" s="32" t="n">
        <v>96.55</v>
      </c>
      <c r="W32" s="32" t="n">
        <v>36.92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Less than 12%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IF(B33=0,"",RANK(B33,$B$2:$B$339,0))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MODISONLTD</t>
        </is>
      </c>
      <c r="D33" s="31" t="inlineStr">
        <is>
          <t>Modison Ltd</t>
        </is>
      </c>
      <c r="E33" s="31" t="inlineStr">
        <is>
          <t>industrials</t>
        </is>
      </c>
      <c r="F33" s="31" t="inlineStr">
        <is>
          <t>electric equipment</t>
        </is>
      </c>
      <c r="G33" s="31" t="inlineStr">
        <is>
          <t>smallcap</t>
        </is>
      </c>
      <c r="H33" s="32" t="n">
        <v>989.5599999999999</v>
      </c>
      <c r="I33" s="32" t="n">
        <v>299.85</v>
      </c>
      <c r="J33" s="32" t="n">
        <v>-1.67</v>
      </c>
      <c r="K33" s="32" t="n">
        <v>298825</v>
      </c>
      <c r="L33" s="31" t="n">
        <v>97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71.22</v>
      </c>
      <c r="P33" s="32" t="n">
        <v>38.91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-4.43</v>
      </c>
      <c r="U33" s="32" t="n">
        <v>91.41</v>
      </c>
      <c r="V33" s="32" t="n">
        <v>100.29</v>
      </c>
      <c r="W33" s="32" t="n">
        <v>57.77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IF(B34=0,"",RANK(B34,$B$2:$B$339,0))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AVTNPL</t>
        </is>
      </c>
      <c r="D34" s="31" t="inlineStr">
        <is>
          <t>Avt Natural Products Limited</t>
        </is>
      </c>
      <c r="E34" s="31" t="inlineStr">
        <is>
          <t>fmcg</t>
        </is>
      </c>
      <c r="F34" s="31" t="inlineStr">
        <is>
          <t>solvent extraction</t>
        </is>
      </c>
      <c r="G34" s="31" t="inlineStr">
        <is>
          <t>smallcap</t>
        </is>
      </c>
      <c r="H34" s="32" t="n">
        <v>1066.14</v>
      </c>
      <c r="I34" s="32" t="n">
        <v>72.5</v>
      </c>
      <c r="J34" s="32" t="n">
        <v>3.56</v>
      </c>
      <c r="K34" s="32" t="n">
        <v>180428</v>
      </c>
      <c r="L34" s="31" t="n">
        <v>22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56.3</v>
      </c>
      <c r="P34" s="32" t="n">
        <v>25.29</v>
      </c>
      <c r="Q34" s="32" t="inlineStr"/>
      <c r="R34" s="31" t="inlineStr">
        <is>
          <t>Earnings / Momentum Support</t>
        </is>
      </c>
      <c r="S34" s="31" t="inlineStr">
        <is>
          <t>Nifty FMCG</t>
        </is>
      </c>
      <c r="T34" s="32" t="n">
        <v>-10.45</v>
      </c>
      <c r="U34" s="32" t="n">
        <v>8.640000000000001</v>
      </c>
      <c r="V34" s="32" t="n">
        <v>21.33</v>
      </c>
      <c r="W34" s="32" t="n">
        <v>5.74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IF(B35=0,"",RANK(B35,$B$2:$B$339,0))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CUPID</t>
        </is>
      </c>
      <c r="D35" s="31" t="inlineStr">
        <is>
          <t>Cupid Limited</t>
        </is>
      </c>
      <c r="E35" s="31" t="inlineStr">
        <is>
          <t>fmcg</t>
        </is>
      </c>
      <c r="F35" s="31" t="inlineStr">
        <is>
          <t>personal care - indian</t>
        </is>
      </c>
      <c r="G35" s="31" t="inlineStr">
        <is>
          <t>largecap</t>
        </is>
      </c>
      <c r="H35" s="32" t="n">
        <v>21510.54</v>
      </c>
      <c r="I35" s="32" t="n">
        <v>164.83</v>
      </c>
      <c r="J35" s="32" t="n">
        <v>3.04</v>
      </c>
      <c r="K35" s="32" t="n">
        <v>18403212</v>
      </c>
      <c r="L35" s="31" t="n">
        <v>99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81.55</v>
      </c>
      <c r="P35" s="32" t="n">
        <v>48.31</v>
      </c>
      <c r="Q35" s="32" t="inlineStr"/>
      <c r="R35" s="31" t="inlineStr">
        <is>
          <t>Earnings / Momentum Support</t>
        </is>
      </c>
      <c r="S35" s="31" t="inlineStr">
        <is>
          <t>Nifty FMCG</t>
        </is>
      </c>
      <c r="T35" s="32" t="n">
        <v>-10.45</v>
      </c>
      <c r="U35" s="32" t="n">
        <v>726.97</v>
      </c>
      <c r="V35" s="32" t="n">
        <v>823.51</v>
      </c>
      <c r="W35" s="32" t="n">
        <v>84.01000000000001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IF(B36=0,"",RANK(B36,$B$2:$B$339,0))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SAKAR</t>
        </is>
      </c>
      <c r="D36" s="31" t="inlineStr">
        <is>
          <t>Sakar Healthcare Ltd</t>
        </is>
      </c>
      <c r="E36" s="31" t="inlineStr">
        <is>
          <t>healthcare</t>
        </is>
      </c>
      <c r="F36" s="31" t="inlineStr">
        <is>
          <t>pharmaceuticals - indian - bulk drugs &amp; formln</t>
        </is>
      </c>
      <c r="G36" s="31" t="inlineStr">
        <is>
          <t>smallcap</t>
        </is>
      </c>
      <c r="H36" s="32" t="n">
        <v>1833.62</v>
      </c>
      <c r="I36" s="32" t="n">
        <v>844.15</v>
      </c>
      <c r="J36" s="32" t="n">
        <v>2.43</v>
      </c>
      <c r="K36" s="32" t="n">
        <v>88816</v>
      </c>
      <c r="L36" s="31" t="n">
        <v>89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76.54000000000001</v>
      </c>
      <c r="P36" s="32" t="n">
        <v>53.72</v>
      </c>
      <c r="Q36" s="32" t="inlineStr"/>
      <c r="R36" s="31" t="inlineStr">
        <is>
          <t>Earnings / Momentum Support</t>
        </is>
      </c>
      <c r="S36" s="31" t="inlineStr">
        <is>
          <t>Nifty Pharma</t>
        </is>
      </c>
      <c r="T36" s="32" t="n">
        <v>10.89</v>
      </c>
      <c r="U36" s="32" t="n">
        <v>163.04</v>
      </c>
      <c r="V36" s="32" t="n">
        <v>137.2</v>
      </c>
      <c r="W36" s="32" t="n">
        <v>34.72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IF(B37=0,"",RANK(B37,$B$2:$B$339,0))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BANARISUG</t>
        </is>
      </c>
      <c r="D37" s="31" t="inlineStr">
        <is>
          <t>Bannari Amman Sugars Limited</t>
        </is>
      </c>
      <c r="E37" s="31" t="inlineStr">
        <is>
          <t>fmcg</t>
        </is>
      </c>
      <c r="F37" s="31" t="inlineStr">
        <is>
          <t>sugar</t>
        </is>
      </c>
      <c r="G37" s="31" t="inlineStr">
        <is>
          <t>smallcap</t>
        </is>
      </c>
      <c r="H37" s="32" t="n">
        <v>4533.85</v>
      </c>
      <c r="I37" s="32" t="n">
        <v>3649.3</v>
      </c>
      <c r="J37" s="32" t="n">
        <v>0.93</v>
      </c>
      <c r="K37" s="32" t="n">
        <v>266</v>
      </c>
      <c r="L37" s="31" t="n">
        <v>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49.53</v>
      </c>
      <c r="P37" s="32" t="n">
        <v>42.02</v>
      </c>
      <c r="Q37" s="32" t="inlineStr"/>
      <c r="R37" s="31" t="inlineStr">
        <is>
          <t>Earnings / Momentum Support</t>
        </is>
      </c>
      <c r="S37" s="31" t="inlineStr">
        <is>
          <t>Nifty FMCG</t>
        </is>
      </c>
      <c r="T37" s="32" t="n">
        <v>-10.45</v>
      </c>
      <c r="U37" s="32" t="n">
        <v>-7.04</v>
      </c>
      <c r="V37" s="32" t="n">
        <v>3.81</v>
      </c>
      <c r="W37" s="32" t="n">
        <v>-1.3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Below 45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Between 12 to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Between 1.5 to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IF(B38=0,"",RANK(B38,$B$2:$B$339,0))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ADFFOODS</t>
        </is>
      </c>
      <c r="D38" s="31" t="inlineStr">
        <is>
          <t>Adf Foods Limited</t>
        </is>
      </c>
      <c r="E38" s="31" t="inlineStr">
        <is>
          <t>fmcg</t>
        </is>
      </c>
      <c r="F38" s="31" t="inlineStr">
        <is>
          <t>food - processing - indian</t>
        </is>
      </c>
      <c r="G38" s="31" t="inlineStr">
        <is>
          <t>smallcap</t>
        </is>
      </c>
      <c r="H38" s="32" t="n">
        <v>3111.34</v>
      </c>
      <c r="I38" s="32" t="n">
        <v>282.4</v>
      </c>
      <c r="J38" s="32" t="n">
        <v>-0.28</v>
      </c>
      <c r="K38" s="32" t="n">
        <v>224054</v>
      </c>
      <c r="L38" s="31" t="n">
        <v>58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64.2</v>
      </c>
      <c r="P38" s="32" t="n">
        <v>30.81</v>
      </c>
      <c r="Q38" s="32" t="inlineStr"/>
      <c r="R38" s="31" t="inlineStr">
        <is>
          <t>Earnings / Momentum Support</t>
        </is>
      </c>
      <c r="S38" s="31" t="inlineStr">
        <is>
          <t>Nifty FMCG</t>
        </is>
      </c>
      <c r="T38" s="32" t="n">
        <v>-10.45</v>
      </c>
      <c r="U38" s="32" t="n">
        <v>2.48</v>
      </c>
      <c r="V38" s="32" t="n">
        <v>14.44</v>
      </c>
      <c r="W38" s="32" t="n">
        <v>14.66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IF(B39=0,"",RANK(B39,$B$2:$B$339,0))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SOLARA</t>
        </is>
      </c>
      <c r="D39" s="31" t="inlineStr">
        <is>
          <t>Solara Active Pharma Sciences Ltd</t>
        </is>
      </c>
      <c r="E39" s="31" t="inlineStr">
        <is>
          <t>healthcare</t>
        </is>
      </c>
      <c r="F39" s="31" t="inlineStr">
        <is>
          <t>pharmaceuticals - indian - bulk drugs &amp; formln</t>
        </is>
      </c>
      <c r="G39" s="31" t="inlineStr">
        <is>
          <t>smallcap</t>
        </is>
      </c>
      <c r="H39" s="32" t="n">
        <v>2931.61</v>
      </c>
      <c r="I39" s="32" t="n">
        <v>601.2</v>
      </c>
      <c r="J39" s="32" t="n">
        <v>-1.21</v>
      </c>
      <c r="K39" s="32" t="n">
        <v>231686</v>
      </c>
      <c r="L39" s="31" t="n">
        <v>57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62.67</v>
      </c>
      <c r="P39" s="32" t="n">
        <v>23.59</v>
      </c>
      <c r="Q39" s="32" t="inlineStr"/>
      <c r="R39" s="31" t="inlineStr">
        <is>
          <t>Earnings / Momentum Support</t>
        </is>
      </c>
      <c r="S39" s="31" t="inlineStr">
        <is>
          <t>Nifty Pharma</t>
        </is>
      </c>
      <c r="T39" s="32" t="n">
        <v>10.89</v>
      </c>
      <c r="U39" s="32" t="n">
        <v>20.47</v>
      </c>
      <c r="V39" s="32" t="n">
        <v>8.640000000000001</v>
      </c>
      <c r="W39" s="32" t="n">
        <v>14.37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IF(B40=0,"",RANK(B40,$B$2:$B$339,0))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SANGHVIMOV</t>
        </is>
      </c>
      <c r="D40" s="31" t="inlineStr">
        <is>
          <t>Sanghvi Movers Limited</t>
        </is>
      </c>
      <c r="E40" s="31" t="inlineStr">
        <is>
          <t>miscellaneous</t>
        </is>
      </c>
      <c r="F40" s="31" t="inlineStr">
        <is>
          <t>miscellaneous</t>
        </is>
      </c>
      <c r="G40" s="31" t="inlineStr">
        <is>
          <t>smallcap</t>
        </is>
      </c>
      <c r="H40" s="32" t="n">
        <v>3358.72</v>
      </c>
      <c r="I40" s="32" t="n">
        <v>420.85</v>
      </c>
      <c r="J40" s="32" t="n">
        <v>8.48</v>
      </c>
      <c r="K40" s="32" t="n">
        <v>1664612</v>
      </c>
      <c r="L40" s="31" t="n">
        <v>78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64.37</v>
      </c>
      <c r="P40" s="32" t="n">
        <v>20.76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-4.43</v>
      </c>
      <c r="U40" s="32" t="n">
        <v>34.06</v>
      </c>
      <c r="V40" s="32" t="n">
        <v>40.28</v>
      </c>
      <c r="W40" s="32" t="n">
        <v>23.3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IF(B41=0,"",RANK(B41,$B$2:$B$339,0))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VERANDA</t>
        </is>
      </c>
      <c r="D41" s="31" t="inlineStr">
        <is>
          <t>Veranda Learning Solutions Ltd</t>
        </is>
      </c>
      <c r="E41" s="31" t="inlineStr">
        <is>
          <t>services</t>
        </is>
      </c>
      <c r="F41" s="31" t="inlineStr">
        <is>
          <t>miscellaneous</t>
        </is>
      </c>
      <c r="G41" s="31" t="inlineStr">
        <is>
          <t>smallcap</t>
        </is>
      </c>
      <c r="H41" s="32" t="n">
        <v>2182.28</v>
      </c>
      <c r="I41" s="32" t="n">
        <v>241.48</v>
      </c>
      <c r="J41" s="32" t="n">
        <v>6.42</v>
      </c>
      <c r="K41" s="32" t="n">
        <v>703523</v>
      </c>
      <c r="L41" s="31" t="n">
        <v>69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60.23</v>
      </c>
      <c r="P41" s="32" t="n">
        <v>30.09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-4.43</v>
      </c>
      <c r="U41" s="32" t="n">
        <v>14.88</v>
      </c>
      <c r="V41" s="32" t="n">
        <v>20.21</v>
      </c>
      <c r="W41" s="32" t="n">
        <v>18.42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IF(B42=0,"",RANK(B42,$B$2:$B$339,0))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SJS</t>
        </is>
      </c>
      <c r="D42" s="31" t="inlineStr">
        <is>
          <t>S J S Enterprises Ltd</t>
        </is>
      </c>
      <c r="E42" s="31" t="inlineStr">
        <is>
          <t>auto</t>
        </is>
      </c>
      <c r="F42" s="31" t="inlineStr">
        <is>
          <t>plastics products</t>
        </is>
      </c>
      <c r="G42" s="31" t="inlineStr">
        <is>
          <t>midcap</t>
        </is>
      </c>
      <c r="H42" s="32" t="n">
        <v>6767.96</v>
      </c>
      <c r="I42" s="32" t="n">
        <v>2203.8</v>
      </c>
      <c r="J42" s="32" t="n">
        <v>4.19</v>
      </c>
      <c r="K42" s="32" t="n">
        <v>158547</v>
      </c>
      <c r="L42" s="31" t="n">
        <v>73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63.93</v>
      </c>
      <c r="P42" s="32" t="n">
        <v>23.47</v>
      </c>
      <c r="Q42" s="32" t="inlineStr"/>
      <c r="R42" s="31" t="inlineStr">
        <is>
          <t>Earnings / Momentum Support</t>
        </is>
      </c>
      <c r="S42" s="31" t="inlineStr">
        <is>
          <t>Nifty Auto</t>
        </is>
      </c>
      <c r="T42" s="32" t="n">
        <v>12.72</v>
      </c>
      <c r="U42" s="32" t="n">
        <v>73.83</v>
      </c>
      <c r="V42" s="32" t="n">
        <v>54.22</v>
      </c>
      <c r="W42" s="32" t="n">
        <v>19.96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IF(B43=0,"",RANK(B43,$B$2:$B$339,0))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MOTHERSON</t>
        </is>
      </c>
      <c r="D43" s="31" t="inlineStr">
        <is>
          <t>Samvardhana Motherson International Ltd</t>
        </is>
      </c>
      <c r="E43" s="31" t="inlineStr">
        <is>
          <t>auto</t>
        </is>
      </c>
      <c r="F43" s="31" t="inlineStr">
        <is>
          <t>auto ancillaries</t>
        </is>
      </c>
      <c r="G43" s="31" t="inlineStr">
        <is>
          <t>largecap</t>
        </is>
      </c>
      <c r="H43" s="32" t="n">
        <v>151350.71</v>
      </c>
      <c r="I43" s="32" t="n">
        <v>148.12</v>
      </c>
      <c r="J43" s="32" t="n">
        <v>3.29</v>
      </c>
      <c r="K43" s="32" t="n">
        <v>21819103</v>
      </c>
      <c r="L43" s="31" t="n">
        <v>53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65.81999999999999</v>
      </c>
      <c r="P43" s="32" t="n">
        <v>22.71</v>
      </c>
      <c r="Q43" s="32" t="inlineStr"/>
      <c r="R43" s="31" t="inlineStr">
        <is>
          <t>Earnings / Momentum Support</t>
        </is>
      </c>
      <c r="S43" s="31" t="inlineStr">
        <is>
          <t>Nifty Auto</t>
        </is>
      </c>
      <c r="T43" s="32" t="n">
        <v>12.72</v>
      </c>
      <c r="U43" s="32" t="n">
        <v>40.43</v>
      </c>
      <c r="V43" s="32" t="n">
        <v>24.58</v>
      </c>
      <c r="W43" s="32" t="n">
        <v>12.93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IF(B44=0,"",RANK(B44,$B$2:$B$339,0))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CIEINDIA</t>
        </is>
      </c>
      <c r="D44" s="31" t="inlineStr">
        <is>
          <t>CIE Automotive India Ltd</t>
        </is>
      </c>
      <c r="E44" s="31" t="inlineStr">
        <is>
          <t>industrials</t>
        </is>
      </c>
      <c r="F44" s="31" t="inlineStr">
        <is>
          <t>castings &amp; forgings</t>
        </is>
      </c>
      <c r="G44" s="31" t="inlineStr">
        <is>
          <t>midcap</t>
        </is>
      </c>
      <c r="H44" s="32" t="n">
        <v>17097.86</v>
      </c>
      <c r="I44" s="32" t="n">
        <v>464.8</v>
      </c>
      <c r="J44" s="32" t="n">
        <v>3.13</v>
      </c>
      <c r="K44" s="32" t="n">
        <v>425873</v>
      </c>
      <c r="L44" s="31" t="n">
        <v>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51.9</v>
      </c>
      <c r="P44" s="32" t="n">
        <v>22.59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-4.43</v>
      </c>
      <c r="U44" s="32" t="n">
        <v>0.77</v>
      </c>
      <c r="V44" s="32" t="n">
        <v>5.44</v>
      </c>
      <c r="W44" s="32" t="n">
        <v>1.22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IF(B45=0,"",RANK(B45,$B$2:$B$339,0))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SYRMA</t>
        </is>
      </c>
      <c r="D45" s="31" t="inlineStr">
        <is>
          <t>Syrma SGS Technology Ltd</t>
        </is>
      </c>
      <c r="E45" s="31" t="inlineStr">
        <is>
          <t>consumer discretionary</t>
        </is>
      </c>
      <c r="F45" s="31" t="inlineStr">
        <is>
          <t>electronics - components</t>
        </is>
      </c>
      <c r="G45" s="31" t="inlineStr">
        <is>
          <t>largecap</t>
        </is>
      </c>
      <c r="H45" s="32" t="n">
        <v>24425.84</v>
      </c>
      <c r="I45" s="32" t="n">
        <v>1301.1</v>
      </c>
      <c r="J45" s="32" t="n">
        <v>2.72</v>
      </c>
      <c r="K45" s="32" t="n">
        <v>1429054</v>
      </c>
      <c r="L45" s="31" t="n">
        <v>93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74.45</v>
      </c>
      <c r="P45" s="32" t="n">
        <v>37.43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-4.43</v>
      </c>
      <c r="U45" s="32" t="n">
        <v>142.76</v>
      </c>
      <c r="V45" s="32" t="n">
        <v>154.02</v>
      </c>
      <c r="W45" s="32" t="n">
        <v>39.06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IF(B46=0,"",RANK(B46,$B$2:$B$339,0))</f>
        <v/>
      </c>
      <c r="B46" s="32">
        <f>SUM(N46,Y46,AA46,AC46,AE46,AG46,AI46,AK46,AM46,AO46,AQ46,AS46,AU46,AW46,AY46,BA46,BC46,BE46,BG46,BI46,BK46,BM46,BO46,BQ46,BS46,BU46,BW46,BY46,CA46,CC46,CE46)</f>
        <v/>
      </c>
      <c r="C46" s="33" t="inlineStr">
        <is>
          <t>NRL</t>
        </is>
      </c>
      <c r="D46" s="33" t="inlineStr">
        <is>
          <t>Nupur Recyclers Ltd</t>
        </is>
      </c>
      <c r="E46" s="31" t="inlineStr">
        <is>
          <t>services</t>
        </is>
      </c>
      <c r="F46" s="31" t="inlineStr">
        <is>
          <t>trading</t>
        </is>
      </c>
      <c r="G46" s="31" t="inlineStr">
        <is>
          <t>smallcap</t>
        </is>
      </c>
      <c r="H46" s="32" t="n">
        <v>515.05</v>
      </c>
      <c r="I46" s="32" t="n">
        <v>75.73</v>
      </c>
      <c r="J46" s="32" t="n">
        <v>1.56</v>
      </c>
      <c r="K46" s="32" t="n">
        <v>87937</v>
      </c>
      <c r="L46" s="31" t="n">
        <v>40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70.34</v>
      </c>
      <c r="P46" s="32" t="n">
        <v>32.02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-4.43</v>
      </c>
      <c r="U46" s="32" t="n">
        <v>-12.47</v>
      </c>
      <c r="V46" s="32" t="n">
        <v>-8.41</v>
      </c>
      <c r="W46" s="32" t="n">
        <v>9.6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IF(B47=0,"",RANK(B47,$B$2:$B$339,0))</f>
        <v/>
      </c>
      <c r="B47" s="32">
        <f>SUM(N47,Y47,AA47,AC47,AE47,AG47,AI47,AK47,AM47,AO47,AQ47,AS47,AU47,AW47,AY47,BA47,BC47,BE47,BG47,BI47,BK47,BM47,BO47,BQ47,BS47,BU47,BW47,BY47,CA47,CC47,CE47)</f>
        <v/>
      </c>
      <c r="C47" s="33" t="inlineStr">
        <is>
          <t>SOMANYCERA</t>
        </is>
      </c>
      <c r="D47" s="33" t="inlineStr">
        <is>
          <t>Somany Ceramics Limited</t>
        </is>
      </c>
      <c r="E47" s="31" t="inlineStr">
        <is>
          <t>building materials</t>
        </is>
      </c>
      <c r="F47" s="31" t="inlineStr">
        <is>
          <t>ceramics - tiles / sanitaryware</t>
        </is>
      </c>
      <c r="G47" s="31" t="inlineStr">
        <is>
          <t>smallcap</t>
        </is>
      </c>
      <c r="H47" s="32" t="n">
        <v>2108.67</v>
      </c>
      <c r="I47" s="32" t="n">
        <v>520.1</v>
      </c>
      <c r="J47" s="32" t="n">
        <v>1.16</v>
      </c>
      <c r="K47" s="32" t="n">
        <v>135201</v>
      </c>
      <c r="L47" s="31" t="n">
        <v>39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62.96</v>
      </c>
      <c r="P47" s="32" t="n">
        <v>26.87</v>
      </c>
      <c r="Q47" s="32" t="inlineStr"/>
      <c r="R47" s="31" t="inlineStr">
        <is>
          <t>Earnings / Momentum Support</t>
        </is>
      </c>
      <c r="S47" s="31" t="inlineStr">
        <is>
          <t>Nifty Infra</t>
        </is>
      </c>
      <c r="T47" s="32" t="n">
        <v>2.95</v>
      </c>
      <c r="U47" s="32" t="n">
        <v>-8.1</v>
      </c>
      <c r="V47" s="32" t="n">
        <v>-10.74</v>
      </c>
      <c r="W47" s="32" t="n">
        <v>9.23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IF(B48=0,"",RANK(B48,$B$2:$B$339,0))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ADOR</t>
        </is>
      </c>
      <c r="D48" s="31" t="inlineStr">
        <is>
          <t>Ador Welding Ltd</t>
        </is>
      </c>
      <c r="E48" s="31" t="inlineStr">
        <is>
          <t>industrials</t>
        </is>
      </c>
      <c r="F48" s="31" t="inlineStr">
        <is>
          <t>electrodes - welding equipment</t>
        </is>
      </c>
      <c r="G48" s="31" t="inlineStr">
        <is>
          <t>smallcap</t>
        </is>
      </c>
      <c r="H48" s="32" t="n">
        <v>2028.65</v>
      </c>
      <c r="I48" s="32" t="n">
        <v>1177.8</v>
      </c>
      <c r="J48" s="32" t="n">
        <v>1.04</v>
      </c>
      <c r="K48" s="32" t="n">
        <v>22844</v>
      </c>
      <c r="L48" s="31" t="n">
        <v>32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63.72</v>
      </c>
      <c r="P48" s="32" t="n">
        <v>23.05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-4.43</v>
      </c>
      <c r="U48" s="32" t="n">
        <v>16.31</v>
      </c>
      <c r="V48" s="32" t="n">
        <v>21.7</v>
      </c>
      <c r="W48" s="32" t="n">
        <v>7.95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IF(B49=0,"",RANK(B49,$B$2:$B$339,0))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PARAS</t>
        </is>
      </c>
      <c r="D49" s="31" t="inlineStr">
        <is>
          <t>Paras Defence and Space Technologies Ltd</t>
        </is>
      </c>
      <c r="E49" s="31" t="inlineStr">
        <is>
          <t>aerospace &amp; defence</t>
        </is>
      </c>
      <c r="F49" s="31" t="inlineStr">
        <is>
          <t>engineering</t>
        </is>
      </c>
      <c r="G49" s="31" t="inlineStr">
        <is>
          <t>midcap</t>
        </is>
      </c>
      <c r="H49" s="32" t="n">
        <v>8841.639999999999</v>
      </c>
      <c r="I49" s="32" t="n">
        <v>1108.15</v>
      </c>
      <c r="J49" s="32" t="n">
        <v>1</v>
      </c>
      <c r="K49" s="32" t="n">
        <v>6807197</v>
      </c>
      <c r="L49" s="31" t="n">
        <v>79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72.98999999999999</v>
      </c>
      <c r="P49" s="32" t="n">
        <v>40.49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-4.43</v>
      </c>
      <c r="U49" s="32" t="n">
        <v>35.11</v>
      </c>
      <c r="V49" s="32" t="n">
        <v>41.38</v>
      </c>
      <c r="W49" s="32" t="n">
        <v>24.16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IF(B50=0,"",RANK(B50,$B$2:$B$339,0))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SANSERA</t>
        </is>
      </c>
      <c r="D50" s="31" t="inlineStr">
        <is>
          <t>Sansera Engineering Ltd</t>
        </is>
      </c>
      <c r="E50" s="31" t="inlineStr">
        <is>
          <t>auto</t>
        </is>
      </c>
      <c r="F50" s="31" t="inlineStr">
        <is>
          <t>auto ancillaries</t>
        </is>
      </c>
      <c r="G50" s="31" t="inlineStr">
        <is>
          <t>midcap</t>
        </is>
      </c>
      <c r="H50" s="32" t="n">
        <v>18164.81</v>
      </c>
      <c r="I50" s="32" t="n">
        <v>2940.1</v>
      </c>
      <c r="J50" s="32" t="n">
        <v>0.89</v>
      </c>
      <c r="K50" s="32" t="n">
        <v>178249</v>
      </c>
      <c r="L50" s="31" t="n">
        <v>85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73.15000000000001</v>
      </c>
      <c r="P50" s="32" t="n">
        <v>41.61</v>
      </c>
      <c r="Q50" s="32" t="inlineStr"/>
      <c r="R50" s="31" t="inlineStr">
        <is>
          <t>Earnings / Momentum Support</t>
        </is>
      </c>
      <c r="S50" s="31" t="inlineStr">
        <is>
          <t>Nifty Auto</t>
        </is>
      </c>
      <c r="T50" s="32" t="n">
        <v>12.72</v>
      </c>
      <c r="U50" s="32" t="n">
        <v>122.25</v>
      </c>
      <c r="V50" s="32" t="n">
        <v>97.18000000000001</v>
      </c>
      <c r="W50" s="32" t="n">
        <v>28.27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IF(B51=0,"",RANK(B51,$B$2:$B$339,0))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RUBYMILLS</t>
        </is>
      </c>
      <c r="D51" s="31" t="inlineStr">
        <is>
          <t>The Ruby Mills Limited</t>
        </is>
      </c>
      <c r="E51" s="31" t="inlineStr">
        <is>
          <t>textiles</t>
        </is>
      </c>
      <c r="F51" s="31" t="inlineStr">
        <is>
          <t>textiles - composite</t>
        </is>
      </c>
      <c r="G51" s="31" t="inlineStr">
        <is>
          <t>smallcap</t>
        </is>
      </c>
      <c r="H51" s="32" t="n">
        <v>1110.88</v>
      </c>
      <c r="I51" s="32" t="n">
        <v>333.95</v>
      </c>
      <c r="J51" s="32" t="n">
        <v>0.53</v>
      </c>
      <c r="K51" s="32" t="n">
        <v>13026</v>
      </c>
      <c r="L51" s="31" t="n">
        <v>82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74.62</v>
      </c>
      <c r="P51" s="32" t="n">
        <v>41.96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-4.43</v>
      </c>
      <c r="U51" s="32" t="n">
        <v>54.16</v>
      </c>
      <c r="V51" s="32" t="n">
        <v>61.31</v>
      </c>
      <c r="W51" s="32" t="n">
        <v>25.64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IF(B52=0,"",RANK(B52,$B$2:$B$339,0))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RPTECH</t>
        </is>
      </c>
      <c r="D52" s="31" t="inlineStr">
        <is>
          <t>Rashi Peripherals Ltd</t>
        </is>
      </c>
      <c r="E52" s="31" t="inlineStr">
        <is>
          <t>services</t>
        </is>
      </c>
      <c r="F52" s="31" t="inlineStr">
        <is>
          <t>trading</t>
        </is>
      </c>
      <c r="G52" s="31" t="inlineStr">
        <is>
          <t>smallcap</t>
        </is>
      </c>
      <c r="H52" s="32" t="n">
        <v>3679.84</v>
      </c>
      <c r="I52" s="32" t="n">
        <v>561.25</v>
      </c>
      <c r="J52" s="32" t="n">
        <v>0.51</v>
      </c>
      <c r="K52" s="32" t="n">
        <v>159601</v>
      </c>
      <c r="L52" s="31" t="n">
        <v>83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78.42</v>
      </c>
      <c r="P52" s="32" t="n">
        <v>52.57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-4.43</v>
      </c>
      <c r="U52" s="32" t="n">
        <v>80.52</v>
      </c>
      <c r="V52" s="32" t="n">
        <v>88.89</v>
      </c>
      <c r="W52" s="32" t="n">
        <v>27.42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IF(B53=0,"",RANK(B53,$B$2:$B$339,0))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MAYURUNIQ</t>
        </is>
      </c>
      <c r="D53" s="31" t="inlineStr">
        <is>
          <t>Mayur Uniquoters Ltd</t>
        </is>
      </c>
      <c r="E53" s="31" t="inlineStr">
        <is>
          <t>consumer discretionary</t>
        </is>
      </c>
      <c r="F53" s="31" t="inlineStr">
        <is>
          <t>leather / leather products</t>
        </is>
      </c>
      <c r="G53" s="31" t="inlineStr">
        <is>
          <t>smallcap</t>
        </is>
      </c>
      <c r="H53" s="32" t="n">
        <v>3446.66</v>
      </c>
      <c r="I53" s="32" t="n">
        <v>797.1</v>
      </c>
      <c r="J53" s="32" t="n">
        <v>0.49</v>
      </c>
      <c r="K53" s="32" t="n">
        <v>140066</v>
      </c>
      <c r="L53" s="31" t="n">
        <v>73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77.54000000000001</v>
      </c>
      <c r="P53" s="32" t="n">
        <v>40.58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-4.43</v>
      </c>
      <c r="U53" s="32" t="n">
        <v>38.37</v>
      </c>
      <c r="V53" s="32" t="n">
        <v>44.79</v>
      </c>
      <c r="W53" s="32" t="n">
        <v>20.53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IF(B54=0,"",RANK(B54,$B$2:$B$339,0))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KPIL</t>
        </is>
      </c>
      <c r="D54" s="31" t="inlineStr">
        <is>
          <t>Kalpataru Projects International Ltd</t>
        </is>
      </c>
      <c r="E54" s="31" t="inlineStr">
        <is>
          <t>realty</t>
        </is>
      </c>
      <c r="F54" s="31" t="inlineStr">
        <is>
          <t>transmisson line towers / equipment</t>
        </is>
      </c>
      <c r="G54" s="31" t="inlineStr">
        <is>
          <t>largecap</t>
        </is>
      </c>
      <c r="H54" s="32" t="n">
        <v>22227.75</v>
      </c>
      <c r="I54" s="32" t="n">
        <v>1303.9</v>
      </c>
      <c r="J54" s="32" t="n">
        <v>0.18</v>
      </c>
      <c r="K54" s="32" t="n">
        <v>163133</v>
      </c>
      <c r="L54" s="31" t="n">
        <v>27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61.17</v>
      </c>
      <c r="P54" s="32" t="n">
        <v>21.42</v>
      </c>
      <c r="Q54" s="32" t="inlineStr"/>
      <c r="R54" s="31" t="inlineStr">
        <is>
          <t>Earnings / Momentum Support</t>
        </is>
      </c>
      <c r="S54" s="31" t="inlineStr">
        <is>
          <t>Nifty Realty</t>
        </is>
      </c>
      <c r="T54" s="32" t="n">
        <v>-23.58</v>
      </c>
      <c r="U54" s="32" t="n">
        <v>12.98</v>
      </c>
      <c r="V54" s="32" t="n">
        <v>47.83</v>
      </c>
      <c r="W54" s="32" t="n">
        <v>6.63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IF(B55=0,"",RANK(B55,$B$2:$B$339,0))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CARYSIL</t>
        </is>
      </c>
      <c r="D55" s="31" t="inlineStr">
        <is>
          <t>Carysil Ltd</t>
        </is>
      </c>
      <c r="E55" s="31" t="inlineStr">
        <is>
          <t>consumer discretionary</t>
        </is>
      </c>
      <c r="F55" s="31" t="inlineStr">
        <is>
          <t>domestic appliances</t>
        </is>
      </c>
      <c r="G55" s="31" t="inlineStr">
        <is>
          <t>smallcap</t>
        </is>
      </c>
      <c r="H55" s="32" t="n">
        <v>3353.1</v>
      </c>
      <c r="I55" s="32" t="n">
        <v>1173.2</v>
      </c>
      <c r="J55" s="32" t="n">
        <v>-0.48</v>
      </c>
      <c r="K55" s="32" t="n">
        <v>162338</v>
      </c>
      <c r="L55" s="31" t="n">
        <v>65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71.23</v>
      </c>
      <c r="P55" s="32" t="n">
        <v>23.34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-4.43</v>
      </c>
      <c r="U55" s="32" t="n">
        <v>27.21</v>
      </c>
      <c r="V55" s="32" t="n">
        <v>33.11</v>
      </c>
      <c r="W55" s="32" t="n">
        <v>17.01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IF(B56=0,"",RANK(B56,$B$2:$B$339,0))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SHAILY</t>
        </is>
      </c>
      <c r="D56" s="31" t="inlineStr">
        <is>
          <t>Shaily Engineering Plastics Ltd</t>
        </is>
      </c>
      <c r="E56" s="31" t="inlineStr">
        <is>
          <t>plastic products</t>
        </is>
      </c>
      <c r="F56" s="31" t="inlineStr">
        <is>
          <t>plastics products</t>
        </is>
      </c>
      <c r="G56" s="31" t="inlineStr">
        <is>
          <t>midcap</t>
        </is>
      </c>
      <c r="H56" s="32" t="n">
        <v>13657.85</v>
      </c>
      <c r="I56" s="32" t="n">
        <v>2948.1</v>
      </c>
      <c r="J56" s="32" t="n">
        <v>-0.8</v>
      </c>
      <c r="K56" s="32" t="n">
        <v>209648</v>
      </c>
      <c r="L56" s="31" t="n">
        <v>80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66.05</v>
      </c>
      <c r="P56" s="32" t="n">
        <v>28.04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-4.43</v>
      </c>
      <c r="U56" s="32" t="n">
        <v>71.14</v>
      </c>
      <c r="V56" s="32" t="n">
        <v>79.06999999999999</v>
      </c>
      <c r="W56" s="32" t="n">
        <v>24.82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IF(B57=0,"",RANK(B57,$B$2:$B$339,0))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GANESHBE</t>
        </is>
      </c>
      <c r="D57" s="33" t="inlineStr">
        <is>
          <t>Ganesh Benzoplast Ltd</t>
        </is>
      </c>
      <c r="E57" s="31" t="inlineStr">
        <is>
          <t>miscellaneous</t>
        </is>
      </c>
      <c r="F57" s="31" t="inlineStr">
        <is>
          <t>miscellaneous</t>
        </is>
      </c>
      <c r="G57" s="31" t="inlineStr">
        <is>
          <t>smallcap</t>
        </is>
      </c>
      <c r="H57" s="32" t="n">
        <v>779.5</v>
      </c>
      <c r="I57" s="32" t="n">
        <v>105.43</v>
      </c>
      <c r="J57" s="32" t="n">
        <v>-2.63</v>
      </c>
      <c r="K57" s="32" t="n">
        <v>311284</v>
      </c>
      <c r="L57" s="31" t="n">
        <v>38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64.15000000000001</v>
      </c>
      <c r="P57" s="32" t="n">
        <v>25.24</v>
      </c>
      <c r="Q57" s="32" t="inlineStr"/>
      <c r="R57" s="31" t="inlineStr">
        <is>
          <t>Earnings / Momentum Support</t>
        </is>
      </c>
      <c r="S57" s="31" t="inlineStr">
        <is>
          <t>Nifty Energy</t>
        </is>
      </c>
      <c r="T57" s="32" t="n">
        <v>9.800000000000001</v>
      </c>
      <c r="U57" s="32" t="n">
        <v>1.35</v>
      </c>
      <c r="V57" s="32" t="n">
        <v>-7.7</v>
      </c>
      <c r="W57" s="32" t="n">
        <v>9.08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IF(B58=0,"",RANK(B58,$B$2:$B$339,0))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RATEGAIN</t>
        </is>
      </c>
      <c r="D58" s="31" t="inlineStr">
        <is>
          <t>Rategain Travel Technologies Ltd</t>
        </is>
      </c>
      <c r="E58" s="31" t="inlineStr">
        <is>
          <t>i.t</t>
        </is>
      </c>
      <c r="F58" s="31" t="inlineStr">
        <is>
          <t>computers - software - medium / small</t>
        </is>
      </c>
      <c r="G58" s="31" t="inlineStr">
        <is>
          <t>midcap</t>
        </is>
      </c>
      <c r="H58" s="32" t="n">
        <v>9252.940000000001</v>
      </c>
      <c r="I58" s="32" t="n">
        <v>824.55</v>
      </c>
      <c r="J58" s="32" t="n">
        <v>5.3</v>
      </c>
      <c r="K58" s="32" t="n">
        <v>1130316</v>
      </c>
      <c r="L58" s="31" t="n">
        <v>85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72.34</v>
      </c>
      <c r="P58" s="32" t="n">
        <v>25.85</v>
      </c>
      <c r="Q58" s="32" t="inlineStr"/>
      <c r="R58" s="31" t="inlineStr">
        <is>
          <t>Earnings / Momentum Support</t>
        </is>
      </c>
      <c r="S58" s="31" t="inlineStr">
        <is>
          <t>Nifty IT</t>
        </is>
      </c>
      <c r="T58" s="32" t="n">
        <v>-27.75</v>
      </c>
      <c r="U58" s="32" t="n">
        <v>76.95999999999999</v>
      </c>
      <c r="V58" s="32" t="n">
        <v>144.91</v>
      </c>
      <c r="W58" s="32" t="n">
        <v>27.88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IF(B59=0,"",RANK(B59,$B$2:$B$339,0))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SANSTAR</t>
        </is>
      </c>
      <c r="D59" s="31" t="inlineStr">
        <is>
          <t>Sanstar Ltd</t>
        </is>
      </c>
      <c r="E59" s="31" t="inlineStr">
        <is>
          <t>fmcg</t>
        </is>
      </c>
      <c r="F59" s="31" t="inlineStr">
        <is>
          <t>miscellaneous</t>
        </is>
      </c>
      <c r="G59" s="31" t="inlineStr">
        <is>
          <t>smallcap</t>
        </is>
      </c>
      <c r="H59" s="32" t="n">
        <v>2122.78</v>
      </c>
      <c r="I59" s="32" t="n">
        <v>117.65</v>
      </c>
      <c r="J59" s="32" t="n">
        <v>1</v>
      </c>
      <c r="K59" s="32" t="n">
        <v>764851</v>
      </c>
      <c r="L59" s="31" t="n">
        <v>56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72.84</v>
      </c>
      <c r="P59" s="32" t="n">
        <v>31.88</v>
      </c>
      <c r="Q59" s="32" t="inlineStr"/>
      <c r="R59" s="31" t="inlineStr">
        <is>
          <t>Earnings / Momentum Support</t>
        </is>
      </c>
      <c r="S59" s="31" t="inlineStr">
        <is>
          <t>Nifty FMCG</t>
        </is>
      </c>
      <c r="T59" s="32" t="n">
        <v>-10.45</v>
      </c>
      <c r="U59" s="32" t="n">
        <v>26.54</v>
      </c>
      <c r="V59" s="32" t="n">
        <v>41.31</v>
      </c>
      <c r="W59" s="32" t="n">
        <v>13.77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IF(B60=0,"",RANK(B60,$B$2:$B$339,0))</f>
        <v/>
      </c>
      <c r="B60" s="32">
        <f>SUM(N60,Y60,AA60,AC60,AE60,AG60,AI60,AK60,AM60,AO60,AQ60,AS60,AU60,AW60,AY60,BA60,BC60,BE60,BG60,BI60,BK60,BM60,BO60,BQ60,BS60,BU60,BW60,BY60,CA60,CC60,CE60)</f>
        <v/>
      </c>
      <c r="C60" s="33" t="inlineStr">
        <is>
          <t>KOPRAN</t>
        </is>
      </c>
      <c r="D60" s="33" t="inlineStr">
        <is>
          <t>Kopran Limited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smallcap</t>
        </is>
      </c>
      <c r="H60" s="32" t="n">
        <v>877.0599999999999</v>
      </c>
      <c r="I60" s="32" t="n">
        <v>183.38</v>
      </c>
      <c r="J60" s="32" t="n">
        <v>0.96</v>
      </c>
      <c r="K60" s="32" t="n">
        <v>85299</v>
      </c>
      <c r="L60" s="31" t="n">
        <v>55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59.55</v>
      </c>
      <c r="P60" s="32" t="n">
        <v>28.36</v>
      </c>
      <c r="Q60" s="32" t="inlineStr"/>
      <c r="R60" s="31" t="inlineStr">
        <is>
          <t>Earnings / Momentum Support</t>
        </is>
      </c>
      <c r="S60" s="31" t="inlineStr">
        <is>
          <t>Nifty Pharma</t>
        </is>
      </c>
      <c r="T60" s="32" t="n">
        <v>10.89</v>
      </c>
      <c r="U60" s="32" t="n">
        <v>-5.92</v>
      </c>
      <c r="V60" s="32" t="n">
        <v>-15.16</v>
      </c>
      <c r="W60" s="32" t="n">
        <v>13.41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IF(B61=0,"",RANK(B61,$B$2:$B$339,0))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SUVEN</t>
        </is>
      </c>
      <c r="D61" s="31" t="inlineStr">
        <is>
          <t>Suven Life Sciences Limited</t>
        </is>
      </c>
      <c r="E61" s="31" t="inlineStr">
        <is>
          <t>healthcare</t>
        </is>
      </c>
      <c r="F61" s="31" t="inlineStr">
        <is>
          <t>miscellaneous</t>
        </is>
      </c>
      <c r="G61" s="31" t="inlineStr">
        <is>
          <t>midcap</t>
        </is>
      </c>
      <c r="H61" s="32" t="n">
        <v>7074.3</v>
      </c>
      <c r="I61" s="32" t="n">
        <v>269.85</v>
      </c>
      <c r="J61" s="32" t="n">
        <v>0.6</v>
      </c>
      <c r="K61" s="32" t="n">
        <v>741977</v>
      </c>
      <c r="L61" s="31" t="n">
        <v>85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66.25</v>
      </c>
      <c r="P61" s="32" t="n">
        <v>35.34</v>
      </c>
      <c r="Q61" s="32" t="inlineStr"/>
      <c r="R61" s="31" t="inlineStr">
        <is>
          <t>Earnings / Momentum Support</t>
        </is>
      </c>
      <c r="S61" s="31" t="inlineStr">
        <is>
          <t>Nifty Pharma</t>
        </is>
      </c>
      <c r="T61" s="32" t="n">
        <v>10.89</v>
      </c>
      <c r="U61" s="32" t="n">
        <v>13.65</v>
      </c>
      <c r="V61" s="32" t="n">
        <v>2.49</v>
      </c>
      <c r="W61" s="32" t="n">
        <v>28.33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IF(B62=0,"",RANK(B62,$B$2:$B$339,0))</f>
        <v/>
      </c>
      <c r="B62" s="32">
        <f>SUM(N62,Y62,AA62,AC62,AE62,AG62,AI62,AK62,AM62,AO62,AQ62,AS62,AU62,AW62,AY62,BA62,BC62,BE62,BG62,BI62,BK62,BM62,BO62,BQ62,BS62,BU62,BW62,BY62,CA62,CC62,CE62)</f>
        <v/>
      </c>
      <c r="C62" s="33" t="inlineStr">
        <is>
          <t>MARKSANS</t>
        </is>
      </c>
      <c r="D62" s="33" t="inlineStr">
        <is>
          <t>Marksans Pharma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11436.49</v>
      </c>
      <c r="I62" s="32" t="n">
        <v>249.76</v>
      </c>
      <c r="J62" s="32" t="n">
        <v>-1.03</v>
      </c>
      <c r="K62" s="32" t="n">
        <v>1633878</v>
      </c>
      <c r="L62" s="31" t="n">
        <v>55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71.86</v>
      </c>
      <c r="P62" s="32" t="n">
        <v>32.26</v>
      </c>
      <c r="Q62" s="32" t="inlineStr"/>
      <c r="R62" s="31" t="inlineStr">
        <is>
          <t>Earnings / Momentum Support</t>
        </is>
      </c>
      <c r="S62" s="31" t="inlineStr">
        <is>
          <t>Nifty Pharma</t>
        </is>
      </c>
      <c r="T62" s="32" t="n">
        <v>10.89</v>
      </c>
      <c r="U62" s="32" t="n">
        <v>-2.31</v>
      </c>
      <c r="V62" s="32" t="n">
        <v>-11.91</v>
      </c>
      <c r="W62" s="32" t="n">
        <v>13.48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IF(B63=0,"",RANK(B63,$B$2:$B$339,0))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ACUTAAS</t>
        </is>
      </c>
      <c r="D63" s="31" t="inlineStr">
        <is>
          <t>Acutaas Chemicals Ltd</t>
        </is>
      </c>
      <c r="E63" s="31" t="inlineStr">
        <is>
          <t>healthcare</t>
        </is>
      </c>
      <c r="F63" s="31" t="inlineStr">
        <is>
          <t>pharmaceuticals - indian - bulk drugs</t>
        </is>
      </c>
      <c r="G63" s="31" t="inlineStr">
        <is>
          <t>largecap</t>
        </is>
      </c>
      <c r="H63" s="32" t="n">
        <v>25750.92</v>
      </c>
      <c r="I63" s="32" t="n">
        <v>3096.7</v>
      </c>
      <c r="J63" s="32" t="n">
        <v>-1.55</v>
      </c>
      <c r="K63" s="32" t="n">
        <v>285988</v>
      </c>
      <c r="L63" s="31" t="n">
        <v>88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71.72</v>
      </c>
      <c r="P63" s="32" t="n">
        <v>66.36</v>
      </c>
      <c r="Q63" s="32" t="inlineStr"/>
      <c r="R63" s="31" t="inlineStr">
        <is>
          <t>Earnings / Momentum Support</t>
        </is>
      </c>
      <c r="S63" s="31" t="inlineStr">
        <is>
          <t>Nifty Pharma</t>
        </is>
      </c>
      <c r="T63" s="32" t="n">
        <v>10.89</v>
      </c>
      <c r="U63" s="32" t="n">
        <v>185.01</v>
      </c>
      <c r="V63" s="32" t="n">
        <v>157.01</v>
      </c>
      <c r="W63" s="32" t="n">
        <v>34.63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IF(B64=0,"",RANK(B64,$B$2:$B$339,0))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SKMEGGPROD</t>
        </is>
      </c>
      <c r="D64" s="31" t="inlineStr">
        <is>
          <t>Skm Egg Products Export (india) Limited</t>
        </is>
      </c>
      <c r="E64" s="31" t="inlineStr">
        <is>
          <t>fmcg</t>
        </is>
      </c>
      <c r="F64" s="31" t="inlineStr">
        <is>
          <t>food - processing - indian</t>
        </is>
      </c>
      <c r="G64" s="31" t="inlineStr">
        <is>
          <t>smallcap</t>
        </is>
      </c>
      <c r="H64" s="32" t="n">
        <v>1267.1</v>
      </c>
      <c r="I64" s="32" t="n">
        <v>235.93</v>
      </c>
      <c r="J64" s="32" t="n">
        <v>-1.95</v>
      </c>
      <c r="K64" s="32" t="n">
        <v>619780</v>
      </c>
      <c r="L64" s="31" t="n">
        <v>86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69.05</v>
      </c>
      <c r="P64" s="32" t="n">
        <v>22.1</v>
      </c>
      <c r="Q64" s="32" t="inlineStr"/>
      <c r="R64" s="31" t="inlineStr">
        <is>
          <t>Earnings / Momentum Support</t>
        </is>
      </c>
      <c r="S64" s="31" t="inlineStr">
        <is>
          <t>Nifty FMCG</t>
        </is>
      </c>
      <c r="T64" s="32" t="n">
        <v>-10.45</v>
      </c>
      <c r="U64" s="32" t="n">
        <v>87.43000000000001</v>
      </c>
      <c r="V64" s="32" t="n">
        <v>109.31</v>
      </c>
      <c r="W64" s="32" t="n">
        <v>29.13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IF(B65=0,"",RANK(B65,$B$2:$B$339,0))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SPAL</t>
        </is>
      </c>
      <c r="D65" s="31" t="inlineStr">
        <is>
          <t>S. P. Apparels Limited</t>
        </is>
      </c>
      <c r="E65" s="31" t="inlineStr">
        <is>
          <t>textiles</t>
        </is>
      </c>
      <c r="F65" s="31" t="inlineStr">
        <is>
          <t>textiles - products</t>
        </is>
      </c>
      <c r="G65" s="31" t="inlineStr">
        <is>
          <t>smallcap</t>
        </is>
      </c>
      <c r="H65" s="32" t="n">
        <v>2001.18</v>
      </c>
      <c r="I65" s="32" t="n">
        <v>867.85</v>
      </c>
      <c r="J65" s="32" t="n">
        <v>9.02</v>
      </c>
      <c r="K65" s="32" t="n">
        <v>4896087</v>
      </c>
      <c r="L65" s="31" t="n">
        <v>11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57.2</v>
      </c>
      <c r="P65" s="32" t="n">
        <v>21.33</v>
      </c>
      <c r="Q65" s="32" t="inlineStr"/>
      <c r="R65" s="31" t="inlineStr">
        <is>
          <t>Volume Spike / Accumulation</t>
        </is>
      </c>
      <c r="S65" s="31" t="inlineStr">
        <is>
          <t>Nifty 50</t>
        </is>
      </c>
      <c r="T65" s="32" t="n">
        <v>-4.43</v>
      </c>
      <c r="U65" s="32" t="n">
        <v>1.37</v>
      </c>
      <c r="V65" s="32" t="n">
        <v>6.08</v>
      </c>
      <c r="W65" s="32" t="n">
        <v>3.44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IF(B66=0,"",RANK(B66,$B$2:$B$339,0))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KENNAMET</t>
        </is>
      </c>
      <c r="D66" s="31" t="inlineStr">
        <is>
          <t>Kennametal India Ltd</t>
        </is>
      </c>
      <c r="E66" s="31" t="inlineStr">
        <is>
          <t>industrials</t>
        </is>
      </c>
      <c r="F66" s="31" t="inlineStr">
        <is>
          <t>castings &amp; forgings</t>
        </is>
      </c>
      <c r="G66" s="31" t="inlineStr">
        <is>
          <t>midcap</t>
        </is>
      </c>
      <c r="H66" s="32" t="n">
        <v>6110.61</v>
      </c>
      <c r="I66" s="32" t="n">
        <v>2982.1</v>
      </c>
      <c r="J66" s="32" t="n">
        <v>7.26</v>
      </c>
      <c r="K66" s="32" t="n">
        <v>11822</v>
      </c>
      <c r="L66" s="31" t="n">
        <v>41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61.01</v>
      </c>
      <c r="P66" s="32" t="n">
        <v>41.33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-4.43</v>
      </c>
      <c r="U66" s="32" t="n">
        <v>15.76</v>
      </c>
      <c r="V66" s="32" t="n">
        <v>21.13</v>
      </c>
      <c r="W66" s="32" t="n">
        <v>9.74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IF(B67=0,"",RANK(B67,$B$2:$B$339,0))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QPOWER</t>
        </is>
      </c>
      <c r="D67" s="31" t="inlineStr">
        <is>
          <t>Quality Power Electrical Equipments Ltd</t>
        </is>
      </c>
      <c r="E67" s="31" t="inlineStr">
        <is>
          <t>industrials</t>
        </is>
      </c>
      <c r="F67" s="31" t="inlineStr">
        <is>
          <t>electric equipment</t>
        </is>
      </c>
      <c r="G67" s="31" t="inlineStr">
        <is>
          <t>midcap</t>
        </is>
      </c>
      <c r="H67" s="32" t="n">
        <v>9456.700000000001</v>
      </c>
      <c r="I67" s="32" t="n">
        <v>1282.1</v>
      </c>
      <c r="J67" s="32" t="n">
        <v>5</v>
      </c>
      <c r="K67" s="32" t="n">
        <v>267101</v>
      </c>
      <c r="L67" s="31" t="n">
        <v>91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61.47</v>
      </c>
      <c r="P67" s="32" t="n">
        <v>26.21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-4.43</v>
      </c>
      <c r="U67" s="32" t="n">
        <v>143.47</v>
      </c>
      <c r="V67" s="32" t="n">
        <v>154.76</v>
      </c>
      <c r="W67" s="32" t="n">
        <v>37.49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IF(B68=0,"",RANK(B68,$B$2:$B$339,0))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BHAGYANGR</t>
        </is>
      </c>
      <c r="D68" s="31" t="inlineStr">
        <is>
          <t>Bhagyanagar India</t>
        </is>
      </c>
      <c r="E68" s="31" t="inlineStr">
        <is>
          <t>power &amp; utilities</t>
        </is>
      </c>
      <c r="F68" s="31" t="inlineStr">
        <is>
          <t>power generation and supply</t>
        </is>
      </c>
      <c r="G68" s="31" t="inlineStr">
        <is>
          <t>smallcap</t>
        </is>
      </c>
      <c r="H68" s="32" t="n">
        <v>993.76</v>
      </c>
      <c r="I68" s="32" t="n">
        <v>326.1</v>
      </c>
      <c r="J68" s="32" t="n">
        <v>4.99</v>
      </c>
      <c r="K68" s="32" t="n">
        <v>71538</v>
      </c>
      <c r="L68" s="31" t="n">
        <v>97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75.25</v>
      </c>
      <c r="P68" s="32" t="n">
        <v>59.75</v>
      </c>
      <c r="Q68" s="32" t="inlineStr"/>
      <c r="R68" s="31" t="inlineStr">
        <is>
          <t>Earnings / Momentum Support</t>
        </is>
      </c>
      <c r="S68" s="31" t="inlineStr">
        <is>
          <t>Nifty IT</t>
        </is>
      </c>
      <c r="T68" s="32" t="n">
        <v>-27.75</v>
      </c>
      <c r="U68" s="32" t="n">
        <v>301.4</v>
      </c>
      <c r="V68" s="32" t="n">
        <v>455.53</v>
      </c>
      <c r="W68" s="32" t="n">
        <v>60.26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IF(B69=0,"",RANK(B69,$B$2:$B$339,0))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BELRISE</t>
        </is>
      </c>
      <c r="D69" s="31" t="inlineStr">
        <is>
          <t>Belrise Industries Ltd</t>
        </is>
      </c>
      <c r="E69" s="31" t="inlineStr">
        <is>
          <t>auto</t>
        </is>
      </c>
      <c r="F69" s="31" t="inlineStr">
        <is>
          <t>auto ancillaries</t>
        </is>
      </c>
      <c r="G69" s="31" t="inlineStr">
        <is>
          <t>largecap</t>
        </is>
      </c>
      <c r="H69" s="32" t="n">
        <v>20309.71</v>
      </c>
      <c r="I69" s="32" t="n">
        <v>238.26</v>
      </c>
      <c r="J69" s="32" t="n">
        <v>4.39</v>
      </c>
      <c r="K69" s="32" t="n">
        <v>6682701</v>
      </c>
      <c r="L69" s="31" t="n">
        <v>80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69.81999999999999</v>
      </c>
      <c r="P69" s="32" t="n">
        <v>52.36</v>
      </c>
      <c r="Q69" s="32" t="inlineStr"/>
      <c r="R69" s="31" t="inlineStr">
        <is>
          <t>Earnings / Momentum Support</t>
        </is>
      </c>
      <c r="S69" s="31" t="inlineStr">
        <is>
          <t>Nifty Auto</t>
        </is>
      </c>
      <c r="T69" s="32" t="n">
        <v>12.72</v>
      </c>
      <c r="U69" s="32" t="n">
        <v>124.74</v>
      </c>
      <c r="V69" s="32" t="n">
        <v>99.39</v>
      </c>
      <c r="W69" s="32" t="n">
        <v>24.34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Less than 12%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IF(B70=0,"",RANK(B70,$B$2:$B$339,0))</f>
        <v/>
      </c>
      <c r="B70" s="32">
        <f>SUM(N70,Y70,AA70,AC70,AE70,AG70,AI70,AK70,AM70,AO70,AQ70,AS70,AU70,AW70,AY70,BA70,BC70,BE70,BG70,BI70,BK70,BM70,BO70,BQ70,BS70,BU70,BW70,BY70,CA70,CC70,CE70)</f>
        <v/>
      </c>
      <c r="C70" s="33" t="inlineStr">
        <is>
          <t>WSTCSTPAPR</t>
        </is>
      </c>
      <c r="D70" s="33" t="inlineStr">
        <is>
          <t>West Coast Paper Mills Limited</t>
        </is>
      </c>
      <c r="E70" s="31" t="inlineStr">
        <is>
          <t>building materials</t>
        </is>
      </c>
      <c r="F70" s="31" t="inlineStr">
        <is>
          <t>paper</t>
        </is>
      </c>
      <c r="G70" s="31" t="inlineStr">
        <is>
          <t>smallcap</t>
        </is>
      </c>
      <c r="H70" s="32" t="n">
        <v>3265.13</v>
      </c>
      <c r="I70" s="32" t="n">
        <v>510.45</v>
      </c>
      <c r="J70" s="32" t="n">
        <v>3.26</v>
      </c>
      <c r="K70" s="32" t="n">
        <v>293881</v>
      </c>
      <c r="L70" s="31" t="n">
        <v>21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56.39</v>
      </c>
      <c r="P70" s="32" t="n">
        <v>29.04</v>
      </c>
      <c r="Q70" s="32" t="inlineStr"/>
      <c r="R70" s="31" t="inlineStr">
        <is>
          <t>Earnings / Momentum Support</t>
        </is>
      </c>
      <c r="S70" s="31" t="inlineStr">
        <is>
          <t>Nifty Infra</t>
        </is>
      </c>
      <c r="T70" s="32" t="n">
        <v>2.95</v>
      </c>
      <c r="U70" s="32" t="n">
        <v>-3.58</v>
      </c>
      <c r="V70" s="32" t="n">
        <v>-6.34</v>
      </c>
      <c r="W70" s="32" t="n">
        <v>5.65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Between 12 to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IF(B71=0,"",RANK(B71,$B$2:$B$339,0))</f>
        <v/>
      </c>
      <c r="B71" s="32">
        <f>SUM(N71,Y71,AA71,AC71,AE71,AG71,AI71,AK71,AM71,AO71,AQ71,AS71,AU71,AW71,AY71,BA71,BC71,BE71,BG71,BI71,BK71,BM71,BO71,BQ71,BS71,BU71,BW71,BY71,CA71,CC71,CE71)</f>
        <v/>
      </c>
      <c r="C71" s="33" t="inlineStr">
        <is>
          <t>ZFCVINDIA</t>
        </is>
      </c>
      <c r="D71" s="33" t="inlineStr">
        <is>
          <t>ZF Commercial Vehicle Control System India Ltd</t>
        </is>
      </c>
      <c r="E71" s="31" t="inlineStr">
        <is>
          <t>auto</t>
        </is>
      </c>
      <c r="F71" s="31" t="inlineStr">
        <is>
          <t>auto ancillaries</t>
        </is>
      </c>
      <c r="G71" s="31" t="inlineStr">
        <is>
          <t>largecap</t>
        </is>
      </c>
      <c r="H71" s="32" t="n">
        <v>27908.9</v>
      </c>
      <c r="I71" s="32" t="n">
        <v>15092</v>
      </c>
      <c r="J71" s="32" t="n">
        <v>2.57</v>
      </c>
      <c r="K71" s="32" t="n">
        <v>26097</v>
      </c>
      <c r="L71" s="31" t="n">
        <v>13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53.47</v>
      </c>
      <c r="P71" s="32" t="n">
        <v>23.92</v>
      </c>
      <c r="Q71" s="32" t="inlineStr"/>
      <c r="R71" s="31" t="inlineStr">
        <is>
          <t>Earnings / Momentum Support</t>
        </is>
      </c>
      <c r="S71" s="31" t="inlineStr">
        <is>
          <t>Nifty Auto</t>
        </is>
      </c>
      <c r="T71" s="32" t="n">
        <v>12.72</v>
      </c>
      <c r="U71" s="32" t="n">
        <v>10.02</v>
      </c>
      <c r="V71" s="32" t="n">
        <v>-2.39</v>
      </c>
      <c r="W71" s="32" t="n">
        <v>3.64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IF(B72=0,"",RANK(B72,$B$2:$B$339,0))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PIDILITIND</t>
        </is>
      </c>
      <c r="D72" s="31" t="inlineStr">
        <is>
          <t>Pidilite Industries Limited</t>
        </is>
      </c>
      <c r="E72" s="31" t="inlineStr">
        <is>
          <t>chemicals</t>
        </is>
      </c>
      <c r="F72" s="31" t="inlineStr">
        <is>
          <t>chemicals</t>
        </is>
      </c>
      <c r="G72" s="31" t="inlineStr">
        <is>
          <t>largecap</t>
        </is>
      </c>
      <c r="H72" s="32" t="n">
        <v>156278.01</v>
      </c>
      <c r="I72" s="32" t="n">
        <v>1571</v>
      </c>
      <c r="J72" s="32" t="n">
        <v>2.31</v>
      </c>
      <c r="K72" s="32" t="n">
        <v>1848652</v>
      </c>
      <c r="L72" s="31" t="n">
        <v>14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61.82</v>
      </c>
      <c r="P72" s="32" t="n">
        <v>20.46</v>
      </c>
      <c r="Q72" s="32" t="inlineStr"/>
      <c r="R72" s="31" t="inlineStr">
        <is>
          <t>Earnings / Momentum Support</t>
        </is>
      </c>
      <c r="S72" s="31" t="inlineStr">
        <is>
          <t>Nifty 500</t>
        </is>
      </c>
      <c r="T72" s="32" t="n">
        <v>-1.34</v>
      </c>
      <c r="U72" s="32" t="n">
        <v>2.64</v>
      </c>
      <c r="V72" s="32" t="n">
        <v>4.03</v>
      </c>
      <c r="W72" s="32" t="n">
        <v>3.75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Between 1.5 to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IF(B73=0,"",RANK(B73,$B$2:$B$339,0))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VTL</t>
        </is>
      </c>
      <c r="D73" s="31" t="inlineStr">
        <is>
          <t>Vardhman Textiles Limited</t>
        </is>
      </c>
      <c r="E73" s="31" t="inlineStr">
        <is>
          <t>textiles</t>
        </is>
      </c>
      <c r="F73" s="31" t="inlineStr">
        <is>
          <t>textiles - cotton/blended</t>
        </is>
      </c>
      <c r="G73" s="31" t="inlineStr">
        <is>
          <t>midcap</t>
        </is>
      </c>
      <c r="H73" s="32" t="n">
        <v>18162.56</v>
      </c>
      <c r="I73" s="32" t="n">
        <v>637.8</v>
      </c>
      <c r="J73" s="32" t="n">
        <v>1.58</v>
      </c>
      <c r="K73" s="32" t="n">
        <v>909584</v>
      </c>
      <c r="L73" s="31" t="n">
        <v>41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67.40000000000001</v>
      </c>
      <c r="P73" s="32" t="n">
        <v>52.49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-4.43</v>
      </c>
      <c r="U73" s="32" t="n">
        <v>31.73</v>
      </c>
      <c r="V73" s="32" t="n">
        <v>37.84</v>
      </c>
      <c r="W73" s="32" t="n">
        <v>9.68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IF(B74=0,"",RANK(B74,$B$2:$B$339,0))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TALBROAUTO</t>
        </is>
      </c>
      <c r="D74" s="31" t="inlineStr">
        <is>
          <t>Talbros Automotive Components Limited</t>
        </is>
      </c>
      <c r="E74" s="31" t="inlineStr">
        <is>
          <t>auto</t>
        </is>
      </c>
      <c r="F74" s="31" t="inlineStr">
        <is>
          <t>auto ancillaries</t>
        </is>
      </c>
      <c r="G74" s="31" t="inlineStr">
        <is>
          <t>smallcap</t>
        </is>
      </c>
      <c r="H74" s="32" t="n">
        <v>2220.67</v>
      </c>
      <c r="I74" s="32" t="n">
        <v>364.8</v>
      </c>
      <c r="J74" s="32" t="n">
        <v>1.4</v>
      </c>
      <c r="K74" s="32" t="n">
        <v>381398</v>
      </c>
      <c r="L74" s="31" t="n">
        <v>57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68.69</v>
      </c>
      <c r="P74" s="32" t="n">
        <v>28.31</v>
      </c>
      <c r="Q74" s="32" t="inlineStr"/>
      <c r="R74" s="31" t="inlineStr">
        <is>
          <t>Earnings / Momentum Support</t>
        </is>
      </c>
      <c r="S74" s="31" t="inlineStr">
        <is>
          <t>Nifty Auto</t>
        </is>
      </c>
      <c r="T74" s="32" t="n">
        <v>12.72</v>
      </c>
      <c r="U74" s="32" t="n">
        <v>19.01</v>
      </c>
      <c r="V74" s="32" t="n">
        <v>5.59</v>
      </c>
      <c r="W74" s="32" t="n">
        <v>14.31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Between 12 to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IF(B75=0,"",RANK(B75,$B$2:$B$339,0))</f>
        <v/>
      </c>
      <c r="B75" s="32">
        <f>SUM(N75,Y75,AA75,AC75,AE75,AG75,AI75,AK75,AM75,AO75,AQ75,AS75,AU75,AW75,AY75,BA75,BC75,BE75,BG75,BI75,BK75,BM75,BO75,BQ75,BS75,BU75,BW75,BY75,CA75,CC75,CE75)</f>
        <v/>
      </c>
      <c r="C75" s="33" t="inlineStr">
        <is>
          <t>GREENPLY</t>
        </is>
      </c>
      <c r="D75" s="33" t="inlineStr">
        <is>
          <t>Greenply Industries Limited</t>
        </is>
      </c>
      <c r="E75" s="31" t="inlineStr">
        <is>
          <t>building materials</t>
        </is>
      </c>
      <c r="F75" s="31" t="inlineStr">
        <is>
          <t>miscellaneous</t>
        </is>
      </c>
      <c r="G75" s="31" t="inlineStr">
        <is>
          <t>smallcap</t>
        </is>
      </c>
      <c r="H75" s="32" t="n">
        <v>3634.4</v>
      </c>
      <c r="I75" s="32" t="n">
        <v>293.8</v>
      </c>
      <c r="J75" s="32" t="n">
        <v>0.97</v>
      </c>
      <c r="K75" s="32" t="n">
        <v>227152</v>
      </c>
      <c r="L75" s="31" t="n">
        <v>45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62.27</v>
      </c>
      <c r="P75" s="32" t="n">
        <v>27.88</v>
      </c>
      <c r="Q75" s="32" t="inlineStr"/>
      <c r="R75" s="31" t="inlineStr">
        <is>
          <t>Earnings / Momentum Support</t>
        </is>
      </c>
      <c r="S75" s="31" t="inlineStr">
        <is>
          <t>Nifty Infra</t>
        </is>
      </c>
      <c r="T75" s="32" t="n">
        <v>2.95</v>
      </c>
      <c r="U75" s="32" t="n">
        <v>-12.59</v>
      </c>
      <c r="V75" s="32" t="n">
        <v>-15.09</v>
      </c>
      <c r="W75" s="32" t="n">
        <v>10.71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IF(B76=0,"",RANK(B76,$B$2:$B$339,0))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RRKABEL</t>
        </is>
      </c>
      <c r="D76" s="31" t="inlineStr">
        <is>
          <t>R R Kabel Ltd</t>
        </is>
      </c>
      <c r="E76" s="31" t="inlineStr">
        <is>
          <t>industrials</t>
        </is>
      </c>
      <c r="F76" s="31" t="inlineStr">
        <is>
          <t>cables - power</t>
        </is>
      </c>
      <c r="G76" s="31" t="inlineStr">
        <is>
          <t>largecap</t>
        </is>
      </c>
      <c r="H76" s="32" t="n">
        <v>24523.54</v>
      </c>
      <c r="I76" s="32" t="n">
        <v>2187.4</v>
      </c>
      <c r="J76" s="32" t="n">
        <v>0.89</v>
      </c>
      <c r="K76" s="32" t="n">
        <v>287659</v>
      </c>
      <c r="L76" s="31" t="n">
        <v>80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74.77</v>
      </c>
      <c r="P76" s="32" t="n">
        <v>40.03</v>
      </c>
      <c r="Q76" s="32" t="inlineStr"/>
      <c r="R76" s="31" t="inlineStr">
        <is>
          <t>Earnings / Momentum Support</t>
        </is>
      </c>
      <c r="S76" s="31" t="inlineStr">
        <is>
          <t>Nifty Energy</t>
        </is>
      </c>
      <c r="T76" s="32" t="n">
        <v>9.800000000000001</v>
      </c>
      <c r="U76" s="32" t="n">
        <v>60.1</v>
      </c>
      <c r="V76" s="32" t="n">
        <v>45.81</v>
      </c>
      <c r="W76" s="32" t="n">
        <v>24.71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Between 1.5 to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IF(B77=0,"",RANK(B77,$B$2:$B$339,0))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GOCLCORP</t>
        </is>
      </c>
      <c r="D77" s="31" t="inlineStr">
        <is>
          <t>Gocl Corporation Limited</t>
        </is>
      </c>
      <c r="E77" s="31" t="inlineStr">
        <is>
          <t>miscellaneous</t>
        </is>
      </c>
      <c r="F77" s="31" t="inlineStr">
        <is>
          <t>diversified - medium / small</t>
        </is>
      </c>
      <c r="G77" s="31" t="inlineStr">
        <is>
          <t>smallcap</t>
        </is>
      </c>
      <c r="H77" s="32" t="n">
        <v>1994.55</v>
      </c>
      <c r="I77" s="32" t="n">
        <v>404.75</v>
      </c>
      <c r="J77" s="32" t="n">
        <v>0.6</v>
      </c>
      <c r="K77" s="32" t="n">
        <v>46150</v>
      </c>
      <c r="L77" s="31" t="n">
        <v>72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69.05</v>
      </c>
      <c r="P77" s="32" t="n">
        <v>27.84</v>
      </c>
      <c r="Q77" s="32" t="inlineStr"/>
      <c r="R77" s="31" t="inlineStr">
        <is>
          <t>Earnings / Momentum Support</t>
        </is>
      </c>
      <c r="S77" s="31" t="inlineStr">
        <is>
          <t>Nifty IT</t>
        </is>
      </c>
      <c r="T77" s="32" t="n">
        <v>-27.75</v>
      </c>
      <c r="U77" s="32" t="n">
        <v>6.07</v>
      </c>
      <c r="V77" s="32" t="n">
        <v>46.8</v>
      </c>
      <c r="W77" s="32" t="n">
        <v>19.62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IF(B78=0,"",RANK(B78,$B$2:$B$339,0))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UNIPARTS</t>
        </is>
      </c>
      <c r="D78" s="31" t="inlineStr">
        <is>
          <t>Uniparts India Ltd</t>
        </is>
      </c>
      <c r="E78" s="31" t="inlineStr">
        <is>
          <t>industrials</t>
        </is>
      </c>
      <c r="F78" s="31" t="inlineStr">
        <is>
          <t>engineering</t>
        </is>
      </c>
      <c r="G78" s="31" t="inlineStr">
        <is>
          <t>smallcap</t>
        </is>
      </c>
      <c r="H78" s="32" t="n">
        <v>2978.09</v>
      </c>
      <c r="I78" s="32" t="n">
        <v>663.65</v>
      </c>
      <c r="J78" s="32" t="n">
        <v>0.6</v>
      </c>
      <c r="K78" s="32" t="n">
        <v>161621</v>
      </c>
      <c r="L78" s="31" t="n">
        <v>80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73.86</v>
      </c>
      <c r="P78" s="32" t="n">
        <v>37.84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-4.43</v>
      </c>
      <c r="U78" s="32" t="n">
        <v>84.56999999999999</v>
      </c>
      <c r="V78" s="32" t="n">
        <v>93.13</v>
      </c>
      <c r="W78" s="32" t="n">
        <v>24.75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IF(B79=0,"",RANK(B79,$B$2:$B$339,0))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CEIGALL</t>
        </is>
      </c>
      <c r="D79" s="31" t="inlineStr">
        <is>
          <t>Ceigall India Ltd</t>
        </is>
      </c>
      <c r="E79" s="31" t="inlineStr">
        <is>
          <t>realty</t>
        </is>
      </c>
      <c r="F79" s="31" t="inlineStr">
        <is>
          <t>construction</t>
        </is>
      </c>
      <c r="G79" s="31" t="inlineStr">
        <is>
          <t>midcap</t>
        </is>
      </c>
      <c r="H79" s="32" t="n">
        <v>6533.55</v>
      </c>
      <c r="I79" s="32" t="n">
        <v>377.15</v>
      </c>
      <c r="J79" s="32" t="n">
        <v>0.5600000000000001</v>
      </c>
      <c r="K79" s="32" t="n">
        <v>784306</v>
      </c>
      <c r="L79" s="31" t="n">
        <v>68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72.03</v>
      </c>
      <c r="P79" s="32" t="n">
        <v>45.76</v>
      </c>
      <c r="Q79" s="32" t="inlineStr"/>
      <c r="R79" s="31" t="inlineStr">
        <is>
          <t>Earnings / Momentum Support</t>
        </is>
      </c>
      <c r="S79" s="31" t="inlineStr">
        <is>
          <t>Nifty Realty</t>
        </is>
      </c>
      <c r="T79" s="32" t="n">
        <v>-23.58</v>
      </c>
      <c r="U79" s="32" t="n">
        <v>50.75</v>
      </c>
      <c r="V79" s="32" t="n">
        <v>97.26000000000001</v>
      </c>
      <c r="W79" s="32" t="n">
        <v>18.13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IF(B80=0,"",RANK(B80,$B$2:$B$339,0))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MENONBE</t>
        </is>
      </c>
      <c r="D80" s="31" t="inlineStr">
        <is>
          <t>Menon Bearings Limited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smallcap</t>
        </is>
      </c>
      <c r="H80" s="32" t="n">
        <v>936.71</v>
      </c>
      <c r="I80" s="32" t="n">
        <v>167.92</v>
      </c>
      <c r="J80" s="32" t="n">
        <v>0.46</v>
      </c>
      <c r="K80" s="32" t="n">
        <v>156655</v>
      </c>
      <c r="L80" s="31" t="n">
        <v>60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70.81999999999999</v>
      </c>
      <c r="P80" s="32" t="n">
        <v>32.82</v>
      </c>
      <c r="Q80" s="32" t="inlineStr"/>
      <c r="R80" s="31" t="inlineStr">
        <is>
          <t>Earnings / Momentum Support</t>
        </is>
      </c>
      <c r="S80" s="31" t="inlineStr">
        <is>
          <t>Nifty Auto</t>
        </is>
      </c>
      <c r="T80" s="32" t="n">
        <v>12.72</v>
      </c>
      <c r="U80" s="32" t="n">
        <v>37.29</v>
      </c>
      <c r="V80" s="32" t="n">
        <v>21.8</v>
      </c>
      <c r="W80" s="32" t="n">
        <v>15.38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IF(B81=0,"",RANK(B81,$B$2:$B$339,0))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IDEAFORGE</t>
        </is>
      </c>
      <c r="D81" s="31" t="inlineStr">
        <is>
          <t>Ideaforge Technology Ltd</t>
        </is>
      </c>
      <c r="E81" s="31" t="inlineStr">
        <is>
          <t>aerospace &amp; defence</t>
        </is>
      </c>
      <c r="F81" s="31" t="inlineStr">
        <is>
          <t>engineering</t>
        </is>
      </c>
      <c r="G81" s="31" t="inlineStr">
        <is>
          <t>smallcap</t>
        </is>
      </c>
      <c r="H81" s="32" t="n">
        <v>3761.11</v>
      </c>
      <c r="I81" s="32" t="n">
        <v>864.85</v>
      </c>
      <c r="J81" s="32" t="n">
        <v>-0.49</v>
      </c>
      <c r="K81" s="32" t="n">
        <v>286088</v>
      </c>
      <c r="L81" s="31" t="n">
        <v>93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71.58</v>
      </c>
      <c r="P81" s="32" t="n">
        <v>47.14</v>
      </c>
      <c r="Q81" s="32" t="inlineStr"/>
      <c r="R81" s="31" t="inlineStr">
        <is>
          <t>Earnings / Momentum Support</t>
        </is>
      </c>
      <c r="S81" s="31" t="inlineStr">
        <is>
          <t>Nifty Infra</t>
        </is>
      </c>
      <c r="T81" s="32" t="n">
        <v>2.95</v>
      </c>
      <c r="U81" s="32" t="n">
        <v>47.29</v>
      </c>
      <c r="V81" s="32" t="n">
        <v>43.07</v>
      </c>
      <c r="W81" s="32" t="n">
        <v>38.89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IF(B82=0,"",RANK(B82,$B$2:$B$339,0))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CENTENKA</t>
        </is>
      </c>
      <c r="D82" s="31" t="inlineStr">
        <is>
          <t>Century Enka Limited</t>
        </is>
      </c>
      <c r="E82" s="31" t="inlineStr">
        <is>
          <t>textiles</t>
        </is>
      </c>
      <c r="F82" s="31" t="inlineStr">
        <is>
          <t>textiles - manmade</t>
        </is>
      </c>
      <c r="G82" s="31" t="inlineStr">
        <is>
          <t>smallcap</t>
        </is>
      </c>
      <c r="H82" s="32" t="n">
        <v>1096.68</v>
      </c>
      <c r="I82" s="32" t="n">
        <v>498.45</v>
      </c>
      <c r="J82" s="32" t="n">
        <v>-0.6899999999999999</v>
      </c>
      <c r="K82" s="32" t="n">
        <v>44628</v>
      </c>
      <c r="L82" s="31" t="n">
        <v>26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58.43</v>
      </c>
      <c r="P82" s="32" t="n">
        <v>31.69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-4.43</v>
      </c>
      <c r="U82" s="32" t="n">
        <v>6.03</v>
      </c>
      <c r="V82" s="32" t="n">
        <v>10.95</v>
      </c>
      <c r="W82" s="32" t="n">
        <v>6.41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IF(B83=0,"",RANK(B83,$B$2:$B$339,0))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GOLDIAM</t>
        </is>
      </c>
      <c r="D83" s="31" t="inlineStr">
        <is>
          <t>Goldiam International Limited</t>
        </is>
      </c>
      <c r="E83" s="31" t="inlineStr">
        <is>
          <t>consumer discretionary</t>
        </is>
      </c>
      <c r="F83" s="31" t="inlineStr">
        <is>
          <t>diamond cutting / jewellery</t>
        </is>
      </c>
      <c r="G83" s="31" t="inlineStr">
        <is>
          <t>midcap</t>
        </is>
      </c>
      <c r="H83" s="32" t="n">
        <v>5406.51</v>
      </c>
      <c r="I83" s="32" t="n">
        <v>469</v>
      </c>
      <c r="J83" s="32" t="n">
        <v>-2.05</v>
      </c>
      <c r="K83" s="32" t="n">
        <v>1547840</v>
      </c>
      <c r="L83" s="31" t="n">
        <v>75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64.98</v>
      </c>
      <c r="P83" s="32" t="n">
        <v>28.49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-4.43</v>
      </c>
      <c r="U83" s="32" t="n">
        <v>34.65</v>
      </c>
      <c r="V83" s="32" t="n">
        <v>40.89</v>
      </c>
      <c r="W83" s="32" t="n">
        <v>21.56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IF(B84=0,"",RANK(B84,$B$2:$B$339,0))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NITINSPIN</t>
        </is>
      </c>
      <c r="D84" s="31" t="inlineStr">
        <is>
          <t>Nitin Spinners Limited</t>
        </is>
      </c>
      <c r="E84" s="31" t="inlineStr">
        <is>
          <t>textiles</t>
        </is>
      </c>
      <c r="F84" s="31" t="inlineStr">
        <is>
          <t>textiles - cotton/blended</t>
        </is>
      </c>
      <c r="G84" s="31" t="inlineStr">
        <is>
          <t>smallcap</t>
        </is>
      </c>
      <c r="H84" s="32" t="n">
        <v>3144.67</v>
      </c>
      <c r="I84" s="32" t="n">
        <v>547.9</v>
      </c>
      <c r="J84" s="32" t="n">
        <v>-2.05</v>
      </c>
      <c r="K84" s="32" t="n">
        <v>152970</v>
      </c>
      <c r="L84" s="31" t="n">
        <v>74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81.11</v>
      </c>
      <c r="P84" s="32" t="n">
        <v>57.09</v>
      </c>
      <c r="Q84" s="32" t="inlineStr"/>
      <c r="R84" s="31" t="inlineStr">
        <is>
          <t>Earnings / Momentum Support</t>
        </is>
      </c>
      <c r="S84" s="31" t="inlineStr">
        <is>
          <t>Nifty 50</t>
        </is>
      </c>
      <c r="T84" s="32" t="n">
        <v>-4.43</v>
      </c>
      <c r="U84" s="32" t="n">
        <v>44.42</v>
      </c>
      <c r="V84" s="32" t="n">
        <v>51.12</v>
      </c>
      <c r="W84" s="32" t="n">
        <v>21.09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IF(B85=0,"",RANK(B85,$B$2:$B$339,0))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ORCHPHARMA</t>
        </is>
      </c>
      <c r="D85" s="31" t="inlineStr">
        <is>
          <t>Orchid Pharma Ltd</t>
        </is>
      </c>
      <c r="E85" s="31" t="inlineStr">
        <is>
          <t>healthcare</t>
        </is>
      </c>
      <c r="F85" s="31" t="inlineStr">
        <is>
          <t>pharmaceuticals - indian - bulk drugs &amp; formln</t>
        </is>
      </c>
      <c r="G85" s="31" t="inlineStr">
        <is>
          <t>smallcap</t>
        </is>
      </c>
      <c r="H85" s="32" t="n">
        <v>4651.45</v>
      </c>
      <c r="I85" s="32" t="n">
        <v>960.85</v>
      </c>
      <c r="J85" s="32" t="n">
        <v>4.77</v>
      </c>
      <c r="K85" s="32" t="n">
        <v>246525</v>
      </c>
      <c r="L85" s="31" t="n">
        <v>83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71.51000000000001</v>
      </c>
      <c r="P85" s="32" t="n">
        <v>35.32</v>
      </c>
      <c r="Q85" s="32" t="inlineStr"/>
      <c r="R85" s="31" t="inlineStr">
        <is>
          <t>Earnings / Momentum Support</t>
        </is>
      </c>
      <c r="S85" s="31" t="inlineStr">
        <is>
          <t>Nifty Pharma</t>
        </is>
      </c>
      <c r="T85" s="32" t="n">
        <v>10.89</v>
      </c>
      <c r="U85" s="32" t="n">
        <v>28.43</v>
      </c>
      <c r="V85" s="32" t="n">
        <v>15.81</v>
      </c>
      <c r="W85" s="32" t="n">
        <v>27.51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IF(B86=0,"",RANK(B86,$B$2:$B$339,0))</f>
        <v/>
      </c>
      <c r="B86" s="32">
        <f>SUM(N86,Y86,AA86,AC86,AE86,AG86,AI86,AK86,AM86,AO86,AQ86,AS86,AU86,AW86,AY86,BA86,BC86,BE86,BG86,BI86,BK86,BM86,BO86,BQ86,BS86,BU86,BW86,BY86,CA86,CC86,CE86)</f>
        <v/>
      </c>
      <c r="C86" s="33" t="inlineStr">
        <is>
          <t>RAINBOW</t>
        </is>
      </c>
      <c r="D86" s="33" t="inlineStr">
        <is>
          <t>Rainbow Childrens Medicare Ltd</t>
        </is>
      </c>
      <c r="E86" s="31" t="inlineStr">
        <is>
          <t>healthcare</t>
        </is>
      </c>
      <c r="F86" s="31" t="inlineStr">
        <is>
          <t>healthcare</t>
        </is>
      </c>
      <c r="G86" s="31" t="inlineStr">
        <is>
          <t>midcap</t>
        </is>
      </c>
      <c r="H86" s="32" t="n">
        <v>13862.82</v>
      </c>
      <c r="I86" s="32" t="n">
        <v>1418.6</v>
      </c>
      <c r="J86" s="32" t="n">
        <v>3.93</v>
      </c>
      <c r="K86" s="32" t="n">
        <v>332699</v>
      </c>
      <c r="L86" s="31" t="n">
        <v>16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59.84</v>
      </c>
      <c r="P86" s="32" t="n">
        <v>24.99</v>
      </c>
      <c r="Q86" s="32" t="inlineStr"/>
      <c r="R86" s="31" t="inlineStr">
        <is>
          <t>Earnings / Momentum Support</t>
        </is>
      </c>
      <c r="S86" s="31" t="inlineStr">
        <is>
          <t>Nifty Pharma</t>
        </is>
      </c>
      <c r="T86" s="32" t="n">
        <v>10.89</v>
      </c>
      <c r="U86" s="32" t="n">
        <v>-3.79</v>
      </c>
      <c r="V86" s="32" t="n">
        <v>-13.24</v>
      </c>
      <c r="W86" s="32" t="n">
        <v>4.12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IF(B87=0,"",RANK(B87,$B$2:$B$339,0))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NINSYS</t>
        </is>
      </c>
      <c r="D87" s="31" t="inlineStr">
        <is>
          <t>NINtec Systems Ltd</t>
        </is>
      </c>
      <c r="E87" s="31" t="inlineStr">
        <is>
          <t>i.t</t>
        </is>
      </c>
      <c r="F87" s="31" t="inlineStr">
        <is>
          <t>computers - software - medium / small</t>
        </is>
      </c>
      <c r="G87" s="31" t="inlineStr">
        <is>
          <t>smallcap</t>
        </is>
      </c>
      <c r="H87" s="32" t="n">
        <v>1280.91</v>
      </c>
      <c r="I87" s="32" t="n">
        <v>704.25</v>
      </c>
      <c r="J87" s="32" t="n">
        <v>2.13</v>
      </c>
      <c r="K87" s="32" t="n">
        <v>4464</v>
      </c>
      <c r="L87" s="31" t="n">
        <v>94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78.2</v>
      </c>
      <c r="P87" s="32" t="n">
        <v>51.6</v>
      </c>
      <c r="Q87" s="32" t="inlineStr"/>
      <c r="R87" s="31" t="inlineStr">
        <is>
          <t>Earnings / Momentum Support</t>
        </is>
      </c>
      <c r="S87" s="31" t="inlineStr">
        <is>
          <t>Nifty IT</t>
        </is>
      </c>
      <c r="T87" s="32" t="n">
        <v>-27.75</v>
      </c>
      <c r="U87" s="32" t="n">
        <v>48.72</v>
      </c>
      <c r="V87" s="32" t="n">
        <v>105.83</v>
      </c>
      <c r="W87" s="32" t="n">
        <v>46.38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Between 12 to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Between 50% to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IF(B88=0,"",RANK(B88,$B$2:$B$339,0))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NGLFINE</t>
        </is>
      </c>
      <c r="D88" s="31" t="inlineStr">
        <is>
          <t>NGL Fine Chem Ltd</t>
        </is>
      </c>
      <c r="E88" s="31" t="inlineStr">
        <is>
          <t>healthcare</t>
        </is>
      </c>
      <c r="F88" s="31" t="inlineStr">
        <is>
          <t>pharmaceuticals - indian - bulk drugs</t>
        </is>
      </c>
      <c r="G88" s="31" t="inlineStr">
        <is>
          <t>smallcap</t>
        </is>
      </c>
      <c r="H88" s="32" t="n">
        <v>1883.56</v>
      </c>
      <c r="I88" s="32" t="n">
        <v>3109.3</v>
      </c>
      <c r="J88" s="32" t="n">
        <v>1.98</v>
      </c>
      <c r="K88" s="32" t="n">
        <v>53959</v>
      </c>
      <c r="L88" s="31" t="n">
        <v>89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79.58</v>
      </c>
      <c r="P88" s="32" t="n">
        <v>65.43000000000001</v>
      </c>
      <c r="Q88" s="32" t="inlineStr"/>
      <c r="R88" s="31" t="inlineStr">
        <is>
          <t>Earnings / Momentum Support</t>
        </is>
      </c>
      <c r="S88" s="31" t="inlineStr">
        <is>
          <t>Nifty Pharma</t>
        </is>
      </c>
      <c r="T88" s="32" t="n">
        <v>10.89</v>
      </c>
      <c r="U88" s="32" t="n">
        <v>190.78</v>
      </c>
      <c r="V88" s="32" t="n">
        <v>162.22</v>
      </c>
      <c r="W88" s="32" t="n">
        <v>35.07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Between 50% to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IF(B89=0,"",RANK(B89,$B$2:$B$339,0))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PIXTRANS</t>
        </is>
      </c>
      <c r="D89" s="31" t="inlineStr">
        <is>
          <t>Pix Transmission Ltd</t>
        </is>
      </c>
      <c r="E89" s="31" t="inlineStr">
        <is>
          <t>fmcg</t>
        </is>
      </c>
      <c r="F89" s="31" t="inlineStr">
        <is>
          <t>miscellaneous</t>
        </is>
      </c>
      <c r="G89" s="31" t="inlineStr">
        <is>
          <t>smallcap</t>
        </is>
      </c>
      <c r="H89" s="32" t="n">
        <v>2185.75</v>
      </c>
      <c r="I89" s="32" t="n">
        <v>1624.4</v>
      </c>
      <c r="J89" s="32" t="n">
        <v>1.26</v>
      </c>
      <c r="K89" s="32" t="n">
        <v>10768</v>
      </c>
      <c r="L89" s="31" t="n">
        <v>14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59.78</v>
      </c>
      <c r="P89" s="32" t="n">
        <v>22.88</v>
      </c>
      <c r="Q89" s="32" t="inlineStr"/>
      <c r="R89" s="31" t="inlineStr">
        <is>
          <t>Earnings / Momentum Support</t>
        </is>
      </c>
      <c r="S89" s="31" t="inlineStr">
        <is>
          <t>Nifty FMCG</t>
        </is>
      </c>
      <c r="T89" s="32" t="n">
        <v>-10.45</v>
      </c>
      <c r="U89" s="32" t="n">
        <v>3.2</v>
      </c>
      <c r="V89" s="32" t="n">
        <v>15.24</v>
      </c>
      <c r="W89" s="32" t="n">
        <v>3.8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IF(B90=0,"",RANK(B90,$B$2:$B$339,0))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INNOVACAP</t>
        </is>
      </c>
      <c r="D90" s="33" t="inlineStr">
        <is>
          <t>Innova Captab Ltd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midcap</t>
        </is>
      </c>
      <c r="H90" s="32" t="n">
        <v>5393.16</v>
      </c>
      <c r="I90" s="32" t="n">
        <v>947.95</v>
      </c>
      <c r="J90" s="32" t="n">
        <v>0.58</v>
      </c>
      <c r="K90" s="32" t="n">
        <v>92876</v>
      </c>
      <c r="L90" s="31" t="n">
        <v>35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71.45999999999999</v>
      </c>
      <c r="P90" s="32" t="n">
        <v>31.91</v>
      </c>
      <c r="Q90" s="32" t="inlineStr"/>
      <c r="R90" s="31" t="inlineStr">
        <is>
          <t>Earnings / Momentum Support</t>
        </is>
      </c>
      <c r="S90" s="31" t="inlineStr">
        <is>
          <t>Nifty Pharma</t>
        </is>
      </c>
      <c r="T90" s="32" t="n">
        <v>10.89</v>
      </c>
      <c r="U90" s="32" t="n">
        <v>4.18</v>
      </c>
      <c r="V90" s="32" t="n">
        <v>-6.05</v>
      </c>
      <c r="W90" s="32" t="n">
        <v>8.41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IF(B91=0,"",RANK(B91,$B$2:$B$339,0))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VSTIND</t>
        </is>
      </c>
      <c r="D91" s="31" t="inlineStr">
        <is>
          <t>Vst Industries Limited</t>
        </is>
      </c>
      <c r="E91" s="31" t="inlineStr">
        <is>
          <t>fmcg</t>
        </is>
      </c>
      <c r="F91" s="31" t="inlineStr">
        <is>
          <t>cigarettes</t>
        </is>
      </c>
      <c r="G91" s="31" t="inlineStr">
        <is>
          <t>smallcap</t>
        </is>
      </c>
      <c r="H91" s="32" t="n">
        <v>4412.14</v>
      </c>
      <c r="I91" s="32" t="n">
        <v>259.85</v>
      </c>
      <c r="J91" s="32" t="n">
        <v>0.04</v>
      </c>
      <c r="K91" s="32" t="n">
        <v>516214</v>
      </c>
      <c r="L91" s="31" t="n">
        <v>12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56.77</v>
      </c>
      <c r="P91" s="32" t="n">
        <v>27.73</v>
      </c>
      <c r="Q91" s="32" t="inlineStr"/>
      <c r="R91" s="31" t="inlineStr">
        <is>
          <t>Earnings / Momentum Support</t>
        </is>
      </c>
      <c r="S91" s="31" t="inlineStr">
        <is>
          <t>Nifty FMCG</t>
        </is>
      </c>
      <c r="T91" s="32" t="n">
        <v>-10.45</v>
      </c>
      <c r="U91" s="32" t="n">
        <v>-6.06</v>
      </c>
      <c r="V91" s="32" t="n">
        <v>4.91</v>
      </c>
      <c r="W91" s="32" t="n">
        <v>3.55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IF(B92=0,"",RANK(B92,$B$2:$B$339,0))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DBOL</t>
        </is>
      </c>
      <c r="D92" s="31" t="inlineStr">
        <is>
          <t>Dhampur Bio Organics Ltd</t>
        </is>
      </c>
      <c r="E92" s="31" t="inlineStr">
        <is>
          <t>fmcg</t>
        </is>
      </c>
      <c r="F92" s="31" t="inlineStr">
        <is>
          <t>sugar</t>
        </is>
      </c>
      <c r="G92" s="31" t="inlineStr">
        <is>
          <t>smallcap</t>
        </is>
      </c>
      <c r="H92" s="32" t="n">
        <v>764.79</v>
      </c>
      <c r="I92" s="32" t="n">
        <v>114.87</v>
      </c>
      <c r="J92" s="32" t="n">
        <v>-0.29</v>
      </c>
      <c r="K92" s="32" t="n">
        <v>39093</v>
      </c>
      <c r="L92" s="31" t="n">
        <v>47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59.78</v>
      </c>
      <c r="P92" s="32" t="n">
        <v>48.45</v>
      </c>
      <c r="Q92" s="32" t="inlineStr"/>
      <c r="R92" s="31" t="inlineStr">
        <is>
          <t>Earnings / Momentum Support</t>
        </is>
      </c>
      <c r="S92" s="31" t="inlineStr">
        <is>
          <t>Nifty FMCG</t>
        </is>
      </c>
      <c r="T92" s="32" t="n">
        <v>-10.45</v>
      </c>
      <c r="U92" s="32" t="n">
        <v>42.63</v>
      </c>
      <c r="V92" s="32" t="n">
        <v>59.27</v>
      </c>
      <c r="W92" s="32" t="n">
        <v>11.09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B2C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IF(B93=0,"",RANK(B93,$B$2:$B$339,0))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PGHL</t>
        </is>
      </c>
      <c r="D93" s="31" t="inlineStr">
        <is>
          <t>Procter &amp; Gamble Health Ltd</t>
        </is>
      </c>
      <c r="E93" s="31" t="inlineStr">
        <is>
          <t>healthcare</t>
        </is>
      </c>
      <c r="F93" s="31" t="inlineStr">
        <is>
          <t>pharmaceuticals - multinational</t>
        </is>
      </c>
      <c r="G93" s="31" t="inlineStr">
        <is>
          <t>midcap</t>
        </is>
      </c>
      <c r="H93" s="32" t="n">
        <v>10436.03</v>
      </c>
      <c r="I93" s="32" t="n">
        <v>6226.5</v>
      </c>
      <c r="J93" s="32" t="n">
        <v>-0.96</v>
      </c>
      <c r="K93" s="32" t="n">
        <v>9689</v>
      </c>
      <c r="L93" s="31" t="n">
        <v>38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75.34999999999999</v>
      </c>
      <c r="P93" s="32" t="n">
        <v>39.95</v>
      </c>
      <c r="Q93" s="32" t="inlineStr"/>
      <c r="R93" s="31" t="inlineStr">
        <is>
          <t>Earnings / Momentum Support</t>
        </is>
      </c>
      <c r="S93" s="31" t="inlineStr">
        <is>
          <t>Nifty Pharma</t>
        </is>
      </c>
      <c r="T93" s="32" t="n">
        <v>10.89</v>
      </c>
      <c r="U93" s="32" t="n">
        <v>11.86</v>
      </c>
      <c r="V93" s="32" t="n">
        <v>0.87</v>
      </c>
      <c r="W93" s="32" t="n">
        <v>9.199999999999999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IF(B94=0,"",RANK(B94,$B$2:$B$339,0))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DIAMONDYD</t>
        </is>
      </c>
      <c r="D94" s="31" t="inlineStr">
        <is>
          <t>Prataap Snacks Ltd</t>
        </is>
      </c>
      <c r="E94" s="31" t="inlineStr">
        <is>
          <t>fmcg</t>
        </is>
      </c>
      <c r="F94" s="31" t="inlineStr">
        <is>
          <t>food - processing - indian</t>
        </is>
      </c>
      <c r="G94" s="31" t="inlineStr">
        <is>
          <t>smallcap</t>
        </is>
      </c>
      <c r="H94" s="32" t="n">
        <v>2699.67</v>
      </c>
      <c r="I94" s="32" t="n">
        <v>1116</v>
      </c>
      <c r="J94" s="32" t="n">
        <v>-1.19</v>
      </c>
      <c r="K94" s="32" t="n">
        <v>17233</v>
      </c>
      <c r="L94" s="31" t="n">
        <v>19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59.57</v>
      </c>
      <c r="P94" s="32" t="n">
        <v>20.25</v>
      </c>
      <c r="Q94" s="32" t="inlineStr"/>
      <c r="R94" s="31" t="inlineStr">
        <is>
          <t>Earnings / Momentum Support</t>
        </is>
      </c>
      <c r="S94" s="31" t="inlineStr">
        <is>
          <t>Nifty FMCG</t>
        </is>
      </c>
      <c r="T94" s="32" t="n">
        <v>-10.45</v>
      </c>
      <c r="U94" s="32" t="n">
        <v>3.64</v>
      </c>
      <c r="V94" s="32" t="n">
        <v>15.74</v>
      </c>
      <c r="W94" s="32" t="n">
        <v>5.19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B2C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Between 50% to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IF(B95=0,"",RANK(B95,$B$2:$B$339,0))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MANORAMA</t>
        </is>
      </c>
      <c r="D95" s="31" t="inlineStr">
        <is>
          <t>Manorama Industries Ltd</t>
        </is>
      </c>
      <c r="E95" s="31" t="inlineStr">
        <is>
          <t>fmcg</t>
        </is>
      </c>
      <c r="F95" s="31" t="inlineStr">
        <is>
          <t>food - processing - indian</t>
        </is>
      </c>
      <c r="G95" s="31" t="inlineStr">
        <is>
          <t>midcap</t>
        </is>
      </c>
      <c r="H95" s="32" t="n">
        <v>9340.799999999999</v>
      </c>
      <c r="I95" s="32" t="n">
        <v>1531.7</v>
      </c>
      <c r="J95" s="32" t="n">
        <v>-2.09</v>
      </c>
      <c r="K95" s="32" t="n">
        <v>149436</v>
      </c>
      <c r="L95" s="31" t="n">
        <v>29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59.5</v>
      </c>
      <c r="P95" s="32" t="n">
        <v>13.91</v>
      </c>
      <c r="Q95" s="32" t="inlineStr"/>
      <c r="R95" s="31" t="inlineStr">
        <is>
          <t>Earnings / Momentum Support</t>
        </is>
      </c>
      <c r="S95" s="31" t="inlineStr">
        <is>
          <t>Nifty FMCG</t>
        </is>
      </c>
      <c r="T95" s="32" t="n">
        <v>-10.45</v>
      </c>
      <c r="U95" s="32" t="n">
        <v>10.22</v>
      </c>
      <c r="V95" s="32" t="n">
        <v>23.08</v>
      </c>
      <c r="W95" s="32" t="n">
        <v>6.97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0 to 20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IF(B96=0,"",RANK(B96,$B$2:$B$339,0))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SUPRIYA</t>
        </is>
      </c>
      <c r="D96" s="31" t="inlineStr">
        <is>
          <t>Supriya Lifescience Ltd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midcap</t>
        </is>
      </c>
      <c r="H96" s="32" t="n">
        <v>7864.38</v>
      </c>
      <c r="I96" s="32" t="n">
        <v>955.2</v>
      </c>
      <c r="J96" s="32" t="n">
        <v>-2.25</v>
      </c>
      <c r="K96" s="32" t="n">
        <v>502664</v>
      </c>
      <c r="L96" s="31" t="n">
        <v>81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77.09</v>
      </c>
      <c r="P96" s="32" t="n">
        <v>35.47</v>
      </c>
      <c r="Q96" s="32" t="inlineStr"/>
      <c r="R96" s="31" t="inlineStr">
        <is>
          <t>Earnings / Momentum Support</t>
        </is>
      </c>
      <c r="S96" s="31" t="inlineStr">
        <is>
          <t>Nifty Pharma</t>
        </is>
      </c>
      <c r="T96" s="32" t="n">
        <v>10.89</v>
      </c>
      <c r="U96" s="32" t="n">
        <v>41.92</v>
      </c>
      <c r="V96" s="32" t="n">
        <v>27.98</v>
      </c>
      <c r="W96" s="32" t="n">
        <v>25.05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IF(B97=0,"",RANK(B97,$B$2:$B$339,0))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ASTERDM</t>
        </is>
      </c>
      <c r="D97" s="31" t="inlineStr">
        <is>
          <t>Aster DM Healthcare Ltd</t>
        </is>
      </c>
      <c r="E97" s="31" t="inlineStr">
        <is>
          <t>healthcare</t>
        </is>
      </c>
      <c r="F97" s="31" t="inlineStr">
        <is>
          <t>healthcare</t>
        </is>
      </c>
      <c r="G97" s="31" t="inlineStr">
        <is>
          <t>largecap</t>
        </is>
      </c>
      <c r="H97" s="32" t="n">
        <v>42224.27</v>
      </c>
      <c r="I97" s="32" t="n">
        <v>786.7</v>
      </c>
      <c r="J97" s="32" t="n">
        <v>-3.47</v>
      </c>
      <c r="K97" s="32" t="n">
        <v>689891</v>
      </c>
      <c r="L97" s="31" t="n">
        <v>52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71.95</v>
      </c>
      <c r="P97" s="32" t="n">
        <v>38.96</v>
      </c>
      <c r="Q97" s="32" t="inlineStr"/>
      <c r="R97" s="31" t="inlineStr">
        <is>
          <t>Earnings / Momentum Support</t>
        </is>
      </c>
      <c r="S97" s="31" t="inlineStr">
        <is>
          <t>Nifty Pharma</t>
        </is>
      </c>
      <c r="T97" s="32" t="n">
        <v>10.89</v>
      </c>
      <c r="U97" s="32" t="n">
        <v>43.92</v>
      </c>
      <c r="V97" s="32" t="n">
        <v>29.78</v>
      </c>
      <c r="W97" s="32" t="n">
        <v>12.45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IF(B98=0,"",RANK(B98,$B$2:$B$339,0))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RAIN</t>
        </is>
      </c>
      <c r="D98" s="31" t="inlineStr">
        <is>
          <t>Rain Industries Limited</t>
        </is>
      </c>
      <c r="E98" s="31" t="inlineStr">
        <is>
          <t>miscellaneous</t>
        </is>
      </c>
      <c r="F98" s="31" t="inlineStr">
        <is>
          <t>miscellaneous</t>
        </is>
      </c>
      <c r="G98" s="31" t="inlineStr">
        <is>
          <t>midcap</t>
        </is>
      </c>
      <c r="H98" s="32" t="n">
        <v>6621.64</v>
      </c>
      <c r="I98" s="32" t="n">
        <v>207.78</v>
      </c>
      <c r="J98" s="32" t="n">
        <v>5.54</v>
      </c>
      <c r="K98" s="32" t="n">
        <v>11862053</v>
      </c>
      <c r="L98" s="31" t="n">
        <v>82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72.34</v>
      </c>
      <c r="P98" s="32" t="n">
        <v>25.31</v>
      </c>
      <c r="Q98" s="32" t="inlineStr"/>
      <c r="R98" s="31" t="inlineStr">
        <is>
          <t>Earnings / Momentum Support</t>
        </is>
      </c>
      <c r="S98" s="31" t="inlineStr">
        <is>
          <t>Nifty 50</t>
        </is>
      </c>
      <c r="T98" s="32" t="n">
        <v>-4.43</v>
      </c>
      <c r="U98" s="32" t="n">
        <v>32.95</v>
      </c>
      <c r="V98" s="32" t="n">
        <v>39.11</v>
      </c>
      <c r="W98" s="32" t="n">
        <v>25.34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More than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IF(B99=0,"",RANK(B99,$B$2:$B$339,0))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GRINDWELL</t>
        </is>
      </c>
      <c r="D99" s="31" t="inlineStr">
        <is>
          <t>Grindwell Norton Limited</t>
        </is>
      </c>
      <c r="E99" s="31" t="inlineStr">
        <is>
          <t>industrials</t>
        </is>
      </c>
      <c r="F99" s="31" t="inlineStr">
        <is>
          <t>abrasives and grinding wheels</t>
        </is>
      </c>
      <c r="G99" s="31" t="inlineStr">
        <is>
          <t>largecap</t>
        </is>
      </c>
      <c r="H99" s="32" t="n">
        <v>21269.31</v>
      </c>
      <c r="I99" s="32" t="n">
        <v>2023.1</v>
      </c>
      <c r="J99" s="32" t="n">
        <v>5.31</v>
      </c>
      <c r="K99" s="32" t="n">
        <v>84893</v>
      </c>
      <c r="L99" s="31" t="n">
        <v>40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63.97</v>
      </c>
      <c r="P99" s="32" t="n">
        <v>29.8</v>
      </c>
      <c r="Q99" s="32" t="inlineStr"/>
      <c r="R99" s="31" t="inlineStr">
        <is>
          <t>Earnings / Momentum Support</t>
        </is>
      </c>
      <c r="S99" s="31" t="inlineStr">
        <is>
          <t>Nifty 50</t>
        </is>
      </c>
      <c r="T99" s="32" t="n">
        <v>-4.43</v>
      </c>
      <c r="U99" s="32" t="n">
        <v>8.93</v>
      </c>
      <c r="V99" s="32" t="n">
        <v>13.98</v>
      </c>
      <c r="W99" s="32" t="n">
        <v>9.58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Between 1.5 to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IF(B100=0,"",RANK(B100,$B$2:$B$339,0))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STLTECH</t>
        </is>
      </c>
      <c r="D100" s="31" t="inlineStr">
        <is>
          <t>Sterlite Technologies Limited</t>
        </is>
      </c>
      <c r="E100" s="31" t="inlineStr">
        <is>
          <t>industrials</t>
        </is>
      </c>
      <c r="F100" s="31" t="inlineStr">
        <is>
          <t>cables - telephone</t>
        </is>
      </c>
      <c r="G100" s="31" t="inlineStr">
        <is>
          <t>largecap</t>
        </is>
      </c>
      <c r="H100" s="32" t="n">
        <v>28489.86</v>
      </c>
      <c r="I100" s="32" t="n">
        <v>608.8</v>
      </c>
      <c r="J100" s="32" t="n">
        <v>4.31</v>
      </c>
      <c r="K100" s="32" t="n">
        <v>3215618</v>
      </c>
      <c r="L100" s="31" t="n">
        <v>99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87.84</v>
      </c>
      <c r="P100" s="32" t="n">
        <v>81.7</v>
      </c>
      <c r="Q100" s="32" t="inlineStr"/>
      <c r="R100" s="31" t="inlineStr">
        <is>
          <t>Earnings / Momentum Support</t>
        </is>
      </c>
      <c r="S100" s="31" t="inlineStr">
        <is>
          <t>Nifty Infra</t>
        </is>
      </c>
      <c r="T100" s="32" t="n">
        <v>2.95</v>
      </c>
      <c r="U100" s="32" t="n">
        <v>600.41</v>
      </c>
      <c r="V100" s="32" t="n">
        <v>580.33</v>
      </c>
      <c r="W100" s="32" t="n">
        <v>107.58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IF(B101=0,"",RANK(B101,$B$2:$B$339,0))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HARSHA</t>
        </is>
      </c>
      <c r="D101" s="31" t="inlineStr">
        <is>
          <t>Harsha Engineers International Ltd</t>
        </is>
      </c>
      <c r="E101" s="31" t="inlineStr">
        <is>
          <t>industrials</t>
        </is>
      </c>
      <c r="F101" s="31" t="inlineStr">
        <is>
          <t>engineering</t>
        </is>
      </c>
      <c r="G101" s="31" t="inlineStr">
        <is>
          <t>smallcap</t>
        </is>
      </c>
      <c r="H101" s="32" t="n">
        <v>3664.53</v>
      </c>
      <c r="I101" s="32" t="n">
        <v>419.8</v>
      </c>
      <c r="J101" s="32" t="n">
        <v>4.3</v>
      </c>
      <c r="K101" s="32" t="n">
        <v>274824</v>
      </c>
      <c r="L101" s="31" t="n">
        <v>15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54.78</v>
      </c>
      <c r="P101" s="32" t="n">
        <v>31.13</v>
      </c>
      <c r="Q101" s="32" t="inlineStr"/>
      <c r="R101" s="31" t="inlineStr">
        <is>
          <t>Earnings / Momentum Support</t>
        </is>
      </c>
      <c r="S101" s="31" t="inlineStr">
        <is>
          <t>Nifty 50</t>
        </is>
      </c>
      <c r="T101" s="32" t="n">
        <v>-4.43</v>
      </c>
      <c r="U101" s="32" t="n">
        <v>3.66</v>
      </c>
      <c r="V101" s="32" t="n">
        <v>8.470000000000001</v>
      </c>
      <c r="W101" s="32" t="n">
        <v>4.01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IF(B102=0,"",RANK(B102,$B$2:$B$339,0))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MMTC</t>
        </is>
      </c>
      <c r="D102" s="31" t="inlineStr">
        <is>
          <t>Mmtc Limited</t>
        </is>
      </c>
      <c r="E102" s="31" t="inlineStr">
        <is>
          <t>services</t>
        </is>
      </c>
      <c r="F102" s="31" t="inlineStr">
        <is>
          <t>trading</t>
        </is>
      </c>
      <c r="G102" s="31" t="inlineStr">
        <is>
          <t>midcap</t>
        </is>
      </c>
      <c r="H102" s="32" t="n">
        <v>10209</v>
      </c>
      <c r="I102" s="32" t="n">
        <v>70.19</v>
      </c>
      <c r="J102" s="32" t="n">
        <v>3.13</v>
      </c>
      <c r="K102" s="32" t="n">
        <v>27495624</v>
      </c>
      <c r="L102" s="31" t="n">
        <v>23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56.06</v>
      </c>
      <c r="P102" s="32" t="n">
        <v>14.81</v>
      </c>
      <c r="Q102" s="32" t="inlineStr"/>
      <c r="R102" s="31" t="inlineStr">
        <is>
          <t>Earnings / Momentum Support</t>
        </is>
      </c>
      <c r="S102" s="31" t="inlineStr">
        <is>
          <t>Nifty 50</t>
        </is>
      </c>
      <c r="T102" s="32" t="n">
        <v>-4.43</v>
      </c>
      <c r="U102" s="32" t="n">
        <v>-2.21</v>
      </c>
      <c r="V102" s="32" t="n">
        <v>2.32</v>
      </c>
      <c r="W102" s="32" t="n">
        <v>6.05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0 to 20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IF(B103=0,"",RANK(B103,$B$2:$B$339,0))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GRWRHITECH</t>
        </is>
      </c>
      <c r="D103" s="31" t="inlineStr">
        <is>
          <t>Garware Hi Tech Films Ltd</t>
        </is>
      </c>
      <c r="E103" s="31" t="inlineStr">
        <is>
          <t>industrials</t>
        </is>
      </c>
      <c r="F103" s="31" t="inlineStr">
        <is>
          <t>packaging</t>
        </is>
      </c>
      <c r="G103" s="31" t="inlineStr">
        <is>
          <t>midcap</t>
        </is>
      </c>
      <c r="H103" s="32" t="n">
        <v>14244.94</v>
      </c>
      <c r="I103" s="32" t="n">
        <v>6320.5</v>
      </c>
      <c r="J103" s="32" t="n">
        <v>3.08</v>
      </c>
      <c r="K103" s="32" t="n">
        <v>65564</v>
      </c>
      <c r="L103" s="31" t="n">
        <v>76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73.93000000000001</v>
      </c>
      <c r="P103" s="32" t="n">
        <v>30.52</v>
      </c>
      <c r="Q103" s="32" t="inlineStr"/>
      <c r="R103" s="31" t="inlineStr">
        <is>
          <t>Earnings / Momentum Support</t>
        </is>
      </c>
      <c r="S103" s="31" t="inlineStr">
        <is>
          <t>Nifty 50</t>
        </is>
      </c>
      <c r="T103" s="32" t="n">
        <v>-4.43</v>
      </c>
      <c r="U103" s="32" t="n">
        <v>43.86</v>
      </c>
      <c r="V103" s="32" t="n">
        <v>50.53</v>
      </c>
      <c r="W103" s="32" t="n">
        <v>22.68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IF(B104=0,"",RANK(B104,$B$2:$B$339,0))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JAMNAAUTO</t>
        </is>
      </c>
      <c r="D104" s="31" t="inlineStr">
        <is>
          <t>Jamna Auto Industries Limited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smallcap</t>
        </is>
      </c>
      <c r="H104" s="32" t="n">
        <v>4868.48</v>
      </c>
      <c r="I104" s="32" t="n">
        <v>124.96</v>
      </c>
      <c r="J104" s="32" t="n">
        <v>2.59</v>
      </c>
      <c r="K104" s="32" t="n">
        <v>2666042</v>
      </c>
      <c r="L104" s="31" t="n">
        <v>33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50.56</v>
      </c>
      <c r="P104" s="32" t="n">
        <v>13.16</v>
      </c>
      <c r="Q104" s="32" t="inlineStr"/>
      <c r="R104" s="31" t="inlineStr">
        <is>
          <t>Earnings / Momentum Support</t>
        </is>
      </c>
      <c r="S104" s="31" t="inlineStr">
        <is>
          <t>Nifty Auto</t>
        </is>
      </c>
      <c r="T104" s="32" t="n">
        <v>12.72</v>
      </c>
      <c r="U104" s="32" t="n">
        <v>39.45</v>
      </c>
      <c r="V104" s="32" t="n">
        <v>23.71</v>
      </c>
      <c r="W104" s="32" t="n">
        <v>8.1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0 to 20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IF(B105=0,"",RANK(B105,$B$2:$B$339,0))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CUMMINSIND</t>
        </is>
      </c>
      <c r="D105" s="31" t="inlineStr">
        <is>
          <t>Cummins India Limited</t>
        </is>
      </c>
      <c r="E105" s="31" t="inlineStr">
        <is>
          <t>industrials</t>
        </is>
      </c>
      <c r="F105" s="31" t="inlineStr">
        <is>
          <t>engines</t>
        </is>
      </c>
      <c r="G105" s="31" t="inlineStr">
        <is>
          <t>largecap</t>
        </is>
      </c>
      <c r="H105" s="32" t="n">
        <v>155827.98</v>
      </c>
      <c r="I105" s="32" t="n">
        <v>5754</v>
      </c>
      <c r="J105" s="32" t="n">
        <v>2.36</v>
      </c>
      <c r="K105" s="32" t="n">
        <v>409781</v>
      </c>
      <c r="L105" s="31" t="n">
        <v>62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69.47</v>
      </c>
      <c r="P105" s="32" t="n">
        <v>42.54</v>
      </c>
      <c r="Q105" s="32" t="inlineStr"/>
      <c r="R105" s="31" t="inlineStr">
        <is>
          <t>Earnings / Momentum Support</t>
        </is>
      </c>
      <c r="S105" s="31" t="inlineStr">
        <is>
          <t>Nifty 500</t>
        </is>
      </c>
      <c r="T105" s="32" t="n">
        <v>-1.34</v>
      </c>
      <c r="U105" s="32" t="n">
        <v>72.22</v>
      </c>
      <c r="V105" s="32" t="n">
        <v>74.55</v>
      </c>
      <c r="W105" s="32" t="n">
        <v>16.08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Between 50% to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IF(B106=0,"",RANK(B106,$B$2:$B$339,0))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JSWDULUX</t>
        </is>
      </c>
      <c r="D106" s="31" t="inlineStr">
        <is>
          <t>JSW Dulux Ltd</t>
        </is>
      </c>
      <c r="E106" s="31" t="inlineStr">
        <is>
          <t>building materials</t>
        </is>
      </c>
      <c r="F106" s="31" t="inlineStr">
        <is>
          <t>paints / varnishes</t>
        </is>
      </c>
      <c r="G106" s="31" t="inlineStr">
        <is>
          <t>midcap</t>
        </is>
      </c>
      <c r="H106" s="32" t="n">
        <v>14428.99</v>
      </c>
      <c r="I106" s="32" t="n">
        <v>3242.6</v>
      </c>
      <c r="J106" s="32" t="n">
        <v>2.34</v>
      </c>
      <c r="K106" s="32" t="n">
        <v>18835</v>
      </c>
      <c r="L106" s="31" t="n">
        <v>11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56.16</v>
      </c>
      <c r="P106" s="32" t="n">
        <v>17.61</v>
      </c>
      <c r="Q106" s="32" t="inlineStr"/>
      <c r="R106" s="31" t="inlineStr">
        <is>
          <t>Earnings / Momentum Support</t>
        </is>
      </c>
      <c r="S106" s="31" t="inlineStr">
        <is>
          <t>Nifty Infra</t>
        </is>
      </c>
      <c r="T106" s="32" t="n">
        <v>2.95</v>
      </c>
      <c r="U106" s="32" t="n">
        <v>3.01</v>
      </c>
      <c r="V106" s="32" t="n">
        <v>0.06</v>
      </c>
      <c r="W106" s="32" t="n">
        <v>3.42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0 to 20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IF(B107=0,"",RANK(B107,$B$2:$B$339,0))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SIS</t>
        </is>
      </c>
      <c r="D107" s="31" t="inlineStr">
        <is>
          <t>Security &amp; Intelligence Services India</t>
        </is>
      </c>
      <c r="E107" s="31" t="inlineStr">
        <is>
          <t>miscellaneous</t>
        </is>
      </c>
      <c r="F107" s="31" t="inlineStr">
        <is>
          <t>miscellaneous</t>
        </is>
      </c>
      <c r="G107" s="31" t="inlineStr">
        <is>
          <t>midcap</t>
        </is>
      </c>
      <c r="H107" s="32" t="n">
        <v>5949.68</v>
      </c>
      <c r="I107" s="32" t="n">
        <v>427.75</v>
      </c>
      <c r="J107" s="32" t="n">
        <v>1.57</v>
      </c>
      <c r="K107" s="32" t="n">
        <v>100650</v>
      </c>
      <c r="L107" s="31" t="n">
        <v>59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76.06</v>
      </c>
      <c r="P107" s="32" t="n">
        <v>41.22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-4.43</v>
      </c>
      <c r="U107" s="32" t="n">
        <v>16.08</v>
      </c>
      <c r="V107" s="32" t="n">
        <v>21.46</v>
      </c>
      <c r="W107" s="32" t="n">
        <v>15.32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IF(B108=0,"",RANK(B108,$B$2:$B$339,0))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ICIL</t>
        </is>
      </c>
      <c r="D108" s="31" t="inlineStr">
        <is>
          <t>Indo Count Industries Limited</t>
        </is>
      </c>
      <c r="E108" s="31" t="inlineStr">
        <is>
          <t>textiles</t>
        </is>
      </c>
      <c r="F108" s="31" t="inlineStr">
        <is>
          <t>textiles - cotton/blended</t>
        </is>
      </c>
      <c r="G108" s="31" t="inlineStr">
        <is>
          <t>midcap</t>
        </is>
      </c>
      <c r="H108" s="32" t="n">
        <v>6821.98</v>
      </c>
      <c r="I108" s="32" t="n">
        <v>349.6</v>
      </c>
      <c r="J108" s="32" t="n">
        <v>1.5</v>
      </c>
      <c r="K108" s="32" t="n">
        <v>522016</v>
      </c>
      <c r="L108" s="31" t="n">
        <v>63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64.51000000000001</v>
      </c>
      <c r="P108" s="32" t="n">
        <v>27.72</v>
      </c>
      <c r="Q108" s="32" t="inlineStr"/>
      <c r="R108" s="31" t="inlineStr">
        <is>
          <t>Earnings / Momentum Support</t>
        </is>
      </c>
      <c r="S108" s="31" t="inlineStr">
        <is>
          <t>Nifty 50</t>
        </is>
      </c>
      <c r="T108" s="32" t="n">
        <v>-4.43</v>
      </c>
      <c r="U108" s="32" t="n">
        <v>27.08</v>
      </c>
      <c r="V108" s="32" t="n">
        <v>32.97</v>
      </c>
      <c r="W108" s="32" t="n">
        <v>16.25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IF(B109=0,"",RANK(B109,$B$2:$B$339,0))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SWANDEF</t>
        </is>
      </c>
      <c r="D109" s="31" t="inlineStr">
        <is>
          <t>Swan Defence and Heavy Industries Ltd</t>
        </is>
      </c>
      <c r="E109" s="31" t="inlineStr">
        <is>
          <t>transportation</t>
        </is>
      </c>
      <c r="F109" s="31" t="inlineStr">
        <is>
          <t>miscellaneous</t>
        </is>
      </c>
      <c r="G109" s="31" t="inlineStr">
        <is>
          <t>midcap</t>
        </is>
      </c>
      <c r="H109" s="32" t="n">
        <v>10420</v>
      </c>
      <c r="I109" s="32" t="n">
        <v>1998.2</v>
      </c>
      <c r="J109" s="32" t="n">
        <v>1.03</v>
      </c>
      <c r="K109" s="32" t="n">
        <v>120838</v>
      </c>
      <c r="L109" s="31" t="n">
        <v>98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60.65</v>
      </c>
      <c r="P109" s="32" t="n">
        <v>42.16</v>
      </c>
      <c r="Q109" s="32" t="inlineStr"/>
      <c r="R109" s="31" t="inlineStr">
        <is>
          <t>Earnings / Momentum Support</t>
        </is>
      </c>
      <c r="S109" s="31" t="inlineStr">
        <is>
          <t>Nifty 50</t>
        </is>
      </c>
      <c r="T109" s="32" t="n">
        <v>-4.43</v>
      </c>
      <c r="U109" s="32" t="n">
        <v>1004.29</v>
      </c>
      <c r="V109" s="32" t="n">
        <v>1055.51</v>
      </c>
      <c r="W109" s="32" t="n">
        <v>77.25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Negative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More than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IF(B110=0,"",RANK(B110,$B$2:$B$339,0))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SKIPPER</t>
        </is>
      </c>
      <c r="D110" s="31" t="inlineStr">
        <is>
          <t>Skipper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midcap</t>
        </is>
      </c>
      <c r="H110" s="32" t="n">
        <v>6149.32</v>
      </c>
      <c r="I110" s="32" t="n">
        <v>549.7</v>
      </c>
      <c r="J110" s="32" t="n">
        <v>0.93</v>
      </c>
      <c r="K110" s="32" t="n">
        <v>670738</v>
      </c>
      <c r="L110" s="31" t="n">
        <v>61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67.92</v>
      </c>
      <c r="P110" s="32" t="n">
        <v>32.99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-4.43</v>
      </c>
      <c r="U110" s="32" t="n">
        <v>6.68</v>
      </c>
      <c r="V110" s="32" t="n">
        <v>11.63</v>
      </c>
      <c r="W110" s="32" t="n">
        <v>16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Less than 50%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IF(B111=0,"",RANK(B111,$B$2:$B$339,0))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SFL</t>
        </is>
      </c>
      <c r="D111" s="31" t="inlineStr">
        <is>
          <t>Sheela Foam Limited</t>
        </is>
      </c>
      <c r="E111" s="31" t="inlineStr">
        <is>
          <t>consumer discretionary</t>
        </is>
      </c>
      <c r="F111" s="31" t="inlineStr">
        <is>
          <t>miscellaneous</t>
        </is>
      </c>
      <c r="G111" s="31" t="inlineStr">
        <is>
          <t>midcap</t>
        </is>
      </c>
      <c r="H111" s="32" t="n">
        <v>7648.35</v>
      </c>
      <c r="I111" s="32" t="n">
        <v>709.6</v>
      </c>
      <c r="J111" s="32" t="n">
        <v>0.86</v>
      </c>
      <c r="K111" s="32" t="n">
        <v>206946</v>
      </c>
      <c r="L111" s="31" t="n">
        <v>43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66.02</v>
      </c>
      <c r="P111" s="32" t="n">
        <v>20.91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-4.43</v>
      </c>
      <c r="U111" s="32" t="n">
        <v>5.45</v>
      </c>
      <c r="V111" s="32" t="n">
        <v>10.34</v>
      </c>
      <c r="W111" s="32" t="n">
        <v>10.23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IF(B112=0,"",RANK(B112,$B$2:$B$339,0))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BERGEPAINT</t>
        </is>
      </c>
      <c r="D112" s="33" t="inlineStr">
        <is>
          <t>Berger Paints (i) Limited</t>
        </is>
      </c>
      <c r="E112" s="31" t="inlineStr">
        <is>
          <t>building materials</t>
        </is>
      </c>
      <c r="F112" s="31" t="inlineStr">
        <is>
          <t>paints / varnishes</t>
        </is>
      </c>
      <c r="G112" s="31" t="inlineStr">
        <is>
          <t>largecap</t>
        </is>
      </c>
      <c r="H112" s="32" t="n">
        <v>60066.63</v>
      </c>
      <c r="I112" s="32" t="n">
        <v>519.4</v>
      </c>
      <c r="J112" s="32" t="n">
        <v>0.83</v>
      </c>
      <c r="K112" s="32" t="n">
        <v>480247</v>
      </c>
      <c r="L112" s="31" t="n">
        <v>17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56.1</v>
      </c>
      <c r="P112" s="32" t="n">
        <v>25.53</v>
      </c>
      <c r="Q112" s="32" t="inlineStr"/>
      <c r="R112" s="31" t="inlineStr">
        <is>
          <t>Earnings / Momentum Support</t>
        </is>
      </c>
      <c r="S112" s="31" t="inlineStr">
        <is>
          <t>Nifty Infra</t>
        </is>
      </c>
      <c r="T112" s="32" t="n">
        <v>2.95</v>
      </c>
      <c r="U112" s="32" t="n">
        <v>-9.039999999999999</v>
      </c>
      <c r="V112" s="32" t="n">
        <v>-11.65</v>
      </c>
      <c r="W112" s="32" t="n">
        <v>4.72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Between 1.5 to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IF(B113=0,"",RANK(B113,$B$2:$B$339,0))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PTL</t>
        </is>
      </c>
      <c r="D113" s="31" t="inlineStr">
        <is>
          <t>Ptl Enterprises Limited</t>
        </is>
      </c>
      <c r="E113" s="31" t="inlineStr">
        <is>
          <t>miscellaneous</t>
        </is>
      </c>
      <c r="F113" s="31" t="inlineStr">
        <is>
          <t>miscellaneous</t>
        </is>
      </c>
      <c r="G113" s="31" t="inlineStr">
        <is>
          <t>smallcap</t>
        </is>
      </c>
      <c r="H113" s="32" t="n">
        <v>539.4400000000001</v>
      </c>
      <c r="I113" s="32" t="n">
        <v>41.08</v>
      </c>
      <c r="J113" s="32" t="n">
        <v>0.8100000000000001</v>
      </c>
      <c r="K113" s="32" t="n">
        <v>108840</v>
      </c>
      <c r="L113" s="31" t="n">
        <v>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59.3</v>
      </c>
      <c r="P113" s="32" t="n">
        <v>10.33</v>
      </c>
      <c r="Q113" s="32" t="inlineStr"/>
      <c r="R113" s="31" t="inlineStr">
        <is>
          <t>Earnings / Momentum Support</t>
        </is>
      </c>
      <c r="S113" s="31" t="inlineStr">
        <is>
          <t>Nifty 50</t>
        </is>
      </c>
      <c r="T113" s="32" t="n">
        <v>-4.43</v>
      </c>
      <c r="U113" s="32" t="n">
        <v>4.73</v>
      </c>
      <c r="V113" s="32" t="n">
        <v>9.58</v>
      </c>
      <c r="W113" s="32" t="n">
        <v>2.91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IF(B114=0,"",RANK(B114,$B$2:$B$339,0))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STOVEKRAFT</t>
        </is>
      </c>
      <c r="D114" s="31" t="inlineStr">
        <is>
          <t>Stove Kraft Ltd</t>
        </is>
      </c>
      <c r="E114" s="31" t="inlineStr">
        <is>
          <t>consumer discretionary</t>
        </is>
      </c>
      <c r="F114" s="31" t="inlineStr">
        <is>
          <t>domestic appliances</t>
        </is>
      </c>
      <c r="G114" s="31" t="inlineStr">
        <is>
          <t>smallcap</t>
        </is>
      </c>
      <c r="H114" s="32" t="n">
        <v>2171.67</v>
      </c>
      <c r="I114" s="32" t="n">
        <v>659.55</v>
      </c>
      <c r="J114" s="32" t="n">
        <v>0.55</v>
      </c>
      <c r="K114" s="32" t="n">
        <v>118319</v>
      </c>
      <c r="L114" s="31" t="n">
        <v>39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65.29000000000001</v>
      </c>
      <c r="P114" s="32" t="n">
        <v>24.92</v>
      </c>
      <c r="Q114" s="32" t="inlineStr"/>
      <c r="R114" s="31" t="inlineStr">
        <is>
          <t>Earnings / Momentum Support</t>
        </is>
      </c>
      <c r="S114" s="31" t="inlineStr">
        <is>
          <t>Nifty 50</t>
        </is>
      </c>
      <c r="T114" s="32" t="n">
        <v>-4.43</v>
      </c>
      <c r="U114" s="32" t="n">
        <v>10.55</v>
      </c>
      <c r="V114" s="32" t="n">
        <v>15.67</v>
      </c>
      <c r="W114" s="32" t="n">
        <v>9.27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IF(B115=0,"",RANK(B115,$B$2:$B$339,0))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SPORTKING</t>
        </is>
      </c>
      <c r="D115" s="31" t="inlineStr">
        <is>
          <t>Sportking India Ltd</t>
        </is>
      </c>
      <c r="E115" s="31" t="inlineStr">
        <is>
          <t>textiles</t>
        </is>
      </c>
      <c r="F115" s="31" t="inlineStr">
        <is>
          <t>textiles - spinning - synthetic / blended</t>
        </is>
      </c>
      <c r="G115" s="31" t="inlineStr">
        <is>
          <t>smallcap</t>
        </is>
      </c>
      <c r="H115" s="32" t="n">
        <v>2320.59</v>
      </c>
      <c r="I115" s="32" t="n">
        <v>183.49</v>
      </c>
      <c r="J115" s="32" t="n">
        <v>0.48</v>
      </c>
      <c r="K115" s="32" t="n">
        <v>214785</v>
      </c>
      <c r="L115" s="31" t="n">
        <v>84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80.94</v>
      </c>
      <c r="P115" s="32" t="n">
        <v>57.56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-4.43</v>
      </c>
      <c r="U115" s="32" t="n">
        <v>63.88</v>
      </c>
      <c r="V115" s="32" t="n">
        <v>71.48</v>
      </c>
      <c r="W115" s="32" t="n">
        <v>27.68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IF(B116=0,"",RANK(B116,$B$2:$B$339,0))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PSPPROJECT</t>
        </is>
      </c>
      <c r="D116" s="31" t="inlineStr">
        <is>
          <t>PSP Projects Ltd</t>
        </is>
      </c>
      <c r="E116" s="31" t="inlineStr">
        <is>
          <t>realty</t>
        </is>
      </c>
      <c r="F116" s="31" t="inlineStr">
        <is>
          <t>construction</t>
        </is>
      </c>
      <c r="G116" s="31" t="inlineStr">
        <is>
          <t>smallcap</t>
        </is>
      </c>
      <c r="H116" s="32" t="n">
        <v>3635.95</v>
      </c>
      <c r="I116" s="32" t="n">
        <v>921.35</v>
      </c>
      <c r="J116" s="32" t="n">
        <v>0.45</v>
      </c>
      <c r="K116" s="32" t="n">
        <v>114490</v>
      </c>
      <c r="L116" s="31" t="n">
        <v>61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63.57</v>
      </c>
      <c r="P116" s="32" t="n">
        <v>23.51</v>
      </c>
      <c r="Q116" s="32" t="inlineStr"/>
      <c r="R116" s="31" t="inlineStr">
        <is>
          <t>Earnings / Momentum Support</t>
        </is>
      </c>
      <c r="S116" s="31" t="inlineStr">
        <is>
          <t>Nifty Realty</t>
        </is>
      </c>
      <c r="T116" s="32" t="n">
        <v>-23.58</v>
      </c>
      <c r="U116" s="32" t="n">
        <v>31.28</v>
      </c>
      <c r="V116" s="32" t="n">
        <v>71.79000000000001</v>
      </c>
      <c r="W116" s="32" t="n">
        <v>15.71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IF(B117=0,"",RANK(B117,$B$2:$B$339,0))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BOROSCI</t>
        </is>
      </c>
      <c r="D117" s="31" t="inlineStr">
        <is>
          <t>Borosil Scientific Ltd</t>
        </is>
      </c>
      <c r="E117" s="31" t="inlineStr">
        <is>
          <t>building materials</t>
        </is>
      </c>
      <c r="F117" s="31" t="inlineStr">
        <is>
          <t>glass &amp; glass products</t>
        </is>
      </c>
      <c r="G117" s="31" t="inlineStr">
        <is>
          <t>smallcap</t>
        </is>
      </c>
      <c r="H117" s="32" t="n">
        <v>1360.71</v>
      </c>
      <c r="I117" s="32" t="n">
        <v>153.38</v>
      </c>
      <c r="J117" s="32" t="n">
        <v>0.26</v>
      </c>
      <c r="K117" s="32" t="n">
        <v>70752</v>
      </c>
      <c r="L117" s="31" t="n">
        <v>54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69.81</v>
      </c>
      <c r="P117" s="32" t="n">
        <v>23.68</v>
      </c>
      <c r="Q117" s="32" t="inlineStr"/>
      <c r="R117" s="31" t="inlineStr">
        <is>
          <t>Earnings / Momentum Support</t>
        </is>
      </c>
      <c r="S117" s="31" t="inlineStr">
        <is>
          <t>Nifty Infra</t>
        </is>
      </c>
      <c r="T117" s="32" t="n">
        <v>2.95</v>
      </c>
      <c r="U117" s="32" t="n">
        <v>8.5</v>
      </c>
      <c r="V117" s="32" t="n">
        <v>5.39</v>
      </c>
      <c r="W117" s="32" t="n">
        <v>13.14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Between 50% to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IF(B118=0,"",RANK(B118,$B$2:$B$339,0))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RISHABH</t>
        </is>
      </c>
      <c r="D118" s="31" t="inlineStr">
        <is>
          <t>Rishabh Instruments Ltd</t>
        </is>
      </c>
      <c r="E118" s="31" t="inlineStr">
        <is>
          <t>industrials</t>
        </is>
      </c>
      <c r="F118" s="31" t="inlineStr">
        <is>
          <t>electric equipment</t>
        </is>
      </c>
      <c r="G118" s="31" t="inlineStr">
        <is>
          <t>smallcap</t>
        </is>
      </c>
      <c r="H118" s="32" t="n">
        <v>2144.89</v>
      </c>
      <c r="I118" s="32" t="n">
        <v>555.3</v>
      </c>
      <c r="J118" s="32" t="n">
        <v>-0.21</v>
      </c>
      <c r="K118" s="32" t="n">
        <v>134074</v>
      </c>
      <c r="L118" s="31" t="n">
        <v>79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65.33</v>
      </c>
      <c r="P118" s="32" t="n">
        <v>30.21</v>
      </c>
      <c r="Q118" s="32" t="inlineStr"/>
      <c r="R118" s="31" t="inlineStr">
        <is>
          <t>Earnings / Momentum Support</t>
        </is>
      </c>
      <c r="S118" s="31" t="inlineStr">
        <is>
          <t>Nifty Infra</t>
        </is>
      </c>
      <c r="T118" s="32" t="n">
        <v>2.95</v>
      </c>
      <c r="U118" s="32" t="n">
        <v>87.09999999999999</v>
      </c>
      <c r="V118" s="32" t="n">
        <v>81.73999999999999</v>
      </c>
      <c r="W118" s="32" t="n">
        <v>23.94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IF(B119=0,"",RANK(B119,$B$2:$B$339,0))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HITECHCORP</t>
        </is>
      </c>
      <c r="D119" s="31" t="inlineStr">
        <is>
          <t>Hitech Corporation</t>
        </is>
      </c>
      <c r="E119" s="31" t="inlineStr">
        <is>
          <t>industrials</t>
        </is>
      </c>
      <c r="F119" s="31" t="inlineStr">
        <is>
          <t>packaging</t>
        </is>
      </c>
      <c r="G119" s="31" t="inlineStr">
        <is>
          <t>smallcap</t>
        </is>
      </c>
      <c r="H119" s="32" t="n">
        <v>532.48</v>
      </c>
      <c r="I119" s="32" t="n">
        <v>309.1</v>
      </c>
      <c r="J119" s="32" t="n">
        <v>-0.3</v>
      </c>
      <c r="K119" s="32" t="n">
        <v>37957</v>
      </c>
      <c r="L119" s="31" t="n">
        <v>95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80.45999999999999</v>
      </c>
      <c r="P119" s="32" t="n">
        <v>36.82</v>
      </c>
      <c r="Q119" s="32" t="inlineStr"/>
      <c r="R119" s="31" t="inlineStr">
        <is>
          <t>Earnings / Momentum Support</t>
        </is>
      </c>
      <c r="S119" s="31" t="inlineStr">
        <is>
          <t>Nifty 50</t>
        </is>
      </c>
      <c r="T119" s="32" t="n">
        <v>-4.43</v>
      </c>
      <c r="U119" s="32" t="n">
        <v>63.62</v>
      </c>
      <c r="V119" s="32" t="n">
        <v>71.20999999999999</v>
      </c>
      <c r="W119" s="32" t="n">
        <v>47.14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Between 50% to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IF(B120=0,"",RANK(B120,$B$2:$B$339,0))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SIGMAADV</t>
        </is>
      </c>
      <c r="D120" s="31" t="inlineStr">
        <is>
          <t>Sigma Advanced System Ltd</t>
        </is>
      </c>
      <c r="E120" s="31" t="inlineStr">
        <is>
          <t>aerospace &amp; defence</t>
        </is>
      </c>
      <c r="F120" s="31" t="inlineStr">
        <is>
          <t>electronics - components</t>
        </is>
      </c>
      <c r="G120" s="31" t="inlineStr">
        <is>
          <t>midcap</t>
        </is>
      </c>
      <c r="H120" s="32" t="n">
        <v>8450.690000000001</v>
      </c>
      <c r="I120" s="32" t="n">
        <v>462.2</v>
      </c>
      <c r="J120" s="32" t="n">
        <v>-3.61</v>
      </c>
      <c r="K120" s="32" t="n">
        <v>426532</v>
      </c>
      <c r="L120" s="31" t="n">
        <v>99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86.09999999999999</v>
      </c>
      <c r="P120" s="32" t="n">
        <v>43.45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-4.43</v>
      </c>
      <c r="U120" s="32" t="n">
        <v>384.44</v>
      </c>
      <c r="V120" s="32" t="n">
        <v>406.91</v>
      </c>
      <c r="W120" s="32" t="n">
        <v>102.99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Negative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IF(B121=0,"",RANK(B121,$B$2:$B$339,0))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3" t="inlineStr">
        <is>
          <t>HESTERBIO</t>
        </is>
      </c>
      <c r="D121" s="33" t="inlineStr">
        <is>
          <t>Hester Biosciences Limited</t>
        </is>
      </c>
      <c r="E121" s="31" t="inlineStr">
        <is>
          <t>healthcare</t>
        </is>
      </c>
      <c r="F121" s="31" t="inlineStr">
        <is>
          <t>pharmaceuticals - indian - formulations</t>
        </is>
      </c>
      <c r="G121" s="31" t="inlineStr">
        <is>
          <t>smallcap</t>
        </is>
      </c>
      <c r="H121" s="32" t="n">
        <v>1661.31</v>
      </c>
      <c r="I121" s="32" t="n">
        <v>2066.6</v>
      </c>
      <c r="J121" s="32" t="n">
        <v>5.82</v>
      </c>
      <c r="K121" s="32" t="n">
        <v>14168</v>
      </c>
      <c r="L121" s="31" t="n">
        <v>47</v>
      </c>
      <c r="M121" s="31" t="inlineStr">
        <is>
          <t>Underperforming</t>
        </is>
      </c>
      <c r="N121" s="32">
        <f>IF(M121="Underperforming",-5,IF(L121&gt;=95,15,IF(L121&gt;=90,10,IF(L121&gt;=80,5,0))))</f>
        <v/>
      </c>
      <c r="O121" s="32" t="n">
        <v>66.90000000000001</v>
      </c>
      <c r="P121" s="32" t="n">
        <v>37.21</v>
      </c>
      <c r="Q121" s="32" t="inlineStr"/>
      <c r="R121" s="31" t="inlineStr">
        <is>
          <t>Earnings / Momentum Support</t>
        </is>
      </c>
      <c r="S121" s="31" t="inlineStr">
        <is>
          <t>Nifty Pharma</t>
        </is>
      </c>
      <c r="T121" s="32" t="n">
        <v>10.89</v>
      </c>
      <c r="U121" s="32" t="n">
        <v>5.42</v>
      </c>
      <c r="V121" s="32" t="n">
        <v>-4.94</v>
      </c>
      <c r="W121" s="32" t="n">
        <v>11.12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IF(B122=0,"",RANK(B122,$B$2:$B$339,0))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HNDFDS</t>
        </is>
      </c>
      <c r="D122" s="31" t="inlineStr">
        <is>
          <t>Hindustan Foods Ltd</t>
        </is>
      </c>
      <c r="E122" s="31" t="inlineStr">
        <is>
          <t>fmcg</t>
        </is>
      </c>
      <c r="F122" s="31" t="inlineStr">
        <is>
          <t>diversified - large</t>
        </is>
      </c>
      <c r="G122" s="31" t="inlineStr">
        <is>
          <t>midcap</t>
        </is>
      </c>
      <c r="H122" s="32" t="n">
        <v>6328.95</v>
      </c>
      <c r="I122" s="32" t="n">
        <v>557.7</v>
      </c>
      <c r="J122" s="32" t="n">
        <v>5.29</v>
      </c>
      <c r="K122" s="32" t="n">
        <v>147012</v>
      </c>
      <c r="L122" s="31" t="n">
        <v>8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55.25</v>
      </c>
      <c r="P122" s="32" t="n">
        <v>20.74</v>
      </c>
      <c r="Q122" s="32" t="inlineStr"/>
      <c r="R122" s="31" t="inlineStr">
        <is>
          <t>Earnings / Momentum Support</t>
        </is>
      </c>
      <c r="S122" s="31" t="inlineStr">
        <is>
          <t>Nifty FMCG</t>
        </is>
      </c>
      <c r="T122" s="32" t="n">
        <v>-10.45</v>
      </c>
      <c r="U122" s="32" t="n">
        <v>-1.34</v>
      </c>
      <c r="V122" s="32" t="n">
        <v>10.18</v>
      </c>
      <c r="W122" s="32" t="n">
        <v>2.54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B2C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Less than 50%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IF(B123=0,"",RANK(B123,$B$2:$B$339,0))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SPARC</t>
        </is>
      </c>
      <c r="D123" s="31" t="inlineStr">
        <is>
          <t>Sun Pharma Advanced Research Company Limited</t>
        </is>
      </c>
      <c r="E123" s="31" t="inlineStr">
        <is>
          <t>healthcare</t>
        </is>
      </c>
      <c r="F123" s="31" t="inlineStr">
        <is>
          <t>miscellaneous</t>
        </is>
      </c>
      <c r="G123" s="31" t="inlineStr">
        <is>
          <t>midcap</t>
        </is>
      </c>
      <c r="H123" s="32" t="n">
        <v>7261.5</v>
      </c>
      <c r="I123" s="32" t="n">
        <v>229.03</v>
      </c>
      <c r="J123" s="32" t="n">
        <v>2.36</v>
      </c>
      <c r="K123" s="32" t="n">
        <v>4011382</v>
      </c>
      <c r="L123" s="31" t="n">
        <v>87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76.31</v>
      </c>
      <c r="P123" s="32" t="n">
        <v>49.69</v>
      </c>
      <c r="Q123" s="32" t="inlineStr"/>
      <c r="R123" s="31" t="inlineStr">
        <is>
          <t>Earnings / Momentum Support</t>
        </is>
      </c>
      <c r="S123" s="31" t="inlineStr">
        <is>
          <t>Nifty Pharma</t>
        </is>
      </c>
      <c r="T123" s="32" t="n">
        <v>10.89</v>
      </c>
      <c r="U123" s="32" t="n">
        <v>34.88</v>
      </c>
      <c r="V123" s="32" t="n">
        <v>21.63</v>
      </c>
      <c r="W123" s="32" t="n">
        <v>30.06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Negative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IF(B124=0,"",RANK(B124,$B$2:$B$339,0))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THYROCARE</t>
        </is>
      </c>
      <c r="D124" s="31" t="inlineStr">
        <is>
          <t>Thyrocare Technologies Limited</t>
        </is>
      </c>
      <c r="E124" s="31" t="inlineStr">
        <is>
          <t>healthcare</t>
        </is>
      </c>
      <c r="F124" s="31" t="inlineStr">
        <is>
          <t>healthcare</t>
        </is>
      </c>
      <c r="G124" s="31" t="inlineStr">
        <is>
          <t>midcap</t>
        </is>
      </c>
      <c r="H124" s="32" t="n">
        <v>8418.25</v>
      </c>
      <c r="I124" s="32" t="n">
        <v>535.6</v>
      </c>
      <c r="J124" s="32" t="n">
        <v>1.27</v>
      </c>
      <c r="K124" s="32" t="n">
        <v>385967</v>
      </c>
      <c r="L124" s="31" t="n">
        <v>76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69</v>
      </c>
      <c r="P124" s="32" t="n">
        <v>29.47</v>
      </c>
      <c r="Q124" s="32" t="inlineStr"/>
      <c r="R124" s="31" t="inlineStr">
        <is>
          <t>Earnings / Momentum Support</t>
        </is>
      </c>
      <c r="S124" s="31" t="inlineStr">
        <is>
          <t>Nifty Pharma</t>
        </is>
      </c>
      <c r="T124" s="32" t="n">
        <v>10.89</v>
      </c>
      <c r="U124" s="32" t="n">
        <v>58.7</v>
      </c>
      <c r="V124" s="32" t="n">
        <v>43.11</v>
      </c>
      <c r="W124" s="32" t="n">
        <v>21.72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IF(B125=0,"",RANK(B125,$B$2:$B$339,0))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IKS</t>
        </is>
      </c>
      <c r="D125" s="31" t="inlineStr">
        <is>
          <t>Inventurus Knowledge Solutions Ltd</t>
        </is>
      </c>
      <c r="E125" s="31" t="inlineStr">
        <is>
          <t>i.t</t>
        </is>
      </c>
      <c r="F125" s="31" t="inlineStr">
        <is>
          <t>computers - software - medium / small</t>
        </is>
      </c>
      <c r="G125" s="31" t="inlineStr">
        <is>
          <t>largecap</t>
        </is>
      </c>
      <c r="H125" s="32" t="n">
        <v>28795.12</v>
      </c>
      <c r="I125" s="32" t="n">
        <v>1675.2</v>
      </c>
      <c r="J125" s="32" t="n">
        <v>-0.18</v>
      </c>
      <c r="K125" s="32" t="n">
        <v>131181</v>
      </c>
      <c r="L125" s="31" t="n">
        <v>22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57.12</v>
      </c>
      <c r="P125" s="32" t="n">
        <v>11.52</v>
      </c>
      <c r="Q125" s="32" t="inlineStr"/>
      <c r="R125" s="31" t="inlineStr">
        <is>
          <t>Earnings / Momentum Support</t>
        </is>
      </c>
      <c r="S125" s="31" t="inlineStr">
        <is>
          <t>Nifty IT</t>
        </is>
      </c>
      <c r="T125" s="32" t="n">
        <v>-27.75</v>
      </c>
      <c r="U125" s="32" t="n">
        <v>-3.85</v>
      </c>
      <c r="V125" s="32" t="n">
        <v>33.07</v>
      </c>
      <c r="W125" s="32" t="n">
        <v>5.73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Between 50% to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IF(B126=0,"",RANK(B126,$B$2:$B$339,0))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LAURUSLABS</t>
        </is>
      </c>
      <c r="D126" s="31" t="inlineStr">
        <is>
          <t>Laurus Labs Limited</t>
        </is>
      </c>
      <c r="E126" s="31" t="inlineStr">
        <is>
          <t>healthcare</t>
        </is>
      </c>
      <c r="F126" s="31" t="inlineStr">
        <is>
          <t>pharmaceuticals - indian - bulk drugs &amp; formln</t>
        </is>
      </c>
      <c r="G126" s="31" t="inlineStr">
        <is>
          <t>largecap</t>
        </is>
      </c>
      <c r="H126" s="32" t="n">
        <v>75272.2</v>
      </c>
      <c r="I126" s="32" t="n">
        <v>1389.1</v>
      </c>
      <c r="J126" s="32" t="n">
        <v>-0.37</v>
      </c>
      <c r="K126" s="32" t="n">
        <v>1241974</v>
      </c>
      <c r="L126" s="31" t="n">
        <v>81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72.97</v>
      </c>
      <c r="P126" s="32" t="n">
        <v>36.83</v>
      </c>
      <c r="Q126" s="32" t="inlineStr"/>
      <c r="R126" s="31" t="inlineStr">
        <is>
          <t>Earnings / Momentum Support</t>
        </is>
      </c>
      <c r="S126" s="31" t="inlineStr">
        <is>
          <t>Nifty Pharma</t>
        </is>
      </c>
      <c r="T126" s="32" t="n">
        <v>10.89</v>
      </c>
      <c r="U126" s="32" t="n">
        <v>109.55</v>
      </c>
      <c r="V126" s="32" t="n">
        <v>88.95999999999999</v>
      </c>
      <c r="W126" s="32" t="n">
        <v>24.96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Between 12 to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IF(B127=0,"",RANK(B127,$B$2:$B$339,0))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SENORES</t>
        </is>
      </c>
      <c r="D127" s="31" t="inlineStr">
        <is>
          <t>Senores Pharmaceuticals Ltd</t>
        </is>
      </c>
      <c r="E127" s="31" t="inlineStr">
        <is>
          <t>healthcare</t>
        </is>
      </c>
      <c r="F127" s="31" t="inlineStr">
        <is>
          <t>pharmaceuticals - indian - formulations</t>
        </is>
      </c>
      <c r="G127" s="31" t="inlineStr">
        <is>
          <t>midcap</t>
        </is>
      </c>
      <c r="H127" s="32" t="n">
        <v>5940.91</v>
      </c>
      <c r="I127" s="32" t="n">
        <v>1283.2</v>
      </c>
      <c r="J127" s="32" t="n">
        <v>-0.53</v>
      </c>
      <c r="K127" s="32" t="n">
        <v>557292</v>
      </c>
      <c r="L127" s="31" t="n">
        <v>90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77.44</v>
      </c>
      <c r="P127" s="32" t="n">
        <v>44.58</v>
      </c>
      <c r="Q127" s="32" t="inlineStr"/>
      <c r="R127" s="31" t="inlineStr">
        <is>
          <t>Earnings / Momentum Support</t>
        </is>
      </c>
      <c r="S127" s="31" t="inlineStr">
        <is>
          <t>Nifty Pharma</t>
        </is>
      </c>
      <c r="T127" s="32" t="n">
        <v>10.89</v>
      </c>
      <c r="U127" s="32" t="n">
        <v>131.62</v>
      </c>
      <c r="V127" s="32" t="n">
        <v>108.87</v>
      </c>
      <c r="W127" s="32" t="n">
        <v>37.03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IF(B128=0,"",RANK(B128,$B$2:$B$339,0))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NEULANDLAB</t>
        </is>
      </c>
      <c r="D128" s="31" t="inlineStr">
        <is>
          <t>Neuland Laboratories Limited</t>
        </is>
      </c>
      <c r="E128" s="31" t="inlineStr">
        <is>
          <t>healthcare</t>
        </is>
      </c>
      <c r="F128" s="31" t="inlineStr">
        <is>
          <t>pharmaceuticals - indian - bulk drugs</t>
        </is>
      </c>
      <c r="G128" s="31" t="inlineStr">
        <is>
          <t>largecap</t>
        </is>
      </c>
      <c r="H128" s="32" t="n">
        <v>22064.84</v>
      </c>
      <c r="I128" s="32" t="n">
        <v>17056</v>
      </c>
      <c r="J128" s="32" t="n">
        <v>-0.83</v>
      </c>
      <c r="K128" s="32" t="n">
        <v>37749</v>
      </c>
      <c r="L128" s="31" t="n">
        <v>62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62.19</v>
      </c>
      <c r="P128" s="32" t="n">
        <v>32.31</v>
      </c>
      <c r="Q128" s="32" t="inlineStr"/>
      <c r="R128" s="31" t="inlineStr">
        <is>
          <t>Earnings / Momentum Support</t>
        </is>
      </c>
      <c r="S128" s="31" t="inlineStr">
        <is>
          <t>Nifty Pharma</t>
        </is>
      </c>
      <c r="T128" s="32" t="n">
        <v>10.89</v>
      </c>
      <c r="U128" s="32" t="n">
        <v>30.46</v>
      </c>
      <c r="V128" s="32" t="n">
        <v>17.65</v>
      </c>
      <c r="W128" s="32" t="n">
        <v>16.11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IF(B129=0,"",RANK(B129,$B$2:$B$339,0))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SHILPAMED</t>
        </is>
      </c>
      <c r="D129" s="31" t="inlineStr">
        <is>
          <t>Shilpa Medicare Limited</t>
        </is>
      </c>
      <c r="E129" s="31" t="inlineStr">
        <is>
          <t>healthcare</t>
        </is>
      </c>
      <c r="F129" s="31" t="inlineStr">
        <is>
          <t>pharmaceuticals - indian - formulations</t>
        </is>
      </c>
      <c r="G129" s="31" t="inlineStr">
        <is>
          <t>midcap</t>
        </is>
      </c>
      <c r="H129" s="32" t="n">
        <v>10693.44</v>
      </c>
      <c r="I129" s="32" t="n">
        <v>532.75</v>
      </c>
      <c r="J129" s="32" t="n">
        <v>-2.56</v>
      </c>
      <c r="K129" s="32" t="n">
        <v>865187</v>
      </c>
      <c r="L129" s="31" t="n">
        <v>75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79.53</v>
      </c>
      <c r="P129" s="32" t="n">
        <v>49.74</v>
      </c>
      <c r="Q129" s="32" t="inlineStr"/>
      <c r="R129" s="31" t="inlineStr">
        <is>
          <t>Earnings / Momentum Support</t>
        </is>
      </c>
      <c r="S129" s="31" t="inlineStr">
        <is>
          <t>Nifty Pharma</t>
        </is>
      </c>
      <c r="T129" s="32" t="n">
        <v>10.89</v>
      </c>
      <c r="U129" s="32" t="n">
        <v>11.06</v>
      </c>
      <c r="V129" s="32" t="n">
        <v>0.15</v>
      </c>
      <c r="W129" s="32" t="n">
        <v>21.62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IF(B130=0,"",RANK(B130,$B$2:$B$339,0))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SHREEPUSHK</t>
        </is>
      </c>
      <c r="D130" s="31" t="inlineStr">
        <is>
          <t>Shree Pushkar Chemicals &amp; Fertilisers Limited</t>
        </is>
      </c>
      <c r="E130" s="31" t="inlineStr">
        <is>
          <t>chemicals</t>
        </is>
      </c>
      <c r="F130" s="31" t="inlineStr">
        <is>
          <t>dyes and pigments</t>
        </is>
      </c>
      <c r="G130" s="31" t="inlineStr">
        <is>
          <t>smallcap</t>
        </is>
      </c>
      <c r="H130" s="32" t="n">
        <v>1156.56</v>
      </c>
      <c r="I130" s="32" t="n">
        <v>385.65</v>
      </c>
      <c r="J130" s="32" t="n">
        <v>7.83</v>
      </c>
      <c r="K130" s="32" t="n">
        <v>150688</v>
      </c>
      <c r="L130" s="31" t="n">
        <v>28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50.3</v>
      </c>
      <c r="P130" s="32" t="n">
        <v>24.24</v>
      </c>
      <c r="Q130" s="32" t="inlineStr"/>
      <c r="R130" s="31" t="inlineStr">
        <is>
          <t>Earnings / Momentum Support</t>
        </is>
      </c>
      <c r="S130" s="31" t="inlineStr">
        <is>
          <t>Nifty IT</t>
        </is>
      </c>
      <c r="T130" s="32" t="n">
        <v>-27.75</v>
      </c>
      <c r="U130" s="32" t="n">
        <v>12.98</v>
      </c>
      <c r="V130" s="32" t="n">
        <v>56.36</v>
      </c>
      <c r="W130" s="32" t="n">
        <v>6.8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IF(B131=0,"",RANK(B131,$B$2:$B$339,0))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AEROFLEX</t>
        </is>
      </c>
      <c r="D131" s="31" t="inlineStr">
        <is>
          <t>Aeroflex Industries Ltd</t>
        </is>
      </c>
      <c r="E131" s="31" t="inlineStr">
        <is>
          <t>metals &amp; mining</t>
        </is>
      </c>
      <c r="F131" s="31" t="inlineStr">
        <is>
          <t>steel - medium / small</t>
        </is>
      </c>
      <c r="G131" s="31" t="inlineStr">
        <is>
          <t>midcap</t>
        </is>
      </c>
      <c r="H131" s="32" t="n">
        <v>5929.74</v>
      </c>
      <c r="I131" s="32" t="n">
        <v>478</v>
      </c>
      <c r="J131" s="32" t="n">
        <v>6.67</v>
      </c>
      <c r="K131" s="32" t="n">
        <v>5416719</v>
      </c>
      <c r="L131" s="31" t="n">
        <v>94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73.31999999999999</v>
      </c>
      <c r="P131" s="32" t="n">
        <v>60.74</v>
      </c>
      <c r="Q131" s="32" t="inlineStr"/>
      <c r="R131" s="31" t="inlineStr">
        <is>
          <t>Earnings / Momentum Support</t>
        </is>
      </c>
      <c r="S131" s="31" t="inlineStr">
        <is>
          <t>Nifty Metal</t>
        </is>
      </c>
      <c r="T131" s="32" t="n">
        <v>38.84</v>
      </c>
      <c r="U131" s="32" t="n">
        <v>162.4</v>
      </c>
      <c r="V131" s="32" t="n">
        <v>89</v>
      </c>
      <c r="W131" s="32" t="n">
        <v>43.76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Cyclical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Volatile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Between 1.5 to 2</t>
        </is>
      </c>
      <c r="BU131" s="31">
        <f>IF(BT131="Above 2",0,IF(BT131="Between 1.5 to 2",5,IF(BT131="Less than 1.5",10,0)))</f>
        <v/>
      </c>
      <c r="BV131" s="31" t="inlineStr">
        <is>
          <t>Between 50% to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IF(B132=0,"",RANK(B132,$B$2:$B$339,0))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SHRIPISTON</t>
        </is>
      </c>
      <c r="D132" s="31" t="inlineStr">
        <is>
          <t>Shriram Pistons &amp; Rings Limited</t>
        </is>
      </c>
      <c r="E132" s="31" t="inlineStr">
        <is>
          <t>auto</t>
        </is>
      </c>
      <c r="F132" s="31" t="inlineStr">
        <is>
          <t>auto ancillaries</t>
        </is>
      </c>
      <c r="G132" s="31" t="inlineStr">
        <is>
          <t>midcap</t>
        </is>
      </c>
      <c r="H132" s="32" t="n">
        <v>15524.92</v>
      </c>
      <c r="I132" s="32" t="n">
        <v>3741.9</v>
      </c>
      <c r="J132" s="32" t="n">
        <v>6.17</v>
      </c>
      <c r="K132" s="32" t="n">
        <v>219352</v>
      </c>
      <c r="L132" s="31" t="n">
        <v>54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59.05</v>
      </c>
      <c r="P132" s="32" t="n">
        <v>28.33</v>
      </c>
      <c r="Q132" s="32" t="inlineStr"/>
      <c r="R132" s="31" t="inlineStr">
        <is>
          <t>Earnings / Momentum Support</t>
        </is>
      </c>
      <c r="S132" s="31" t="inlineStr">
        <is>
          <t>Nifty Auto</t>
        </is>
      </c>
      <c r="T132" s="32" t="n">
        <v>12.72</v>
      </c>
      <c r="U132" s="32" t="n">
        <v>45.22</v>
      </c>
      <c r="V132" s="32" t="n">
        <v>28.83</v>
      </c>
      <c r="W132" s="32" t="n">
        <v>13.07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IF(B133=0,"",RANK(B133,$B$2:$B$339,0))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DIVGIITTS</t>
        </is>
      </c>
      <c r="D133" s="31" t="inlineStr">
        <is>
          <t>Divgi Torqtransfer Systems Ltd</t>
        </is>
      </c>
      <c r="E133" s="31" t="inlineStr">
        <is>
          <t>auto</t>
        </is>
      </c>
      <c r="F133" s="31" t="inlineStr">
        <is>
          <t>auto ancillaries</t>
        </is>
      </c>
      <c r="G133" s="31" t="inlineStr">
        <is>
          <t>smallcap</t>
        </is>
      </c>
      <c r="H133" s="32" t="n">
        <v>2504.74</v>
      </c>
      <c r="I133" s="32" t="n">
        <v>869.2</v>
      </c>
      <c r="J133" s="32" t="n">
        <v>6.13</v>
      </c>
      <c r="K133" s="32" t="n">
        <v>210095</v>
      </c>
      <c r="L133" s="31" t="n">
        <v>47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61.16</v>
      </c>
      <c r="P133" s="32" t="n">
        <v>27.87</v>
      </c>
      <c r="Q133" s="32" t="inlineStr"/>
      <c r="R133" s="31" t="inlineStr">
        <is>
          <t>Earnings / Momentum Support</t>
        </is>
      </c>
      <c r="S133" s="31" t="inlineStr">
        <is>
          <t>Nifty Auto</t>
        </is>
      </c>
      <c r="T133" s="32" t="n">
        <v>12.72</v>
      </c>
      <c r="U133" s="32" t="n">
        <v>36.63</v>
      </c>
      <c r="V133" s="32" t="n">
        <v>21.22</v>
      </c>
      <c r="W133" s="32" t="n">
        <v>11.3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IF(B134=0,"",RANK(B134,$B$2:$B$339,0))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PHOENIXLTD</t>
        </is>
      </c>
      <c r="D134" s="31" t="inlineStr">
        <is>
          <t>The Phoenix Mills Limited</t>
        </is>
      </c>
      <c r="E134" s="31" t="inlineStr">
        <is>
          <t>realty</t>
        </is>
      </c>
      <c r="F134" s="31" t="inlineStr">
        <is>
          <t>construction</t>
        </is>
      </c>
      <c r="G134" s="31" t="inlineStr">
        <is>
          <t>largecap</t>
        </is>
      </c>
      <c r="H134" s="32" t="n">
        <v>62857.86</v>
      </c>
      <c r="I134" s="32" t="n">
        <v>1846.9</v>
      </c>
      <c r="J134" s="32" t="n">
        <v>5.08</v>
      </c>
      <c r="K134" s="32" t="n">
        <v>661437</v>
      </c>
      <c r="L134" s="31" t="n">
        <v>18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53.34</v>
      </c>
      <c r="P134" s="32" t="n">
        <v>12.48</v>
      </c>
      <c r="Q134" s="32" t="inlineStr"/>
      <c r="R134" s="31" t="inlineStr">
        <is>
          <t>Earnings / Momentum Support</t>
        </is>
      </c>
      <c r="S134" s="31" t="inlineStr">
        <is>
          <t>Nifty Realty</t>
        </is>
      </c>
      <c r="T134" s="32" t="n">
        <v>-23.58</v>
      </c>
      <c r="U134" s="32" t="n">
        <v>10.31</v>
      </c>
      <c r="V134" s="32" t="n">
        <v>44.34</v>
      </c>
      <c r="W134" s="32" t="n">
        <v>4.88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IF(B135=0,"",RANK(B135,$B$2:$B$339,0))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CEMPRO</t>
        </is>
      </c>
      <c r="D135" s="31" t="inlineStr">
        <is>
          <t>Cemindia Projects Ltd</t>
        </is>
      </c>
      <c r="E135" s="31" t="inlineStr">
        <is>
          <t>realty</t>
        </is>
      </c>
      <c r="F135" s="31" t="inlineStr">
        <is>
          <t>construction</t>
        </is>
      </c>
      <c r="G135" s="31" t="inlineStr">
        <is>
          <t>midcap</t>
        </is>
      </c>
      <c r="H135" s="32" t="n">
        <v>19281.44</v>
      </c>
      <c r="I135" s="32" t="n">
        <v>1178.5</v>
      </c>
      <c r="J135" s="32" t="n">
        <v>5</v>
      </c>
      <c r="K135" s="32" t="n">
        <v>156648</v>
      </c>
      <c r="L135" s="31" t="n">
        <v>92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75.19</v>
      </c>
      <c r="P135" s="32" t="n">
        <v>39.36</v>
      </c>
      <c r="Q135" s="32" t="inlineStr"/>
      <c r="R135" s="31" t="inlineStr">
        <is>
          <t>Earnings / Momentum Support</t>
        </is>
      </c>
      <c r="S135" s="31" t="inlineStr">
        <is>
          <t>Nifty Realty</t>
        </is>
      </c>
      <c r="T135" s="32" t="n">
        <v>-23.58</v>
      </c>
      <c r="U135" s="32" t="n">
        <v>46.17</v>
      </c>
      <c r="V135" s="32" t="n">
        <v>91.26000000000001</v>
      </c>
      <c r="W135" s="32" t="n">
        <v>37.79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IF(B136=0,"",RANK(B136,$B$2:$B$339,0))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AVALON</t>
        </is>
      </c>
      <c r="D136" s="31" t="inlineStr">
        <is>
          <t>Avalon Technologies Ltd</t>
        </is>
      </c>
      <c r="E136" s="31" t="inlineStr">
        <is>
          <t>consumer discretionary</t>
        </is>
      </c>
      <c r="F136" s="31" t="inlineStr">
        <is>
          <t>electronics - components</t>
        </is>
      </c>
      <c r="G136" s="31" t="inlineStr">
        <is>
          <t>midcap</t>
        </is>
      </c>
      <c r="H136" s="32" t="n">
        <v>11263.45</v>
      </c>
      <c r="I136" s="32" t="n">
        <v>1760</v>
      </c>
      <c r="J136" s="32" t="n">
        <v>4.33</v>
      </c>
      <c r="K136" s="32" t="n">
        <v>611900</v>
      </c>
      <c r="L136" s="31" t="n">
        <v>92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76.33</v>
      </c>
      <c r="P136" s="32" t="n">
        <v>37.29</v>
      </c>
      <c r="Q136" s="32" t="inlineStr"/>
      <c r="R136" s="31" t="inlineStr">
        <is>
          <t>Earnings / Momentum Support</t>
        </is>
      </c>
      <c r="S136" s="31" t="inlineStr">
        <is>
          <t>Nifty 50</t>
        </is>
      </c>
      <c r="T136" s="32" t="n">
        <v>-4.43</v>
      </c>
      <c r="U136" s="32" t="n">
        <v>102.97</v>
      </c>
      <c r="V136" s="32" t="n">
        <v>112.39</v>
      </c>
      <c r="W136" s="32" t="n">
        <v>38.24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Between 1.5 to 2</t>
        </is>
      </c>
      <c r="BU136" s="31">
        <f>IF(BT136="Above 2",0,IF(BT136="Between 1.5 to 2",5,IF(BT136="Less than 1.5",10,0)))</f>
        <v/>
      </c>
      <c r="BV136" s="31" t="inlineStr">
        <is>
          <t>Less than 50%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IF(B137=0,"",RANK(B137,$B$2:$B$339,0))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FINEORG</t>
        </is>
      </c>
      <c r="D137" s="31" t="inlineStr">
        <is>
          <t>Fine Organic Industries Ltd</t>
        </is>
      </c>
      <c r="E137" s="31" t="inlineStr">
        <is>
          <t>chemicals</t>
        </is>
      </c>
      <c r="F137" s="31" t="inlineStr">
        <is>
          <t>chemicals</t>
        </is>
      </c>
      <c r="G137" s="31" t="inlineStr">
        <is>
          <t>midcap</t>
        </is>
      </c>
      <c r="H137" s="32" t="n">
        <v>14485.92</v>
      </c>
      <c r="I137" s="32" t="n">
        <v>4924</v>
      </c>
      <c r="J137" s="32" t="n">
        <v>4.22</v>
      </c>
      <c r="K137" s="32" t="n">
        <v>36777</v>
      </c>
      <c r="L137" s="31" t="n">
        <v>7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55.75</v>
      </c>
      <c r="P137" s="32" t="n">
        <v>10.3</v>
      </c>
      <c r="Q137" s="32" t="inlineStr"/>
      <c r="R137" s="31" t="inlineStr">
        <is>
          <t>Earnings / Momentum Support</t>
        </is>
      </c>
      <c r="S137" s="31" t="inlineStr">
        <is>
          <t>Nifty IT</t>
        </is>
      </c>
      <c r="T137" s="32" t="n">
        <v>-27.75</v>
      </c>
      <c r="U137" s="32" t="n">
        <v>-0.31</v>
      </c>
      <c r="V137" s="32" t="n">
        <v>37.97</v>
      </c>
      <c r="W137" s="32" t="n">
        <v>2.15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IF(B138=0,"",RANK(B138,$B$2:$B$339,0))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PASUPTAC</t>
        </is>
      </c>
      <c r="D138" s="31" t="inlineStr">
        <is>
          <t>Pasupati Acrylon Ltd</t>
        </is>
      </c>
      <c r="E138" s="31" t="inlineStr">
        <is>
          <t>textiles</t>
        </is>
      </c>
      <c r="F138" s="31" t="inlineStr">
        <is>
          <t>textiles - manmade</t>
        </is>
      </c>
      <c r="G138" s="31" t="inlineStr">
        <is>
          <t>smallcap</t>
        </is>
      </c>
      <c r="H138" s="32" t="n">
        <v>590.42</v>
      </c>
      <c r="I138" s="32" t="n">
        <v>68.88</v>
      </c>
      <c r="J138" s="32" t="n">
        <v>3.99</v>
      </c>
      <c r="K138" s="32" t="n">
        <v>144309</v>
      </c>
      <c r="L138" s="31" t="n">
        <v>69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63.4</v>
      </c>
      <c r="P138" s="32" t="n">
        <v>34.55</v>
      </c>
      <c r="Q138" s="32" t="inlineStr"/>
      <c r="R138" s="31" t="inlineStr">
        <is>
          <t>Earnings / Momentum Support</t>
        </is>
      </c>
      <c r="S138" s="31" t="inlineStr">
        <is>
          <t>Nifty 50</t>
        </is>
      </c>
      <c r="T138" s="32" t="n">
        <v>-4.43</v>
      </c>
      <c r="U138" s="32" t="n">
        <v>39.86</v>
      </c>
      <c r="V138" s="32" t="n">
        <v>46.35</v>
      </c>
      <c r="W138" s="32" t="n">
        <v>18.34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Less than 50%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IF(B139=0,"",RANK(B139,$B$2:$B$339,0))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3" t="inlineStr">
        <is>
          <t>NIBE</t>
        </is>
      </c>
      <c r="D139" s="33" t="inlineStr">
        <is>
          <t>NIBE Ltd</t>
        </is>
      </c>
      <c r="E139" s="31" t="inlineStr">
        <is>
          <t>aerospace &amp; defence</t>
        </is>
      </c>
      <c r="F139" s="31" t="inlineStr">
        <is>
          <t>engineering</t>
        </is>
      </c>
      <c r="G139" s="31" t="inlineStr">
        <is>
          <t>smallcap</t>
        </is>
      </c>
      <c r="H139" s="32" t="n">
        <v>2358.63</v>
      </c>
      <c r="I139" s="32" t="n">
        <v>1641.3</v>
      </c>
      <c r="J139" s="32" t="n">
        <v>3.97</v>
      </c>
      <c r="K139" s="32" t="n">
        <v>383334</v>
      </c>
      <c r="L139" s="31" t="n">
        <v>49</v>
      </c>
      <c r="M139" s="31" t="inlineStr">
        <is>
          <t>Underperforming</t>
        </is>
      </c>
      <c r="N139" s="32">
        <f>IF(M139="Underperforming",-5,IF(L139&gt;=95,15,IF(L139&gt;=90,10,IF(L139&gt;=80,5,0))))</f>
        <v/>
      </c>
      <c r="O139" s="32" t="n">
        <v>68.5</v>
      </c>
      <c r="P139" s="32" t="n">
        <v>21.43</v>
      </c>
      <c r="Q139" s="32" t="inlineStr"/>
      <c r="R139" s="31" t="inlineStr">
        <is>
          <t>Earnings / Momentum Support</t>
        </is>
      </c>
      <c r="S139" s="31" t="inlineStr">
        <is>
          <t>Nifty 50</t>
        </is>
      </c>
      <c r="T139" s="32" t="n">
        <v>-4.43</v>
      </c>
      <c r="U139" s="32" t="n">
        <v>-16.39</v>
      </c>
      <c r="V139" s="32" t="n">
        <v>-12.51</v>
      </c>
      <c r="W139" s="32" t="n">
        <v>11.81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IF(B140=0,"",RANK(B140,$B$2:$B$339,0))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NAVNETEDUL</t>
        </is>
      </c>
      <c r="D140" s="31" t="inlineStr">
        <is>
          <t>Navneet Education Limited</t>
        </is>
      </c>
      <c r="E140" s="31" t="inlineStr">
        <is>
          <t>miscellaneous</t>
        </is>
      </c>
      <c r="F140" s="31" t="inlineStr">
        <is>
          <t>printing &amp; stationery</t>
        </is>
      </c>
      <c r="G140" s="31" t="inlineStr">
        <is>
          <t>smallcap</t>
        </is>
      </c>
      <c r="H140" s="32" t="n">
        <v>3141.01</v>
      </c>
      <c r="I140" s="32" t="n">
        <v>145.9</v>
      </c>
      <c r="J140" s="32" t="n">
        <v>2.75</v>
      </c>
      <c r="K140" s="32" t="n">
        <v>166493</v>
      </c>
      <c r="L140" s="31" t="n">
        <v>11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50.25</v>
      </c>
      <c r="P140" s="32" t="n">
        <v>21.47</v>
      </c>
      <c r="Q140" s="32" t="inlineStr"/>
      <c r="R140" s="31" t="inlineStr">
        <is>
          <t>Earnings / Momentum Support</t>
        </is>
      </c>
      <c r="S140" s="31" t="inlineStr">
        <is>
          <t>Nifty 50</t>
        </is>
      </c>
      <c r="T140" s="32" t="n">
        <v>-4.43</v>
      </c>
      <c r="U140" s="32" t="n">
        <v>4.3</v>
      </c>
      <c r="V140" s="32" t="n">
        <v>9.140000000000001</v>
      </c>
      <c r="W140" s="32" t="n">
        <v>3.51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IF(B141=0,"",RANK(B141,$B$2:$B$339,0))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IMPAL</t>
        </is>
      </c>
      <c r="D141" s="33" t="inlineStr">
        <is>
          <t>India Motor Parts And Accessories Limited</t>
        </is>
      </c>
      <c r="E141" s="31" t="inlineStr">
        <is>
          <t>auto</t>
        </is>
      </c>
      <c r="F141" s="31" t="inlineStr">
        <is>
          <t>auto ancillaries</t>
        </is>
      </c>
      <c r="G141" s="31" t="inlineStr">
        <is>
          <t>smallcap</t>
        </is>
      </c>
      <c r="H141" s="32" t="n">
        <v>1329.87</v>
      </c>
      <c r="I141" s="32" t="n">
        <v>1094.6</v>
      </c>
      <c r="J141" s="32" t="n">
        <v>2.72</v>
      </c>
      <c r="K141" s="32" t="n">
        <v>4999</v>
      </c>
      <c r="L141" s="31" t="n">
        <v>6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54.84</v>
      </c>
      <c r="P141" s="32" t="n">
        <v>16.27</v>
      </c>
      <c r="Q141" s="32" t="inlineStr"/>
      <c r="R141" s="31" t="inlineStr">
        <is>
          <t>Earnings / Momentum Support</t>
        </is>
      </c>
      <c r="S141" s="31" t="inlineStr">
        <is>
          <t>Nifty Auto</t>
        </is>
      </c>
      <c r="T141" s="32" t="n">
        <v>12.72</v>
      </c>
      <c r="U141" s="32" t="n">
        <v>1.81</v>
      </c>
      <c r="V141" s="32" t="n">
        <v>-9.68</v>
      </c>
      <c r="W141" s="32" t="n">
        <v>1.71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IF(B142=0,"",RANK(B142,$B$2:$B$339,0))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POWERMECH</t>
        </is>
      </c>
      <c r="D142" s="31" t="inlineStr">
        <is>
          <t>Power Mech Projects Limited</t>
        </is>
      </c>
      <c r="E142" s="31" t="inlineStr">
        <is>
          <t>realty</t>
        </is>
      </c>
      <c r="F142" s="31" t="inlineStr">
        <is>
          <t>engineering - turnkey services</t>
        </is>
      </c>
      <c r="G142" s="31" t="inlineStr">
        <is>
          <t>midcap</t>
        </is>
      </c>
      <c r="H142" s="32" t="n">
        <v>8819.360000000001</v>
      </c>
      <c r="I142" s="32" t="n">
        <v>2852.3</v>
      </c>
      <c r="J142" s="32" t="n">
        <v>2.25</v>
      </c>
      <c r="K142" s="32" t="n">
        <v>291255</v>
      </c>
      <c r="L142" s="31" t="n">
        <v>35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64.59999999999999</v>
      </c>
      <c r="P142" s="32" t="n">
        <v>19.77</v>
      </c>
      <c r="Q142" s="32" t="inlineStr"/>
      <c r="R142" s="31" t="inlineStr">
        <is>
          <t>Earnings / Momentum Support</t>
        </is>
      </c>
      <c r="S142" s="31" t="inlineStr">
        <is>
          <t>Nifty Realty</t>
        </is>
      </c>
      <c r="T142" s="32" t="n">
        <v>-23.58</v>
      </c>
      <c r="U142" s="32" t="n">
        <v>-9.199999999999999</v>
      </c>
      <c r="V142" s="32" t="n">
        <v>18.82</v>
      </c>
      <c r="W142" s="32" t="n">
        <v>8.57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IF(B143=0,"",RANK(B143,$B$2:$B$339,0))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KERNEX</t>
        </is>
      </c>
      <c r="D143" s="31" t="inlineStr">
        <is>
          <t>Kernex Microsystems (india) Limited</t>
        </is>
      </c>
      <c r="E143" s="31" t="inlineStr">
        <is>
          <t>consumer discretionary</t>
        </is>
      </c>
      <c r="F143" s="31" t="inlineStr">
        <is>
          <t>electronics - components</t>
        </is>
      </c>
      <c r="G143" s="31" t="inlineStr">
        <is>
          <t>smallcap</t>
        </is>
      </c>
      <c r="H143" s="32" t="n">
        <v>3349.23</v>
      </c>
      <c r="I143" s="32" t="n">
        <v>2037.2</v>
      </c>
      <c r="J143" s="32" t="n">
        <v>2.2</v>
      </c>
      <c r="K143" s="32" t="n">
        <v>307957</v>
      </c>
      <c r="L143" s="31" t="n">
        <v>90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73.28</v>
      </c>
      <c r="P143" s="32" t="n">
        <v>34.15</v>
      </c>
      <c r="Q143" s="32" t="inlineStr"/>
      <c r="R143" s="31" t="inlineStr">
        <is>
          <t>Earnings / Momentum Support</t>
        </is>
      </c>
      <c r="S143" s="31" t="inlineStr">
        <is>
          <t>Nifty 50</t>
        </is>
      </c>
      <c r="T143" s="32" t="n">
        <v>-4.43</v>
      </c>
      <c r="U143" s="32" t="n">
        <v>53.18</v>
      </c>
      <c r="V143" s="32" t="n">
        <v>60.28</v>
      </c>
      <c r="W143" s="32" t="n">
        <v>35.86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Negative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IF(B144=0,"",RANK(B144,$B$2:$B$339,0))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FILATEX</t>
        </is>
      </c>
      <c r="D144" s="31" t="inlineStr">
        <is>
          <t>Filatex India Limited</t>
        </is>
      </c>
      <c r="E144" s="31" t="inlineStr">
        <is>
          <t>textiles</t>
        </is>
      </c>
      <c r="F144" s="31" t="inlineStr">
        <is>
          <t>textiles - manmade</t>
        </is>
      </c>
      <c r="G144" s="31" t="inlineStr">
        <is>
          <t>smallcap</t>
        </is>
      </c>
      <c r="H144" s="32" t="n">
        <v>2305.55</v>
      </c>
      <c r="I144" s="32" t="n">
        <v>53.01</v>
      </c>
      <c r="J144" s="32" t="n">
        <v>2.1</v>
      </c>
      <c r="K144" s="32" t="n">
        <v>1851441</v>
      </c>
      <c r="L144" s="31" t="n">
        <v>24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59.21</v>
      </c>
      <c r="P144" s="32" t="n">
        <v>17.75</v>
      </c>
      <c r="Q144" s="32" t="inlineStr"/>
      <c r="R144" s="31" t="inlineStr">
        <is>
          <t>Earnings / Momentum Support</t>
        </is>
      </c>
      <c r="S144" s="31" t="inlineStr">
        <is>
          <t>Nifty 50</t>
        </is>
      </c>
      <c r="T144" s="32" t="n">
        <v>-4.43</v>
      </c>
      <c r="U144" s="32" t="n">
        <v>-3.7</v>
      </c>
      <c r="V144" s="32" t="n">
        <v>0.77</v>
      </c>
      <c r="W144" s="32" t="n">
        <v>6.22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Between 12 to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IF(B145=0,"",RANK(B145,$B$2:$B$339,0))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NBCC</t>
        </is>
      </c>
      <c r="D145" s="33" t="inlineStr">
        <is>
          <t>Nbcc (india) Limited</t>
        </is>
      </c>
      <c r="E145" s="31" t="inlineStr">
        <is>
          <t>miscellaneous</t>
        </is>
      </c>
      <c r="F145" s="31" t="inlineStr">
        <is>
          <t>miscellaneous</t>
        </is>
      </c>
      <c r="G145" s="31" t="inlineStr">
        <is>
          <t>largecap</t>
        </is>
      </c>
      <c r="H145" s="32" t="n">
        <v>28393.2</v>
      </c>
      <c r="I145" s="32" t="n">
        <v>107.36</v>
      </c>
      <c r="J145" s="32" t="n">
        <v>2.09</v>
      </c>
      <c r="K145" s="32" t="n">
        <v>21708282</v>
      </c>
      <c r="L145" s="31" t="n">
        <v>16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56.77</v>
      </c>
      <c r="P145" s="32" t="n">
        <v>20.61</v>
      </c>
      <c r="Q145" s="32" t="inlineStr"/>
      <c r="R145" s="31" t="inlineStr">
        <is>
          <t>Earnings / Momentum Support</t>
        </is>
      </c>
      <c r="S145" s="31" t="inlineStr">
        <is>
          <t>Nifty 50</t>
        </is>
      </c>
      <c r="T145" s="32" t="n">
        <v>-4.43</v>
      </c>
      <c r="U145" s="32" t="n">
        <v>-12.26</v>
      </c>
      <c r="V145" s="32" t="n">
        <v>-8.199999999999999</v>
      </c>
      <c r="W145" s="32" t="n">
        <v>4.09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Less than 50%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IF(B146=0,"",RANK(B146,$B$2:$B$339,0))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NRBBEARING</t>
        </is>
      </c>
      <c r="D146" s="31" t="inlineStr">
        <is>
          <t>Nrb Bearing Limited</t>
        </is>
      </c>
      <c r="E146" s="31" t="inlineStr">
        <is>
          <t>industrials</t>
        </is>
      </c>
      <c r="F146" s="31" t="inlineStr">
        <is>
          <t>bearings</t>
        </is>
      </c>
      <c r="G146" s="31" t="inlineStr">
        <is>
          <t>smallcap</t>
        </is>
      </c>
      <c r="H146" s="32" t="n">
        <v>4127.45</v>
      </c>
      <c r="I146" s="32" t="n">
        <v>430.05</v>
      </c>
      <c r="J146" s="32" t="n">
        <v>0.99</v>
      </c>
      <c r="K146" s="32" t="n">
        <v>467062</v>
      </c>
      <c r="L146" s="31" t="n">
        <v>85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78.98999999999999</v>
      </c>
      <c r="P146" s="32" t="n">
        <v>33.01</v>
      </c>
      <c r="Q146" s="32" t="inlineStr"/>
      <c r="R146" s="31" t="inlineStr">
        <is>
          <t>Earnings / Momentum Support</t>
        </is>
      </c>
      <c r="S146" s="31" t="inlineStr">
        <is>
          <t>Nifty 50</t>
        </is>
      </c>
      <c r="T146" s="32" t="n">
        <v>-4.43</v>
      </c>
      <c r="U146" s="32" t="n">
        <v>74.05</v>
      </c>
      <c r="V146" s="32" t="n">
        <v>82.12</v>
      </c>
      <c r="W146" s="32" t="n">
        <v>28.39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IF(B147=0,"",RANK(B147,$B$2:$B$339,0))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ARVIND</t>
        </is>
      </c>
      <c r="D147" s="31" t="inlineStr">
        <is>
          <t>Arvind Limited</t>
        </is>
      </c>
      <c r="E147" s="31" t="inlineStr">
        <is>
          <t>textiles</t>
        </is>
      </c>
      <c r="F147" s="31" t="inlineStr">
        <is>
          <t>textiles - cotton/blended</t>
        </is>
      </c>
      <c r="G147" s="31" t="inlineStr">
        <is>
          <t>midcap</t>
        </is>
      </c>
      <c r="H147" s="32" t="n">
        <v>12961.57</v>
      </c>
      <c r="I147" s="32" t="n">
        <v>498.7</v>
      </c>
      <c r="J147" s="32" t="n">
        <v>0.85</v>
      </c>
      <c r="K147" s="32" t="n">
        <v>1866512</v>
      </c>
      <c r="L147" s="31" t="n">
        <v>66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76.43000000000001</v>
      </c>
      <c r="P147" s="32" t="n">
        <v>41.73</v>
      </c>
      <c r="Q147" s="32" t="inlineStr"/>
      <c r="R147" s="31" t="inlineStr">
        <is>
          <t>Earnings / Momentum Support</t>
        </is>
      </c>
      <c r="S147" s="31" t="inlineStr">
        <is>
          <t>Nifty 50</t>
        </is>
      </c>
      <c r="T147" s="32" t="n">
        <v>-4.43</v>
      </c>
      <c r="U147" s="32" t="n">
        <v>42.09</v>
      </c>
      <c r="V147" s="32" t="n">
        <v>48.68</v>
      </c>
      <c r="W147" s="32" t="n">
        <v>17.26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IF(B148=0,"",RANK(B148,$B$2:$B$339,0))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EXIDEIND</t>
        </is>
      </c>
      <c r="D148" s="33" t="inlineStr">
        <is>
          <t>Exide Industries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largecap</t>
        </is>
      </c>
      <c r="H148" s="32" t="n">
        <v>33315.75</v>
      </c>
      <c r="I148" s="32" t="n">
        <v>394.85</v>
      </c>
      <c r="J148" s="32" t="n">
        <v>0.74</v>
      </c>
      <c r="K148" s="32" t="n">
        <v>3677720</v>
      </c>
      <c r="L148" s="31" t="n">
        <v>35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62.52</v>
      </c>
      <c r="P148" s="32" t="n">
        <v>29.34</v>
      </c>
      <c r="Q148" s="32" t="inlineStr"/>
      <c r="R148" s="31" t="inlineStr">
        <is>
          <t>Earnings / Momentum Support</t>
        </is>
      </c>
      <c r="S148" s="31" t="inlineStr">
        <is>
          <t>Nifty Auto</t>
        </is>
      </c>
      <c r="T148" s="32" t="n">
        <v>12.72</v>
      </c>
      <c r="U148" s="32" t="n">
        <v>2.38</v>
      </c>
      <c r="V148" s="32" t="n">
        <v>-9.17</v>
      </c>
      <c r="W148" s="32" t="n">
        <v>8.460000000000001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Between 12 to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IF(B149=0,"",RANK(B149,$B$2:$B$339,0))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IGIL</t>
        </is>
      </c>
      <c r="D149" s="31" t="inlineStr">
        <is>
          <t>International Gemmological Institute (India) Ltd</t>
        </is>
      </c>
      <c r="E149" s="31" t="inlineStr">
        <is>
          <t>miscellaneous</t>
        </is>
      </c>
      <c r="F149" s="31" t="inlineStr">
        <is>
          <t>miscellaneous</t>
        </is>
      </c>
      <c r="G149" s="31" t="inlineStr">
        <is>
          <t>midcap</t>
        </is>
      </c>
      <c r="H149" s="32" t="n">
        <v>15849.46</v>
      </c>
      <c r="I149" s="32" t="n">
        <v>369.25</v>
      </c>
      <c r="J149" s="32" t="n">
        <v>0.68</v>
      </c>
      <c r="K149" s="32" t="n">
        <v>961759</v>
      </c>
      <c r="L149" s="31" t="n">
        <v>12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55.51</v>
      </c>
      <c r="P149" s="32" t="n">
        <v>18.99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-4.43</v>
      </c>
      <c r="U149" s="32" t="n">
        <v>-3.72</v>
      </c>
      <c r="V149" s="32" t="n">
        <v>0.74</v>
      </c>
      <c r="W149" s="32" t="n">
        <v>3.52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IF(B150=0,"",RANK(B150,$B$2:$B$339,0))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THERMAX</t>
        </is>
      </c>
      <c r="D150" s="31" t="inlineStr">
        <is>
          <t>Thermax Limited</t>
        </is>
      </c>
      <c r="E150" s="31" t="inlineStr">
        <is>
          <t>industrials</t>
        </is>
      </c>
      <c r="F150" s="31" t="inlineStr">
        <is>
          <t>electric equipment</t>
        </is>
      </c>
      <c r="G150" s="31" t="inlineStr">
        <is>
          <t>largecap</t>
        </is>
      </c>
      <c r="H150" s="32" t="n">
        <v>56316.84</v>
      </c>
      <c r="I150" s="32" t="n">
        <v>4741</v>
      </c>
      <c r="J150" s="32" t="n">
        <v>0.31</v>
      </c>
      <c r="K150" s="32" t="n">
        <v>277050</v>
      </c>
      <c r="L150" s="31" t="n">
        <v>65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70.72</v>
      </c>
      <c r="P150" s="32" t="n">
        <v>41.06</v>
      </c>
      <c r="Q150" s="32" t="inlineStr"/>
      <c r="R150" s="31" t="inlineStr">
        <is>
          <t>Earnings / Momentum Support</t>
        </is>
      </c>
      <c r="S150" s="31" t="inlineStr">
        <is>
          <t>Nifty 50</t>
        </is>
      </c>
      <c r="T150" s="32" t="n">
        <v>-4.43</v>
      </c>
      <c r="U150" s="32" t="n">
        <v>33.64</v>
      </c>
      <c r="V150" s="32" t="n">
        <v>39.84</v>
      </c>
      <c r="W150" s="32" t="n">
        <v>17.2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Between 12 to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Between 50% to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IF(B151=0,"",RANK(B151,$B$2:$B$339,0))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3" t="inlineStr">
        <is>
          <t>MIDHANI</t>
        </is>
      </c>
      <c r="D151" s="33" t="inlineStr">
        <is>
          <t>Mishra Dhatu Nigam Ltd</t>
        </is>
      </c>
      <c r="E151" s="31" t="inlineStr">
        <is>
          <t>aerospace &amp; defence</t>
        </is>
      </c>
      <c r="F151" s="31" t="inlineStr">
        <is>
          <t>steel - medium / small</t>
        </is>
      </c>
      <c r="G151" s="31" t="inlineStr">
        <is>
          <t>midcap</t>
        </is>
      </c>
      <c r="H151" s="32" t="n">
        <v>8151.16</v>
      </c>
      <c r="I151" s="32" t="n">
        <v>436.35</v>
      </c>
      <c r="J151" s="32" t="n">
        <v>0.29</v>
      </c>
      <c r="K151" s="32" t="n">
        <v>1000703</v>
      </c>
      <c r="L151" s="31" t="n">
        <v>41</v>
      </c>
      <c r="M151" s="31" t="inlineStr">
        <is>
          <t>Underperforming</t>
        </is>
      </c>
      <c r="N151" s="32">
        <f>IF(M151="Underperforming",-5,IF(L151&gt;=95,15,IF(L151&gt;=90,10,IF(L151&gt;=80,5,0))))</f>
        <v/>
      </c>
      <c r="O151" s="32" t="n">
        <v>66.02</v>
      </c>
      <c r="P151" s="32" t="n">
        <v>26.83</v>
      </c>
      <c r="Q151" s="32" t="inlineStr"/>
      <c r="R151" s="31" t="inlineStr">
        <is>
          <t>Earnings / Momentum Support</t>
        </is>
      </c>
      <c r="S151" s="31" t="inlineStr">
        <is>
          <t>Nifty Metal</t>
        </is>
      </c>
      <c r="T151" s="32" t="n">
        <v>38.84</v>
      </c>
      <c r="U151" s="32" t="n">
        <v>-0.76</v>
      </c>
      <c r="V151" s="32" t="n">
        <v>-28.52</v>
      </c>
      <c r="W151" s="32" t="n">
        <v>9.82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Between 1.5 to 2</t>
        </is>
      </c>
      <c r="BU151" s="31">
        <f>IF(BT151="Above 2",0,IF(BT151="Between 1.5 to 2",5,IF(BT151="Less than 1.5",10,0)))</f>
        <v/>
      </c>
      <c r="BV151" s="31" t="inlineStr">
        <is>
          <t>Between 50% to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IF(B152=0,"",RANK(B152,$B$2:$B$339,0))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MGEL</t>
        </is>
      </c>
      <c r="D152" s="31" t="inlineStr">
        <is>
          <t>Mangalam Global Enterprise Ltd</t>
        </is>
      </c>
      <c r="E152" s="31" t="inlineStr">
        <is>
          <t>services</t>
        </is>
      </c>
      <c r="F152" s="31" t="inlineStr">
        <is>
          <t>trading</t>
        </is>
      </c>
      <c r="G152" s="31" t="inlineStr">
        <is>
          <t>smallcap</t>
        </is>
      </c>
      <c r="H152" s="32" t="n">
        <v>541.79</v>
      </c>
      <c r="I152" s="32" t="n">
        <v>16.44</v>
      </c>
      <c r="J152" s="32" t="n">
        <v>0</v>
      </c>
      <c r="K152" s="32" t="n">
        <v>150642</v>
      </c>
      <c r="L152" s="31" t="n">
        <v>68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66.44</v>
      </c>
      <c r="P152" s="32" t="n">
        <v>29.41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-4.43</v>
      </c>
      <c r="U152" s="32" t="n">
        <v>12.67</v>
      </c>
      <c r="V152" s="32" t="n">
        <v>17.9</v>
      </c>
      <c r="W152" s="32" t="n">
        <v>18.12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IF(B153=0,"",RANK(B153,$B$2:$B$339,0))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SPECTRUM</t>
        </is>
      </c>
      <c r="D153" s="31" t="inlineStr">
        <is>
          <t>Spectrum Electrical Industries Ltd</t>
        </is>
      </c>
      <c r="E153" s="31" t="inlineStr">
        <is>
          <t>industrials</t>
        </is>
      </c>
      <c r="F153" s="31" t="inlineStr">
        <is>
          <t>electric equipment</t>
        </is>
      </c>
      <c r="G153" s="31" t="inlineStr">
        <is>
          <t>smallcap</t>
        </is>
      </c>
      <c r="H153" s="32" t="n">
        <v>2511.86</v>
      </c>
      <c r="I153" s="32" t="n">
        <v>1598.4</v>
      </c>
      <c r="J153" s="32" t="n">
        <v>-0.01</v>
      </c>
      <c r="K153" s="32" t="n">
        <v>10010</v>
      </c>
      <c r="L153" s="31" t="n">
        <v>7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58.3</v>
      </c>
      <c r="P153" s="32" t="n">
        <v>28.24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-4.43</v>
      </c>
      <c r="U153" s="32" t="n">
        <v>-2.62</v>
      </c>
      <c r="V153" s="32" t="n">
        <v>1.9</v>
      </c>
      <c r="W153" s="32" t="n">
        <v>2.18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IF(B154=0,"",RANK(B154,$B$2:$B$339,0))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PARACABLES</t>
        </is>
      </c>
      <c r="D154" s="31" t="inlineStr">
        <is>
          <t>Paramount Communications Limited</t>
        </is>
      </c>
      <c r="E154" s="31" t="inlineStr">
        <is>
          <t>industrials</t>
        </is>
      </c>
      <c r="F154" s="31" t="inlineStr">
        <is>
          <t>cables - power</t>
        </is>
      </c>
      <c r="G154" s="31" t="inlineStr">
        <is>
          <t>smallcap</t>
        </is>
      </c>
      <c r="H154" s="32" t="n">
        <v>1957.01</v>
      </c>
      <c r="I154" s="32" t="n">
        <v>64.06999999999999</v>
      </c>
      <c r="J154" s="32" t="n">
        <v>-0.08</v>
      </c>
      <c r="K154" s="32" t="n">
        <v>2138626</v>
      </c>
      <c r="L154" s="31" t="n">
        <v>87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70.06999999999999</v>
      </c>
      <c r="P154" s="32" t="n">
        <v>35.01</v>
      </c>
      <c r="Q154" s="32" t="inlineStr"/>
      <c r="R154" s="31" t="inlineStr">
        <is>
          <t>Earnings / Momentum Support</t>
        </is>
      </c>
      <c r="S154" s="31" t="inlineStr">
        <is>
          <t>Nifty Energy</t>
        </is>
      </c>
      <c r="T154" s="32" t="n">
        <v>9.800000000000001</v>
      </c>
      <c r="U154" s="32" t="n">
        <v>19.92</v>
      </c>
      <c r="V154" s="32" t="n">
        <v>9.210000000000001</v>
      </c>
      <c r="W154" s="32" t="n">
        <v>31.16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IF(B155=0,"",RANK(B155,$B$2:$B$339,0))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ADANIGREEN</t>
        </is>
      </c>
      <c r="D155" s="31" t="inlineStr">
        <is>
          <t>Adani Green Energy Ltd</t>
        </is>
      </c>
      <c r="E155" s="31" t="inlineStr">
        <is>
          <t>power &amp; utilities</t>
        </is>
      </c>
      <c r="F155" s="31" t="inlineStr">
        <is>
          <t>power generation and supply</t>
        </is>
      </c>
      <c r="G155" s="31" t="inlineStr">
        <is>
          <t>largecap</t>
        </is>
      </c>
      <c r="H155" s="32" t="n">
        <v>244720.96</v>
      </c>
      <c r="I155" s="32" t="n">
        <v>1482.6</v>
      </c>
      <c r="J155" s="32" t="n">
        <v>-0.21</v>
      </c>
      <c r="K155" s="32" t="n">
        <v>2245384</v>
      </c>
      <c r="L155" s="31" t="n">
        <v>83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72.66</v>
      </c>
      <c r="P155" s="32" t="n">
        <v>40.67</v>
      </c>
      <c r="Q155" s="32" t="inlineStr"/>
      <c r="R155" s="31" t="inlineStr">
        <is>
          <t>Earnings / Momentum Support</t>
        </is>
      </c>
      <c r="S155" s="31" t="inlineStr">
        <is>
          <t>Nifty IT</t>
        </is>
      </c>
      <c r="T155" s="32" t="n">
        <v>-27.75</v>
      </c>
      <c r="U155" s="32" t="n">
        <v>50.15</v>
      </c>
      <c r="V155" s="32" t="n">
        <v>107.8</v>
      </c>
      <c r="W155" s="32" t="n">
        <v>26.59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IF(B156=0,"",RANK(B156,$B$2:$B$339,0))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ASIANPAINT</t>
        </is>
      </c>
      <c r="D156" s="31" t="inlineStr">
        <is>
          <t>Asian Paints Limited</t>
        </is>
      </c>
      <c r="E156" s="31" t="inlineStr">
        <is>
          <t>building materials</t>
        </is>
      </c>
      <c r="F156" s="31" t="inlineStr">
        <is>
          <t>paints / varnishes</t>
        </is>
      </c>
      <c r="G156" s="31" t="inlineStr">
        <is>
          <t>largecap</t>
        </is>
      </c>
      <c r="H156" s="32" t="n">
        <v>263530</v>
      </c>
      <c r="I156" s="32" t="n">
        <v>2739.3</v>
      </c>
      <c r="J156" s="32" t="n">
        <v>-0.29</v>
      </c>
      <c r="K156" s="32" t="n">
        <v>2752021</v>
      </c>
      <c r="L156" s="31" t="n">
        <v>45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63.49</v>
      </c>
      <c r="P156" s="32" t="n">
        <v>19.93</v>
      </c>
      <c r="Q156" s="32" t="inlineStr"/>
      <c r="R156" s="31" t="inlineStr">
        <is>
          <t>Earnings / Momentum Support</t>
        </is>
      </c>
      <c r="S156" s="31" t="inlineStr">
        <is>
          <t>Nifty Infra</t>
        </is>
      </c>
      <c r="T156" s="32" t="n">
        <v>2.95</v>
      </c>
      <c r="U156" s="32" t="n">
        <v>25.42</v>
      </c>
      <c r="V156" s="32" t="n">
        <v>21.82</v>
      </c>
      <c r="W156" s="32" t="n">
        <v>10.88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IF(B157=0,"",RANK(B157,$B$2:$B$339,0))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ADANIPORTS</t>
        </is>
      </c>
      <c r="D157" s="31" t="inlineStr">
        <is>
          <t>Adani Ports And Special Economic Zone Limited</t>
        </is>
      </c>
      <c r="E157" s="31" t="inlineStr">
        <is>
          <t>transportation</t>
        </is>
      </c>
      <c r="F157" s="31" t="inlineStr">
        <is>
          <t>miscellaneous</t>
        </is>
      </c>
      <c r="G157" s="31" t="inlineStr">
        <is>
          <t>largecap</t>
        </is>
      </c>
      <c r="H157" s="32" t="n">
        <v>417684.74</v>
      </c>
      <c r="I157" s="32" t="n">
        <v>1804.8</v>
      </c>
      <c r="J157" s="32" t="n">
        <v>-0.45</v>
      </c>
      <c r="K157" s="32" t="n">
        <v>1421741</v>
      </c>
      <c r="L157" s="31" t="n">
        <v>53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70.84999999999999</v>
      </c>
      <c r="P157" s="32" t="n">
        <v>28.24</v>
      </c>
      <c r="Q157" s="32" t="inlineStr"/>
      <c r="R157" s="31" t="inlineStr">
        <is>
          <t>Earnings / Momentum Support</t>
        </is>
      </c>
      <c r="S157" s="31" t="inlineStr">
        <is>
          <t>Nifty 50</t>
        </is>
      </c>
      <c r="T157" s="32" t="n">
        <v>-4.43</v>
      </c>
      <c r="U157" s="32" t="n">
        <v>29.66</v>
      </c>
      <c r="V157" s="32" t="n">
        <v>35.67</v>
      </c>
      <c r="W157" s="32" t="n">
        <v>12.89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IF(B158=0,"",RANK(B158,$B$2:$B$339,0))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MUNJALAU</t>
        </is>
      </c>
      <c r="D158" s="31" t="inlineStr">
        <is>
          <t>Munjal Auto Industries Limited</t>
        </is>
      </c>
      <c r="E158" s="31" t="inlineStr">
        <is>
          <t>auto</t>
        </is>
      </c>
      <c r="F158" s="31" t="inlineStr">
        <is>
          <t>auto ancillaries</t>
        </is>
      </c>
      <c r="G158" s="31" t="inlineStr">
        <is>
          <t>smallcap</t>
        </is>
      </c>
      <c r="H158" s="32" t="n">
        <v>979.4</v>
      </c>
      <c r="I158" s="32" t="n">
        <v>97.31999999999999</v>
      </c>
      <c r="J158" s="32" t="n">
        <v>-0.63</v>
      </c>
      <c r="K158" s="32" t="n">
        <v>347149</v>
      </c>
      <c r="L158" s="31" t="n">
        <v>51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67.48</v>
      </c>
      <c r="P158" s="32" t="n">
        <v>24.3</v>
      </c>
      <c r="Q158" s="32" t="inlineStr"/>
      <c r="R158" s="31" t="inlineStr">
        <is>
          <t>Earnings / Momentum Support</t>
        </is>
      </c>
      <c r="S158" s="31" t="inlineStr">
        <is>
          <t>Nifty Auto</t>
        </is>
      </c>
      <c r="T158" s="32" t="n">
        <v>12.72</v>
      </c>
      <c r="U158" s="32" t="n">
        <v>29.44</v>
      </c>
      <c r="V158" s="32" t="n">
        <v>14.83</v>
      </c>
      <c r="W158" s="32" t="n">
        <v>12.29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Less than 50%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IF(B159=0,"",RANK(B159,$B$2:$B$339,0))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SANDHAR</t>
        </is>
      </c>
      <c r="D159" s="31" t="inlineStr">
        <is>
          <t>Sandhar Technologies Limited</t>
        </is>
      </c>
      <c r="E159" s="31" t="inlineStr">
        <is>
          <t>auto</t>
        </is>
      </c>
      <c r="F159" s="31" t="inlineStr">
        <is>
          <t>auto ancillaries</t>
        </is>
      </c>
      <c r="G159" s="31" t="inlineStr">
        <is>
          <t>smallcap</t>
        </is>
      </c>
      <c r="H159" s="32" t="n">
        <v>4285.58</v>
      </c>
      <c r="I159" s="32" t="n">
        <v>707.1</v>
      </c>
      <c r="J159" s="32" t="n">
        <v>-0.6899999999999999</v>
      </c>
      <c r="K159" s="32" t="n">
        <v>326023</v>
      </c>
      <c r="L159" s="31" t="n">
        <v>67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71.98</v>
      </c>
      <c r="P159" s="32" t="n">
        <v>23.42</v>
      </c>
      <c r="Q159" s="32" t="inlineStr"/>
      <c r="R159" s="31" t="inlineStr">
        <is>
          <t>Earnings / Momentum Support</t>
        </is>
      </c>
      <c r="S159" s="31" t="inlineStr">
        <is>
          <t>Nifty Auto</t>
        </is>
      </c>
      <c r="T159" s="32" t="n">
        <v>12.72</v>
      </c>
      <c r="U159" s="32" t="n">
        <v>34.17</v>
      </c>
      <c r="V159" s="32" t="n">
        <v>19.04</v>
      </c>
      <c r="W159" s="32" t="n">
        <v>17.84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Less than 50%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IF(B160=0,"",RANK(B160,$B$2:$B$339,0))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RSWM</t>
        </is>
      </c>
      <c r="D160" s="31" t="inlineStr">
        <is>
          <t>Rswm Limited</t>
        </is>
      </c>
      <c r="E160" s="31" t="inlineStr">
        <is>
          <t>textiles</t>
        </is>
      </c>
      <c r="F160" s="31" t="inlineStr">
        <is>
          <t>textiles - cotton/blended</t>
        </is>
      </c>
      <c r="G160" s="31" t="inlineStr">
        <is>
          <t>smallcap</t>
        </is>
      </c>
      <c r="H160" s="32" t="n">
        <v>985.13</v>
      </c>
      <c r="I160" s="32" t="n">
        <v>206.83</v>
      </c>
      <c r="J160" s="32" t="n">
        <v>-1.11</v>
      </c>
      <c r="K160" s="32" t="n">
        <v>189942</v>
      </c>
      <c r="L160" s="31" t="n">
        <v>63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70.87</v>
      </c>
      <c r="P160" s="32" t="n">
        <v>26.28</v>
      </c>
      <c r="Q160" s="32" t="inlineStr"/>
      <c r="R160" s="31" t="inlineStr">
        <is>
          <t>Earnings / Momentum Support</t>
        </is>
      </c>
      <c r="S160" s="31" t="inlineStr">
        <is>
          <t>Nifty 50</t>
        </is>
      </c>
      <c r="T160" s="32" t="n">
        <v>-4.43</v>
      </c>
      <c r="U160" s="32" t="n">
        <v>20.11</v>
      </c>
      <c r="V160" s="32" t="n">
        <v>25.68</v>
      </c>
      <c r="W160" s="32" t="n">
        <v>16.4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More than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IF(B161=0,"",RANK(B161,$B$2:$B$339,0))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WELCORP</t>
        </is>
      </c>
      <c r="D161" s="31" t="inlineStr">
        <is>
          <t>Welspun Corp Limited</t>
        </is>
      </c>
      <c r="E161" s="31" t="inlineStr">
        <is>
          <t>industrials</t>
        </is>
      </c>
      <c r="F161" s="31" t="inlineStr">
        <is>
          <t>steel - large</t>
        </is>
      </c>
      <c r="G161" s="31" t="inlineStr">
        <is>
          <t>largecap</t>
        </is>
      </c>
      <c r="H161" s="32" t="n">
        <v>36991.36</v>
      </c>
      <c r="I161" s="32" t="n">
        <v>1379.7</v>
      </c>
      <c r="J161" s="32" t="n">
        <v>-1.61</v>
      </c>
      <c r="K161" s="32" t="n">
        <v>556054</v>
      </c>
      <c r="L161" s="31" t="n">
        <v>84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82.15000000000001</v>
      </c>
      <c r="P161" s="32" t="n">
        <v>52.86</v>
      </c>
      <c r="Q161" s="32" t="inlineStr"/>
      <c r="R161" s="31" t="inlineStr">
        <is>
          <t>Earnings / Momentum Support</t>
        </is>
      </c>
      <c r="S161" s="31" t="inlineStr">
        <is>
          <t>Nifty Metal</t>
        </is>
      </c>
      <c r="T161" s="32" t="n">
        <v>38.84</v>
      </c>
      <c r="U161" s="32" t="n">
        <v>55.7</v>
      </c>
      <c r="V161" s="32" t="n">
        <v>12.15</v>
      </c>
      <c r="W161" s="32" t="n">
        <v>27.84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IF(B162=0,"",RANK(B162,$B$2:$B$339,0))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HSCL</t>
        </is>
      </c>
      <c r="D162" s="31" t="inlineStr">
        <is>
          <t>Himadri Speciality Chemical Limited</t>
        </is>
      </c>
      <c r="E162" s="31" t="inlineStr">
        <is>
          <t>chemicals</t>
        </is>
      </c>
      <c r="F162" s="31" t="inlineStr">
        <is>
          <t>chemicals</t>
        </is>
      </c>
      <c r="G162" s="31" t="inlineStr">
        <is>
          <t>largecap</t>
        </is>
      </c>
      <c r="H162" s="32" t="n">
        <v>34334.06</v>
      </c>
      <c r="I162" s="32" t="n">
        <v>668.9</v>
      </c>
      <c r="J162" s="32" t="n">
        <v>-1.7</v>
      </c>
      <c r="K162" s="32" t="n">
        <v>13206369</v>
      </c>
      <c r="L162" s="31" t="n">
        <v>73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72.98</v>
      </c>
      <c r="P162" s="32" t="n">
        <v>32.44</v>
      </c>
      <c r="Q162" s="32" t="inlineStr"/>
      <c r="R162" s="31" t="inlineStr">
        <is>
          <t>Earnings / Momentum Support</t>
        </is>
      </c>
      <c r="S162" s="31" t="inlineStr">
        <is>
          <t>Nifty 50</t>
        </is>
      </c>
      <c r="T162" s="32" t="n">
        <v>-4.43</v>
      </c>
      <c r="U162" s="32" t="n">
        <v>45.15</v>
      </c>
      <c r="V162" s="32" t="n">
        <v>51.89</v>
      </c>
      <c r="W162" s="32" t="n">
        <v>20.8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IF(B163=0,"",RANK(B163,$B$2:$B$339,0))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SANGAMIND</t>
        </is>
      </c>
      <c r="D163" s="31" t="inlineStr">
        <is>
          <t>Sangam (india) Limited</t>
        </is>
      </c>
      <c r="E163" s="31" t="inlineStr">
        <is>
          <t>textiles</t>
        </is>
      </c>
      <c r="F163" s="31" t="inlineStr">
        <is>
          <t>textiles - spinning - synthetic / blended</t>
        </is>
      </c>
      <c r="G163" s="31" t="inlineStr">
        <is>
          <t>smallcap</t>
        </is>
      </c>
      <c r="H163" s="32" t="n">
        <v>2724.62</v>
      </c>
      <c r="I163" s="32" t="n">
        <v>531.6</v>
      </c>
      <c r="J163" s="32" t="n">
        <v>-1.96</v>
      </c>
      <c r="K163" s="32" t="n">
        <v>58920</v>
      </c>
      <c r="L163" s="31" t="n">
        <v>48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66.48999999999999</v>
      </c>
      <c r="P163" s="32" t="n">
        <v>31.45</v>
      </c>
      <c r="Q163" s="32" t="inlineStr"/>
      <c r="R163" s="31" t="inlineStr">
        <is>
          <t>Earnings / Momentum Support</t>
        </is>
      </c>
      <c r="S163" s="31" t="inlineStr">
        <is>
          <t>Nifty 50</t>
        </is>
      </c>
      <c r="T163" s="32" t="n">
        <v>-4.43</v>
      </c>
      <c r="U163" s="32" t="n">
        <v>29.85</v>
      </c>
      <c r="V163" s="32" t="n">
        <v>35.87</v>
      </c>
      <c r="W163" s="32" t="n">
        <v>11.53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IF(B164=0,"",RANK(B164,$B$2:$B$339,0))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HMVL</t>
        </is>
      </c>
      <c r="D164" s="31" t="inlineStr">
        <is>
          <t>Hindustan Media Ventures Limited</t>
        </is>
      </c>
      <c r="E164" s="31" t="inlineStr">
        <is>
          <t>media</t>
        </is>
      </c>
      <c r="F164" s="31" t="inlineStr">
        <is>
          <t>entertainment / electronic media software</t>
        </is>
      </c>
      <c r="G164" s="31" t="inlineStr">
        <is>
          <t>smallcap</t>
        </is>
      </c>
      <c r="H164" s="32" t="n">
        <v>579.72</v>
      </c>
      <c r="I164" s="32" t="n">
        <v>82.40000000000001</v>
      </c>
      <c r="J164" s="32" t="n">
        <v>4.71</v>
      </c>
      <c r="K164" s="32" t="n">
        <v>99588</v>
      </c>
      <c r="L164" s="31" t="n">
        <v>16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61.16</v>
      </c>
      <c r="P164" s="32" t="n">
        <v>28.46</v>
      </c>
      <c r="Q164" s="32" t="inlineStr"/>
      <c r="R164" s="31" t="inlineStr">
        <is>
          <t>Earnings / Momentum Support</t>
        </is>
      </c>
      <c r="S164" s="31" t="inlineStr">
        <is>
          <t>Nifty IT</t>
        </is>
      </c>
      <c r="T164" s="32" t="n">
        <v>-27.75</v>
      </c>
      <c r="U164" s="32" t="n">
        <v>-10.47</v>
      </c>
      <c r="V164" s="32" t="n">
        <v>23.91</v>
      </c>
      <c r="W164" s="32" t="n">
        <v>4.61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IF(B165=0,"",RANK(B165,$B$2:$B$339,0))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BLSE</t>
        </is>
      </c>
      <c r="D165" s="31" t="inlineStr">
        <is>
          <t>BLS E-Services Ltd</t>
        </is>
      </c>
      <c r="E165" s="31" t="inlineStr">
        <is>
          <t>i.t</t>
        </is>
      </c>
      <c r="F165" s="31" t="inlineStr">
        <is>
          <t>computers - software - medium / small</t>
        </is>
      </c>
      <c r="G165" s="31" t="inlineStr">
        <is>
          <t>smallcap</t>
        </is>
      </c>
      <c r="H165" s="32" t="n">
        <v>2075.16</v>
      </c>
      <c r="I165" s="32" t="n">
        <v>234.25</v>
      </c>
      <c r="J165" s="32" t="n">
        <v>2.56</v>
      </c>
      <c r="K165" s="32" t="n">
        <v>349544</v>
      </c>
      <c r="L165" s="31" t="n">
        <v>72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68.39</v>
      </c>
      <c r="P165" s="32" t="n">
        <v>21.51</v>
      </c>
      <c r="Q165" s="32" t="inlineStr"/>
      <c r="R165" s="31" t="inlineStr">
        <is>
          <t>Earnings / Momentum Support</t>
        </is>
      </c>
      <c r="S165" s="31" t="inlineStr">
        <is>
          <t>Nifty IT</t>
        </is>
      </c>
      <c r="T165" s="32" t="n">
        <v>-27.75</v>
      </c>
      <c r="U165" s="32" t="n">
        <v>10.84</v>
      </c>
      <c r="V165" s="32" t="n">
        <v>53.4</v>
      </c>
      <c r="W165" s="32" t="n">
        <v>19.38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IF(B166=0,"",RANK(B166,$B$2:$B$339,0))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TATATECH</t>
        </is>
      </c>
      <c r="D166" s="31" t="inlineStr">
        <is>
          <t>Tata Technologies Ltd</t>
        </is>
      </c>
      <c r="E166" s="31" t="inlineStr">
        <is>
          <t>i.t</t>
        </is>
      </c>
      <c r="F166" s="31" t="inlineStr">
        <is>
          <t>computers - software - medium / small</t>
        </is>
      </c>
      <c r="G166" s="31" t="inlineStr">
        <is>
          <t>largecap</t>
        </is>
      </c>
      <c r="H166" s="32" t="n">
        <v>30895.03</v>
      </c>
      <c r="I166" s="32" t="n">
        <v>771.9</v>
      </c>
      <c r="J166" s="32" t="n">
        <v>1.43</v>
      </c>
      <c r="K166" s="32" t="n">
        <v>1357665</v>
      </c>
      <c r="L166" s="31" t="n">
        <v>44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70.40000000000001</v>
      </c>
      <c r="P166" s="32" t="n">
        <v>35.05</v>
      </c>
      <c r="Q166" s="32" t="inlineStr"/>
      <c r="R166" s="31" t="inlineStr">
        <is>
          <t>Earnings / Momentum Support</t>
        </is>
      </c>
      <c r="S166" s="31" t="inlineStr">
        <is>
          <t>Nifty IT</t>
        </is>
      </c>
      <c r="T166" s="32" t="n">
        <v>-27.75</v>
      </c>
      <c r="U166" s="32" t="n">
        <v>2.59</v>
      </c>
      <c r="V166" s="32" t="n">
        <v>41.98</v>
      </c>
      <c r="W166" s="32" t="n">
        <v>10.44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IF(B167=0,"",RANK(B167,$B$2:$B$339,0))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PANACEABIO</t>
        </is>
      </c>
      <c r="D167" s="31" t="inlineStr">
        <is>
          <t>Panacea Biotec Limited</t>
        </is>
      </c>
      <c r="E167" s="31" t="inlineStr">
        <is>
          <t>healthcare</t>
        </is>
      </c>
      <c r="F167" s="31" t="inlineStr">
        <is>
          <t>pharmaceuticals - indian - bulk drugs &amp; formln</t>
        </is>
      </c>
      <c r="G167" s="31" t="inlineStr">
        <is>
          <t>smallcap</t>
        </is>
      </c>
      <c r="H167" s="32" t="n">
        <v>3283.04</v>
      </c>
      <c r="I167" s="32" t="n">
        <v>540.8</v>
      </c>
      <c r="J167" s="32" t="n">
        <v>0.9</v>
      </c>
      <c r="K167" s="32" t="n">
        <v>678210</v>
      </c>
      <c r="L167" s="31" t="n">
        <v>73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75.33</v>
      </c>
      <c r="P167" s="32" t="n">
        <v>28.06</v>
      </c>
      <c r="Q167" s="32" t="inlineStr"/>
      <c r="R167" s="31" t="inlineStr">
        <is>
          <t>Earnings / Momentum Support</t>
        </is>
      </c>
      <c r="S167" s="31" t="inlineStr">
        <is>
          <t>Nifty Pharma</t>
        </is>
      </c>
      <c r="T167" s="32" t="n">
        <v>10.89</v>
      </c>
      <c r="U167" s="32" t="n">
        <v>18.85</v>
      </c>
      <c r="V167" s="32" t="n">
        <v>7.17</v>
      </c>
      <c r="W167" s="32" t="n">
        <v>19.78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IF(B168=0,"",RANK(B168,$B$2:$B$339,0))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VADILALIND</t>
        </is>
      </c>
      <c r="D168" s="31" t="inlineStr">
        <is>
          <t>Vadilal Industries Limited</t>
        </is>
      </c>
      <c r="E168" s="31" t="inlineStr">
        <is>
          <t>fmcg</t>
        </is>
      </c>
      <c r="F168" s="31" t="inlineStr">
        <is>
          <t>food - processing - indian</t>
        </is>
      </c>
      <c r="G168" s="31" t="inlineStr">
        <is>
          <t>smallcap</t>
        </is>
      </c>
      <c r="H168" s="32" t="n">
        <v>4319.38</v>
      </c>
      <c r="I168" s="32" t="n">
        <v>6026.5</v>
      </c>
      <c r="J168" s="32" t="n">
        <v>0.29</v>
      </c>
      <c r="K168" s="32" t="n">
        <v>21305</v>
      </c>
      <c r="L168" s="31" t="n">
        <v>36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66.31</v>
      </c>
      <c r="P168" s="32" t="n">
        <v>15.06</v>
      </c>
      <c r="Q168" s="32" t="inlineStr"/>
      <c r="R168" s="31" t="inlineStr">
        <is>
          <t>Earnings / Momentum Support</t>
        </is>
      </c>
      <c r="S168" s="31" t="inlineStr">
        <is>
          <t>Nifty FMCG</t>
        </is>
      </c>
      <c r="T168" s="32" t="n">
        <v>-10.45</v>
      </c>
      <c r="U168" s="32" t="n">
        <v>13.05</v>
      </c>
      <c r="V168" s="32" t="n">
        <v>26.25</v>
      </c>
      <c r="W168" s="32" t="n">
        <v>8.98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IF(B169=0,"",RANK(B169,$B$2:$B$339,0))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SASKEN</t>
        </is>
      </c>
      <c r="D169" s="31" t="inlineStr">
        <is>
          <t>Sasken Communication Technologies Limited</t>
        </is>
      </c>
      <c r="E169" s="31" t="inlineStr">
        <is>
          <t>i.t</t>
        </is>
      </c>
      <c r="F169" s="31" t="inlineStr">
        <is>
          <t>computers - software - medium / small</t>
        </is>
      </c>
      <c r="G169" s="31" t="inlineStr">
        <is>
          <t>smallcap</t>
        </is>
      </c>
      <c r="H169" s="32" t="n">
        <v>3220.44</v>
      </c>
      <c r="I169" s="32" t="n">
        <v>2124.2</v>
      </c>
      <c r="J169" s="32" t="n">
        <v>0.17</v>
      </c>
      <c r="K169" s="32" t="n">
        <v>64436</v>
      </c>
      <c r="L169" s="31" t="n">
        <v>91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71.63</v>
      </c>
      <c r="P169" s="32" t="n">
        <v>34.11</v>
      </c>
      <c r="Q169" s="32" t="inlineStr"/>
      <c r="R169" s="31" t="inlineStr">
        <is>
          <t>Earnings / Momentum Support</t>
        </is>
      </c>
      <c r="S169" s="31" t="inlineStr">
        <is>
          <t>Nifty IT</t>
        </is>
      </c>
      <c r="T169" s="32" t="n">
        <v>-27.75</v>
      </c>
      <c r="U169" s="32" t="n">
        <v>47.33</v>
      </c>
      <c r="V169" s="32" t="n">
        <v>103.9</v>
      </c>
      <c r="W169" s="32" t="n">
        <v>37.76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Negative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IF(B170=0,"",RANK(B170,$B$2:$B$339,0))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SAILIFE</t>
        </is>
      </c>
      <c r="D170" s="31" t="inlineStr">
        <is>
          <t>Sai Life Sciences Ltd</t>
        </is>
      </c>
      <c r="E170" s="31" t="inlineStr">
        <is>
          <t>healthcare</t>
        </is>
      </c>
      <c r="F170" s="31" t="inlineStr">
        <is>
          <t>pharmaceuticals - indian - bulk drugs &amp; formln</t>
        </is>
      </c>
      <c r="G170" s="31" t="inlineStr">
        <is>
          <t>largecap</t>
        </is>
      </c>
      <c r="H170" s="32" t="n">
        <v>25796.83</v>
      </c>
      <c r="I170" s="32" t="n">
        <v>1207.9</v>
      </c>
      <c r="J170" s="32" t="n">
        <v>-0.84</v>
      </c>
      <c r="K170" s="32" t="n">
        <v>224144</v>
      </c>
      <c r="L170" s="31" t="n">
        <v>60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72.01000000000001</v>
      </c>
      <c r="P170" s="32" t="n">
        <v>28.89</v>
      </c>
      <c r="Q170" s="32" t="inlineStr"/>
      <c r="R170" s="31" t="inlineStr">
        <is>
          <t>Earnings / Momentum Support</t>
        </is>
      </c>
      <c r="S170" s="31" t="inlineStr">
        <is>
          <t>Nifty Pharma</t>
        </is>
      </c>
      <c r="T170" s="32" t="n">
        <v>10.89</v>
      </c>
      <c r="U170" s="32" t="n">
        <v>58.19</v>
      </c>
      <c r="V170" s="32" t="n">
        <v>42.66</v>
      </c>
      <c r="W170" s="32" t="n">
        <v>15.6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IF(B171=0,"",RANK(B171,$B$2:$B$339,0))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CAPLIPOINT</t>
        </is>
      </c>
      <c r="D171" s="31" t="inlineStr">
        <is>
          <t>Caplin Point Laboratories Limited</t>
        </is>
      </c>
      <c r="E171" s="31" t="inlineStr">
        <is>
          <t>healthcare</t>
        </is>
      </c>
      <c r="F171" s="31" t="inlineStr">
        <is>
          <t>pharmaceuticals - indian - formulations</t>
        </is>
      </c>
      <c r="G171" s="31" t="inlineStr">
        <is>
          <t>midcap</t>
        </is>
      </c>
      <c r="H171" s="32" t="n">
        <v>18302.1</v>
      </c>
      <c r="I171" s="32" t="n">
        <v>2364.6</v>
      </c>
      <c r="J171" s="32" t="n">
        <v>-1.79</v>
      </c>
      <c r="K171" s="32" t="n">
        <v>146915</v>
      </c>
      <c r="L171" s="31" t="n">
        <v>55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76.51000000000001</v>
      </c>
      <c r="P171" s="32" t="n">
        <v>25.49</v>
      </c>
      <c r="Q171" s="32" t="inlineStr"/>
      <c r="R171" s="31" t="inlineStr">
        <is>
          <t>Earnings / Momentum Support</t>
        </is>
      </c>
      <c r="S171" s="31" t="inlineStr">
        <is>
          <t>Nifty Pharma</t>
        </is>
      </c>
      <c r="T171" s="32" t="n">
        <v>10.89</v>
      </c>
      <c r="U171" s="32" t="n">
        <v>12.87</v>
      </c>
      <c r="V171" s="32" t="n">
        <v>1.78</v>
      </c>
      <c r="W171" s="32" t="n">
        <v>13.48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IF(B172=0,"",RANK(B172,$B$2:$B$339,0))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ABDL</t>
        </is>
      </c>
      <c r="D172" s="31" t="inlineStr">
        <is>
          <t>Allied Blenders &amp; Distillers Ltd</t>
        </is>
      </c>
      <c r="E172" s="31" t="inlineStr">
        <is>
          <t>fmcg</t>
        </is>
      </c>
      <c r="F172" s="31" t="inlineStr">
        <is>
          <t>breweries &amp; distilleries</t>
        </is>
      </c>
      <c r="G172" s="31" t="inlineStr">
        <is>
          <t>midcap</t>
        </is>
      </c>
      <c r="H172" s="32" t="n">
        <v>18025.92</v>
      </c>
      <c r="I172" s="32" t="n">
        <v>627.85</v>
      </c>
      <c r="J172" s="32" t="n">
        <v>-2.58</v>
      </c>
      <c r="K172" s="32" t="n">
        <v>554422</v>
      </c>
      <c r="L172" s="31" t="n">
        <v>75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63.2</v>
      </c>
      <c r="P172" s="32" t="n">
        <v>20.49</v>
      </c>
      <c r="Q172" s="32" t="inlineStr"/>
      <c r="R172" s="31" t="inlineStr">
        <is>
          <t>Earnings / Momentum Support</t>
        </is>
      </c>
      <c r="S172" s="31" t="inlineStr">
        <is>
          <t>Nifty FMCG</t>
        </is>
      </c>
      <c r="T172" s="32" t="n">
        <v>-10.45</v>
      </c>
      <c r="U172" s="32" t="n">
        <v>53.5</v>
      </c>
      <c r="V172" s="32" t="n">
        <v>71.41</v>
      </c>
      <c r="W172" s="32" t="n">
        <v>21.41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B2C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IF(B173=0,"",RANK(B173,$B$2:$B$339,0))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AARTIIND</t>
        </is>
      </c>
      <c r="D173" s="31" t="inlineStr">
        <is>
          <t>Aarti Industries Limited</t>
        </is>
      </c>
      <c r="E173" s="31" t="inlineStr">
        <is>
          <t>chemicals</t>
        </is>
      </c>
      <c r="F173" s="31" t="inlineStr">
        <is>
          <t>chemicals</t>
        </is>
      </c>
      <c r="G173" s="31" t="inlineStr">
        <is>
          <t>midcap</t>
        </is>
      </c>
      <c r="H173" s="32" t="n">
        <v>15975.91</v>
      </c>
      <c r="I173" s="32" t="n">
        <v>498.15</v>
      </c>
      <c r="J173" s="32" t="n">
        <v>13.06</v>
      </c>
      <c r="K173" s="32" t="n">
        <v>18246113</v>
      </c>
      <c r="L173" s="31" t="n">
        <v>3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51.03</v>
      </c>
      <c r="P173" s="32" t="n">
        <v>19.66</v>
      </c>
      <c r="Q173" s="32" t="inlineStr"/>
      <c r="R173" s="31" t="inlineStr">
        <is>
          <t>Volume Spike / Accumulation</t>
        </is>
      </c>
      <c r="S173" s="31" t="inlineStr">
        <is>
          <t>Nifty 50</t>
        </is>
      </c>
      <c r="T173" s="32" t="n">
        <v>-4.43</v>
      </c>
      <c r="U173" s="32" t="n">
        <v>-4.4</v>
      </c>
      <c r="V173" s="32" t="n">
        <v>0.04</v>
      </c>
      <c r="W173" s="32" t="n">
        <v>0.6899999999999999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Between 50% to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Between 0.7 to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IF(B174=0,"",RANK(B174,$B$2:$B$339,0))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GALAPREC</t>
        </is>
      </c>
      <c r="D174" s="31" t="inlineStr">
        <is>
          <t>Gala Precision Engineering Ltd</t>
        </is>
      </c>
      <c r="E174" s="31" t="inlineStr">
        <is>
          <t>industrials</t>
        </is>
      </c>
      <c r="F174" s="31" t="inlineStr">
        <is>
          <t>fasteners</t>
        </is>
      </c>
      <c r="G174" s="31" t="inlineStr">
        <is>
          <t>smallcap</t>
        </is>
      </c>
      <c r="H174" s="32" t="n">
        <v>1184.37</v>
      </c>
      <c r="I174" s="32" t="n">
        <v>1034.05</v>
      </c>
      <c r="J174" s="32" t="n">
        <v>11.32</v>
      </c>
      <c r="K174" s="32" t="n">
        <v>1718665</v>
      </c>
      <c r="L174" s="31" t="n">
        <v>23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65.48999999999999</v>
      </c>
      <c r="P174" s="32" t="n">
        <v>22.52</v>
      </c>
      <c r="Q174" s="32" t="inlineStr"/>
      <c r="R174" s="31" t="inlineStr">
        <is>
          <t>Volume Spike / Accumulation</t>
        </is>
      </c>
      <c r="S174" s="31" t="inlineStr">
        <is>
          <t>Nifty 50</t>
        </is>
      </c>
      <c r="T174" s="32" t="n">
        <v>-4.43</v>
      </c>
      <c r="U174" s="32" t="n">
        <v>3.28</v>
      </c>
      <c r="V174" s="32" t="n">
        <v>8.07</v>
      </c>
      <c r="W174" s="32" t="n">
        <v>6.06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IF(B175=0,"",RANK(B175,$B$2:$B$339,0))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FCL</t>
        </is>
      </c>
      <c r="D175" s="31" t="inlineStr">
        <is>
          <t>Fineotex Chemical Limited</t>
        </is>
      </c>
      <c r="E175" s="31" t="inlineStr">
        <is>
          <t>chemicals</t>
        </is>
      </c>
      <c r="F175" s="31" t="inlineStr">
        <is>
          <t>chemicals</t>
        </is>
      </c>
      <c r="G175" s="31" t="inlineStr">
        <is>
          <t>smallcap</t>
        </is>
      </c>
      <c r="H175" s="32" t="n">
        <v>4561.35</v>
      </c>
      <c r="I175" s="32" t="n">
        <v>41.5</v>
      </c>
      <c r="J175" s="32" t="n">
        <v>5.95</v>
      </c>
      <c r="K175" s="32" t="n">
        <v>17178538</v>
      </c>
      <c r="L175" s="31" t="n">
        <v>84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72.38</v>
      </c>
      <c r="P175" s="32" t="n">
        <v>33.74</v>
      </c>
      <c r="Q175" s="32" t="inlineStr"/>
      <c r="R175" s="31" t="inlineStr">
        <is>
          <t>Earnings / Momentum Support</t>
        </is>
      </c>
      <c r="S175" s="31" t="inlineStr">
        <is>
          <t>Nifty IT</t>
        </is>
      </c>
      <c r="T175" s="32" t="n">
        <v>-27.75</v>
      </c>
      <c r="U175" s="32" t="n">
        <v>48.01</v>
      </c>
      <c r="V175" s="32" t="n">
        <v>104.85</v>
      </c>
      <c r="W175" s="32" t="n">
        <v>27.77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Negative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IF(B176=0,"",RANK(B176,$B$2:$B$339,0))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HFCL</t>
        </is>
      </c>
      <c r="D176" s="31" t="inlineStr">
        <is>
          <t>HFCL Ltd</t>
        </is>
      </c>
      <c r="E176" s="31" t="inlineStr">
        <is>
          <t>telecom</t>
        </is>
      </c>
      <c r="F176" s="31" t="inlineStr">
        <is>
          <t>cables - telephone</t>
        </is>
      </c>
      <c r="G176" s="31" t="inlineStr">
        <is>
          <t>largecap</t>
        </is>
      </c>
      <c r="H176" s="32" t="n">
        <v>26304.93</v>
      </c>
      <c r="I176" s="32" t="n">
        <v>180.45</v>
      </c>
      <c r="J176" s="32" t="n">
        <v>5</v>
      </c>
      <c r="K176" s="32" t="n">
        <v>7783340</v>
      </c>
      <c r="L176" s="31" t="n">
        <v>96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79.31999999999999</v>
      </c>
      <c r="P176" s="32" t="n">
        <v>51.45</v>
      </c>
      <c r="Q176" s="32" t="inlineStr"/>
      <c r="R176" s="31" t="inlineStr">
        <is>
          <t>Earnings / Momentum Support</t>
        </is>
      </c>
      <c r="S176" s="31" t="inlineStr">
        <is>
          <t>Nifty Infra</t>
        </is>
      </c>
      <c r="T176" s="32" t="n">
        <v>2.95</v>
      </c>
      <c r="U176" s="32" t="n">
        <v>98.28</v>
      </c>
      <c r="V176" s="32" t="n">
        <v>92.59</v>
      </c>
      <c r="W176" s="32" t="n">
        <v>52.22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Oligopoly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Negative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IF(B177=0,"",RANK(B177,$B$2:$B$339,0))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UFBL</t>
        </is>
      </c>
      <c r="D177" s="31" t="inlineStr">
        <is>
          <t>United Foodbrands Ltd</t>
        </is>
      </c>
      <c r="E177" s="31" t="inlineStr">
        <is>
          <t>consumer discretionary</t>
        </is>
      </c>
      <c r="F177" s="31" t="inlineStr">
        <is>
          <t>hotels</t>
        </is>
      </c>
      <c r="G177" s="31" t="inlineStr">
        <is>
          <t>smallcap</t>
        </is>
      </c>
      <c r="H177" s="32" t="n">
        <v>2320.17</v>
      </c>
      <c r="I177" s="32" t="n">
        <v>614.95</v>
      </c>
      <c r="J177" s="32" t="n">
        <v>3.6</v>
      </c>
      <c r="K177" s="32" t="n">
        <v>269958</v>
      </c>
      <c r="L177" s="31" t="n">
        <v>98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81.64</v>
      </c>
      <c r="P177" s="32" t="n">
        <v>39.38</v>
      </c>
      <c r="Q177" s="32" t="inlineStr"/>
      <c r="R177" s="31" t="inlineStr">
        <is>
          <t>Earnings / Momentum Support</t>
        </is>
      </c>
      <c r="S177" s="31" t="inlineStr">
        <is>
          <t>Nifty 50</t>
        </is>
      </c>
      <c r="T177" s="32" t="n">
        <v>-4.43</v>
      </c>
      <c r="U177" s="32" t="n">
        <v>80.67</v>
      </c>
      <c r="V177" s="32" t="n">
        <v>89.05</v>
      </c>
      <c r="W177" s="32" t="n">
        <v>65.76000000000001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More than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IF(B178=0,"",RANK(B178,$B$2:$B$339,0))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OAL</t>
        </is>
      </c>
      <c r="D178" s="31" t="inlineStr">
        <is>
          <t>Oriental Aromatics Ltd</t>
        </is>
      </c>
      <c r="E178" s="31" t="inlineStr">
        <is>
          <t>chemicals</t>
        </is>
      </c>
      <c r="F178" s="31" t="inlineStr">
        <is>
          <t>chemicals</t>
        </is>
      </c>
      <c r="G178" s="31" t="inlineStr">
        <is>
          <t>smallcap</t>
        </is>
      </c>
      <c r="H178" s="32" t="n">
        <v>1100.47</v>
      </c>
      <c r="I178" s="32" t="n">
        <v>338.55</v>
      </c>
      <c r="J178" s="32" t="n">
        <v>3.53</v>
      </c>
      <c r="K178" s="32" t="n">
        <v>25594</v>
      </c>
      <c r="L178" s="31" t="n">
        <v>17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57.85</v>
      </c>
      <c r="P178" s="32" t="n">
        <v>23.34</v>
      </c>
      <c r="Q178" s="32" t="inlineStr"/>
      <c r="R178" s="31" t="inlineStr">
        <is>
          <t>Earnings / Momentum Support</t>
        </is>
      </c>
      <c r="S178" s="31" t="inlineStr">
        <is>
          <t>Nifty IT</t>
        </is>
      </c>
      <c r="T178" s="32" t="n">
        <v>-27.75</v>
      </c>
      <c r="U178" s="32" t="n">
        <v>-14.25</v>
      </c>
      <c r="V178" s="32" t="n">
        <v>18.67</v>
      </c>
      <c r="W178" s="32" t="n">
        <v>4.66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IF(B179=0,"",RANK(B179,$B$2:$B$339,0))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FIEMIND</t>
        </is>
      </c>
      <c r="D179" s="31" t="inlineStr">
        <is>
          <t>Fiem Industries Limited</t>
        </is>
      </c>
      <c r="E179" s="31" t="inlineStr">
        <is>
          <t>auto</t>
        </is>
      </c>
      <c r="F179" s="31" t="inlineStr">
        <is>
          <t>auto ancillaries</t>
        </is>
      </c>
      <c r="G179" s="31" t="inlineStr">
        <is>
          <t>midcap</t>
        </is>
      </c>
      <c r="H179" s="32" t="n">
        <v>6076.42</v>
      </c>
      <c r="I179" s="32" t="n">
        <v>2386.8</v>
      </c>
      <c r="J179" s="32" t="n">
        <v>3.38</v>
      </c>
      <c r="K179" s="32" t="n">
        <v>144754</v>
      </c>
      <c r="L179" s="31" t="n">
        <v>30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58.71</v>
      </c>
      <c r="P179" s="32" t="n">
        <v>16.62</v>
      </c>
      <c r="Q179" s="32" t="inlineStr"/>
      <c r="R179" s="31" t="inlineStr">
        <is>
          <t>Earnings / Momentum Support</t>
        </is>
      </c>
      <c r="S179" s="31" t="inlineStr">
        <is>
          <t>Nifty Auto</t>
        </is>
      </c>
      <c r="T179" s="32" t="n">
        <v>12.72</v>
      </c>
      <c r="U179" s="32" t="n">
        <v>23.85</v>
      </c>
      <c r="V179" s="32" t="n">
        <v>9.880000000000001</v>
      </c>
      <c r="W179" s="32" t="n">
        <v>7.36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IF(B180=0,"",RANK(B180,$B$2:$B$339,0))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WABAG</t>
        </is>
      </c>
      <c r="D180" s="31" t="inlineStr">
        <is>
          <t>Va Tech Wabag Limited</t>
        </is>
      </c>
      <c r="E180" s="31" t="inlineStr">
        <is>
          <t>realty</t>
        </is>
      </c>
      <c r="F180" s="31" t="inlineStr">
        <is>
          <t>engineering - turnkey services</t>
        </is>
      </c>
      <c r="G180" s="31" t="inlineStr">
        <is>
          <t>midcap</t>
        </is>
      </c>
      <c r="H180" s="32" t="n">
        <v>9831.209999999999</v>
      </c>
      <c r="I180" s="32" t="n">
        <v>1629.1</v>
      </c>
      <c r="J180" s="32" t="n">
        <v>3.25</v>
      </c>
      <c r="K180" s="32" t="n">
        <v>659667</v>
      </c>
      <c r="L180" s="31" t="n">
        <v>29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63.89</v>
      </c>
      <c r="P180" s="32" t="n">
        <v>13.98</v>
      </c>
      <c r="Q180" s="32" t="inlineStr"/>
      <c r="R180" s="31" t="inlineStr">
        <is>
          <t>Earnings / Momentum Support</t>
        </is>
      </c>
      <c r="S180" s="31" t="inlineStr">
        <is>
          <t>Nifty Realty</t>
        </is>
      </c>
      <c r="T180" s="32" t="n">
        <v>-23.58</v>
      </c>
      <c r="U180" s="32" t="n">
        <v>1.73</v>
      </c>
      <c r="V180" s="32" t="n">
        <v>33.12</v>
      </c>
      <c r="W180" s="32" t="n">
        <v>7.13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IF(B181=0,"",RANK(B181,$B$2:$B$339,0))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INDOTECH</t>
        </is>
      </c>
      <c r="D181" s="31" t="inlineStr">
        <is>
          <t>Indo Tech Transformers Limited</t>
        </is>
      </c>
      <c r="E181" s="31" t="inlineStr">
        <is>
          <t>industrials</t>
        </is>
      </c>
      <c r="F181" s="31" t="inlineStr">
        <is>
          <t>electric equipment</t>
        </is>
      </c>
      <c r="G181" s="31" t="inlineStr">
        <is>
          <t>smallcap</t>
        </is>
      </c>
      <c r="H181" s="32" t="n">
        <v>2765.45</v>
      </c>
      <c r="I181" s="32" t="n">
        <v>2676.5</v>
      </c>
      <c r="J181" s="32" t="n">
        <v>2.78</v>
      </c>
      <c r="K181" s="32" t="n">
        <v>28707</v>
      </c>
      <c r="L181" s="31" t="n">
        <v>87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64.52</v>
      </c>
      <c r="P181" s="32" t="n">
        <v>37.05</v>
      </c>
      <c r="Q181" s="32" t="inlineStr"/>
      <c r="R181" s="31" t="inlineStr">
        <is>
          <t>Earnings / Momentum Support</t>
        </is>
      </c>
      <c r="S181" s="31" t="inlineStr">
        <is>
          <t>Nifty 50</t>
        </is>
      </c>
      <c r="T181" s="32" t="n">
        <v>-4.43</v>
      </c>
      <c r="U181" s="32" t="n">
        <v>29.74</v>
      </c>
      <c r="V181" s="32" t="n">
        <v>35.76</v>
      </c>
      <c r="W181" s="32" t="n">
        <v>31.18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Between 12 to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Less than 50%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IF(B182=0,"",RANK(B182,$B$2:$B$339,0))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INDNIPPON</t>
        </is>
      </c>
      <c r="D182" s="31" t="inlineStr">
        <is>
          <t>India Nippon Electricals Limited</t>
        </is>
      </c>
      <c r="E182" s="31" t="inlineStr">
        <is>
          <t>auto</t>
        </is>
      </c>
      <c r="F182" s="31" t="inlineStr">
        <is>
          <t>auto ancillaries</t>
        </is>
      </c>
      <c r="G182" s="31" t="inlineStr">
        <is>
          <t>smallcap</t>
        </is>
      </c>
      <c r="H182" s="32" t="n">
        <v>2013.87</v>
      </c>
      <c r="I182" s="32" t="n">
        <v>913.6</v>
      </c>
      <c r="J182" s="32" t="n">
        <v>2.62</v>
      </c>
      <c r="K182" s="32" t="n">
        <v>33524</v>
      </c>
      <c r="L182" s="31" t="n">
        <v>38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59.04</v>
      </c>
      <c r="P182" s="32" t="n">
        <v>12.95</v>
      </c>
      <c r="Q182" s="32" t="inlineStr"/>
      <c r="R182" s="31" t="inlineStr">
        <is>
          <t>Earnings / Momentum Support</t>
        </is>
      </c>
      <c r="S182" s="31" t="inlineStr">
        <is>
          <t>Nifty Auto</t>
        </is>
      </c>
      <c r="T182" s="32" t="n">
        <v>12.72</v>
      </c>
      <c r="U182" s="32" t="n">
        <v>24.84</v>
      </c>
      <c r="V182" s="32" t="n">
        <v>10.76</v>
      </c>
      <c r="W182" s="32" t="n">
        <v>9.07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Less than 50%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IF(B183=0,"",RANK(B183,$B$2:$B$339,0))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UNIVCABLES</t>
        </is>
      </c>
      <c r="D183" s="31" t="inlineStr">
        <is>
          <t>Universal Cables Limited</t>
        </is>
      </c>
      <c r="E183" s="31" t="inlineStr">
        <is>
          <t>industrials</t>
        </is>
      </c>
      <c r="F183" s="31" t="inlineStr">
        <is>
          <t>cables - power</t>
        </is>
      </c>
      <c r="G183" s="31" t="inlineStr">
        <is>
          <t>smallcap</t>
        </is>
      </c>
      <c r="H183" s="32" t="n">
        <v>4082.26</v>
      </c>
      <c r="I183" s="32" t="n">
        <v>1203</v>
      </c>
      <c r="J183" s="32" t="n">
        <v>2.24</v>
      </c>
      <c r="K183" s="32" t="n">
        <v>285030</v>
      </c>
      <c r="L183" s="31" t="n">
        <v>93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66.20999999999999</v>
      </c>
      <c r="P183" s="32" t="n">
        <v>39.29</v>
      </c>
      <c r="Q183" s="32" t="inlineStr"/>
      <c r="R183" s="31" t="inlineStr">
        <is>
          <t>Earnings / Momentum Support</t>
        </is>
      </c>
      <c r="S183" s="31" t="inlineStr">
        <is>
          <t>Nifty Energy</t>
        </is>
      </c>
      <c r="T183" s="32" t="n">
        <v>9.800000000000001</v>
      </c>
      <c r="U183" s="32" t="n">
        <v>82.70999999999999</v>
      </c>
      <c r="V183" s="32" t="n">
        <v>66.40000000000001</v>
      </c>
      <c r="W183" s="32" t="n">
        <v>38.75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IF(B184=0,"",RANK(B184,$B$2:$B$339,0))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ITDC</t>
        </is>
      </c>
      <c r="D184" s="31" t="inlineStr">
        <is>
          <t>India Tourism Development Corporation Ltd</t>
        </is>
      </c>
      <c r="E184" s="31" t="inlineStr">
        <is>
          <t>services</t>
        </is>
      </c>
      <c r="F184" s="31" t="inlineStr">
        <is>
          <t>hotels</t>
        </is>
      </c>
      <c r="G184" s="31" t="inlineStr">
        <is>
          <t>midcap</t>
        </is>
      </c>
      <c r="H184" s="32" t="n">
        <v>5018.37</v>
      </c>
      <c r="I184" s="32" t="n">
        <v>598.05</v>
      </c>
      <c r="J184" s="32" t="n">
        <v>2.21</v>
      </c>
      <c r="K184" s="32" t="n">
        <v>704171</v>
      </c>
      <c r="L184" s="31" t="n">
        <v>34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53.01</v>
      </c>
      <c r="P184" s="32" t="n">
        <v>28.03</v>
      </c>
      <c r="Q184" s="32" t="inlineStr"/>
      <c r="R184" s="31" t="inlineStr">
        <is>
          <t>Earnings / Momentum Support</t>
        </is>
      </c>
      <c r="S184" s="31" t="inlineStr">
        <is>
          <t>Nifty 50</t>
        </is>
      </c>
      <c r="T184" s="32" t="n">
        <v>-4.43</v>
      </c>
      <c r="U184" s="32" t="n">
        <v>-1.14</v>
      </c>
      <c r="V184" s="32" t="n">
        <v>3.44</v>
      </c>
      <c r="W184" s="32" t="n">
        <v>8.109999999999999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IF(B185=0,"",RANK(B185,$B$2:$B$339,0))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CERA</t>
        </is>
      </c>
      <c r="D185" s="33" t="inlineStr">
        <is>
          <t>Cera Sanitaryware Limited</t>
        </is>
      </c>
      <c r="E185" s="31" t="inlineStr">
        <is>
          <t>building materials</t>
        </is>
      </c>
      <c r="F185" s="31" t="inlineStr">
        <is>
          <t>ceramics - tiles / sanitaryware</t>
        </is>
      </c>
      <c r="G185" s="31" t="inlineStr">
        <is>
          <t>midcap</t>
        </is>
      </c>
      <c r="H185" s="32" t="n">
        <v>7924.25</v>
      </c>
      <c r="I185" s="32" t="n">
        <v>6259</v>
      </c>
      <c r="J185" s="32" t="n">
        <v>1.87</v>
      </c>
      <c r="K185" s="32" t="n">
        <v>44984</v>
      </c>
      <c r="L185" s="31" t="n">
        <v>26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64.66</v>
      </c>
      <c r="P185" s="32" t="n">
        <v>29.03</v>
      </c>
      <c r="Q185" s="32" t="inlineStr"/>
      <c r="R185" s="31" t="inlineStr">
        <is>
          <t>Earnings / Momentum Support</t>
        </is>
      </c>
      <c r="S185" s="31" t="inlineStr">
        <is>
          <t>Nifty Infra</t>
        </is>
      </c>
      <c r="T185" s="32" t="n">
        <v>2.95</v>
      </c>
      <c r="U185" s="32" t="n">
        <v>-11.37</v>
      </c>
      <c r="V185" s="32" t="n">
        <v>-13.91</v>
      </c>
      <c r="W185" s="32" t="n">
        <v>6.4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IF(B186=0,"",RANK(B186,$B$2:$B$339,0))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NAZARA</t>
        </is>
      </c>
      <c r="D186" s="31" t="inlineStr">
        <is>
          <t>Nazara Technologies Ltd</t>
        </is>
      </c>
      <c r="E186" s="31" t="inlineStr">
        <is>
          <t>i.t</t>
        </is>
      </c>
      <c r="F186" s="31" t="inlineStr">
        <is>
          <t>telecommunications - service provider</t>
        </is>
      </c>
      <c r="G186" s="31" t="inlineStr">
        <is>
          <t>midcap</t>
        </is>
      </c>
      <c r="H186" s="32" t="n">
        <v>10589.74</v>
      </c>
      <c r="I186" s="32" t="n">
        <v>290.95</v>
      </c>
      <c r="J186" s="32" t="n">
        <v>1.78</v>
      </c>
      <c r="K186" s="32" t="n">
        <v>1750641</v>
      </c>
      <c r="L186" s="31" t="n">
        <v>7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55.72</v>
      </c>
      <c r="P186" s="32" t="n">
        <v>15.55</v>
      </c>
      <c r="Q186" s="32" t="inlineStr"/>
      <c r="R186" s="31" t="inlineStr">
        <is>
          <t>Earnings / Momentum Support</t>
        </is>
      </c>
      <c r="S186" s="31" t="inlineStr">
        <is>
          <t>Nifty IT</t>
        </is>
      </c>
      <c r="T186" s="32" t="n">
        <v>-27.75</v>
      </c>
      <c r="U186" s="32" t="n">
        <v>-13.89</v>
      </c>
      <c r="V186" s="32" t="n">
        <v>19.18</v>
      </c>
      <c r="W186" s="32" t="n">
        <v>2.19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Oligopoly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IF(B187=0,"",RANK(B187,$B$2:$B$339,0))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SUPRAJIT</t>
        </is>
      </c>
      <c r="D187" s="33" t="inlineStr">
        <is>
          <t>Suprajit Engineering Limited</t>
        </is>
      </c>
      <c r="E187" s="31" t="inlineStr">
        <is>
          <t>auto</t>
        </is>
      </c>
      <c r="F187" s="31" t="inlineStr">
        <is>
          <t>auto ancillaries</t>
        </is>
      </c>
      <c r="G187" s="31" t="inlineStr">
        <is>
          <t>midcap</t>
        </is>
      </c>
      <c r="H187" s="32" t="n">
        <v>6313.99</v>
      </c>
      <c r="I187" s="32" t="n">
        <v>468.35</v>
      </c>
      <c r="J187" s="32" t="n">
        <v>1.75</v>
      </c>
      <c r="K187" s="32" t="n">
        <v>312619</v>
      </c>
      <c r="L187" s="31" t="n">
        <v>10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54.86</v>
      </c>
      <c r="P187" s="32" t="n">
        <v>21.52</v>
      </c>
      <c r="Q187" s="32" t="inlineStr"/>
      <c r="R187" s="31" t="inlineStr">
        <is>
          <t>Earnings / Momentum Support</t>
        </is>
      </c>
      <c r="S187" s="31" t="inlineStr">
        <is>
          <t>Nifty Auto</t>
        </is>
      </c>
      <c r="T187" s="32" t="n">
        <v>12.72</v>
      </c>
      <c r="U187" s="32" t="n">
        <v>1.4</v>
      </c>
      <c r="V187" s="32" t="n">
        <v>-10.04</v>
      </c>
      <c r="W187" s="32" t="n">
        <v>3.36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Less than 50%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IF(B188=0,"",RANK(B188,$B$2:$B$339,0))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USHAMART</t>
        </is>
      </c>
      <c r="D188" s="31" t="inlineStr">
        <is>
          <t>Usha Martin Limited</t>
        </is>
      </c>
      <c r="E188" s="31" t="inlineStr">
        <is>
          <t>metals &amp; mining</t>
        </is>
      </c>
      <c r="F188" s="31" t="inlineStr">
        <is>
          <t>steel - medium / small</t>
        </is>
      </c>
      <c r="G188" s="31" t="inlineStr">
        <is>
          <t>midcap</t>
        </is>
      </c>
      <c r="H188" s="32" t="n">
        <v>14825.7</v>
      </c>
      <c r="I188" s="32" t="n">
        <v>494.95</v>
      </c>
      <c r="J188" s="32" t="n">
        <v>1.74</v>
      </c>
      <c r="K188" s="32" t="n">
        <v>407783</v>
      </c>
      <c r="L188" s="31" t="n">
        <v>57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62.03</v>
      </c>
      <c r="P188" s="32" t="n">
        <v>33.91</v>
      </c>
      <c r="Q188" s="32" t="inlineStr"/>
      <c r="R188" s="31" t="inlineStr">
        <is>
          <t>Earnings / Momentum Support</t>
        </is>
      </c>
      <c r="S188" s="31" t="inlineStr">
        <is>
          <t>Nifty Metal</t>
        </is>
      </c>
      <c r="T188" s="32" t="n">
        <v>38.84</v>
      </c>
      <c r="U188" s="32" t="n">
        <v>59.5</v>
      </c>
      <c r="V188" s="32" t="n">
        <v>14.89</v>
      </c>
      <c r="W188" s="32" t="n">
        <v>14.4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Cyclical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Volatile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IF(B189=0,"",RANK(B189,$B$2:$B$339,0))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WELENT</t>
        </is>
      </c>
      <c r="D189" s="31" t="inlineStr">
        <is>
          <t>Welspun Enterprises Limited</t>
        </is>
      </c>
      <c r="E189" s="31" t="inlineStr">
        <is>
          <t>realty</t>
        </is>
      </c>
      <c r="F189" s="31" t="inlineStr">
        <is>
          <t>construction</t>
        </is>
      </c>
      <c r="G189" s="31" t="inlineStr">
        <is>
          <t>midcap</t>
        </is>
      </c>
      <c r="H189" s="32" t="n">
        <v>7643.9</v>
      </c>
      <c r="I189" s="32" t="n">
        <v>560.35</v>
      </c>
      <c r="J189" s="32" t="n">
        <v>1.47</v>
      </c>
      <c r="K189" s="32" t="n">
        <v>167750</v>
      </c>
      <c r="L189" s="31" t="n">
        <v>20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62.69</v>
      </c>
      <c r="P189" s="32" t="n">
        <v>13.55</v>
      </c>
      <c r="Q189" s="32" t="inlineStr"/>
      <c r="R189" s="31" t="inlineStr">
        <is>
          <t>Earnings / Momentum Support</t>
        </is>
      </c>
      <c r="S189" s="31" t="inlineStr">
        <is>
          <t>Nifty Realty</t>
        </is>
      </c>
      <c r="T189" s="32" t="n">
        <v>-23.58</v>
      </c>
      <c r="U189" s="32" t="n">
        <v>7.88</v>
      </c>
      <c r="V189" s="32" t="n">
        <v>41.17</v>
      </c>
      <c r="W189" s="32" t="n">
        <v>5.34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Less than 50%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IF(B190=0,"",RANK(B190,$B$2:$B$339,0))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KIRLPNU</t>
        </is>
      </c>
      <c r="D190" s="31" t="inlineStr">
        <is>
          <t>Kirloskar Pneumatic Company Ltd</t>
        </is>
      </c>
      <c r="E190" s="31" t="inlineStr">
        <is>
          <t>industrials</t>
        </is>
      </c>
      <c r="F190" s="31" t="inlineStr">
        <is>
          <t>compressors / drilling equipment</t>
        </is>
      </c>
      <c r="G190" s="31" t="inlineStr">
        <is>
          <t>midcap</t>
        </is>
      </c>
      <c r="H190" s="32" t="n">
        <v>10432.29</v>
      </c>
      <c r="I190" s="32" t="n">
        <v>1629.2</v>
      </c>
      <c r="J190" s="32" t="n">
        <v>1.44</v>
      </c>
      <c r="K190" s="32" t="n">
        <v>84431</v>
      </c>
      <c r="L190" s="31" t="n">
        <v>62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75.06</v>
      </c>
      <c r="P190" s="32" t="n">
        <v>38.91</v>
      </c>
      <c r="Q190" s="32" t="inlineStr"/>
      <c r="R190" s="31" t="inlineStr">
        <is>
          <t>Earnings / Momentum Support</t>
        </is>
      </c>
      <c r="S190" s="31" t="inlineStr">
        <is>
          <t>Nifty 50</t>
        </is>
      </c>
      <c r="T190" s="32" t="n">
        <v>-4.43</v>
      </c>
      <c r="U190" s="32" t="n">
        <v>22.47</v>
      </c>
      <c r="V190" s="32" t="n">
        <v>28.15</v>
      </c>
      <c r="W190" s="32" t="n">
        <v>16.05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Above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Between 50% to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IF(B191=0,"",RANK(B191,$B$2:$B$339,0))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CENTUM</t>
        </is>
      </c>
      <c r="D191" s="31" t="inlineStr">
        <is>
          <t>Centum Electronics Limited</t>
        </is>
      </c>
      <c r="E191" s="31" t="inlineStr">
        <is>
          <t>consumer discretionary</t>
        </is>
      </c>
      <c r="F191" s="31" t="inlineStr">
        <is>
          <t>electronics - components</t>
        </is>
      </c>
      <c r="G191" s="31" t="inlineStr">
        <is>
          <t>midcap</t>
        </is>
      </c>
      <c r="H191" s="32" t="n">
        <v>5281.4</v>
      </c>
      <c r="I191" s="32" t="n">
        <v>3626.6</v>
      </c>
      <c r="J191" s="32" t="n">
        <v>1.22</v>
      </c>
      <c r="K191" s="32" t="n">
        <v>97703</v>
      </c>
      <c r="L191" s="31" t="n">
        <v>67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68.41</v>
      </c>
      <c r="P191" s="32" t="n">
        <v>57.68</v>
      </c>
      <c r="Q191" s="32" t="inlineStr"/>
      <c r="R191" s="31" t="inlineStr">
        <is>
          <t>Earnings / Momentum Support</t>
        </is>
      </c>
      <c r="S191" s="31" t="inlineStr">
        <is>
          <t>Nifty Infra</t>
        </is>
      </c>
      <c r="T191" s="32" t="n">
        <v>2.95</v>
      </c>
      <c r="U191" s="32" t="n">
        <v>60.28</v>
      </c>
      <c r="V191" s="32" t="n">
        <v>55.69</v>
      </c>
      <c r="W191" s="32" t="n">
        <v>18.05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Less than 50%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IF(B192=0,"",RANK(B192,$B$2:$B$339,0))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CARBORUNIV</t>
        </is>
      </c>
      <c r="D192" s="31" t="inlineStr">
        <is>
          <t>Carborundum Universal Limited</t>
        </is>
      </c>
      <c r="E192" s="31" t="inlineStr">
        <is>
          <t>industrials</t>
        </is>
      </c>
      <c r="F192" s="31" t="inlineStr">
        <is>
          <t>abrasives and grinding wheels</t>
        </is>
      </c>
      <c r="G192" s="31" t="inlineStr">
        <is>
          <t>largecap</t>
        </is>
      </c>
      <c r="H192" s="32" t="n">
        <v>20060.77</v>
      </c>
      <c r="I192" s="32" t="n">
        <v>1065.9</v>
      </c>
      <c r="J192" s="32" t="n">
        <v>1.22</v>
      </c>
      <c r="K192" s="32" t="n">
        <v>142437</v>
      </c>
      <c r="L192" s="31" t="n">
        <v>48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64.48</v>
      </c>
      <c r="P192" s="32" t="n">
        <v>33.27</v>
      </c>
      <c r="Q192" s="32" t="inlineStr"/>
      <c r="R192" s="31" t="inlineStr">
        <is>
          <t>Earnings / Momentum Support</t>
        </is>
      </c>
      <c r="S192" s="31" t="inlineStr">
        <is>
          <t>Nifty 50</t>
        </is>
      </c>
      <c r="T192" s="32" t="n">
        <v>-4.43</v>
      </c>
      <c r="U192" s="32" t="n">
        <v>11.29</v>
      </c>
      <c r="V192" s="32" t="n">
        <v>16.45</v>
      </c>
      <c r="W192" s="32" t="n">
        <v>11.62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IF(B193=0,"",RANK(B193,$B$2:$B$339,0))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JSWINFRA</t>
        </is>
      </c>
      <c r="D193" s="31" t="inlineStr">
        <is>
          <t>JSW Infrastructure Ltd</t>
        </is>
      </c>
      <c r="E193" s="31" t="inlineStr">
        <is>
          <t>transportation</t>
        </is>
      </c>
      <c r="F193" s="31" t="inlineStr">
        <is>
          <t>miscellaneous</t>
        </is>
      </c>
      <c r="G193" s="31" t="inlineStr">
        <is>
          <t>largecap</t>
        </is>
      </c>
      <c r="H193" s="32" t="n">
        <v>61110.05</v>
      </c>
      <c r="I193" s="32" t="n">
        <v>294.45</v>
      </c>
      <c r="J193" s="32" t="n">
        <v>1.19</v>
      </c>
      <c r="K193" s="32" t="n">
        <v>4516301</v>
      </c>
      <c r="L193" s="31" t="n">
        <v>9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58.89</v>
      </c>
      <c r="P193" s="32" t="n">
        <v>20.45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-4.43</v>
      </c>
      <c r="U193" s="32" t="n">
        <v>-3.54</v>
      </c>
      <c r="V193" s="32" t="n">
        <v>0.93</v>
      </c>
      <c r="W193" s="32" t="n">
        <v>2.71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IF(B194=0,"",RANK(B194,$B$2:$B$339,0))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ASTRAMICRO</t>
        </is>
      </c>
      <c r="D194" s="31" t="inlineStr">
        <is>
          <t>Astra Microwave Products Limited</t>
        </is>
      </c>
      <c r="E194" s="31" t="inlineStr">
        <is>
          <t>aerospace &amp; defence</t>
        </is>
      </c>
      <c r="F194" s="31" t="inlineStr">
        <is>
          <t>telecommunications - equipment</t>
        </is>
      </c>
      <c r="G194" s="31" t="inlineStr">
        <is>
          <t>midcap</t>
        </is>
      </c>
      <c r="H194" s="32" t="n">
        <v>13708.16</v>
      </c>
      <c r="I194" s="32" t="n">
        <v>1458</v>
      </c>
      <c r="J194" s="32" t="n">
        <v>0.98</v>
      </c>
      <c r="K194" s="32" t="n">
        <v>807916</v>
      </c>
      <c r="L194" s="31" t="n">
        <v>63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76.25</v>
      </c>
      <c r="P194" s="32" t="n">
        <v>32.25</v>
      </c>
      <c r="Q194" s="32" t="inlineStr"/>
      <c r="R194" s="31" t="inlineStr">
        <is>
          <t>Earnings / Momentum Support</t>
        </is>
      </c>
      <c r="S194" s="31" t="inlineStr">
        <is>
          <t>Nifty 50</t>
        </is>
      </c>
      <c r="T194" s="32" t="n">
        <v>-4.43</v>
      </c>
      <c r="U194" s="32" t="n">
        <v>26.63</v>
      </c>
      <c r="V194" s="32" t="n">
        <v>32.5</v>
      </c>
      <c r="W194" s="32" t="n">
        <v>16.34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Oligopoly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Yes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Between 1.5 to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IF(B195=0,"",RANK(B195,$B$2:$B$339,0))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AETHER</t>
        </is>
      </c>
      <c r="D195" s="31" t="inlineStr">
        <is>
          <t>Aether Industries Ltd</t>
        </is>
      </c>
      <c r="E195" s="31" t="inlineStr">
        <is>
          <t>chemicals</t>
        </is>
      </c>
      <c r="F195" s="31" t="inlineStr">
        <is>
          <t>chemicals</t>
        </is>
      </c>
      <c r="G195" s="31" t="inlineStr">
        <is>
          <t>midcap</t>
        </is>
      </c>
      <c r="H195" s="32" t="n">
        <v>15163.98</v>
      </c>
      <c r="I195" s="32" t="n">
        <v>1149.6</v>
      </c>
      <c r="J195" s="32" t="n">
        <v>0.59</v>
      </c>
      <c r="K195" s="32" t="n">
        <v>135913</v>
      </c>
      <c r="L195" s="31" t="n">
        <v>46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58.44</v>
      </c>
      <c r="P195" s="32" t="n">
        <v>49.72</v>
      </c>
      <c r="Q195" s="32" t="inlineStr"/>
      <c r="R195" s="31" t="inlineStr">
        <is>
          <t>Earnings / Momentum Support</t>
        </is>
      </c>
      <c r="S195" s="31" t="inlineStr">
        <is>
          <t>Nifty 50</t>
        </is>
      </c>
      <c r="T195" s="32" t="n">
        <v>-4.43</v>
      </c>
      <c r="U195" s="32" t="n">
        <v>44.23</v>
      </c>
      <c r="V195" s="32" t="n">
        <v>50.92</v>
      </c>
      <c r="W195" s="32" t="n">
        <v>10.93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Less than 50%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IF(B196=0,"",RANK(B196,$B$2:$B$339,0))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BOSCHLTD</t>
        </is>
      </c>
      <c r="D196" s="31" t="inlineStr">
        <is>
          <t>Bosch Limited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largecap</t>
        </is>
      </c>
      <c r="H196" s="32" t="n">
        <v>115202.16</v>
      </c>
      <c r="I196" s="32" t="n">
        <v>39070</v>
      </c>
      <c r="J196" s="32" t="n">
        <v>0.03</v>
      </c>
      <c r="K196" s="32" t="n">
        <v>45458</v>
      </c>
      <c r="L196" s="31" t="n">
        <v>51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59.08</v>
      </c>
      <c r="P196" s="32" t="n">
        <v>20.41</v>
      </c>
      <c r="Q196" s="32" t="inlineStr"/>
      <c r="R196" s="31" t="inlineStr">
        <is>
          <t>Earnings / Momentum Support</t>
        </is>
      </c>
      <c r="S196" s="31" t="inlineStr">
        <is>
          <t>Nifty Auto</t>
        </is>
      </c>
      <c r="T196" s="32" t="n">
        <v>12.72</v>
      </c>
      <c r="U196" s="32" t="n">
        <v>25.34</v>
      </c>
      <c r="V196" s="32" t="n">
        <v>11.2</v>
      </c>
      <c r="W196" s="32" t="n">
        <v>12.21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IF(B197=0,"",RANK(B197,$B$2:$B$339,0))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HONAUT</t>
        </is>
      </c>
      <c r="D197" s="33" t="inlineStr">
        <is>
          <t>Honeywell Automation India Limited</t>
        </is>
      </c>
      <c r="E197" s="31" t="inlineStr">
        <is>
          <t>consumer discretionary</t>
        </is>
      </c>
      <c r="F197" s="31" t="inlineStr">
        <is>
          <t>electronics - components</t>
        </is>
      </c>
      <c r="G197" s="31" t="inlineStr">
        <is>
          <t>largecap</t>
        </is>
      </c>
      <c r="H197" s="32" t="n">
        <v>31970.95</v>
      </c>
      <c r="I197" s="32" t="n">
        <v>35905</v>
      </c>
      <c r="J197" s="32" t="n">
        <v>-0.71</v>
      </c>
      <c r="K197" s="32" t="n">
        <v>4789</v>
      </c>
      <c r="L197" s="31" t="n">
        <v>13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60.13</v>
      </c>
      <c r="P197" s="32" t="n">
        <v>22.89</v>
      </c>
      <c r="Q197" s="32" t="inlineStr"/>
      <c r="R197" s="31" t="inlineStr">
        <is>
          <t>Earnings / Momentum Support</t>
        </is>
      </c>
      <c r="S197" s="31" t="inlineStr">
        <is>
          <t>Nifty 500</t>
        </is>
      </c>
      <c r="T197" s="32" t="n">
        <v>-1.34</v>
      </c>
      <c r="U197" s="32" t="n">
        <v>-4.88</v>
      </c>
      <c r="V197" s="32" t="n">
        <v>-3.59</v>
      </c>
      <c r="W197" s="32" t="n">
        <v>3.66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Between 12 to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IF(B198=0,"",RANK(B198,$B$2:$B$339,0))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KPRMILL</t>
        </is>
      </c>
      <c r="D198" s="31" t="inlineStr">
        <is>
          <t>K.p.r. Mill Limited</t>
        </is>
      </c>
      <c r="E198" s="31" t="inlineStr">
        <is>
          <t>consumer discretionary</t>
        </is>
      </c>
      <c r="F198" s="31" t="inlineStr">
        <is>
          <t>textiles - products</t>
        </is>
      </c>
      <c r="G198" s="31" t="inlineStr">
        <is>
          <t>largecap</t>
        </is>
      </c>
      <c r="H198" s="32" t="n">
        <v>36430.54</v>
      </c>
      <c r="I198" s="32" t="n">
        <v>1055.45</v>
      </c>
      <c r="J198" s="32" t="n">
        <v>-0.97</v>
      </c>
      <c r="K198" s="32" t="n">
        <v>225571</v>
      </c>
      <c r="L198" s="31" t="n">
        <v>23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63.29</v>
      </c>
      <c r="P198" s="32" t="n">
        <v>25.3</v>
      </c>
      <c r="Q198" s="32" t="inlineStr"/>
      <c r="R198" s="31" t="inlineStr">
        <is>
          <t>Earnings / Momentum Support</t>
        </is>
      </c>
      <c r="S198" s="31" t="inlineStr">
        <is>
          <t>Nifty 50</t>
        </is>
      </c>
      <c r="T198" s="32" t="n">
        <v>-4.43</v>
      </c>
      <c r="U198" s="32" t="n">
        <v>-2.17</v>
      </c>
      <c r="V198" s="32" t="n">
        <v>2.36</v>
      </c>
      <c r="W198" s="32" t="n">
        <v>5.86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IF(B199=0,"",RANK(B199,$B$2:$B$339,0))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PREMEXPLN</t>
        </is>
      </c>
      <c r="D199" s="31" t="inlineStr">
        <is>
          <t>Premier Explosives Limited</t>
        </is>
      </c>
      <c r="E199" s="31" t="inlineStr">
        <is>
          <t>aerospace &amp; defence</t>
        </is>
      </c>
      <c r="F199" s="31" t="inlineStr">
        <is>
          <t>chemicals</t>
        </is>
      </c>
      <c r="G199" s="31" t="inlineStr">
        <is>
          <t>smallcap</t>
        </is>
      </c>
      <c r="H199" s="32" t="n">
        <v>3723.77</v>
      </c>
      <c r="I199" s="32" t="n">
        <v>683.3</v>
      </c>
      <c r="J199" s="32" t="n">
        <v>-1.35</v>
      </c>
      <c r="K199" s="32" t="n">
        <v>651573</v>
      </c>
      <c r="L199" s="31" t="n">
        <v>61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67.75</v>
      </c>
      <c r="P199" s="32" t="n">
        <v>21.34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-4.43</v>
      </c>
      <c r="U199" s="32" t="n">
        <v>13.92</v>
      </c>
      <c r="V199" s="32" t="n">
        <v>19.21</v>
      </c>
      <c r="W199" s="32" t="n">
        <v>15.75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Negative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IF(B200=0,"",RANK(B200,$B$2:$B$339,0))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WALCHANNAG</t>
        </is>
      </c>
      <c r="D200" s="31" t="inlineStr">
        <is>
          <t>Walchandnagar Industries Limited</t>
        </is>
      </c>
      <c r="E200" s="31" t="inlineStr">
        <is>
          <t>industrials</t>
        </is>
      </c>
      <c r="F200" s="31" t="inlineStr">
        <is>
          <t>engineering</t>
        </is>
      </c>
      <c r="G200" s="31" t="inlineStr">
        <is>
          <t>smallcap</t>
        </is>
      </c>
      <c r="H200" s="32" t="n">
        <v>1800.87</v>
      </c>
      <c r="I200" s="32" t="n">
        <v>261.8</v>
      </c>
      <c r="J200" s="32" t="n">
        <v>-1.38</v>
      </c>
      <c r="K200" s="32" t="n">
        <v>2665858</v>
      </c>
      <c r="L200" s="31" t="n">
        <v>75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66.36</v>
      </c>
      <c r="P200" s="32" t="n">
        <v>28.43</v>
      </c>
      <c r="Q200" s="32" t="inlineStr"/>
      <c r="R200" s="31" t="inlineStr">
        <is>
          <t>Earnings / Momentum Support</t>
        </is>
      </c>
      <c r="S200" s="31" t="inlineStr">
        <is>
          <t>Nifty Infra</t>
        </is>
      </c>
      <c r="T200" s="32" t="n">
        <v>2.95</v>
      </c>
      <c r="U200" s="32" t="n">
        <v>9.789999999999999</v>
      </c>
      <c r="V200" s="32" t="n">
        <v>6.65</v>
      </c>
      <c r="W200" s="32" t="n">
        <v>21.65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Negative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IF(B201=0,"",RANK(B201,$B$2:$B$339,0))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DATAPATTNS</t>
        </is>
      </c>
      <c r="D201" s="31" t="inlineStr">
        <is>
          <t>Data Patterns (India) Ltd</t>
        </is>
      </c>
      <c r="E201" s="31" t="inlineStr">
        <is>
          <t>aerospace &amp; defence</t>
        </is>
      </c>
      <c r="F201" s="31" t="inlineStr">
        <is>
          <t>electronics - components</t>
        </is>
      </c>
      <c r="G201" s="31" t="inlineStr">
        <is>
          <t>largecap</t>
        </is>
      </c>
      <c r="H201" s="32" t="n">
        <v>25448.63</v>
      </c>
      <c r="I201" s="32" t="n">
        <v>4425.5</v>
      </c>
      <c r="J201" s="32" t="n">
        <v>-2.64</v>
      </c>
      <c r="K201" s="32" t="n">
        <v>1568503</v>
      </c>
      <c r="L201" s="31" t="n">
        <v>70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74.08</v>
      </c>
      <c r="P201" s="32" t="n">
        <v>29.72</v>
      </c>
      <c r="Q201" s="32" t="inlineStr"/>
      <c r="R201" s="31" t="inlineStr">
        <is>
          <t>Earnings / Momentum Support</t>
        </is>
      </c>
      <c r="S201" s="31" t="inlineStr">
        <is>
          <t>Nifty 50</t>
        </is>
      </c>
      <c r="T201" s="32" t="n">
        <v>-4.43</v>
      </c>
      <c r="U201" s="32" t="n">
        <v>51.85</v>
      </c>
      <c r="V201" s="32" t="n">
        <v>58.89</v>
      </c>
      <c r="W201" s="32" t="n">
        <v>18.59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Less than 50%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IF(B202=0,"",RANK(B202,$B$2:$B$339,0))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BALRAMCHIN</t>
        </is>
      </c>
      <c r="D202" s="33" t="inlineStr">
        <is>
          <t>Balrampur Chini Mills Limited</t>
        </is>
      </c>
      <c r="E202" s="31" t="inlineStr">
        <is>
          <t>fmcg</t>
        </is>
      </c>
      <c r="F202" s="31" t="inlineStr">
        <is>
          <t>sugar</t>
        </is>
      </c>
      <c r="G202" s="31" t="inlineStr">
        <is>
          <t>midcap</t>
        </is>
      </c>
      <c r="H202" s="32" t="n">
        <v>11407.37</v>
      </c>
      <c r="I202" s="32" t="n">
        <v>551.6</v>
      </c>
      <c r="J202" s="32" t="n">
        <v>2.16</v>
      </c>
      <c r="K202" s="32" t="n">
        <v>1156477</v>
      </c>
      <c r="L202" s="31" t="n">
        <v>3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63.31</v>
      </c>
      <c r="P202" s="32" t="n">
        <v>20.01</v>
      </c>
      <c r="Q202" s="32" t="inlineStr"/>
      <c r="R202" s="31" t="inlineStr">
        <is>
          <t>Earnings / Momentum Support</t>
        </is>
      </c>
      <c r="S202" s="31" t="inlineStr">
        <is>
          <t>Nifty FMCG</t>
        </is>
      </c>
      <c r="T202" s="32" t="n">
        <v>-10.45</v>
      </c>
      <c r="U202" s="32" t="n">
        <v>-10.86</v>
      </c>
      <c r="V202" s="32" t="n">
        <v>-0.45</v>
      </c>
      <c r="W202" s="32" t="n">
        <v>0.64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B2C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IF(B203=0,"",RANK(B203,$B$2:$B$339,0))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VIYASH</t>
        </is>
      </c>
      <c r="D203" s="31" t="inlineStr">
        <is>
          <t>Viyash Scientific Ltd</t>
        </is>
      </c>
      <c r="E203" s="31" t="inlineStr">
        <is>
          <t>healthcare</t>
        </is>
      </c>
      <c r="F203" s="31" t="inlineStr">
        <is>
          <t>pharmaceuticals - indian - bulk drugs &amp; formln</t>
        </is>
      </c>
      <c r="G203" s="31" t="inlineStr">
        <is>
          <t>midcap</t>
        </is>
      </c>
      <c r="H203" s="32" t="n">
        <v>10919.09</v>
      </c>
      <c r="I203" s="32" t="n">
        <v>249.95</v>
      </c>
      <c r="J203" s="32" t="n">
        <v>0</v>
      </c>
      <c r="K203" s="32" t="n">
        <v>1820263</v>
      </c>
      <c r="L203" s="31" t="n">
        <v>46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65.16</v>
      </c>
      <c r="P203" s="32" t="n">
        <v>32.65</v>
      </c>
      <c r="Q203" s="32" t="inlineStr"/>
      <c r="R203" s="31" t="inlineStr">
        <is>
          <t>Earnings / Momentum Support</t>
        </is>
      </c>
      <c r="S203" s="31" t="inlineStr">
        <is>
          <t>Nifty Pharma</t>
        </is>
      </c>
      <c r="T203" s="32" t="n">
        <v>10.89</v>
      </c>
      <c r="U203" s="32" t="n">
        <v>26.71</v>
      </c>
      <c r="V203" s="32" t="n">
        <v>14.26</v>
      </c>
      <c r="W203" s="32" t="n">
        <v>10.98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Less than 50%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IF(B204=0,"",RANK(B204,$B$2:$B$339,0))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AKUMS</t>
        </is>
      </c>
      <c r="D204" s="33" t="inlineStr">
        <is>
          <t>Akums Drugs &amp; Pharmaceuticals Ltd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midcap</t>
        </is>
      </c>
      <c r="H204" s="32" t="n">
        <v>9804.07</v>
      </c>
      <c r="I204" s="32" t="n">
        <v>619.95</v>
      </c>
      <c r="J204" s="32" t="n">
        <v>-0.47</v>
      </c>
      <c r="K204" s="32" t="n">
        <v>438245</v>
      </c>
      <c r="L204" s="31" t="n">
        <v>40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71.76000000000001</v>
      </c>
      <c r="P204" s="32" t="n">
        <v>39.05</v>
      </c>
      <c r="Q204" s="32" t="inlineStr"/>
      <c r="R204" s="31" t="inlineStr">
        <is>
          <t>Earnings / Momentum Support</t>
        </is>
      </c>
      <c r="S204" s="31" t="inlineStr">
        <is>
          <t>Nifty Pharma</t>
        </is>
      </c>
      <c r="T204" s="32" t="n">
        <v>10.89</v>
      </c>
      <c r="U204" s="32" t="n">
        <v>8.84</v>
      </c>
      <c r="V204" s="32" t="n">
        <v>-1.85</v>
      </c>
      <c r="W204" s="32" t="n">
        <v>9.67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IF(B205=0,"",RANK(B205,$B$2:$B$339,0))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FORTIS</t>
        </is>
      </c>
      <c r="D205" s="31" t="inlineStr">
        <is>
          <t>Fortis Healthcare Limited</t>
        </is>
      </c>
      <c r="E205" s="31" t="inlineStr">
        <is>
          <t>healthcare</t>
        </is>
      </c>
      <c r="F205" s="31" t="inlineStr">
        <is>
          <t>healthcare</t>
        </is>
      </c>
      <c r="G205" s="31" t="inlineStr">
        <is>
          <t>largecap</t>
        </is>
      </c>
      <c r="H205" s="32" t="n">
        <v>74767.28</v>
      </c>
      <c r="I205" s="32" t="n">
        <v>980.15</v>
      </c>
      <c r="J205" s="32" t="n">
        <v>-1.03</v>
      </c>
      <c r="K205" s="32" t="n">
        <v>1246775</v>
      </c>
      <c r="L205" s="31" t="n">
        <v>43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61.5</v>
      </c>
      <c r="P205" s="32" t="n">
        <v>14.98</v>
      </c>
      <c r="Q205" s="32" t="inlineStr"/>
      <c r="R205" s="31" t="inlineStr">
        <is>
          <t>Earnings / Momentum Support</t>
        </is>
      </c>
      <c r="S205" s="31" t="inlineStr">
        <is>
          <t>Nifty Pharma</t>
        </is>
      </c>
      <c r="T205" s="32" t="n">
        <v>10.89</v>
      </c>
      <c r="U205" s="32" t="n">
        <v>31.5</v>
      </c>
      <c r="V205" s="32" t="n">
        <v>18.58</v>
      </c>
      <c r="W205" s="32" t="n">
        <v>10.17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Between 1.5 to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IF(B206=0,"",RANK(B206,$B$2:$B$339,0))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RAMCOSYS</t>
        </is>
      </c>
      <c r="D206" s="31" t="inlineStr">
        <is>
          <t>Ramco Systems Limited</t>
        </is>
      </c>
      <c r="E206" s="31" t="inlineStr">
        <is>
          <t>i.t</t>
        </is>
      </c>
      <c r="F206" s="31" t="inlineStr">
        <is>
          <t>computers - software - medium / small</t>
        </is>
      </c>
      <c r="G206" s="31" t="inlineStr">
        <is>
          <t>smallcap</t>
        </is>
      </c>
      <c r="H206" s="32" t="n">
        <v>2103.11</v>
      </c>
      <c r="I206" s="32" t="n">
        <v>548.15</v>
      </c>
      <c r="J206" s="32" t="n">
        <v>-2.49</v>
      </c>
      <c r="K206" s="32" t="n">
        <v>312179</v>
      </c>
      <c r="L206" s="31" t="n">
        <v>66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61.21</v>
      </c>
      <c r="P206" s="32" t="n">
        <v>16.94</v>
      </c>
      <c r="Q206" s="32" t="inlineStr"/>
      <c r="R206" s="31" t="inlineStr">
        <is>
          <t>Earnings / Momentum Support</t>
        </is>
      </c>
      <c r="S206" s="31" t="inlineStr">
        <is>
          <t>Nifty IT</t>
        </is>
      </c>
      <c r="T206" s="32" t="n">
        <v>-27.75</v>
      </c>
      <c r="U206" s="32" t="n">
        <v>32.22</v>
      </c>
      <c r="V206" s="32" t="n">
        <v>83</v>
      </c>
      <c r="W206" s="32" t="n">
        <v>17.38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IF(B207=0,"",RANK(B207,$B$2:$B$339,0))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THELEELA</t>
        </is>
      </c>
      <c r="D207" s="31" t="inlineStr">
        <is>
          <t>Leela Palaces Hotels &amp; Resorts Ltd</t>
        </is>
      </c>
      <c r="E207" s="31" t="inlineStr">
        <is>
          <t>services</t>
        </is>
      </c>
      <c r="F207" s="31" t="inlineStr">
        <is>
          <t>hotels</t>
        </is>
      </c>
      <c r="G207" s="31" t="inlineStr">
        <is>
          <t>midcap</t>
        </is>
      </c>
      <c r="H207" s="32" t="n">
        <v>14353.51</v>
      </c>
      <c r="I207" s="32" t="n">
        <v>458.2</v>
      </c>
      <c r="J207" s="32" t="n">
        <v>6.61</v>
      </c>
      <c r="K207" s="32" t="n">
        <v>1861102</v>
      </c>
      <c r="L207" s="31" t="n">
        <v>5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49.32</v>
      </c>
      <c r="P207" s="32" t="n">
        <v>5.83</v>
      </c>
      <c r="Q207" s="32" t="inlineStr"/>
      <c r="R207" s="31" t="inlineStr">
        <is>
          <t>Earnings / Momentum Support</t>
        </is>
      </c>
      <c r="S207" s="31" t="inlineStr">
        <is>
          <t>Nifty 50</t>
        </is>
      </c>
      <c r="T207" s="32" t="n">
        <v>-4.43</v>
      </c>
      <c r="U207" s="32" t="n">
        <v>6.82</v>
      </c>
      <c r="V207" s="32" t="n">
        <v>11.78</v>
      </c>
      <c r="W207" s="32" t="n">
        <v>1.33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Below 45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Between 1.5 to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IF(B208=0,"",RANK(B208,$B$2:$B$339,0))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AVL</t>
        </is>
      </c>
      <c r="D208" s="31" t="inlineStr">
        <is>
          <t>Aditya Vision Ltd</t>
        </is>
      </c>
      <c r="E208" s="31" t="inlineStr">
        <is>
          <t>consumer discretionary</t>
        </is>
      </c>
      <c r="F208" s="31" t="inlineStr">
        <is>
          <t>trading</t>
        </is>
      </c>
      <c r="G208" s="31" t="inlineStr">
        <is>
          <t>midcap</t>
        </is>
      </c>
      <c r="H208" s="32" t="n">
        <v>6933.42</v>
      </c>
      <c r="I208" s="32" t="n">
        <v>567.4</v>
      </c>
      <c r="J208" s="32" t="n">
        <v>5.68</v>
      </c>
      <c r="K208" s="32" t="n">
        <v>472944</v>
      </c>
      <c r="L208" s="31" t="n">
        <v>49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56.07</v>
      </c>
      <c r="P208" s="32" t="n">
        <v>21.78</v>
      </c>
      <c r="Q208" s="32" t="inlineStr"/>
      <c r="R208" s="31" t="inlineStr">
        <is>
          <t>Earnings / Momentum Support</t>
        </is>
      </c>
      <c r="S208" s="31" t="inlineStr">
        <is>
          <t>Nifty 50</t>
        </is>
      </c>
      <c r="T208" s="32" t="n">
        <v>-4.43</v>
      </c>
      <c r="U208" s="32" t="n">
        <v>41.32</v>
      </c>
      <c r="V208" s="32" t="n">
        <v>47.87</v>
      </c>
      <c r="W208" s="32" t="n">
        <v>11.97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Between 1.5 to 2</t>
        </is>
      </c>
      <c r="BU208" s="31">
        <f>IF(BT208="Above 2",0,IF(BT208="Between 1.5 to 2",5,IF(BT208="Less than 1.5",10,0)))</f>
        <v/>
      </c>
      <c r="BV208" s="31" t="inlineStr">
        <is>
          <t>Less than 50%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IF(B209=0,"",RANK(B209,$B$2:$B$339,0))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VAIBHAVGBL</t>
        </is>
      </c>
      <c r="D209" s="33" t="inlineStr">
        <is>
          <t>Vaibhav Global Limited</t>
        </is>
      </c>
      <c r="E209" s="31" t="inlineStr">
        <is>
          <t>consumer discretionary</t>
        </is>
      </c>
      <c r="F209" s="31" t="inlineStr">
        <is>
          <t>diamond cutting / jewellery</t>
        </is>
      </c>
      <c r="G209" s="31" t="inlineStr">
        <is>
          <t>smallcap</t>
        </is>
      </c>
      <c r="H209" s="32" t="n">
        <v>3850.24</v>
      </c>
      <c r="I209" s="32" t="n">
        <v>242.22</v>
      </c>
      <c r="J209" s="32" t="n">
        <v>5.1</v>
      </c>
      <c r="K209" s="32" t="n">
        <v>774412</v>
      </c>
      <c r="L209" s="31" t="n">
        <v>4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53.2</v>
      </c>
      <c r="P209" s="32" t="n">
        <v>11</v>
      </c>
      <c r="Q209" s="32" t="inlineStr"/>
      <c r="R209" s="31" t="inlineStr">
        <is>
          <t>Earnings / Momentum Support</t>
        </is>
      </c>
      <c r="S209" s="31" t="inlineStr">
        <is>
          <t>Nifty 50</t>
        </is>
      </c>
      <c r="T209" s="32" t="n">
        <v>-4.43</v>
      </c>
      <c r="U209" s="32" t="n">
        <v>-5.99</v>
      </c>
      <c r="V209" s="32" t="n">
        <v>-1.63</v>
      </c>
      <c r="W209" s="32" t="n">
        <v>1.08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IF(B210=0,"",RANK(B210,$B$2:$B$339,0))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APARINDS</t>
        </is>
      </c>
      <c r="D210" s="31" t="inlineStr">
        <is>
          <t>Apar Industries Limited</t>
        </is>
      </c>
      <c r="E210" s="31" t="inlineStr">
        <is>
          <t>industrials</t>
        </is>
      </c>
      <c r="F210" s="31" t="inlineStr">
        <is>
          <t>electric equipment</t>
        </is>
      </c>
      <c r="G210" s="31" t="inlineStr">
        <is>
          <t>largecap</t>
        </is>
      </c>
      <c r="H210" s="32" t="n">
        <v>61140.19</v>
      </c>
      <c r="I210" s="32" t="n">
        <v>15986</v>
      </c>
      <c r="J210" s="32" t="n">
        <v>5.03</v>
      </c>
      <c r="K210" s="32" t="n">
        <v>235859</v>
      </c>
      <c r="L210" s="31" t="n">
        <v>87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76.68000000000001</v>
      </c>
      <c r="P210" s="32" t="n">
        <v>41.55</v>
      </c>
      <c r="Q210" s="32" t="inlineStr"/>
      <c r="R210" s="31" t="inlineStr">
        <is>
          <t>Earnings / Momentum Support</t>
        </is>
      </c>
      <c r="S210" s="31" t="inlineStr">
        <is>
          <t>Nifty 50</t>
        </is>
      </c>
      <c r="T210" s="32" t="n">
        <v>-4.43</v>
      </c>
      <c r="U210" s="32" t="n">
        <v>93.92</v>
      </c>
      <c r="V210" s="32" t="n">
        <v>102.92</v>
      </c>
      <c r="W210" s="32" t="n">
        <v>30.56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IF(B211=0,"",RANK(B211,$B$2:$B$339,0))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CRAFTSMAN</t>
        </is>
      </c>
      <c r="D211" s="31" t="inlineStr">
        <is>
          <t>Craftsman Automation Ltd</t>
        </is>
      </c>
      <c r="E211" s="31" t="inlineStr">
        <is>
          <t>auto</t>
        </is>
      </c>
      <c r="F211" s="31" t="inlineStr">
        <is>
          <t>auto ancillaries</t>
        </is>
      </c>
      <c r="G211" s="31" t="inlineStr">
        <is>
          <t>largecap</t>
        </is>
      </c>
      <c r="H211" s="32" t="n">
        <v>21273.22</v>
      </c>
      <c r="I211" s="32" t="n">
        <v>9337</v>
      </c>
      <c r="J211" s="32" t="n">
        <v>4.7</v>
      </c>
      <c r="K211" s="32" t="n">
        <v>109175</v>
      </c>
      <c r="L211" s="31" t="n">
        <v>70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64.23</v>
      </c>
      <c r="P211" s="32" t="n">
        <v>36.62</v>
      </c>
      <c r="Q211" s="32" t="inlineStr"/>
      <c r="R211" s="31" t="inlineStr">
        <is>
          <t>Earnings / Momentum Support</t>
        </is>
      </c>
      <c r="S211" s="31" t="inlineStr">
        <is>
          <t>Nifty Auto</t>
        </is>
      </c>
      <c r="T211" s="32" t="n">
        <v>12.72</v>
      </c>
      <c r="U211" s="32" t="n">
        <v>68.34999999999999</v>
      </c>
      <c r="V211" s="32" t="n">
        <v>49.36</v>
      </c>
      <c r="W211" s="32" t="n">
        <v>18.71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Less than 50% and Borrowings are increasing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IF(B212=0,"",RANK(B212,$B$2:$B$339,0))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INGERRAND</t>
        </is>
      </c>
      <c r="D212" s="31" t="inlineStr">
        <is>
          <t>Ingersoll Rand (india) Limited</t>
        </is>
      </c>
      <c r="E212" s="31" t="inlineStr">
        <is>
          <t>industrials</t>
        </is>
      </c>
      <c r="F212" s="31" t="inlineStr">
        <is>
          <t>compressors / drilling equipment</t>
        </is>
      </c>
      <c r="G212" s="31" t="inlineStr">
        <is>
          <t>midcap</t>
        </is>
      </c>
      <c r="H212" s="32" t="n">
        <v>13085.25</v>
      </c>
      <c r="I212" s="32" t="n">
        <v>4326.1</v>
      </c>
      <c r="J212" s="32" t="n">
        <v>4.37</v>
      </c>
      <c r="K212" s="32" t="n">
        <v>37192</v>
      </c>
      <c r="L212" s="31" t="n">
        <v>17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54.29</v>
      </c>
      <c r="P212" s="32" t="n">
        <v>22.7</v>
      </c>
      <c r="Q212" s="32" t="inlineStr"/>
      <c r="R212" s="31" t="inlineStr">
        <is>
          <t>Earnings / Momentum Support</t>
        </is>
      </c>
      <c r="S212" s="31" t="inlineStr">
        <is>
          <t>Nifty 50</t>
        </is>
      </c>
      <c r="T212" s="32" t="n">
        <v>-4.43</v>
      </c>
      <c r="U212" s="32" t="n">
        <v>10.35</v>
      </c>
      <c r="V212" s="32" t="n">
        <v>15.47</v>
      </c>
      <c r="W212" s="32" t="n">
        <v>4.69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IF(B213=0,"",RANK(B213,$B$2:$B$339,0))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MINDACORP</t>
        </is>
      </c>
      <c r="D213" s="31" t="inlineStr">
        <is>
          <t>Minda Corporation Limited</t>
        </is>
      </c>
      <c r="E213" s="31" t="inlineStr">
        <is>
          <t>auto</t>
        </is>
      </c>
      <c r="F213" s="31" t="inlineStr">
        <is>
          <t>auto ancillaries</t>
        </is>
      </c>
      <c r="G213" s="31" t="inlineStr">
        <is>
          <t>midcap</t>
        </is>
      </c>
      <c r="H213" s="32" t="n">
        <v>15234.14</v>
      </c>
      <c r="I213" s="32" t="n">
        <v>662.55</v>
      </c>
      <c r="J213" s="32" t="n">
        <v>3.98</v>
      </c>
      <c r="K213" s="32" t="n">
        <v>1844349</v>
      </c>
      <c r="L213" s="31" t="n">
        <v>46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64.18000000000001</v>
      </c>
      <c r="P213" s="32" t="n">
        <v>19.26</v>
      </c>
      <c r="Q213" s="32" t="inlineStr"/>
      <c r="R213" s="31" t="inlineStr">
        <is>
          <t>Earnings / Momentum Support</t>
        </is>
      </c>
      <c r="S213" s="31" t="inlineStr">
        <is>
          <t>Nifty Auto</t>
        </is>
      </c>
      <c r="T213" s="32" t="n">
        <v>12.72</v>
      </c>
      <c r="U213" s="32" t="n">
        <v>16.8</v>
      </c>
      <c r="V213" s="32" t="n">
        <v>3.62</v>
      </c>
      <c r="W213" s="32" t="n">
        <v>11.07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IF(B214=0,"",RANK(B214,$B$2:$B$339,0))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TIRUPATIFL</t>
        </is>
      </c>
      <c r="D214" s="31" t="inlineStr">
        <is>
          <t>Tirupati Forge Ltd</t>
        </is>
      </c>
      <c r="E214" s="31" t="inlineStr">
        <is>
          <t>industrials</t>
        </is>
      </c>
      <c r="F214" s="31" t="inlineStr">
        <is>
          <t>castings &amp; forgings</t>
        </is>
      </c>
      <c r="G214" s="31" t="inlineStr">
        <is>
          <t>smallcap</t>
        </is>
      </c>
      <c r="H214" s="32" t="n">
        <v>582.91</v>
      </c>
      <c r="I214" s="32" t="n">
        <v>46.78</v>
      </c>
      <c r="J214" s="32" t="n">
        <v>3.68</v>
      </c>
      <c r="K214" s="32" t="n">
        <v>327346</v>
      </c>
      <c r="L214" s="31" t="n">
        <v>14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57.11</v>
      </c>
      <c r="P214" s="32" t="n">
        <v>29.99</v>
      </c>
      <c r="Q214" s="32" t="inlineStr"/>
      <c r="R214" s="31" t="inlineStr">
        <is>
          <t>Earnings / Momentum Support</t>
        </is>
      </c>
      <c r="S214" s="31" t="inlineStr">
        <is>
          <t>Nifty 50</t>
        </is>
      </c>
      <c r="T214" s="32" t="n">
        <v>-4.43</v>
      </c>
      <c r="U214" s="32" t="n">
        <v>8.44</v>
      </c>
      <c r="V214" s="32" t="n">
        <v>13.47</v>
      </c>
      <c r="W214" s="32" t="n">
        <v>3.72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IF(B215=0,"",RANK(B215,$B$2:$B$339,0))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JINDALSAW</t>
        </is>
      </c>
      <c r="D215" s="33" t="inlineStr">
        <is>
          <t>Jindal Saw Limited</t>
        </is>
      </c>
      <c r="E215" s="31" t="inlineStr">
        <is>
          <t>industrials</t>
        </is>
      </c>
      <c r="F215" s="31" t="inlineStr">
        <is>
          <t>steel - large</t>
        </is>
      </c>
      <c r="G215" s="31" t="inlineStr">
        <is>
          <t>midcap</t>
        </is>
      </c>
      <c r="H215" s="32" t="n">
        <v>15252.27</v>
      </c>
      <c r="I215" s="32" t="n">
        <v>246.31</v>
      </c>
      <c r="J215" s="32" t="n">
        <v>3.27</v>
      </c>
      <c r="K215" s="32" t="n">
        <v>2767217</v>
      </c>
      <c r="L215" s="31" t="n">
        <v>28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59.32</v>
      </c>
      <c r="P215" s="32" t="n">
        <v>30.33</v>
      </c>
      <c r="Q215" s="32" t="inlineStr"/>
      <c r="R215" s="31" t="inlineStr">
        <is>
          <t>Earnings / Momentum Support</t>
        </is>
      </c>
      <c r="S215" s="31" t="inlineStr">
        <is>
          <t>Nifty Metal</t>
        </is>
      </c>
      <c r="T215" s="32" t="n">
        <v>38.84</v>
      </c>
      <c r="U215" s="32" t="n">
        <v>0.57</v>
      </c>
      <c r="V215" s="32" t="n">
        <v>-27.56</v>
      </c>
      <c r="W215" s="32" t="n">
        <v>6.94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IF(B216=0,"",RANK(B216,$B$2:$B$339,0))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AIAENG</t>
        </is>
      </c>
      <c r="D216" s="31" t="inlineStr">
        <is>
          <t>Aia Engineering Limited</t>
        </is>
      </c>
      <c r="E216" s="31" t="inlineStr">
        <is>
          <t>industrials</t>
        </is>
      </c>
      <c r="F216" s="31" t="inlineStr">
        <is>
          <t>castings &amp; forgings</t>
        </is>
      </c>
      <c r="G216" s="31" t="inlineStr">
        <is>
          <t>largecap</t>
        </is>
      </c>
      <c r="H216" s="32" t="n">
        <v>40442.25</v>
      </c>
      <c r="I216" s="32" t="n">
        <v>4469.2</v>
      </c>
      <c r="J216" s="32" t="n">
        <v>3.13</v>
      </c>
      <c r="K216" s="32" t="n">
        <v>58196</v>
      </c>
      <c r="L216" s="31" t="n">
        <v>38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61.17</v>
      </c>
      <c r="P216" s="32" t="n">
        <v>19.08</v>
      </c>
      <c r="Q216" s="32" t="inlineStr"/>
      <c r="R216" s="31" t="inlineStr">
        <is>
          <t>Earnings / Momentum Support</t>
        </is>
      </c>
      <c r="S216" s="31" t="inlineStr">
        <is>
          <t>Nifty 50</t>
        </is>
      </c>
      <c r="T216" s="32" t="n">
        <v>-4.43</v>
      </c>
      <c r="U216" s="32" t="n">
        <v>26.5</v>
      </c>
      <c r="V216" s="32" t="n">
        <v>32.37</v>
      </c>
      <c r="W216" s="32" t="n">
        <v>9.16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Less than 50%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IF(B217=0,"",RANK(B217,$B$2:$B$339,0))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GMRAIRPORT</t>
        </is>
      </c>
      <c r="D217" s="31" t="inlineStr">
        <is>
          <t>GMR Airports Ltd</t>
        </is>
      </c>
      <c r="E217" s="31" t="inlineStr">
        <is>
          <t>miscellaneous</t>
        </is>
      </c>
      <c r="F217" s="31" t="inlineStr">
        <is>
          <t>miscellaneous</t>
        </is>
      </c>
      <c r="G217" s="31" t="inlineStr">
        <is>
          <t>largecap</t>
        </is>
      </c>
      <c r="H217" s="32" t="n">
        <v>109443.79</v>
      </c>
      <c r="I217" s="32" t="n">
        <v>106.66</v>
      </c>
      <c r="J217" s="32" t="n">
        <v>2.9</v>
      </c>
      <c r="K217" s="32" t="n">
        <v>23906470</v>
      </c>
      <c r="L217" s="31" t="n">
        <v>37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59.01</v>
      </c>
      <c r="P217" s="32" t="n">
        <v>12.78</v>
      </c>
      <c r="Q217" s="32" t="inlineStr"/>
      <c r="R217" s="31" t="inlineStr">
        <is>
          <t>Earnings / Momentum Support</t>
        </is>
      </c>
      <c r="S217" s="31" t="inlineStr">
        <is>
          <t>Nifty 50</t>
        </is>
      </c>
      <c r="T217" s="32" t="n">
        <v>-4.43</v>
      </c>
      <c r="U217" s="32" t="n">
        <v>28.12</v>
      </c>
      <c r="V217" s="32" t="n">
        <v>34.06</v>
      </c>
      <c r="W217" s="32" t="n">
        <v>9.02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IF(B218=0,"",RANK(B218,$B$2:$B$339,0))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KSB</t>
        </is>
      </c>
      <c r="D218" s="31" t="inlineStr">
        <is>
          <t>KSB Ltd</t>
        </is>
      </c>
      <c r="E218" s="31" t="inlineStr">
        <is>
          <t>industrials</t>
        </is>
      </c>
      <c r="F218" s="31" t="inlineStr">
        <is>
          <t>pumps</t>
        </is>
      </c>
      <c r="G218" s="31" t="inlineStr">
        <is>
          <t>midcap</t>
        </is>
      </c>
      <c r="H218" s="32" t="n">
        <v>14528.79</v>
      </c>
      <c r="I218" s="32" t="n">
        <v>855.3</v>
      </c>
      <c r="J218" s="32" t="n">
        <v>2.46</v>
      </c>
      <c r="K218" s="32" t="n">
        <v>374055</v>
      </c>
      <c r="L218" s="31" t="n">
        <v>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52.42</v>
      </c>
      <c r="P218" s="32" t="n">
        <v>27.53</v>
      </c>
      <c r="Q218" s="32" t="inlineStr"/>
      <c r="R218" s="31" t="inlineStr">
        <is>
          <t>Earnings / Momentum Support</t>
        </is>
      </c>
      <c r="S218" s="31" t="inlineStr">
        <is>
          <t>Nifty 50</t>
        </is>
      </c>
      <c r="T218" s="32" t="n">
        <v>-4.43</v>
      </c>
      <c r="U218" s="32" t="n">
        <v>1.35</v>
      </c>
      <c r="V218" s="32" t="n">
        <v>6.05</v>
      </c>
      <c r="W218" s="32" t="n">
        <v>2.87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IF(B219=0,"",RANK(B219,$B$2:$B$339,0))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CGPOWER</t>
        </is>
      </c>
      <c r="D219" s="31" t="inlineStr">
        <is>
          <t>CG Power and Industrial Solutions Ltd</t>
        </is>
      </c>
      <c r="E219" s="31" t="inlineStr">
        <is>
          <t>industrials</t>
        </is>
      </c>
      <c r="F219" s="31" t="inlineStr">
        <is>
          <t>electric equipment</t>
        </is>
      </c>
      <c r="G219" s="31" t="inlineStr">
        <is>
          <t>largecap</t>
        </is>
      </c>
      <c r="H219" s="32" t="n">
        <v>144018.67</v>
      </c>
      <c r="I219" s="32" t="n">
        <v>935.5</v>
      </c>
      <c r="J219" s="32" t="n">
        <v>2.3</v>
      </c>
      <c r="K219" s="32" t="n">
        <v>2742582</v>
      </c>
      <c r="L219" s="31" t="n">
        <v>54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68.95</v>
      </c>
      <c r="P219" s="32" t="n">
        <v>27.75</v>
      </c>
      <c r="Q219" s="32" t="inlineStr"/>
      <c r="R219" s="31" t="inlineStr">
        <is>
          <t>Earnings / Momentum Support</t>
        </is>
      </c>
      <c r="S219" s="31" t="inlineStr">
        <is>
          <t>Nifty 500</t>
        </is>
      </c>
      <c r="T219" s="32" t="n">
        <v>-1.34</v>
      </c>
      <c r="U219" s="32" t="n">
        <v>36.34</v>
      </c>
      <c r="V219" s="32" t="n">
        <v>38.19</v>
      </c>
      <c r="W219" s="32" t="n">
        <v>13.22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Less than 50%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IF(B220=0,"",RANK(B220,$B$2:$B$339,0))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KAJARIACER</t>
        </is>
      </c>
      <c r="D220" s="31" t="inlineStr">
        <is>
          <t>Kajaria Ceramics Limited</t>
        </is>
      </c>
      <c r="E220" s="31" t="inlineStr">
        <is>
          <t>building materials</t>
        </is>
      </c>
      <c r="F220" s="31" t="inlineStr">
        <is>
          <t>ceramics - tiles / sanitaryware</t>
        </is>
      </c>
      <c r="G220" s="31" t="inlineStr">
        <is>
          <t>midcap</t>
        </is>
      </c>
      <c r="H220" s="32" t="n">
        <v>17238.04</v>
      </c>
      <c r="I220" s="32" t="n">
        <v>1106.2</v>
      </c>
      <c r="J220" s="32" t="n">
        <v>2.21</v>
      </c>
      <c r="K220" s="32" t="n">
        <v>113822</v>
      </c>
      <c r="L220" s="31" t="n">
        <v>22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52.66</v>
      </c>
      <c r="P220" s="32" t="n">
        <v>17.29</v>
      </c>
      <c r="Q220" s="32" t="inlineStr"/>
      <c r="R220" s="31" t="inlineStr">
        <is>
          <t>Earnings / Momentum Support</t>
        </is>
      </c>
      <c r="S220" s="31" t="inlineStr">
        <is>
          <t>Nifty Infra</t>
        </is>
      </c>
      <c r="T220" s="32" t="n">
        <v>2.95</v>
      </c>
      <c r="U220" s="32" t="n">
        <v>4.94</v>
      </c>
      <c r="V220" s="32" t="n">
        <v>1.93</v>
      </c>
      <c r="W220" s="32" t="n">
        <v>5.74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IF(B221=0,"",RANK(B221,$B$2:$B$339,0))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TVSSRICHAK</t>
        </is>
      </c>
      <c r="D221" s="31" t="inlineStr">
        <is>
          <t>Tvs Srichakra Limited</t>
        </is>
      </c>
      <c r="E221" s="31" t="inlineStr">
        <is>
          <t>auto</t>
        </is>
      </c>
      <c r="F221" s="31" t="inlineStr">
        <is>
          <t>tyres</t>
        </is>
      </c>
      <c r="G221" s="31" t="inlineStr">
        <is>
          <t>smallcap</t>
        </is>
      </c>
      <c r="H221" s="32" t="n">
        <v>3051.64</v>
      </c>
      <c r="I221" s="32" t="n">
        <v>4057.2</v>
      </c>
      <c r="J221" s="32" t="n">
        <v>1.8</v>
      </c>
      <c r="K221" s="32" t="n">
        <v>11410</v>
      </c>
      <c r="L221" s="31" t="n">
        <v>43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53.99</v>
      </c>
      <c r="P221" s="32" t="n">
        <v>11.01</v>
      </c>
      <c r="Q221" s="32" t="inlineStr"/>
      <c r="R221" s="31" t="inlineStr">
        <is>
          <t>Earnings / Momentum Support</t>
        </is>
      </c>
      <c r="S221" s="31" t="inlineStr">
        <is>
          <t>Nifty Auto</t>
        </is>
      </c>
      <c r="T221" s="32" t="n">
        <v>12.72</v>
      </c>
      <c r="U221" s="32" t="n">
        <v>27.7</v>
      </c>
      <c r="V221" s="32" t="n">
        <v>13.29</v>
      </c>
      <c r="W221" s="32" t="n">
        <v>10.2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IF(B222=0,"",RANK(B222,$B$2:$B$339,0))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DLINKINDIA</t>
        </is>
      </c>
      <c r="D222" s="31" t="inlineStr">
        <is>
          <t>D-link (india) Limited</t>
        </is>
      </c>
      <c r="E222" s="31" t="inlineStr">
        <is>
          <t>services</t>
        </is>
      </c>
      <c r="F222" s="31" t="inlineStr">
        <is>
          <t>trading</t>
        </is>
      </c>
      <c r="G222" s="31" t="inlineStr">
        <is>
          <t>smallcap</t>
        </is>
      </c>
      <c r="H222" s="32" t="n">
        <v>1781.1</v>
      </c>
      <c r="I222" s="32" t="n">
        <v>509.1</v>
      </c>
      <c r="J222" s="32" t="n">
        <v>1.49</v>
      </c>
      <c r="K222" s="32" t="n">
        <v>138419</v>
      </c>
      <c r="L222" s="31" t="n">
        <v>25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65.59</v>
      </c>
      <c r="P222" s="32" t="n">
        <v>29.07</v>
      </c>
      <c r="Q222" s="32" t="inlineStr"/>
      <c r="R222" s="31" t="inlineStr">
        <is>
          <t>Earnings / Momentum Support</t>
        </is>
      </c>
      <c r="S222" s="31" t="inlineStr">
        <is>
          <t>Nifty 50</t>
        </is>
      </c>
      <c r="T222" s="32" t="n">
        <v>-4.43</v>
      </c>
      <c r="U222" s="32" t="n">
        <v>-3.36</v>
      </c>
      <c r="V222" s="32" t="n">
        <v>1.12</v>
      </c>
      <c r="W222" s="32" t="n">
        <v>6.28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Less than 50%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IF(B223=0,"",RANK(B223,$B$2:$B$339,0))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ASAHIINDIA</t>
        </is>
      </c>
      <c r="D223" s="31" t="inlineStr">
        <is>
          <t>Asahi India Glass Limited</t>
        </is>
      </c>
      <c r="E223" s="31" t="inlineStr">
        <is>
          <t>building materials</t>
        </is>
      </c>
      <c r="F223" s="31" t="inlineStr">
        <is>
          <t>glass &amp; glass products</t>
        </is>
      </c>
      <c r="G223" s="31" t="inlineStr">
        <is>
          <t>largecap</t>
        </is>
      </c>
      <c r="H223" s="32" t="n">
        <v>22525.37</v>
      </c>
      <c r="I223" s="32" t="n">
        <v>892.85</v>
      </c>
      <c r="J223" s="32" t="n">
        <v>1.05</v>
      </c>
      <c r="K223" s="32" t="n">
        <v>42685</v>
      </c>
      <c r="L223" s="31" t="n">
        <v>21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50.99</v>
      </c>
      <c r="P223" s="32" t="n">
        <v>11.55</v>
      </c>
      <c r="Q223" s="32" t="inlineStr"/>
      <c r="R223" s="31" t="inlineStr">
        <is>
          <t>Earnings / Momentum Support</t>
        </is>
      </c>
      <c r="S223" s="31" t="inlineStr">
        <is>
          <t>Nifty Infra</t>
        </is>
      </c>
      <c r="T223" s="32" t="n">
        <v>2.95</v>
      </c>
      <c r="U223" s="32" t="n">
        <v>19.57</v>
      </c>
      <c r="V223" s="32" t="n">
        <v>16.14</v>
      </c>
      <c r="W223" s="32" t="n">
        <v>5.69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Between 1.5 to 2</t>
        </is>
      </c>
      <c r="BU223" s="31">
        <f>IF(BT223="Above 2",0,IF(BT223="Between 1.5 to 2",5,IF(BT223="Less than 1.5",10,0)))</f>
        <v/>
      </c>
      <c r="BV223" s="31" t="inlineStr">
        <is>
          <t>Between 50% to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IF(B224=0,"",RANK(B224,$B$2:$B$339,0))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RPEL</t>
        </is>
      </c>
      <c r="D224" s="31" t="inlineStr">
        <is>
          <t>Raghav Productivity Enhancers Ltd</t>
        </is>
      </c>
      <c r="E224" s="31" t="inlineStr">
        <is>
          <t>building materials</t>
        </is>
      </c>
      <c r="F224" s="31" t="inlineStr">
        <is>
          <t>refractories / intermediates</t>
        </is>
      </c>
      <c r="G224" s="31" t="inlineStr">
        <is>
          <t>midcap</t>
        </is>
      </c>
      <c r="H224" s="32" t="n">
        <v>5459.16</v>
      </c>
      <c r="I224" s="32" t="n">
        <v>1199.9</v>
      </c>
      <c r="J224" s="32" t="n">
        <v>0.91</v>
      </c>
      <c r="K224" s="32" t="n">
        <v>135079</v>
      </c>
      <c r="L224" s="31" t="n">
        <v>89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77.06999999999999</v>
      </c>
      <c r="P224" s="32" t="n">
        <v>32.01</v>
      </c>
      <c r="Q224" s="32" t="inlineStr"/>
      <c r="R224" s="31" t="inlineStr">
        <is>
          <t>Earnings / Momentum Support</t>
        </is>
      </c>
      <c r="S224" s="31" t="inlineStr">
        <is>
          <t>Nifty Infra</t>
        </is>
      </c>
      <c r="T224" s="32" t="n">
        <v>2.95</v>
      </c>
      <c r="U224" s="32" t="n">
        <v>68.70999999999999</v>
      </c>
      <c r="V224" s="32" t="n">
        <v>63.88</v>
      </c>
      <c r="W224" s="32" t="n">
        <v>34.87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Above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IF(B225=0,"",RANK(B225,$B$2:$B$339,0))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CHAMBLFERT</t>
        </is>
      </c>
      <c r="D225" s="33" t="inlineStr">
        <is>
          <t>Chambal Fertilizers &amp; Chemicals Limited</t>
        </is>
      </c>
      <c r="E225" s="31" t="inlineStr">
        <is>
          <t>chemicals</t>
        </is>
      </c>
      <c r="F225" s="31" t="inlineStr">
        <is>
          <t>fertilizers</t>
        </is>
      </c>
      <c r="G225" s="31" t="inlineStr">
        <is>
          <t>midcap</t>
        </is>
      </c>
      <c r="H225" s="32" t="n">
        <v>18838.67</v>
      </c>
      <c r="I225" s="32" t="n">
        <v>474.1</v>
      </c>
      <c r="J225" s="32" t="n">
        <v>0.83</v>
      </c>
      <c r="K225" s="32" t="n">
        <v>684749</v>
      </c>
      <c r="L225" s="31" t="n">
        <v>2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54.76</v>
      </c>
      <c r="P225" s="32" t="n">
        <v>14.04</v>
      </c>
      <c r="Q225" s="32" t="inlineStr"/>
      <c r="R225" s="31" t="inlineStr">
        <is>
          <t>Earnings / Momentum Support</t>
        </is>
      </c>
      <c r="S225" s="31" t="inlineStr">
        <is>
          <t>Nifty 50</t>
        </is>
      </c>
      <c r="T225" s="32" t="n">
        <v>-4.43</v>
      </c>
      <c r="U225" s="32" t="n">
        <v>-12.68</v>
      </c>
      <c r="V225" s="32" t="n">
        <v>-8.630000000000001</v>
      </c>
      <c r="W225" s="32" t="n">
        <v>0.5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IF(B226=0,"",RANK(B226,$B$2:$B$339,0))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ELGIEQUIP</t>
        </is>
      </c>
      <c r="D226" s="31" t="inlineStr">
        <is>
          <t>Elgi Equipments Limited</t>
        </is>
      </c>
      <c r="E226" s="31" t="inlineStr">
        <is>
          <t>industrials</t>
        </is>
      </c>
      <c r="F226" s="31" t="inlineStr">
        <is>
          <t>compressors / drilling equipment</t>
        </is>
      </c>
      <c r="G226" s="31" t="inlineStr">
        <is>
          <t>midcap</t>
        </is>
      </c>
      <c r="H226" s="32" t="n">
        <v>19136.55</v>
      </c>
      <c r="I226" s="32" t="n">
        <v>608.8</v>
      </c>
      <c r="J226" s="32" t="n">
        <v>0.82</v>
      </c>
      <c r="K226" s="32" t="n">
        <v>287300</v>
      </c>
      <c r="L226" s="31" t="n">
        <v>37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65</v>
      </c>
      <c r="P226" s="32" t="n">
        <v>16.81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-4.43</v>
      </c>
      <c r="U226" s="32" t="n">
        <v>13.03</v>
      </c>
      <c r="V226" s="32" t="n">
        <v>18.28</v>
      </c>
      <c r="W226" s="32" t="n">
        <v>9.06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Between 1.5 to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IF(B227=0,"",RANK(B227,$B$2:$B$339,0))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PRIVISCL</t>
        </is>
      </c>
      <c r="D227" s="31" t="inlineStr">
        <is>
          <t>Privi Speciality Chemicals Ltd</t>
        </is>
      </c>
      <c r="E227" s="31" t="inlineStr">
        <is>
          <t>chemicals</t>
        </is>
      </c>
      <c r="F227" s="31" t="inlineStr">
        <is>
          <t>chemicals</t>
        </is>
      </c>
      <c r="G227" s="31" t="inlineStr">
        <is>
          <t>midcap</t>
        </is>
      </c>
      <c r="H227" s="32" t="n">
        <v>13454.37</v>
      </c>
      <c r="I227" s="32" t="n">
        <v>3469.1</v>
      </c>
      <c r="J227" s="32" t="n">
        <v>0.72</v>
      </c>
      <c r="K227" s="32" t="n">
        <v>169830</v>
      </c>
      <c r="L227" s="31" t="n">
        <v>52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61.98</v>
      </c>
      <c r="P227" s="32" t="n">
        <v>18.8</v>
      </c>
      <c r="Q227" s="32" t="inlineStr"/>
      <c r="R227" s="31" t="inlineStr">
        <is>
          <t>Earnings / Momentum Support</t>
        </is>
      </c>
      <c r="S227" s="31" t="inlineStr">
        <is>
          <t>Nifty 50</t>
        </is>
      </c>
      <c r="T227" s="32" t="n">
        <v>-4.43</v>
      </c>
      <c r="U227" s="32" t="n">
        <v>43.54</v>
      </c>
      <c r="V227" s="32" t="n">
        <v>50.2</v>
      </c>
      <c r="W227" s="32" t="n">
        <v>12.72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IF(B228=0,"",RANK(B228,$B$2:$B$339,0))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ADANIENT</t>
        </is>
      </c>
      <c r="D228" s="31" t="inlineStr">
        <is>
          <t>Adani Enterprises Limited</t>
        </is>
      </c>
      <c r="E228" s="31" t="inlineStr">
        <is>
          <t>services</t>
        </is>
      </c>
      <c r="F228" s="31" t="inlineStr">
        <is>
          <t>trading</t>
        </is>
      </c>
      <c r="G228" s="31" t="inlineStr">
        <is>
          <t>largecap</t>
        </is>
      </c>
      <c r="H228" s="32" t="n">
        <v>377670.09</v>
      </c>
      <c r="I228" s="32" t="n">
        <v>2942.5</v>
      </c>
      <c r="J228" s="32" t="n">
        <v>0.72</v>
      </c>
      <c r="K228" s="32" t="n">
        <v>1174229</v>
      </c>
      <c r="L228" s="31" t="n">
        <v>58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68.66</v>
      </c>
      <c r="P228" s="32" t="n">
        <v>32.65</v>
      </c>
      <c r="Q228" s="32" t="inlineStr"/>
      <c r="R228" s="31" t="inlineStr">
        <is>
          <t>Earnings / Momentum Support</t>
        </is>
      </c>
      <c r="S228" s="31" t="inlineStr">
        <is>
          <t>Nifty 50</t>
        </is>
      </c>
      <c r="T228" s="32" t="n">
        <v>-4.43</v>
      </c>
      <c r="U228" s="32" t="n">
        <v>16.55</v>
      </c>
      <c r="V228" s="32" t="n">
        <v>21.96</v>
      </c>
      <c r="W228" s="32" t="n">
        <v>14.94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Between 1.5 to 2</t>
        </is>
      </c>
      <c r="BU228" s="31">
        <f>IF(BT228="Above 2",0,IF(BT228="Between 1.5 to 2",5,IF(BT228="Less than 1.5",10,0)))</f>
        <v/>
      </c>
      <c r="BV228" s="31" t="inlineStr">
        <is>
          <t>Less than 50% and Borrowings are increasing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Between 0.7 to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IF(B229=0,"",RANK(B229,$B$2:$B$339,0))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DIFFNKG</t>
        </is>
      </c>
      <c r="D229" s="31" t="inlineStr">
        <is>
          <t>Diffusion Engineers Ltd</t>
        </is>
      </c>
      <c r="E229" s="31" t="inlineStr">
        <is>
          <t>industrials</t>
        </is>
      </c>
      <c r="F229" s="31" t="inlineStr">
        <is>
          <t>electrodes - welding equipment</t>
        </is>
      </c>
      <c r="G229" s="31" t="inlineStr">
        <is>
          <t>smallcap</t>
        </is>
      </c>
      <c r="H229" s="32" t="n">
        <v>1353.89</v>
      </c>
      <c r="I229" s="32" t="n">
        <v>363.85</v>
      </c>
      <c r="J229" s="32" t="n">
        <v>0.58</v>
      </c>
      <c r="K229" s="32" t="n">
        <v>134305</v>
      </c>
      <c r="L229" s="31" t="n">
        <v>68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65.13</v>
      </c>
      <c r="P229" s="32" t="n">
        <v>15.95</v>
      </c>
      <c r="Q229" s="32" t="inlineStr"/>
      <c r="R229" s="31" t="inlineStr">
        <is>
          <t>Earnings / Momentum Support</t>
        </is>
      </c>
      <c r="S229" s="31" t="inlineStr">
        <is>
          <t>Nifty Infra</t>
        </is>
      </c>
      <c r="T229" s="32" t="n">
        <v>2.95</v>
      </c>
      <c r="U229" s="32" t="n">
        <v>20.52</v>
      </c>
      <c r="V229" s="32" t="n">
        <v>17.06</v>
      </c>
      <c r="W229" s="32" t="n">
        <v>18.1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Less than 50%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IF(B230=0,"",RANK(B230,$B$2:$B$339,0))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TITAGARH</t>
        </is>
      </c>
      <c r="D230" s="31" t="inlineStr">
        <is>
          <t>Titagarh Rail Systems Ltd</t>
        </is>
      </c>
      <c r="E230" s="31" t="inlineStr">
        <is>
          <t>industrials</t>
        </is>
      </c>
      <c r="F230" s="31" t="inlineStr">
        <is>
          <t>engineering</t>
        </is>
      </c>
      <c r="G230" s="31" t="inlineStr">
        <is>
          <t>midcap</t>
        </is>
      </c>
      <c r="H230" s="32" t="n">
        <v>11563.76</v>
      </c>
      <c r="I230" s="32" t="n">
        <v>860.3</v>
      </c>
      <c r="J230" s="32" t="n">
        <v>0.19</v>
      </c>
      <c r="K230" s="32" t="n">
        <v>1027385</v>
      </c>
      <c r="L230" s="31" t="n">
        <v>31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59.37</v>
      </c>
      <c r="P230" s="32" t="n">
        <v>21.33</v>
      </c>
      <c r="Q230" s="32" t="inlineStr"/>
      <c r="R230" s="31" t="inlineStr">
        <is>
          <t>Earnings / Momentum Support</t>
        </is>
      </c>
      <c r="S230" s="31" t="inlineStr">
        <is>
          <t>Nifty 50</t>
        </is>
      </c>
      <c r="T230" s="32" t="n">
        <v>-4.43</v>
      </c>
      <c r="U230" s="32" t="n">
        <v>-4.36</v>
      </c>
      <c r="V230" s="32" t="n">
        <v>0.08</v>
      </c>
      <c r="W230" s="32" t="n">
        <v>7.59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IF(B231=0,"",RANK(B231,$B$2:$B$339,0))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POLYCAB</t>
        </is>
      </c>
      <c r="D231" s="31" t="inlineStr">
        <is>
          <t>Polycab India Ltd</t>
        </is>
      </c>
      <c r="E231" s="31" t="inlineStr">
        <is>
          <t>industrials</t>
        </is>
      </c>
      <c r="F231" s="31" t="inlineStr">
        <is>
          <t>cables - power</t>
        </is>
      </c>
      <c r="G231" s="31" t="inlineStr">
        <is>
          <t>largecap</t>
        </is>
      </c>
      <c r="H231" s="32" t="n">
        <v>143835.96</v>
      </c>
      <c r="I231" s="32" t="n">
        <v>9556</v>
      </c>
      <c r="J231" s="32" t="n">
        <v>0.02</v>
      </c>
      <c r="K231" s="32" t="n">
        <v>197986</v>
      </c>
      <c r="L231" s="31" t="n">
        <v>65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67.93000000000001</v>
      </c>
      <c r="P231" s="32" t="n">
        <v>26.15</v>
      </c>
      <c r="Q231" s="32" t="inlineStr"/>
      <c r="R231" s="31" t="inlineStr">
        <is>
          <t>Earnings / Momentum Support</t>
        </is>
      </c>
      <c r="S231" s="31" t="inlineStr">
        <is>
          <t>Nifty Energy</t>
        </is>
      </c>
      <c r="T231" s="32" t="n">
        <v>9.800000000000001</v>
      </c>
      <c r="U231" s="32" t="n">
        <v>59.31</v>
      </c>
      <c r="V231" s="32" t="n">
        <v>45.09</v>
      </c>
      <c r="W231" s="32" t="n">
        <v>17.15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IF(B232=0,"",RANK(B232,$B$2:$B$339,0))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ZENTEC</t>
        </is>
      </c>
      <c r="D232" s="33" t="inlineStr">
        <is>
          <t>Zen Technologies Limited</t>
        </is>
      </c>
      <c r="E232" s="31" t="inlineStr">
        <is>
          <t>aerospace &amp; defence</t>
        </is>
      </c>
      <c r="F232" s="31" t="inlineStr">
        <is>
          <t>miscellaneous</t>
        </is>
      </c>
      <c r="G232" s="31" t="inlineStr">
        <is>
          <t>midcap</t>
        </is>
      </c>
      <c r="H232" s="32" t="n">
        <v>16196.28</v>
      </c>
      <c r="I232" s="32" t="n">
        <v>1789.1</v>
      </c>
      <c r="J232" s="32" t="n">
        <v>-0.26</v>
      </c>
      <c r="K232" s="32" t="n">
        <v>908641</v>
      </c>
      <c r="L232" s="31" t="n">
        <v>23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67.48999999999999</v>
      </c>
      <c r="P232" s="32" t="n">
        <v>24.44</v>
      </c>
      <c r="Q232" s="32" t="inlineStr"/>
      <c r="R232" s="31" t="inlineStr">
        <is>
          <t>Earnings / Momentum Support</t>
        </is>
      </c>
      <c r="S232" s="31" t="inlineStr">
        <is>
          <t>Nifty 50</t>
        </is>
      </c>
      <c r="T232" s="32" t="n">
        <v>-4.43</v>
      </c>
      <c r="U232" s="32" t="n">
        <v>-9.050000000000001</v>
      </c>
      <c r="V232" s="32" t="n">
        <v>-4.83</v>
      </c>
      <c r="W232" s="32" t="n">
        <v>6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IF(B233=0,"",RANK(B233,$B$2:$B$339,0))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KDDL</t>
        </is>
      </c>
      <c r="D233" s="31" t="inlineStr">
        <is>
          <t>Kddl Limited</t>
        </is>
      </c>
      <c r="E233" s="31" t="inlineStr">
        <is>
          <t>consumer discretionary</t>
        </is>
      </c>
      <c r="F233" s="31" t="inlineStr">
        <is>
          <t>miscellaneous</t>
        </is>
      </c>
      <c r="G233" s="31" t="inlineStr">
        <is>
          <t>smallcap</t>
        </is>
      </c>
      <c r="H233" s="32" t="n">
        <v>3529.03</v>
      </c>
      <c r="I233" s="32" t="n">
        <v>2861.2</v>
      </c>
      <c r="J233" s="32" t="n">
        <v>-0.28</v>
      </c>
      <c r="K233" s="32" t="n">
        <v>18310</v>
      </c>
      <c r="L233" s="31" t="n">
        <v>41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61.37</v>
      </c>
      <c r="P233" s="32" t="n">
        <v>17.14</v>
      </c>
      <c r="Q233" s="32" t="inlineStr"/>
      <c r="R233" s="31" t="inlineStr">
        <is>
          <t>Earnings / Momentum Support</t>
        </is>
      </c>
      <c r="S233" s="31" t="inlineStr">
        <is>
          <t>Nifty 50</t>
        </is>
      </c>
      <c r="T233" s="32" t="n">
        <v>-4.43</v>
      </c>
      <c r="U233" s="32" t="n">
        <v>16</v>
      </c>
      <c r="V233" s="32" t="n">
        <v>21.38</v>
      </c>
      <c r="W233" s="32" t="n">
        <v>9.73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Between 1.5 to 2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IF(B234=0,"",RANK(B234,$B$2:$B$339,0))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UNIMECH</t>
        </is>
      </c>
      <c r="D234" s="33" t="inlineStr">
        <is>
          <t>Unimech Aerospace and Manufacturing Ltd</t>
        </is>
      </c>
      <c r="E234" s="31" t="inlineStr">
        <is>
          <t>aerospace &amp; defence</t>
        </is>
      </c>
      <c r="F234" s="31" t="inlineStr">
        <is>
          <t>engineering</t>
        </is>
      </c>
      <c r="G234" s="31" t="inlineStr">
        <is>
          <t>midcap</t>
        </is>
      </c>
      <c r="H234" s="32" t="n">
        <v>5897.11</v>
      </c>
      <c r="I234" s="32" t="n">
        <v>1146.85</v>
      </c>
      <c r="J234" s="32" t="n">
        <v>-1.1</v>
      </c>
      <c r="K234" s="32" t="n">
        <v>172409</v>
      </c>
      <c r="L234" s="31" t="n">
        <v>33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64.65000000000001</v>
      </c>
      <c r="P234" s="32" t="n">
        <v>25.74</v>
      </c>
      <c r="Q234" s="32" t="inlineStr"/>
      <c r="R234" s="31" t="inlineStr">
        <is>
          <t>Earnings / Momentum Support</t>
        </is>
      </c>
      <c r="S234" s="31" t="inlineStr">
        <is>
          <t>Nifty 50</t>
        </is>
      </c>
      <c r="T234" s="32" t="n">
        <v>-4.43</v>
      </c>
      <c r="U234" s="32" t="n">
        <v>-9.119999999999999</v>
      </c>
      <c r="V234" s="32" t="n">
        <v>-4.9</v>
      </c>
      <c r="W234" s="32" t="n">
        <v>8.039999999999999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IF(B235=0,"",RANK(B235,$B$2:$B$339,0))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HONASA</t>
        </is>
      </c>
      <c r="D235" s="31" t="inlineStr">
        <is>
          <t>Honasa Consumer Ltd</t>
        </is>
      </c>
      <c r="E235" s="31" t="inlineStr">
        <is>
          <t>services</t>
        </is>
      </c>
      <c r="F235" s="31" t="inlineStr">
        <is>
          <t>trading</t>
        </is>
      </c>
      <c r="G235" s="31" t="inlineStr">
        <is>
          <t>midcap</t>
        </is>
      </c>
      <c r="H235" s="32" t="n">
        <v>13458.92</v>
      </c>
      <c r="I235" s="32" t="n">
        <v>407.15</v>
      </c>
      <c r="J235" s="32" t="n">
        <v>-1.57</v>
      </c>
      <c r="K235" s="32" t="n">
        <v>984003</v>
      </c>
      <c r="L235" s="31" t="n">
        <v>71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75.25</v>
      </c>
      <c r="P235" s="32" t="n">
        <v>35.01</v>
      </c>
      <c r="Q235" s="32" t="inlineStr"/>
      <c r="R235" s="31" t="inlineStr">
        <is>
          <t>Earnings / Momentum Support</t>
        </is>
      </c>
      <c r="S235" s="31" t="inlineStr">
        <is>
          <t>Nifty 50</t>
        </is>
      </c>
      <c r="T235" s="32" t="n">
        <v>-4.43</v>
      </c>
      <c r="U235" s="32" t="n">
        <v>34.72</v>
      </c>
      <c r="V235" s="32" t="n">
        <v>40.97</v>
      </c>
      <c r="W235" s="32" t="n">
        <v>19.06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Between 50% to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IF(B236=0,"",RANK(B236,$B$2:$B$339,0))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BHAGCHEM</t>
        </is>
      </c>
      <c r="D236" s="33" t="inlineStr">
        <is>
          <t>Bhagiradha Chemicals &amp; Industries Ltd</t>
        </is>
      </c>
      <c r="E236" s="31" t="inlineStr">
        <is>
          <t>chemicals</t>
        </is>
      </c>
      <c r="F236" s="31" t="inlineStr">
        <is>
          <t>pesticides / agrochemicals - indian</t>
        </is>
      </c>
      <c r="G236" s="31" t="inlineStr">
        <is>
          <t>smallcap</t>
        </is>
      </c>
      <c r="H236" s="32" t="n">
        <v>3501.58</v>
      </c>
      <c r="I236" s="32" t="n">
        <v>260.08</v>
      </c>
      <c r="J236" s="32" t="n">
        <v>-3.69</v>
      </c>
      <c r="K236" s="32" t="n">
        <v>162389</v>
      </c>
      <c r="L236" s="31" t="n">
        <v>33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62.49</v>
      </c>
      <c r="P236" s="32" t="n">
        <v>22.71</v>
      </c>
      <c r="Q236" s="32" t="inlineStr"/>
      <c r="R236" s="31" t="inlineStr">
        <is>
          <t>Earnings / Momentum Support</t>
        </is>
      </c>
      <c r="S236" s="31" t="inlineStr">
        <is>
          <t>Nifty 50</t>
        </is>
      </c>
      <c r="T236" s="32" t="n">
        <v>-4.43</v>
      </c>
      <c r="U236" s="32" t="n">
        <v>-11.62</v>
      </c>
      <c r="V236" s="32" t="n">
        <v>-7.52</v>
      </c>
      <c r="W236" s="32" t="n">
        <v>8.06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IF(B237=0,"",RANK(B237,$B$2:$B$339,0))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AURUM</t>
        </is>
      </c>
      <c r="D237" s="31" t="inlineStr">
        <is>
          <t>Aurum Proptech Ltd</t>
        </is>
      </c>
      <c r="E237" s="31" t="inlineStr">
        <is>
          <t>i.t</t>
        </is>
      </c>
      <c r="F237" s="31" t="inlineStr">
        <is>
          <t>computers - software - medium / small</t>
        </is>
      </c>
      <c r="G237" s="31" t="inlineStr">
        <is>
          <t>smallcap</t>
        </is>
      </c>
      <c r="H237" s="32" t="n">
        <v>1405.84</v>
      </c>
      <c r="I237" s="32" t="n">
        <v>192.29</v>
      </c>
      <c r="J237" s="32" t="n">
        <v>4.85</v>
      </c>
      <c r="K237" s="32" t="n">
        <v>313160</v>
      </c>
      <c r="L237" s="31" t="n">
        <v>1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53.72</v>
      </c>
      <c r="P237" s="32" t="n">
        <v>19.29</v>
      </c>
      <c r="Q237" s="32" t="inlineStr"/>
      <c r="R237" s="31" t="inlineStr">
        <is>
          <t>Earnings / Momentum Support</t>
        </is>
      </c>
      <c r="S237" s="31" t="inlineStr">
        <is>
          <t>Nifty IT</t>
        </is>
      </c>
      <c r="T237" s="32" t="n">
        <v>-27.75</v>
      </c>
      <c r="U237" s="32" t="n">
        <v>-13.56</v>
      </c>
      <c r="V237" s="32" t="n">
        <v>19.63</v>
      </c>
      <c r="W237" s="32" t="n">
        <v>-0.7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Between 50% to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IF(B238=0,"",RANK(B238,$B$2:$B$339,0))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SILVERTUC</t>
        </is>
      </c>
      <c r="D238" s="33" t="inlineStr">
        <is>
          <t>Silver Touch Technologies Ltd</t>
        </is>
      </c>
      <c r="E238" s="31" t="inlineStr">
        <is>
          <t>i.t</t>
        </is>
      </c>
      <c r="F238" s="31" t="inlineStr">
        <is>
          <t>computers - software - medium / small</t>
        </is>
      </c>
      <c r="G238" s="31" t="inlineStr">
        <is>
          <t>smallcap</t>
        </is>
      </c>
      <c r="H238" s="32" t="n">
        <v>2520.73</v>
      </c>
      <c r="I238" s="32" t="n">
        <v>208.36</v>
      </c>
      <c r="J238" s="32" t="n">
        <v>4.82</v>
      </c>
      <c r="K238" s="32" t="n">
        <v>718929</v>
      </c>
      <c r="L238" s="31" t="n">
        <v>59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41.54</v>
      </c>
      <c r="P238" s="32" t="n">
        <v>40.28</v>
      </c>
      <c r="Q238" s="32" t="inlineStr"/>
      <c r="R238" s="31" t="inlineStr">
        <is>
          <t>Earnings / Momentum Support</t>
        </is>
      </c>
      <c r="S238" s="31" t="inlineStr">
        <is>
          <t>Nifty IT</t>
        </is>
      </c>
      <c r="T238" s="32" t="n">
        <v>-27.75</v>
      </c>
      <c r="U238" s="32" t="n">
        <v>-74.8</v>
      </c>
      <c r="V238" s="32" t="n">
        <v>-65.12</v>
      </c>
      <c r="W238" s="32" t="n">
        <v>15.14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Below 45</t>
        </is>
      </c>
      <c r="BA238" s="31">
        <f>IF(AZ238="Between 50 to 75",10,IF(AZ238="Above 75",0,0))</f>
        <v/>
      </c>
      <c r="BB238" s="31" t="inlineStr">
        <is>
          <t>Stage 4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Between 1.5 to 2</t>
        </is>
      </c>
      <c r="BU238" s="31">
        <f>IF(BT238="Above 2",0,IF(BT238="Between 1.5 to 2",5,IF(BT238="Less than 1.5",10,0)))</f>
        <v/>
      </c>
      <c r="BV238" s="31" t="inlineStr">
        <is>
          <t>Less than 50%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IF(B239=0,"",RANK(B239,$B$2:$B$339,0))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LALPATHLAB</t>
        </is>
      </c>
      <c r="D239" s="33" t="inlineStr">
        <is>
          <t>Dr. Lal Path Labs Ltd.</t>
        </is>
      </c>
      <c r="E239" s="31" t="inlineStr">
        <is>
          <t>healthcare</t>
        </is>
      </c>
      <c r="F239" s="31" t="inlineStr">
        <is>
          <t>healthcare</t>
        </is>
      </c>
      <c r="G239" s="31" t="inlineStr">
        <is>
          <t>largecap</t>
        </is>
      </c>
      <c r="H239" s="32" t="n">
        <v>26833.94</v>
      </c>
      <c r="I239" s="32" t="n">
        <v>1616</v>
      </c>
      <c r="J239" s="32" t="n">
        <v>0.91</v>
      </c>
      <c r="K239" s="32" t="n">
        <v>217507</v>
      </c>
      <c r="L239" s="31" t="n">
        <v>24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59.67</v>
      </c>
      <c r="P239" s="32" t="n">
        <v>23.68</v>
      </c>
      <c r="Q239" s="32" t="inlineStr"/>
      <c r="R239" s="31" t="inlineStr">
        <is>
          <t>Earnings / Momentum Support</t>
        </is>
      </c>
      <c r="S239" s="31" t="inlineStr">
        <is>
          <t>Nifty Pharma</t>
        </is>
      </c>
      <c r="T239" s="32" t="n">
        <v>10.89</v>
      </c>
      <c r="U239" s="32" t="n">
        <v>9.17</v>
      </c>
      <c r="V239" s="32" t="n">
        <v>-1.55</v>
      </c>
      <c r="W239" s="32" t="n">
        <v>6.1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IF(B240=0,"",RANK(B240,$B$2:$B$339,0))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KOVAI</t>
        </is>
      </c>
      <c r="D240" s="33" t="inlineStr">
        <is>
          <t>Kovai Medical Center &amp; Hospital Ltd</t>
        </is>
      </c>
      <c r="E240" s="31" t="inlineStr">
        <is>
          <t>healthcare</t>
        </is>
      </c>
      <c r="F240" s="31" t="inlineStr">
        <is>
          <t>healthcare</t>
        </is>
      </c>
      <c r="G240" s="31" t="inlineStr">
        <is>
          <t>midcap</t>
        </is>
      </c>
      <c r="H240" s="32" t="n">
        <v>6358.55</v>
      </c>
      <c r="I240" s="32" t="n">
        <v>5774.5</v>
      </c>
      <c r="J240" s="32" t="n">
        <v>-0.63</v>
      </c>
      <c r="K240" s="32" t="n">
        <v>2610</v>
      </c>
      <c r="L240" s="31" t="n">
        <v>8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58.65</v>
      </c>
      <c r="P240" s="32" t="n">
        <v>18.16</v>
      </c>
      <c r="Q240" s="32" t="inlineStr"/>
      <c r="R240" s="31" t="inlineStr">
        <is>
          <t>Earnings / Momentum Support</t>
        </is>
      </c>
      <c r="S240" s="31" t="inlineStr">
        <is>
          <t>Nifty Pharma</t>
        </is>
      </c>
      <c r="T240" s="32" t="n">
        <v>10.89</v>
      </c>
      <c r="U240" s="32" t="n">
        <v>-2.1</v>
      </c>
      <c r="V240" s="32" t="n">
        <v>-11.72</v>
      </c>
      <c r="W240" s="32" t="n">
        <v>2.46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Between 12 to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Between 1.5 to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IF(B241=0,"",RANK(B241,$B$2:$B$339,0))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ZYDUSLIFE</t>
        </is>
      </c>
      <c r="D241" s="31" t="inlineStr">
        <is>
          <t>Zydus Lifesciences Ltd</t>
        </is>
      </c>
      <c r="E241" s="31" t="inlineStr">
        <is>
          <t>healthcare</t>
        </is>
      </c>
      <c r="F241" s="31" t="inlineStr">
        <is>
          <t>pharmaceuticals - indian - bulk drugs &amp; formln</t>
        </is>
      </c>
      <c r="G241" s="31" t="inlineStr">
        <is>
          <t>largecap</t>
        </is>
      </c>
      <c r="H241" s="32" t="n">
        <v>111158.67</v>
      </c>
      <c r="I241" s="32" t="n">
        <v>1088.1</v>
      </c>
      <c r="J241" s="32" t="n">
        <v>-1.5</v>
      </c>
      <c r="K241" s="32" t="n">
        <v>1138903</v>
      </c>
      <c r="L241" s="31" t="n">
        <v>31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72.06999999999999</v>
      </c>
      <c r="P241" s="32" t="n">
        <v>22.66</v>
      </c>
      <c r="Q241" s="32" t="inlineStr"/>
      <c r="R241" s="31" t="inlineStr">
        <is>
          <t>Earnings / Momentum Support</t>
        </is>
      </c>
      <c r="S241" s="31" t="inlineStr">
        <is>
          <t>Nifty Pharma</t>
        </is>
      </c>
      <c r="T241" s="32" t="n">
        <v>10.89</v>
      </c>
      <c r="U241" s="32" t="n">
        <v>14.61</v>
      </c>
      <c r="V241" s="32" t="n">
        <v>3.35</v>
      </c>
      <c r="W241" s="32" t="n">
        <v>7.74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Less than 50%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IF(B242=0,"",RANK(B242,$B$2:$B$339,0))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JBCHEPHARM</t>
        </is>
      </c>
      <c r="D242" s="31" t="inlineStr">
        <is>
          <t>Jb Chemicals &amp; Pharmaceuticals Limited</t>
        </is>
      </c>
      <c r="E242" s="31" t="inlineStr">
        <is>
          <t>healthcare</t>
        </is>
      </c>
      <c r="F242" s="31" t="inlineStr">
        <is>
          <t>pharmaceuticals - indian - bulk drugs &amp; formln</t>
        </is>
      </c>
      <c r="G242" s="31" t="inlineStr">
        <is>
          <t>largecap</t>
        </is>
      </c>
      <c r="H242" s="32" t="n">
        <v>36249.34</v>
      </c>
      <c r="I242" s="32" t="n">
        <v>2217.8</v>
      </c>
      <c r="J242" s="32" t="n">
        <v>-1.77</v>
      </c>
      <c r="K242" s="32" t="n">
        <v>212114</v>
      </c>
      <c r="L242" s="31" t="n">
        <v>30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72.06999999999999</v>
      </c>
      <c r="P242" s="32" t="n">
        <v>39.63</v>
      </c>
      <c r="Q242" s="32" t="inlineStr"/>
      <c r="R242" s="31" t="inlineStr">
        <is>
          <t>Earnings / Momentum Support</t>
        </is>
      </c>
      <c r="S242" s="31" t="inlineStr">
        <is>
          <t>Nifty Pharma</t>
        </is>
      </c>
      <c r="T242" s="32" t="n">
        <v>10.89</v>
      </c>
      <c r="U242" s="32" t="n">
        <v>32.11</v>
      </c>
      <c r="V242" s="32" t="n">
        <v>19.13</v>
      </c>
      <c r="W242" s="32" t="n">
        <v>7.33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IF(B243=0,"",RANK(B243,$B$2:$B$339,0))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ZIMLAB</t>
        </is>
      </c>
      <c r="D243" s="33" t="inlineStr">
        <is>
          <t>Zim Laboratories Ltd</t>
        </is>
      </c>
      <c r="E243" s="31" t="inlineStr">
        <is>
          <t>healthcare</t>
        </is>
      </c>
      <c r="F243" s="31" t="inlineStr">
        <is>
          <t>pharmaceuticals - indian - bulk drugs &amp; formln</t>
        </is>
      </c>
      <c r="G243" s="31" t="inlineStr">
        <is>
          <t>smallcap</t>
        </is>
      </c>
      <c r="H243" s="32" t="n">
        <v>611.99</v>
      </c>
      <c r="I243" s="32" t="n">
        <v>111.82</v>
      </c>
      <c r="J243" s="32" t="n">
        <v>-2.25</v>
      </c>
      <c r="K243" s="32" t="n">
        <v>63194</v>
      </c>
      <c r="L243" s="31" t="n">
        <v>74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76.23</v>
      </c>
      <c r="P243" s="32" t="n">
        <v>46.59</v>
      </c>
      <c r="Q243" s="32" t="inlineStr"/>
      <c r="R243" s="31" t="inlineStr">
        <is>
          <t>Earnings / Momentum Support</t>
        </is>
      </c>
      <c r="S243" s="31" t="inlineStr">
        <is>
          <t>Nifty Pharma</t>
        </is>
      </c>
      <c r="T243" s="32" t="n">
        <v>10.89</v>
      </c>
      <c r="U243" s="32" t="n">
        <v>10.21</v>
      </c>
      <c r="V243" s="32" t="n">
        <v>-0.61</v>
      </c>
      <c r="W243" s="32" t="n">
        <v>20.88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Above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IF(B244=0,"",RANK(B244,$B$2:$B$339,0))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GUFICBIO</t>
        </is>
      </c>
      <c r="D244" s="33" t="inlineStr">
        <is>
          <t>Gufic Biosciences Limited</t>
        </is>
      </c>
      <c r="E244" s="31" t="inlineStr">
        <is>
          <t>healthcare</t>
        </is>
      </c>
      <c r="F244" s="31" t="inlineStr">
        <is>
          <t>pharmaceuticals - indian - bulk drugs &amp; formln</t>
        </is>
      </c>
      <c r="G244" s="31" t="inlineStr">
        <is>
          <t>smallcap</t>
        </is>
      </c>
      <c r="H244" s="32" t="n">
        <v>3722.99</v>
      </c>
      <c r="I244" s="32" t="n">
        <v>360.4</v>
      </c>
      <c r="J244" s="32" t="n">
        <v>-2.92</v>
      </c>
      <c r="K244" s="32" t="n">
        <v>81363</v>
      </c>
      <c r="L244" s="31" t="n">
        <v>29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65.45</v>
      </c>
      <c r="P244" s="32" t="n">
        <v>23.68</v>
      </c>
      <c r="Q244" s="32" t="inlineStr"/>
      <c r="R244" s="31" t="inlineStr">
        <is>
          <t>Earnings / Momentum Support</t>
        </is>
      </c>
      <c r="S244" s="31" t="inlineStr">
        <is>
          <t>Nifty Pharma</t>
        </is>
      </c>
      <c r="T244" s="32" t="n">
        <v>10.89</v>
      </c>
      <c r="U244" s="32" t="n">
        <v>0.19</v>
      </c>
      <c r="V244" s="32" t="n">
        <v>-9.65</v>
      </c>
      <c r="W244" s="32" t="n">
        <v>6.96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Less than 50%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IF(B245=0,"",RANK(B245,$B$2:$B$339,0))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JAYBARMARU</t>
        </is>
      </c>
      <c r="D245" s="31" t="inlineStr">
        <is>
          <t>Jay Bharat Maruti Limited</t>
        </is>
      </c>
      <c r="E245" s="31" t="inlineStr">
        <is>
          <t>auto</t>
        </is>
      </c>
      <c r="F245" s="31" t="inlineStr">
        <is>
          <t>auto ancillaries</t>
        </is>
      </c>
      <c r="G245" s="31" t="inlineStr">
        <is>
          <t>smallcap</t>
        </is>
      </c>
      <c r="H245" s="32" t="n">
        <v>1565.94</v>
      </c>
      <c r="I245" s="32" t="n">
        <v>159.12</v>
      </c>
      <c r="J245" s="32" t="n">
        <v>10</v>
      </c>
      <c r="K245" s="32" t="n">
        <v>3156863</v>
      </c>
      <c r="L245" s="31" t="n">
        <v>85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70.29000000000001</v>
      </c>
      <c r="P245" s="32" t="n">
        <v>19.88</v>
      </c>
      <c r="Q245" s="32" t="inlineStr"/>
      <c r="R245" s="31" t="inlineStr">
        <is>
          <t>Earnings / Momentum Support</t>
        </is>
      </c>
      <c r="S245" s="31" t="inlineStr">
        <is>
          <t>Nifty Auto</t>
        </is>
      </c>
      <c r="T245" s="32" t="n">
        <v>12.72</v>
      </c>
      <c r="U245" s="32" t="n">
        <v>86.31999999999999</v>
      </c>
      <c r="V245" s="32" t="n">
        <v>65.3</v>
      </c>
      <c r="W245" s="32" t="n">
        <v>28.52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Between 50% to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Between 0.7 to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IF(B246=0,"",RANK(B246,$B$2:$B$339,0))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JASH</t>
        </is>
      </c>
      <c r="D246" s="33" t="inlineStr">
        <is>
          <t>Jash Engineering Ltd</t>
        </is>
      </c>
      <c r="E246" s="31" t="inlineStr">
        <is>
          <t>industrials</t>
        </is>
      </c>
      <c r="F246" s="31" t="inlineStr">
        <is>
          <t>engineering</t>
        </is>
      </c>
      <c r="G246" s="31" t="inlineStr">
        <is>
          <t>smallcap</t>
        </is>
      </c>
      <c r="H246" s="32" t="n">
        <v>2948.3</v>
      </c>
      <c r="I246" s="32" t="n">
        <v>503.25</v>
      </c>
      <c r="J246" s="32" t="n">
        <v>7.87</v>
      </c>
      <c r="K246" s="32" t="n">
        <v>1028359</v>
      </c>
      <c r="L246" s="31" t="n">
        <v>14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60.18</v>
      </c>
      <c r="P246" s="32" t="n">
        <v>13.67</v>
      </c>
      <c r="Q246" s="32" t="inlineStr"/>
      <c r="R246" s="31" t="inlineStr">
        <is>
          <t>Earnings / Momentum Support</t>
        </is>
      </c>
      <c r="S246" s="31" t="inlineStr">
        <is>
          <t>Nifty 50</t>
        </is>
      </c>
      <c r="T246" s="32" t="n">
        <v>-4.43</v>
      </c>
      <c r="U246" s="32" t="n">
        <v>-15.06</v>
      </c>
      <c r="V246" s="32" t="n">
        <v>-11.12</v>
      </c>
      <c r="W246" s="32" t="n">
        <v>3.81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IF(B247=0,"",RANK(B247,$B$2:$B$339,0))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CHENNPETRO</t>
        </is>
      </c>
      <c r="D247" s="31" t="inlineStr">
        <is>
          <t>Chennai Petroleum Corporation Limited</t>
        </is>
      </c>
      <c r="E247" s="31" t="inlineStr">
        <is>
          <t>energy</t>
        </is>
      </c>
      <c r="F247" s="31" t="inlineStr">
        <is>
          <t>refineries</t>
        </is>
      </c>
      <c r="G247" s="31" t="inlineStr">
        <is>
          <t>midcap</t>
        </is>
      </c>
      <c r="H247" s="32" t="n">
        <v>16941.65</v>
      </c>
      <c r="I247" s="32" t="n">
        <v>1210.6</v>
      </c>
      <c r="J247" s="32" t="n">
        <v>6.41</v>
      </c>
      <c r="K247" s="32" t="n">
        <v>2196721</v>
      </c>
      <c r="L247" s="31" t="n">
        <v>67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60.58</v>
      </c>
      <c r="P247" s="32" t="n">
        <v>45.67</v>
      </c>
      <c r="Q247" s="32" t="inlineStr"/>
      <c r="R247" s="31" t="inlineStr">
        <is>
          <t>Earnings / Momentum Support</t>
        </is>
      </c>
      <c r="S247" s="31" t="inlineStr">
        <is>
          <t>Nifty Energy</t>
        </is>
      </c>
      <c r="T247" s="32" t="n">
        <v>9.800000000000001</v>
      </c>
      <c r="U247" s="32" t="n">
        <v>79.95</v>
      </c>
      <c r="V247" s="32" t="n">
        <v>63.88</v>
      </c>
      <c r="W247" s="32" t="n">
        <v>18.06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Yes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Between 50% to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IF(B248=0,"",RANK(B248,$B$2:$B$339,0))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VINDHYATEL</t>
        </is>
      </c>
      <c r="D248" s="31" t="inlineStr">
        <is>
          <t>Vindhya Telelinks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smallcap</t>
        </is>
      </c>
      <c r="H248" s="32" t="n">
        <v>2474.22</v>
      </c>
      <c r="I248" s="32" t="n">
        <v>2198.4</v>
      </c>
      <c r="J248" s="32" t="n">
        <v>5.3</v>
      </c>
      <c r="K248" s="32" t="n">
        <v>107367</v>
      </c>
      <c r="L248" s="31" t="n">
        <v>84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66.42</v>
      </c>
      <c r="P248" s="32" t="n">
        <v>37.34</v>
      </c>
      <c r="Q248" s="32" t="inlineStr"/>
      <c r="R248" s="31" t="inlineStr">
        <is>
          <t>Earnings / Momentum Support</t>
        </is>
      </c>
      <c r="S248" s="31" t="inlineStr">
        <is>
          <t>Nifty Realty</t>
        </is>
      </c>
      <c r="T248" s="32" t="n">
        <v>-23.58</v>
      </c>
      <c r="U248" s="32" t="n">
        <v>24.51</v>
      </c>
      <c r="V248" s="32" t="n">
        <v>62.92</v>
      </c>
      <c r="W248" s="32" t="n">
        <v>27.75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Negative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IF(B249=0,"",RANK(B249,$B$2:$B$339,0))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BIRLACABLE</t>
        </is>
      </c>
      <c r="D249" s="31" t="inlineStr">
        <is>
          <t>Birla Cable Limited</t>
        </is>
      </c>
      <c r="E249" s="31" t="inlineStr">
        <is>
          <t>industrials</t>
        </is>
      </c>
      <c r="F249" s="31" t="inlineStr">
        <is>
          <t>cables - telephone</t>
        </is>
      </c>
      <c r="G249" s="31" t="inlineStr">
        <is>
          <t>smallcap</t>
        </is>
      </c>
      <c r="H249" s="32" t="n">
        <v>582.39</v>
      </c>
      <c r="I249" s="32" t="n">
        <v>203.83</v>
      </c>
      <c r="J249" s="32" t="n">
        <v>5</v>
      </c>
      <c r="K249" s="32" t="n">
        <v>54154</v>
      </c>
      <c r="L249" s="31" t="n">
        <v>56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61.05</v>
      </c>
      <c r="P249" s="32" t="n">
        <v>33.36</v>
      </c>
      <c r="Q249" s="32" t="inlineStr"/>
      <c r="R249" s="31" t="inlineStr">
        <is>
          <t>Earnings / Momentum Support</t>
        </is>
      </c>
      <c r="S249" s="31" t="inlineStr">
        <is>
          <t>Nifty Infra</t>
        </is>
      </c>
      <c r="T249" s="32" t="n">
        <v>2.95</v>
      </c>
      <c r="U249" s="32" t="n">
        <v>8.07</v>
      </c>
      <c r="V249" s="32" t="n">
        <v>4.97</v>
      </c>
      <c r="W249" s="32" t="n">
        <v>13.8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Negative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IF(B250=0,"",RANK(B250,$B$2:$B$339,0))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EICHERMOT</t>
        </is>
      </c>
      <c r="D250" s="31" t="inlineStr">
        <is>
          <t>Eicher Motors Limited</t>
        </is>
      </c>
      <c r="E250" s="31" t="inlineStr">
        <is>
          <t>auto</t>
        </is>
      </c>
      <c r="F250" s="31" t="inlineStr">
        <is>
          <t>automobiles - motorcycles / mopeds</t>
        </is>
      </c>
      <c r="G250" s="31" t="inlineStr">
        <is>
          <t>largecap</t>
        </is>
      </c>
      <c r="H250" s="32" t="n">
        <v>200578.55</v>
      </c>
      <c r="I250" s="32" t="n">
        <v>7624.5</v>
      </c>
      <c r="J250" s="32" t="n">
        <v>4.27</v>
      </c>
      <c r="K250" s="32" t="n">
        <v>784420</v>
      </c>
      <c r="L250" s="31" t="n">
        <v>39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53.98</v>
      </c>
      <c r="P250" s="32" t="n">
        <v>8.06</v>
      </c>
      <c r="Q250" s="32" t="inlineStr"/>
      <c r="R250" s="31" t="inlineStr">
        <is>
          <t>Earnings / Momentum Support</t>
        </is>
      </c>
      <c r="S250" s="31" t="inlineStr">
        <is>
          <t>Nifty Auto</t>
        </is>
      </c>
      <c r="T250" s="32" t="n">
        <v>12.72</v>
      </c>
      <c r="U250" s="32" t="n">
        <v>39.25</v>
      </c>
      <c r="V250" s="32" t="n">
        <v>23.54</v>
      </c>
      <c r="W250" s="32" t="n">
        <v>9.25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IF(B251=0,"",RANK(B251,$B$2:$B$339,0))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CYIENTDLM</t>
        </is>
      </c>
      <c r="D251" s="31" t="inlineStr">
        <is>
          <t>Cyient DLM Ltd</t>
        </is>
      </c>
      <c r="E251" s="31" t="inlineStr">
        <is>
          <t>consumer discretionary</t>
        </is>
      </c>
      <c r="F251" s="31" t="inlineStr">
        <is>
          <t>electronics - components</t>
        </is>
      </c>
      <c r="G251" s="31" t="inlineStr">
        <is>
          <t>smallcap</t>
        </is>
      </c>
      <c r="H251" s="32" t="n">
        <v>3569.02</v>
      </c>
      <c r="I251" s="32" t="n">
        <v>468.55</v>
      </c>
      <c r="J251" s="32" t="n">
        <v>4.19</v>
      </c>
      <c r="K251" s="32" t="n">
        <v>644174</v>
      </c>
      <c r="L251" s="31" t="n">
        <v>49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63.43</v>
      </c>
      <c r="P251" s="32" t="n">
        <v>29.92</v>
      </c>
      <c r="Q251" s="32" t="inlineStr"/>
      <c r="R251" s="31" t="inlineStr">
        <is>
          <t>Earnings / Momentum Support</t>
        </is>
      </c>
      <c r="S251" s="31" t="inlineStr">
        <is>
          <t>Nifty 50</t>
        </is>
      </c>
      <c r="T251" s="32" t="n">
        <v>-4.43</v>
      </c>
      <c r="U251" s="32" t="n">
        <v>-1.83</v>
      </c>
      <c r="V251" s="32" t="n">
        <v>2.72</v>
      </c>
      <c r="W251" s="32" t="n">
        <v>11.87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Less than 50%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IF(B252=0,"",RANK(B252,$B$2:$B$339,0))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BHAGERIA</t>
        </is>
      </c>
      <c r="D252" s="31" t="inlineStr">
        <is>
          <t>Bhageria Industries Limited</t>
        </is>
      </c>
      <c r="E252" s="31" t="inlineStr">
        <is>
          <t>chemicals</t>
        </is>
      </c>
      <c r="F252" s="31" t="inlineStr">
        <is>
          <t>dyes and pigments</t>
        </is>
      </c>
      <c r="G252" s="31" t="inlineStr">
        <is>
          <t>smallcap</t>
        </is>
      </c>
      <c r="H252" s="32" t="n">
        <v>913.25</v>
      </c>
      <c r="I252" s="32" t="n">
        <v>217.8</v>
      </c>
      <c r="J252" s="32" t="n">
        <v>4.09</v>
      </c>
      <c r="K252" s="32" t="n">
        <v>244316</v>
      </c>
      <c r="L252" s="31" t="n">
        <v>53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64.59</v>
      </c>
      <c r="P252" s="32" t="n">
        <v>16.89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-4.43</v>
      </c>
      <c r="U252" s="32" t="n">
        <v>13.21</v>
      </c>
      <c r="V252" s="32" t="n">
        <v>18.46</v>
      </c>
      <c r="W252" s="32" t="n">
        <v>12.99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IF(B253=0,"",RANK(B253,$B$2:$B$339,0))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VSSL</t>
        </is>
      </c>
      <c r="D253" s="33" t="inlineStr">
        <is>
          <t>Vardhman Special Steels Limited</t>
        </is>
      </c>
      <c r="E253" s="31" t="inlineStr">
        <is>
          <t>metals &amp; mining</t>
        </is>
      </c>
      <c r="F253" s="31" t="inlineStr">
        <is>
          <t>steel - medium / small</t>
        </is>
      </c>
      <c r="G253" s="31" t="inlineStr">
        <is>
          <t>smallcap</t>
        </is>
      </c>
      <c r="H253" s="32" t="n">
        <v>2669.98</v>
      </c>
      <c r="I253" s="32" t="n">
        <v>284.65</v>
      </c>
      <c r="J253" s="32" t="n">
        <v>3.08</v>
      </c>
      <c r="K253" s="32" t="n">
        <v>109687</v>
      </c>
      <c r="L253" s="31" t="n">
        <v>26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56.06</v>
      </c>
      <c r="P253" s="32" t="n">
        <v>20.71</v>
      </c>
      <c r="Q253" s="32" t="inlineStr"/>
      <c r="R253" s="31" t="inlineStr">
        <is>
          <t>Earnings / Momentum Support</t>
        </is>
      </c>
      <c r="S253" s="31" t="inlineStr">
        <is>
          <t>Nifty Metal</t>
        </is>
      </c>
      <c r="T253" s="32" t="n">
        <v>38.84</v>
      </c>
      <c r="U253" s="32" t="n">
        <v>9.41</v>
      </c>
      <c r="V253" s="32" t="n">
        <v>-21.2</v>
      </c>
      <c r="W253" s="32" t="n">
        <v>6.51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Cyclical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Between 50% to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IF(B254=0,"",RANK(B254,$B$2:$B$339,0))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BEPL</t>
        </is>
      </c>
      <c r="D254" s="33" t="inlineStr">
        <is>
          <t>Bhansali Engineering Polymers Limited</t>
        </is>
      </c>
      <c r="E254" s="31" t="inlineStr">
        <is>
          <t>energy</t>
        </is>
      </c>
      <c r="F254" s="31" t="inlineStr">
        <is>
          <t>petrochemicals</t>
        </is>
      </c>
      <c r="G254" s="31" t="inlineStr">
        <is>
          <t>smallcap</t>
        </is>
      </c>
      <c r="H254" s="32" t="n">
        <v>2417.66</v>
      </c>
      <c r="I254" s="32" t="n">
        <v>99.44</v>
      </c>
      <c r="J254" s="32" t="n">
        <v>2.36</v>
      </c>
      <c r="K254" s="32" t="n">
        <v>802086</v>
      </c>
      <c r="L254" s="31" t="n">
        <v>3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57.43</v>
      </c>
      <c r="P254" s="32" t="n">
        <v>26.02</v>
      </c>
      <c r="Q254" s="32" t="inlineStr"/>
      <c r="R254" s="31" t="inlineStr">
        <is>
          <t>Earnings / Momentum Support</t>
        </is>
      </c>
      <c r="S254" s="31" t="inlineStr">
        <is>
          <t>Nifty Energy</t>
        </is>
      </c>
      <c r="T254" s="32" t="n">
        <v>9.800000000000001</v>
      </c>
      <c r="U254" s="32" t="n">
        <v>-12.26</v>
      </c>
      <c r="V254" s="32" t="n">
        <v>-20.09</v>
      </c>
      <c r="W254" s="32" t="n">
        <v>0.51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Oligopoly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IF(B255=0,"",RANK(B255,$B$2:$B$339,0))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VARROC</t>
        </is>
      </c>
      <c r="D255" s="33" t="inlineStr">
        <is>
          <t>Varroc Engineering Ltd</t>
        </is>
      </c>
      <c r="E255" s="31" t="inlineStr">
        <is>
          <t>auto</t>
        </is>
      </c>
      <c r="F255" s="31" t="inlineStr">
        <is>
          <t>auto ancillaries</t>
        </is>
      </c>
      <c r="G255" s="31" t="inlineStr">
        <is>
          <t>midcap</t>
        </is>
      </c>
      <c r="H255" s="32" t="n">
        <v>8714.17</v>
      </c>
      <c r="I255" s="32" t="n">
        <v>583</v>
      </c>
      <c r="J255" s="32" t="n">
        <v>2.22</v>
      </c>
      <c r="K255" s="32" t="n">
        <v>81383</v>
      </c>
      <c r="L255" s="31" t="n">
        <v>26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53.79</v>
      </c>
      <c r="P255" s="32" t="n">
        <v>14.17</v>
      </c>
      <c r="Q255" s="32" t="inlineStr"/>
      <c r="R255" s="31" t="inlineStr">
        <is>
          <t>Earnings / Momentum Support</t>
        </is>
      </c>
      <c r="S255" s="31" t="inlineStr">
        <is>
          <t>Nifty Auto</t>
        </is>
      </c>
      <c r="T255" s="32" t="n">
        <v>12.72</v>
      </c>
      <c r="U255" s="32" t="n">
        <v>6.64</v>
      </c>
      <c r="V255" s="32" t="n">
        <v>-5.39</v>
      </c>
      <c r="W255" s="32" t="n">
        <v>6.35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Between 50% to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IF(B256=0,"",RANK(B256,$B$2:$B$339,0))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GLOSTERLTD</t>
        </is>
      </c>
      <c r="D256" s="31" t="inlineStr">
        <is>
          <t>Gloster Ltd</t>
        </is>
      </c>
      <c r="E256" s="31" t="inlineStr">
        <is>
          <t>textiles</t>
        </is>
      </c>
      <c r="F256" s="31" t="inlineStr">
        <is>
          <t>textiles - jute - yarn / products</t>
        </is>
      </c>
      <c r="G256" s="31" t="inlineStr">
        <is>
          <t>smallcap</t>
        </is>
      </c>
      <c r="H256" s="32" t="n">
        <v>731.89</v>
      </c>
      <c r="I256" s="32" t="n">
        <v>680.85</v>
      </c>
      <c r="J256" s="32" t="n">
        <v>1.8</v>
      </c>
      <c r="K256" s="32" t="n">
        <v>4345</v>
      </c>
      <c r="L256" s="31" t="n">
        <v>22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60.52</v>
      </c>
      <c r="P256" s="32" t="n">
        <v>26.31</v>
      </c>
      <c r="Q256" s="32" t="inlineStr"/>
      <c r="R256" s="31" t="inlineStr">
        <is>
          <t>Earnings / Momentum Support</t>
        </is>
      </c>
      <c r="S256" s="31" t="inlineStr">
        <is>
          <t>Nifty 50</t>
        </is>
      </c>
      <c r="T256" s="32" t="n">
        <v>-4.43</v>
      </c>
      <c r="U256" s="32" t="n">
        <v>-1.19</v>
      </c>
      <c r="V256" s="32" t="n">
        <v>3.39</v>
      </c>
      <c r="W256" s="32" t="n">
        <v>5.73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Negative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IF(B257=0,"",RANK(B257,$B$2:$B$339,0))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TMPV</t>
        </is>
      </c>
      <c r="D257" s="33" t="inlineStr">
        <is>
          <t>Tata Motors Passenger Vehicles Ltd</t>
        </is>
      </c>
      <c r="E257" s="31" t="inlineStr">
        <is>
          <t>auto</t>
        </is>
      </c>
      <c r="F257" s="31" t="inlineStr">
        <is>
          <t>automobiles - passenger cars</t>
        </is>
      </c>
      <c r="G257" s="31" t="inlineStr">
        <is>
          <t>largecap</t>
        </is>
      </c>
      <c r="H257" s="32" t="n">
        <v>143612.73</v>
      </c>
      <c r="I257" s="32" t="n">
        <v>396.4</v>
      </c>
      <c r="J257" s="32" t="n">
        <v>1.64</v>
      </c>
      <c r="K257" s="32" t="n">
        <v>11097635</v>
      </c>
      <c r="L257" s="31" t="n">
        <v>1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51.39</v>
      </c>
      <c r="P257" s="32" t="n">
        <v>21.15</v>
      </c>
      <c r="Q257" s="32" t="inlineStr"/>
      <c r="R257" s="31" t="inlineStr">
        <is>
          <t>Earnings / Momentum Support</t>
        </is>
      </c>
      <c r="S257" s="31" t="inlineStr">
        <is>
          <t>Nifty Auto</t>
        </is>
      </c>
      <c r="T257" s="32" t="n">
        <v>12.72</v>
      </c>
      <c r="U257" s="32" t="n">
        <v>-45.23</v>
      </c>
      <c r="V257" s="32" t="n">
        <v>-51.41</v>
      </c>
      <c r="W257" s="32" t="n">
        <v>-2.45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Less than 50%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IF(B258=0,"",RANK(B258,$B$2:$B$339,0))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SSWL</t>
        </is>
      </c>
      <c r="D258" s="33" t="inlineStr">
        <is>
          <t>Steel Strips Wheels Limited</t>
        </is>
      </c>
      <c r="E258" s="31" t="inlineStr">
        <is>
          <t>auto</t>
        </is>
      </c>
      <c r="F258" s="31" t="inlineStr">
        <is>
          <t>auto ancillaries</t>
        </is>
      </c>
      <c r="G258" s="31" t="inlineStr">
        <is>
          <t>smallcap</t>
        </is>
      </c>
      <c r="H258" s="32" t="n">
        <v>3640.77</v>
      </c>
      <c r="I258" s="32" t="n">
        <v>234.84</v>
      </c>
      <c r="J258" s="32" t="n">
        <v>1.39</v>
      </c>
      <c r="K258" s="32" t="n">
        <v>1351249</v>
      </c>
      <c r="L258" s="31" t="n">
        <v>19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59.39</v>
      </c>
      <c r="P258" s="32" t="n">
        <v>8.4</v>
      </c>
      <c r="Q258" s="32" t="inlineStr"/>
      <c r="R258" s="31" t="inlineStr">
        <is>
          <t>Earnings / Momentum Support</t>
        </is>
      </c>
      <c r="S258" s="31" t="inlineStr">
        <is>
          <t>Nifty Auto</t>
        </is>
      </c>
      <c r="T258" s="32" t="n">
        <v>12.72</v>
      </c>
      <c r="U258" s="32" t="n">
        <v>-6.25</v>
      </c>
      <c r="V258" s="32" t="n">
        <v>-16.82</v>
      </c>
      <c r="W258" s="32" t="n">
        <v>5.3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Between 50% to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IF(B259=0,"",RANK(B259,$B$2:$B$339,0))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GNFC</t>
        </is>
      </c>
      <c r="D259" s="31" t="inlineStr">
        <is>
          <t>Gujarat Narmada Valley Fertilizers And Chemicals Limited</t>
        </is>
      </c>
      <c r="E259" s="31" t="inlineStr">
        <is>
          <t>chemicals</t>
        </is>
      </c>
      <c r="F259" s="31" t="inlineStr">
        <is>
          <t>chemicals</t>
        </is>
      </c>
      <c r="G259" s="31" t="inlineStr">
        <is>
          <t>midcap</t>
        </is>
      </c>
      <c r="H259" s="32" t="n">
        <v>7403.61</v>
      </c>
      <c r="I259" s="32" t="n">
        <v>509.95</v>
      </c>
      <c r="J259" s="32" t="n">
        <v>1.21</v>
      </c>
      <c r="K259" s="32" t="n">
        <v>323032</v>
      </c>
      <c r="L259" s="31" t="n">
        <v>12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57.83</v>
      </c>
      <c r="P259" s="32" t="n">
        <v>27.37</v>
      </c>
      <c r="Q259" s="32" t="inlineStr"/>
      <c r="R259" s="31" t="inlineStr">
        <is>
          <t>Earnings / Momentum Support</t>
        </is>
      </c>
      <c r="S259" s="31" t="inlineStr">
        <is>
          <t>Nifty 50</t>
        </is>
      </c>
      <c r="T259" s="32" t="n">
        <v>-4.43</v>
      </c>
      <c r="U259" s="32" t="n">
        <v>-2.74</v>
      </c>
      <c r="V259" s="32" t="n">
        <v>1.77</v>
      </c>
      <c r="W259" s="32" t="n">
        <v>3.59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Shallow Cyclical (2 to 3 Years Growth)</t>
        </is>
      </c>
      <c r="AG259" s="31">
        <f>IF(AF259="Structural (10 Years Consistency)",10,IF(AF259="Shallow Cyclical (2 to 3 years growth)",5,0))</f>
        <v/>
      </c>
      <c r="AH259" s="31" t="inlineStr">
        <is>
          <t>Yes due to Product Mix change or Operating Leverage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Allocated capital in Non-core Areas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Sideways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Overhead supply in last 2 years in last 2 years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More than 15%</t>
        </is>
      </c>
      <c r="CC259" s="31">
        <f>IF(CB259="More than 15%",-10,IF(CB259="Less than 15%",10,0))</f>
        <v/>
      </c>
      <c r="CD259" s="31" t="inlineStr">
        <is>
          <t>Yes Upto 10%</t>
        </is>
      </c>
      <c r="CE259" s="31">
        <f>IF(CD259="Yes, more than 10%",-10,IF(CD259="No",10,0))</f>
        <v/>
      </c>
    </row>
    <row r="260">
      <c r="A260" s="31">
        <f>IF(B260=0,"",RANK(B260,$B$2:$B$339,0))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MARINE</t>
        </is>
      </c>
      <c r="D260" s="31" t="inlineStr">
        <is>
          <t>Marine Electricals (India) Ltd</t>
        </is>
      </c>
      <c r="E260" s="31" t="inlineStr">
        <is>
          <t>industrials</t>
        </is>
      </c>
      <c r="F260" s="31" t="inlineStr">
        <is>
          <t>electric equipment</t>
        </is>
      </c>
      <c r="G260" s="31" t="inlineStr">
        <is>
          <t>smallcap</t>
        </is>
      </c>
      <c r="H260" s="32" t="n">
        <v>598.73</v>
      </c>
      <c r="I260" s="32" t="n">
        <v>246.65</v>
      </c>
      <c r="J260" s="32" t="n">
        <v>1.07</v>
      </c>
      <c r="K260" s="32" t="n">
        <v>458056</v>
      </c>
      <c r="L260" s="31" t="n">
        <v>46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58.35</v>
      </c>
      <c r="P260" s="32" t="n">
        <v>24.62</v>
      </c>
      <c r="Q260" s="32" t="inlineStr"/>
      <c r="R260" s="31" t="inlineStr">
        <is>
          <t>Earnings / Momentum Support</t>
        </is>
      </c>
      <c r="S260" s="31" t="inlineStr">
        <is>
          <t>Nifty 50</t>
        </is>
      </c>
      <c r="T260" s="32" t="n">
        <v>-4.43</v>
      </c>
      <c r="U260" s="32" t="n">
        <v>7.94</v>
      </c>
      <c r="V260" s="32" t="n">
        <v>12.95</v>
      </c>
      <c r="W260" s="32" t="n">
        <v>11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Between 1.5 to 2</t>
        </is>
      </c>
      <c r="BU260" s="31">
        <f>IF(BT260="Above 2",0,IF(BT260="Between 1.5 to 2",5,IF(BT260="Less than 1.5",10,0)))</f>
        <v/>
      </c>
      <c r="BV260" s="31" t="inlineStr">
        <is>
          <t>Negative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IF(B261=0,"",RANK(B261,$B$2:$B$339,0))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COMSYN</t>
        </is>
      </c>
      <c r="D261" s="31" t="inlineStr">
        <is>
          <t>Commercial Syn Bags Ltd</t>
        </is>
      </c>
      <c r="E261" s="31" t="inlineStr">
        <is>
          <t>industrials</t>
        </is>
      </c>
      <c r="F261" s="31" t="inlineStr">
        <is>
          <t>packaging</t>
        </is>
      </c>
      <c r="G261" s="31" t="inlineStr">
        <is>
          <t>smallcap</t>
        </is>
      </c>
      <c r="H261" s="32" t="n">
        <v>685.36</v>
      </c>
      <c r="I261" s="32" t="n">
        <v>170.84</v>
      </c>
      <c r="J261" s="32" t="n">
        <v>0.55</v>
      </c>
      <c r="K261" s="32" t="n">
        <v>23355</v>
      </c>
      <c r="L261" s="31" t="n">
        <v>36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62.53</v>
      </c>
      <c r="P261" s="32" t="n">
        <v>30.82</v>
      </c>
      <c r="Q261" s="32" t="inlineStr"/>
      <c r="R261" s="31" t="inlineStr">
        <is>
          <t>Earnings / Momentum Support</t>
        </is>
      </c>
      <c r="S261" s="31" t="inlineStr">
        <is>
          <t>Nifty 50</t>
        </is>
      </c>
      <c r="T261" s="32" t="n">
        <v>-4.43</v>
      </c>
      <c r="U261" s="32" t="n">
        <v>35.02</v>
      </c>
      <c r="V261" s="32" t="n">
        <v>41.28</v>
      </c>
      <c r="W261" s="32" t="n">
        <v>8.93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IF(B262=0,"",RANK(B262,$B$2:$B$339,0))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LMW</t>
        </is>
      </c>
      <c r="D262" s="31" t="inlineStr">
        <is>
          <t>LMW Ltd</t>
        </is>
      </c>
      <c r="E262" s="31" t="inlineStr">
        <is>
          <t>industrials</t>
        </is>
      </c>
      <c r="F262" s="31" t="inlineStr">
        <is>
          <t>textile machinery</t>
        </is>
      </c>
      <c r="G262" s="31" t="inlineStr">
        <is>
          <t>midcap</t>
        </is>
      </c>
      <c r="H262" s="32" t="n">
        <v>16835.34</v>
      </c>
      <c r="I262" s="32" t="n">
        <v>15827</v>
      </c>
      <c r="J262" s="32" t="n">
        <v>0.43</v>
      </c>
      <c r="K262" s="32" t="n">
        <v>4824</v>
      </c>
      <c r="L262" s="31" t="n">
        <v>7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58.58</v>
      </c>
      <c r="P262" s="32" t="n">
        <v>18.45</v>
      </c>
      <c r="Q262" s="32" t="inlineStr"/>
      <c r="R262" s="31" t="inlineStr">
        <is>
          <t>Earnings / Momentum Support</t>
        </is>
      </c>
      <c r="S262" s="31" t="inlineStr">
        <is>
          <t>Nifty 50</t>
        </is>
      </c>
      <c r="T262" s="32" t="n">
        <v>-4.43</v>
      </c>
      <c r="U262" s="32" t="n">
        <v>-4.28</v>
      </c>
      <c r="V262" s="32" t="n">
        <v>0.16</v>
      </c>
      <c r="W262" s="32" t="n">
        <v>2.06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IF(B263=0,"",RANK(B263,$B$2:$B$339,0))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KRN</t>
        </is>
      </c>
      <c r="D263" s="31" t="inlineStr">
        <is>
          <t>KRN Heat Exchanger and Refrigeration Ltd</t>
        </is>
      </c>
      <c r="E263" s="31" t="inlineStr">
        <is>
          <t>industrials</t>
        </is>
      </c>
      <c r="F263" s="31" t="inlineStr">
        <is>
          <t>engineering</t>
        </is>
      </c>
      <c r="G263" s="31" t="inlineStr">
        <is>
          <t>midcap</t>
        </is>
      </c>
      <c r="H263" s="32" t="n">
        <v>8255.620000000001</v>
      </c>
      <c r="I263" s="32" t="n">
        <v>1256</v>
      </c>
      <c r="J263" s="32" t="n">
        <v>-0.41</v>
      </c>
      <c r="K263" s="32" t="n">
        <v>177740</v>
      </c>
      <c r="L263" s="31" t="n">
        <v>77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65.31999999999999</v>
      </c>
      <c r="P263" s="32" t="n">
        <v>39.39</v>
      </c>
      <c r="Q263" s="32" t="inlineStr"/>
      <c r="R263" s="31" t="inlineStr">
        <is>
          <t>Earnings / Momentum Support</t>
        </is>
      </c>
      <c r="S263" s="31" t="inlineStr">
        <is>
          <t>Nifty 50</t>
        </is>
      </c>
      <c r="T263" s="32" t="n">
        <v>-4.43</v>
      </c>
      <c r="U263" s="32" t="n">
        <v>75.2</v>
      </c>
      <c r="V263" s="32" t="n">
        <v>83.33</v>
      </c>
      <c r="W263" s="32" t="n">
        <v>22.88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Between 1.5 to 2</t>
        </is>
      </c>
      <c r="BU263" s="31">
        <f>IF(BT263="Above 2",0,IF(BT263="Between 1.5 to 2",5,IF(BT263="Less than 1.5",10,0)))</f>
        <v/>
      </c>
      <c r="BV263" s="31" t="inlineStr">
        <is>
          <t>Negative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IF(B264=0,"",RANK(B264,$B$2:$B$339,0))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INOXINDIA</t>
        </is>
      </c>
      <c r="D264" s="31" t="inlineStr">
        <is>
          <t>Inox India Ltd</t>
        </is>
      </c>
      <c r="E264" s="31" t="inlineStr">
        <is>
          <t>industrials</t>
        </is>
      </c>
      <c r="F264" s="31" t="inlineStr">
        <is>
          <t>packaging</t>
        </is>
      </c>
      <c r="G264" s="31" t="inlineStr">
        <is>
          <t>midcap</t>
        </is>
      </c>
      <c r="H264" s="32" t="n">
        <v>16411.86</v>
      </c>
      <c r="I264" s="32" t="n">
        <v>1786.4</v>
      </c>
      <c r="J264" s="32" t="n">
        <v>-1.21</v>
      </c>
      <c r="K264" s="32" t="n">
        <v>239242</v>
      </c>
      <c r="L264" s="31" t="n">
        <v>76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81.54000000000001</v>
      </c>
      <c r="P264" s="32" t="n">
        <v>56.99</v>
      </c>
      <c r="Q264" s="32" t="inlineStr"/>
      <c r="R264" s="31" t="inlineStr">
        <is>
          <t>Earnings / Momentum Support</t>
        </is>
      </c>
      <c r="S264" s="31" t="inlineStr">
        <is>
          <t>Nifty 50</t>
        </is>
      </c>
      <c r="T264" s="32" t="n">
        <v>-4.43</v>
      </c>
      <c r="U264" s="32" t="n">
        <v>52.76</v>
      </c>
      <c r="V264" s="32" t="n">
        <v>59.84</v>
      </c>
      <c r="W264" s="32" t="n">
        <v>22.83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Above 40</t>
        </is>
      </c>
      <c r="AY264" s="31">
        <f>IF(AX264="Above 40",20,IF(AX264="20 to 40",10,IF(AX264="0 to 20",-5,0)))</f>
        <v/>
      </c>
      <c r="AZ264" s="31" t="inlineStr">
        <is>
          <t>Above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Between 12 to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Less than 50%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IF(B265=0,"",RANK(B265,$B$2:$B$339,0))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JNKINDIA</t>
        </is>
      </c>
      <c r="D265" s="31" t="inlineStr">
        <is>
          <t>JNK India Ltd</t>
        </is>
      </c>
      <c r="E265" s="31" t="inlineStr">
        <is>
          <t>realty</t>
        </is>
      </c>
      <c r="F265" s="31" t="inlineStr">
        <is>
          <t>engineering - turnkey services</t>
        </is>
      </c>
      <c r="G265" s="31" t="inlineStr">
        <is>
          <t>smallcap</t>
        </is>
      </c>
      <c r="H265" s="32" t="n">
        <v>2820.36</v>
      </c>
      <c r="I265" s="32" t="n">
        <v>495.9</v>
      </c>
      <c r="J265" s="32" t="n">
        <v>-1.62</v>
      </c>
      <c r="K265" s="32" t="n">
        <v>967424</v>
      </c>
      <c r="L265" s="31" t="n">
        <v>92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77.36</v>
      </c>
      <c r="P265" s="32" t="n">
        <v>32.4</v>
      </c>
      <c r="Q265" s="32" t="inlineStr"/>
      <c r="R265" s="31" t="inlineStr">
        <is>
          <t>Earnings / Momentum Support</t>
        </is>
      </c>
      <c r="S265" s="31" t="inlineStr">
        <is>
          <t>Nifty Realty</t>
        </is>
      </c>
      <c r="T265" s="32" t="n">
        <v>-23.58</v>
      </c>
      <c r="U265" s="32" t="n">
        <v>39.11</v>
      </c>
      <c r="V265" s="32" t="n">
        <v>82.03</v>
      </c>
      <c r="W265" s="32" t="n">
        <v>38.41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Above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Negative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IF(B266=0,"",RANK(B266,$B$2:$B$339,0))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VINCOFE</t>
        </is>
      </c>
      <c r="D266" s="31" t="inlineStr">
        <is>
          <t>Vintage Coffee &amp; Beverages Ltd</t>
        </is>
      </c>
      <c r="E266" s="31" t="inlineStr">
        <is>
          <t>consumer discretionary</t>
        </is>
      </c>
      <c r="F266" s="31" t="inlineStr">
        <is>
          <t>trading</t>
        </is>
      </c>
      <c r="G266" s="31" t="inlineStr">
        <is>
          <t>smallcap</t>
        </is>
      </c>
      <c r="H266" s="32" t="n">
        <v>2323</v>
      </c>
      <c r="I266" s="32" t="n">
        <v>155.52</v>
      </c>
      <c r="J266" s="32" t="n">
        <v>-2.46</v>
      </c>
      <c r="K266" s="32" t="n">
        <v>3763979</v>
      </c>
      <c r="L266" s="31" t="n">
        <v>52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60.74</v>
      </c>
      <c r="P266" s="32" t="n">
        <v>13.94</v>
      </c>
      <c r="Q266" s="32" t="inlineStr"/>
      <c r="R266" s="31" t="inlineStr">
        <is>
          <t>Earnings / Momentum Support</t>
        </is>
      </c>
      <c r="S266" s="31" t="inlineStr">
        <is>
          <t>Nifty 50</t>
        </is>
      </c>
      <c r="T266" s="32" t="n">
        <v>-4.43</v>
      </c>
      <c r="U266" s="32" t="n">
        <v>27.58</v>
      </c>
      <c r="V266" s="32" t="n">
        <v>33.5</v>
      </c>
      <c r="W266" s="32" t="n">
        <v>12.82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Between 12 to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Between 1.5 to 2</t>
        </is>
      </c>
      <c r="BU266" s="31">
        <f>IF(BT266="Above 2",0,IF(BT266="Between 1.5 to 2",5,IF(BT266="Less than 1.5",10,0)))</f>
        <v/>
      </c>
      <c r="BV266" s="31" t="inlineStr">
        <is>
          <t>Less than 50%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IF(B267=0,"",RANK(B267,$B$2:$B$339,0))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YASHO</t>
        </is>
      </c>
      <c r="D267" s="31" t="inlineStr">
        <is>
          <t>Yasho Industries Ltd</t>
        </is>
      </c>
      <c r="E267" s="31" t="inlineStr">
        <is>
          <t>chemicals</t>
        </is>
      </c>
      <c r="F267" s="31" t="inlineStr">
        <is>
          <t>chemicals</t>
        </is>
      </c>
      <c r="G267" s="31" t="inlineStr">
        <is>
          <t>smallcap</t>
        </is>
      </c>
      <c r="H267" s="32" t="n">
        <v>3460.87</v>
      </c>
      <c r="I267" s="32" t="n">
        <v>2786.4</v>
      </c>
      <c r="J267" s="32" t="n">
        <v>-2.93</v>
      </c>
      <c r="K267" s="32" t="n">
        <v>91229</v>
      </c>
      <c r="L267" s="31" t="n">
        <v>94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83.59</v>
      </c>
      <c r="P267" s="32" t="n">
        <v>26.66</v>
      </c>
      <c r="Q267" s="32" t="inlineStr"/>
      <c r="R267" s="31" t="inlineStr">
        <is>
          <t>Earnings / Momentum Support</t>
        </is>
      </c>
      <c r="S267" s="31" t="inlineStr">
        <is>
          <t>Nifty 50</t>
        </is>
      </c>
      <c r="T267" s="32" t="n">
        <v>-4.43</v>
      </c>
      <c r="U267" s="32" t="n">
        <v>45.35</v>
      </c>
      <c r="V267" s="32" t="n">
        <v>52.09</v>
      </c>
      <c r="W267" s="32" t="n">
        <v>40.32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Above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More than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IF(B268=0,"",RANK(B268,$B$2:$B$339,0))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RPGLIFE</t>
        </is>
      </c>
      <c r="D268" s="33" t="inlineStr">
        <is>
          <t>Rpg Life Sciences Limited</t>
        </is>
      </c>
      <c r="E268" s="31" t="inlineStr">
        <is>
          <t>healthcare</t>
        </is>
      </c>
      <c r="F268" s="31" t="inlineStr">
        <is>
          <t>pharmaceuticals - indian - bulk drugs &amp; formln</t>
        </is>
      </c>
      <c r="G268" s="31" t="inlineStr">
        <is>
          <t>smallcap</t>
        </is>
      </c>
      <c r="H268" s="32" t="n">
        <v>3666.2</v>
      </c>
      <c r="I268" s="32" t="n">
        <v>2297.7</v>
      </c>
      <c r="J268" s="32" t="n">
        <v>3.65</v>
      </c>
      <c r="K268" s="32" t="n">
        <v>17951</v>
      </c>
      <c r="L268" s="31" t="n">
        <v>10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53.49</v>
      </c>
      <c r="P268" s="32" t="n">
        <v>23.58</v>
      </c>
      <c r="Q268" s="32" t="inlineStr"/>
      <c r="R268" s="31" t="inlineStr">
        <is>
          <t>Earnings / Momentum Support</t>
        </is>
      </c>
      <c r="S268" s="31" t="inlineStr">
        <is>
          <t>Nifty Pharma</t>
        </is>
      </c>
      <c r="T268" s="32" t="n">
        <v>10.89</v>
      </c>
      <c r="U268" s="32" t="n">
        <v>-4.38</v>
      </c>
      <c r="V268" s="32" t="n">
        <v>-13.78</v>
      </c>
      <c r="W268" s="32" t="n">
        <v>3.38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Less than 50%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IF(B269=0,"",RANK(B269,$B$2:$B$339,0))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TRIVENI</t>
        </is>
      </c>
      <c r="D269" s="31" t="inlineStr">
        <is>
          <t>Triveni Engineering &amp; Industries Limited</t>
        </is>
      </c>
      <c r="E269" s="31" t="inlineStr">
        <is>
          <t>fmcg</t>
        </is>
      </c>
      <c r="F269" s="31" t="inlineStr">
        <is>
          <t>sugar</t>
        </is>
      </c>
      <c r="G269" s="31" t="inlineStr">
        <is>
          <t>midcap</t>
        </is>
      </c>
      <c r="H269" s="32" t="n">
        <v>8448.370000000001</v>
      </c>
      <c r="I269" s="32" t="n">
        <v>398.35</v>
      </c>
      <c r="J269" s="32" t="n">
        <v>3.21</v>
      </c>
      <c r="K269" s="32" t="n">
        <v>768098</v>
      </c>
      <c r="L269" s="31" t="n">
        <v>3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52.23</v>
      </c>
      <c r="P269" s="32" t="n">
        <v>16.73</v>
      </c>
      <c r="Q269" s="32" t="inlineStr"/>
      <c r="R269" s="31" t="inlineStr">
        <is>
          <t>Earnings / Momentum Support</t>
        </is>
      </c>
      <c r="S269" s="31" t="inlineStr">
        <is>
          <t>Nifty FMCG</t>
        </is>
      </c>
      <c r="T269" s="32" t="n">
        <v>-10.45</v>
      </c>
      <c r="U269" s="32" t="n">
        <v>-7.44</v>
      </c>
      <c r="V269" s="32" t="n">
        <v>3.36</v>
      </c>
      <c r="W269" s="32" t="n">
        <v>0.95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B2C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Less than 50%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IF(B270=0,"",RANK(B270,$B$2:$B$339,0))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GABRIEL</t>
        </is>
      </c>
      <c r="D270" s="31" t="inlineStr">
        <is>
          <t>Gabriel India Limited</t>
        </is>
      </c>
      <c r="E270" s="31" t="inlineStr">
        <is>
          <t>auto</t>
        </is>
      </c>
      <c r="F270" s="31" t="inlineStr">
        <is>
          <t>auto ancillaries</t>
        </is>
      </c>
      <c r="G270" s="31" t="inlineStr">
        <is>
          <t>midcap</t>
        </is>
      </c>
      <c r="H270" s="32" t="n">
        <v>14947.59</v>
      </c>
      <c r="I270" s="32" t="n">
        <v>1146.3</v>
      </c>
      <c r="J270" s="32" t="n">
        <v>10.16</v>
      </c>
      <c r="K270" s="32" t="n">
        <v>1933008</v>
      </c>
      <c r="L270" s="31" t="n">
        <v>77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52.71</v>
      </c>
      <c r="P270" s="32" t="n">
        <v>15.48</v>
      </c>
      <c r="Q270" s="32" t="inlineStr"/>
      <c r="R270" s="31" t="inlineStr">
        <is>
          <t>Earnings / Momentum Support</t>
        </is>
      </c>
      <c r="S270" s="31" t="inlineStr">
        <is>
          <t>Nifty Auto</t>
        </is>
      </c>
      <c r="T270" s="32" t="n">
        <v>12.72</v>
      </c>
      <c r="U270" s="32" t="n">
        <v>71.11</v>
      </c>
      <c r="V270" s="32" t="n">
        <v>51.81</v>
      </c>
      <c r="W270" s="32" t="n">
        <v>22.99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IF(B271=0,"",RANK(B271,$B$2:$B$339,0))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SETL</t>
        </is>
      </c>
      <c r="D271" s="33" t="inlineStr">
        <is>
          <t>Standard Enginnering Technology Ltd</t>
        </is>
      </c>
      <c r="E271" s="31" t="inlineStr">
        <is>
          <t>industrials</t>
        </is>
      </c>
      <c r="F271" s="31" t="inlineStr">
        <is>
          <t>engineering</t>
        </is>
      </c>
      <c r="G271" s="31" t="inlineStr">
        <is>
          <t>smallcap</t>
        </is>
      </c>
      <c r="H271" s="32" t="n">
        <v>3169.92</v>
      </c>
      <c r="I271" s="32" t="n">
        <v>168.94</v>
      </c>
      <c r="J271" s="32" t="n">
        <v>6.32</v>
      </c>
      <c r="K271" s="32" t="n">
        <v>1159383</v>
      </c>
      <c r="L271" s="31" t="n">
        <v>33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61.1</v>
      </c>
      <c r="P271" s="32" t="n">
        <v>13.64</v>
      </c>
      <c r="Q271" s="32" t="inlineStr"/>
      <c r="R271" s="31" t="inlineStr">
        <is>
          <t>Earnings / Momentum Support</t>
        </is>
      </c>
      <c r="S271" s="31" t="inlineStr">
        <is>
          <t>Nifty 50</t>
        </is>
      </c>
      <c r="T271" s="32" t="n">
        <v>-4.43</v>
      </c>
      <c r="U271" s="32" t="n">
        <v>-7.27</v>
      </c>
      <c r="V271" s="32" t="n">
        <v>-2.97</v>
      </c>
      <c r="W271" s="32" t="n">
        <v>8.050000000000001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Less than 1.5</t>
        </is>
      </c>
      <c r="BU271" s="31">
        <f>IF(BT271="Above 2",0,IF(BT271="Between 1.5 to 2",5,IF(BT271="Less than 1.5",10,0)))</f>
        <v/>
      </c>
      <c r="BV271" s="31" t="inlineStr">
        <is>
          <t>Less than 50%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IF(B272=0,"",RANK(B272,$B$2:$B$339,0))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SKYGOLD</t>
        </is>
      </c>
      <c r="D272" s="31" t="inlineStr">
        <is>
          <t>Sky Gold Ltd</t>
        </is>
      </c>
      <c r="E272" s="31" t="inlineStr">
        <is>
          <t>consumer discretionary</t>
        </is>
      </c>
      <c r="F272" s="31" t="inlineStr">
        <is>
          <t>diamond cutting / jewellery</t>
        </is>
      </c>
      <c r="G272" s="31" t="inlineStr">
        <is>
          <t>midcap</t>
        </is>
      </c>
      <c r="H272" s="32" t="n">
        <v>7882.31</v>
      </c>
      <c r="I272" s="32" t="n">
        <v>533.65</v>
      </c>
      <c r="J272" s="32" t="n">
        <v>4.85</v>
      </c>
      <c r="K272" s="32" t="n">
        <v>961184</v>
      </c>
      <c r="L272" s="31" t="n">
        <v>71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63.72</v>
      </c>
      <c r="P272" s="32" t="n">
        <v>38.71</v>
      </c>
      <c r="Q272" s="32" t="inlineStr"/>
      <c r="R272" s="31" t="inlineStr">
        <is>
          <t>Earnings / Momentum Support</t>
        </is>
      </c>
      <c r="S272" s="31" t="inlineStr">
        <is>
          <t>Nifty 50</t>
        </is>
      </c>
      <c r="T272" s="32" t="n">
        <v>-4.43</v>
      </c>
      <c r="U272" s="32" t="n">
        <v>32.11</v>
      </c>
      <c r="V272" s="32" t="n">
        <v>38.24</v>
      </c>
      <c r="W272" s="32" t="n">
        <v>19.11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Negative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IF(B273=0,"",RANK(B273,$B$2:$B$339,0))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MMFL</t>
        </is>
      </c>
      <c r="D273" s="31" t="inlineStr">
        <is>
          <t>Mm Forgings Limited</t>
        </is>
      </c>
      <c r="E273" s="31" t="inlineStr">
        <is>
          <t>industrials</t>
        </is>
      </c>
      <c r="F273" s="31" t="inlineStr">
        <is>
          <t>castings &amp; forgings</t>
        </is>
      </c>
      <c r="G273" s="31" t="inlineStr">
        <is>
          <t>smallcap</t>
        </is>
      </c>
      <c r="H273" s="32" t="n">
        <v>2163.02</v>
      </c>
      <c r="I273" s="32" t="n">
        <v>468.7</v>
      </c>
      <c r="J273" s="32" t="n">
        <v>4.62</v>
      </c>
      <c r="K273" s="32" t="n">
        <v>175576</v>
      </c>
      <c r="L273" s="31" t="n">
        <v>20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54.64</v>
      </c>
      <c r="P273" s="32" t="n">
        <v>14.92</v>
      </c>
      <c r="Q273" s="32" t="inlineStr"/>
      <c r="R273" s="31" t="inlineStr">
        <is>
          <t>Earnings / Momentum Support</t>
        </is>
      </c>
      <c r="S273" s="31" t="inlineStr">
        <is>
          <t>Nifty 50</t>
        </is>
      </c>
      <c r="T273" s="32" t="n">
        <v>-4.43</v>
      </c>
      <c r="U273" s="32" t="n">
        <v>21.52</v>
      </c>
      <c r="V273" s="32" t="n">
        <v>27.15</v>
      </c>
      <c r="W273" s="32" t="n">
        <v>5.34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More than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IF(B274=0,"",RANK(B274,$B$2:$B$339,0))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WELSPUNLIV</t>
        </is>
      </c>
      <c r="D274" s="31" t="inlineStr">
        <is>
          <t>Welspun Living Ltd</t>
        </is>
      </c>
      <c r="E274" s="31" t="inlineStr">
        <is>
          <t>textiles</t>
        </is>
      </c>
      <c r="F274" s="31" t="inlineStr">
        <is>
          <t>textiles - products</t>
        </is>
      </c>
      <c r="G274" s="31" t="inlineStr">
        <is>
          <t>midcap</t>
        </is>
      </c>
      <c r="H274" s="32" t="n">
        <v>13288.1</v>
      </c>
      <c r="I274" s="32" t="n">
        <v>144.93</v>
      </c>
      <c r="J274" s="32" t="n">
        <v>4.61</v>
      </c>
      <c r="K274" s="32" t="n">
        <v>2873971</v>
      </c>
      <c r="L274" s="31" t="n">
        <v>28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56.65</v>
      </c>
      <c r="P274" s="32" t="n">
        <v>17.28</v>
      </c>
      <c r="Q274" s="32" t="inlineStr"/>
      <c r="R274" s="31" t="inlineStr">
        <is>
          <t>Earnings / Momentum Support</t>
        </is>
      </c>
      <c r="S274" s="31" t="inlineStr">
        <is>
          <t>Nifty 50</t>
        </is>
      </c>
      <c r="T274" s="32" t="n">
        <v>-4.43</v>
      </c>
      <c r="U274" s="32" t="n">
        <v>4.79</v>
      </c>
      <c r="V274" s="32" t="n">
        <v>9.65</v>
      </c>
      <c r="W274" s="32" t="n">
        <v>6.76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IF(B275=0,"",RANK(B275,$B$2:$B$339,0))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SENCO</t>
        </is>
      </c>
      <c r="D275" s="31" t="inlineStr">
        <is>
          <t>Senco Gold Ltd</t>
        </is>
      </c>
      <c r="E275" s="31" t="inlineStr">
        <is>
          <t>consumer discretionary</t>
        </is>
      </c>
      <c r="F275" s="31" t="inlineStr">
        <is>
          <t>diamond cutting / jewellery</t>
        </is>
      </c>
      <c r="G275" s="31" t="inlineStr">
        <is>
          <t>midcap</t>
        </is>
      </c>
      <c r="H275" s="32" t="n">
        <v>5542.4</v>
      </c>
      <c r="I275" s="32" t="n">
        <v>350.2</v>
      </c>
      <c r="J275" s="32" t="n">
        <v>3.5</v>
      </c>
      <c r="K275" s="32" t="n">
        <v>1130498</v>
      </c>
      <c r="L275" s="31" t="n">
        <v>12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52.45</v>
      </c>
      <c r="P275" s="32" t="n">
        <v>20.95</v>
      </c>
      <c r="Q275" s="32" t="inlineStr"/>
      <c r="R275" s="31" t="inlineStr">
        <is>
          <t>Earnings / Momentum Support</t>
        </is>
      </c>
      <c r="S275" s="31" t="inlineStr">
        <is>
          <t>Nifty 50</t>
        </is>
      </c>
      <c r="T275" s="32" t="n">
        <v>-4.43</v>
      </c>
      <c r="U275" s="32" t="n">
        <v>-2.1</v>
      </c>
      <c r="V275" s="32" t="n">
        <v>2.44</v>
      </c>
      <c r="W275" s="32" t="n">
        <v>3.53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Negative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Between 0.7 to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IF(B276=0,"",RANK(B276,$B$2:$B$339,0))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TBZ</t>
        </is>
      </c>
      <c r="D276" s="31" t="inlineStr">
        <is>
          <t>Tribhovandas Bhimji Zaveri Limited</t>
        </is>
      </c>
      <c r="E276" s="31" t="inlineStr">
        <is>
          <t>consumer discretionary</t>
        </is>
      </c>
      <c r="F276" s="31" t="inlineStr">
        <is>
          <t>diamond cutting / jewellery</t>
        </is>
      </c>
      <c r="G276" s="31" t="inlineStr">
        <is>
          <t>smallcap</t>
        </is>
      </c>
      <c r="H276" s="32" t="n">
        <v>1226.31</v>
      </c>
      <c r="I276" s="32" t="n">
        <v>187.76</v>
      </c>
      <c r="J276" s="32" t="n">
        <v>2.17</v>
      </c>
      <c r="K276" s="32" t="n">
        <v>1334062</v>
      </c>
      <c r="L276" s="31" t="n">
        <v>38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62.11</v>
      </c>
      <c r="P276" s="32" t="n">
        <v>15.06</v>
      </c>
      <c r="Q276" s="32" t="inlineStr"/>
      <c r="R276" s="31" t="inlineStr">
        <is>
          <t>Earnings / Momentum Support</t>
        </is>
      </c>
      <c r="S276" s="31" t="inlineStr">
        <is>
          <t>Nifty 50</t>
        </is>
      </c>
      <c r="T276" s="32" t="n">
        <v>-4.43</v>
      </c>
      <c r="U276" s="32" t="n">
        <v>-3.34</v>
      </c>
      <c r="V276" s="32" t="n">
        <v>1.15</v>
      </c>
      <c r="W276" s="32" t="n">
        <v>9.08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Less than 50% and Borrowings are increasing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IF(B277=0,"",RANK(B277,$B$2:$B$339,0))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MSPL</t>
        </is>
      </c>
      <c r="D277" s="31" t="inlineStr">
        <is>
          <t>Msp Steel &amp; Power Limited</t>
        </is>
      </c>
      <c r="E277" s="31" t="inlineStr">
        <is>
          <t>metals &amp; mining</t>
        </is>
      </c>
      <c r="F277" s="31" t="inlineStr">
        <is>
          <t>steel - medium / small</t>
        </is>
      </c>
      <c r="G277" s="31" t="inlineStr">
        <is>
          <t>smallcap</t>
        </is>
      </c>
      <c r="H277" s="32" t="n">
        <v>2350.51</v>
      </c>
      <c r="I277" s="32" t="n">
        <v>42.11</v>
      </c>
      <c r="J277" s="32" t="n">
        <v>1.54</v>
      </c>
      <c r="K277" s="32" t="n">
        <v>6117843</v>
      </c>
      <c r="L277" s="31" t="n">
        <v>64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63.12</v>
      </c>
      <c r="P277" s="32" t="n">
        <v>21.5</v>
      </c>
      <c r="Q277" s="32" t="inlineStr"/>
      <c r="R277" s="31" t="inlineStr">
        <is>
          <t>Earnings / Momentum Support</t>
        </is>
      </c>
      <c r="S277" s="31" t="inlineStr">
        <is>
          <t>Nifty Metal</t>
        </is>
      </c>
      <c r="T277" s="32" t="n">
        <v>38.84</v>
      </c>
      <c r="U277" s="32" t="n">
        <v>48</v>
      </c>
      <c r="V277" s="32" t="n">
        <v>6.6</v>
      </c>
      <c r="W277" s="32" t="n">
        <v>16.71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IF(B278=0,"",RANK(B278,$B$2:$B$339,0))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INDHOTEL</t>
        </is>
      </c>
      <c r="D278" s="33" t="inlineStr">
        <is>
          <t>The Indian Hotels Company Limited</t>
        </is>
      </c>
      <c r="E278" s="31" t="inlineStr">
        <is>
          <t>services</t>
        </is>
      </c>
      <c r="F278" s="31" t="inlineStr">
        <is>
          <t>hotels</t>
        </is>
      </c>
      <c r="G278" s="31" t="inlineStr">
        <is>
          <t>largecap</t>
        </is>
      </c>
      <c r="H278" s="32" t="n">
        <v>96715.10000000001</v>
      </c>
      <c r="I278" s="32" t="n">
        <v>689.85</v>
      </c>
      <c r="J278" s="32" t="n">
        <v>1.53</v>
      </c>
      <c r="K278" s="32" t="n">
        <v>2663696</v>
      </c>
      <c r="L278" s="31" t="n">
        <v>5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52.67</v>
      </c>
      <c r="P278" s="32" t="n">
        <v>17.28</v>
      </c>
      <c r="Q278" s="32" t="inlineStr"/>
      <c r="R278" s="31" t="inlineStr">
        <is>
          <t>Earnings / Momentum Support</t>
        </is>
      </c>
      <c r="S278" s="31" t="inlineStr">
        <is>
          <t>Nifty 50</t>
        </is>
      </c>
      <c r="T278" s="32" t="n">
        <v>-4.43</v>
      </c>
      <c r="U278" s="32" t="n">
        <v>-7.3</v>
      </c>
      <c r="V278" s="32" t="n">
        <v>-3.01</v>
      </c>
      <c r="W278" s="32" t="n">
        <v>1.28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Between 12 to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IF(B279=0,"",RANK(B279,$B$2:$B$339,0))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SOTL</t>
        </is>
      </c>
      <c r="D279" s="31" t="inlineStr">
        <is>
          <t>Savita Oil Technologies Limited</t>
        </is>
      </c>
      <c r="E279" s="31" t="inlineStr">
        <is>
          <t>energy</t>
        </is>
      </c>
      <c r="F279" s="31" t="inlineStr">
        <is>
          <t>petrochemicals</t>
        </is>
      </c>
      <c r="G279" s="31" t="inlineStr">
        <is>
          <t>smallcap</t>
        </is>
      </c>
      <c r="H279" s="32" t="n">
        <v>3910.34</v>
      </c>
      <c r="I279" s="32" t="n">
        <v>577.55</v>
      </c>
      <c r="J279" s="32" t="n">
        <v>1.26</v>
      </c>
      <c r="K279" s="32" t="n">
        <v>1218159</v>
      </c>
      <c r="L279" s="31" t="n">
        <v>81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75.31999999999999</v>
      </c>
      <c r="P279" s="32" t="n">
        <v>31.21</v>
      </c>
      <c r="Q279" s="32" t="inlineStr"/>
      <c r="R279" s="31" t="inlineStr">
        <is>
          <t>Earnings / Momentum Support</t>
        </is>
      </c>
      <c r="S279" s="31" t="inlineStr">
        <is>
          <t>Nifty Energy</t>
        </is>
      </c>
      <c r="T279" s="32" t="n">
        <v>9.800000000000001</v>
      </c>
      <c r="U279" s="32" t="n">
        <v>36.77</v>
      </c>
      <c r="V279" s="32" t="n">
        <v>24.56</v>
      </c>
      <c r="W279" s="32" t="n">
        <v>25.01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Oligopoly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Yes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Above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Less than 1.5</t>
        </is>
      </c>
      <c r="BU279" s="31">
        <f>IF(BT279="Above 2",0,IF(BT279="Between 1.5 to 2",5,IF(BT279="Less than 1.5",10,0)))</f>
        <v/>
      </c>
      <c r="BV279" s="31" t="inlineStr">
        <is>
          <t>Between 50% to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IF(B280=0,"",RANK(B280,$B$2:$B$339,0))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RML</t>
        </is>
      </c>
      <c r="D280" s="33" t="inlineStr">
        <is>
          <t>Rane (madras) Limited</t>
        </is>
      </c>
      <c r="E280" s="31" t="inlineStr">
        <is>
          <t>auto</t>
        </is>
      </c>
      <c r="F280" s="31" t="inlineStr">
        <is>
          <t>auto ancillaries</t>
        </is>
      </c>
      <c r="G280" s="31" t="inlineStr">
        <is>
          <t>smallcap</t>
        </is>
      </c>
      <c r="H280" s="32" t="n">
        <v>2550.08</v>
      </c>
      <c r="I280" s="32" t="n">
        <v>928.75</v>
      </c>
      <c r="J280" s="32" t="n">
        <v>0.66</v>
      </c>
      <c r="K280" s="32" t="n">
        <v>21592</v>
      </c>
      <c r="L280" s="31" t="n">
        <v>18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61.38</v>
      </c>
      <c r="P280" s="32" t="n">
        <v>21.4</v>
      </c>
      <c r="Q280" s="32" t="inlineStr"/>
      <c r="R280" s="31" t="inlineStr">
        <is>
          <t>Earnings / Momentum Support</t>
        </is>
      </c>
      <c r="S280" s="31" t="inlineStr">
        <is>
          <t>Nifty Auto</t>
        </is>
      </c>
      <c r="T280" s="32" t="n">
        <v>12.72</v>
      </c>
      <c r="U280" s="32" t="n">
        <v>3.04</v>
      </c>
      <c r="V280" s="32" t="n">
        <v>-8.58</v>
      </c>
      <c r="W280" s="32" t="n">
        <v>5.11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Between 50% to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IF(B281=0,"",RANK(B281,$B$2:$B$339,0))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LLOYDSENGG</t>
        </is>
      </c>
      <c r="D281" s="31" t="inlineStr">
        <is>
          <t>Lloyds Engineering Works Ltd</t>
        </is>
      </c>
      <c r="E281" s="31" t="inlineStr">
        <is>
          <t>industrials</t>
        </is>
      </c>
      <c r="F281" s="31" t="inlineStr">
        <is>
          <t>engineering</t>
        </is>
      </c>
      <c r="G281" s="31" t="inlineStr">
        <is>
          <t>midcap</t>
        </is>
      </c>
      <c r="H281" s="32" t="n">
        <v>10499.7</v>
      </c>
      <c r="I281" s="32" t="n">
        <v>71.34999999999999</v>
      </c>
      <c r="J281" s="32" t="n">
        <v>0.58</v>
      </c>
      <c r="K281" s="32" t="n">
        <v>4981799</v>
      </c>
      <c r="L281" s="31" t="n">
        <v>74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65.84999999999999</v>
      </c>
      <c r="P281" s="32" t="n">
        <v>29.19</v>
      </c>
      <c r="Q281" s="32" t="inlineStr"/>
      <c r="R281" s="31" t="inlineStr">
        <is>
          <t>Earnings / Momentum Support</t>
        </is>
      </c>
      <c r="S281" s="31" t="inlineStr">
        <is>
          <t>Nifty 50</t>
        </is>
      </c>
      <c r="T281" s="32" t="n">
        <v>-4.43</v>
      </c>
      <c r="U281" s="32" t="n">
        <v>16.34</v>
      </c>
      <c r="V281" s="32" t="n">
        <v>21.74</v>
      </c>
      <c r="W281" s="32" t="n">
        <v>21.1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IF(B282=0,"",RANK(B282,$B$2:$B$339,0))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AEROENTER</t>
        </is>
      </c>
      <c r="D282" s="33" t="inlineStr">
        <is>
          <t>Aeroflex Enterprises Ltd</t>
        </is>
      </c>
      <c r="E282" s="31" t="inlineStr">
        <is>
          <t>metals &amp; mining</t>
        </is>
      </c>
      <c r="F282" s="31" t="inlineStr">
        <is>
          <t>steel - medium / small</t>
        </is>
      </c>
      <c r="G282" s="31" t="inlineStr">
        <is>
          <t>smallcap</t>
        </is>
      </c>
      <c r="H282" s="32" t="n">
        <v>1241.45</v>
      </c>
      <c r="I282" s="32" t="n">
        <v>110.42</v>
      </c>
      <c r="J282" s="32" t="n">
        <v>0.58</v>
      </c>
      <c r="K282" s="32" t="n">
        <v>996951</v>
      </c>
      <c r="L282" s="31" t="n">
        <v>70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65.15000000000001</v>
      </c>
      <c r="P282" s="32" t="n">
        <v>34.67</v>
      </c>
      <c r="Q282" s="32" t="inlineStr"/>
      <c r="R282" s="31" t="inlineStr">
        <is>
          <t>Earnings / Momentum Support</t>
        </is>
      </c>
      <c r="S282" s="31" t="inlineStr">
        <is>
          <t>Nifty Metal</t>
        </is>
      </c>
      <c r="T282" s="32" t="n">
        <v>38.84</v>
      </c>
      <c r="U282" s="32" t="n">
        <v>20.75</v>
      </c>
      <c r="V282" s="32" t="n">
        <v>-13.03</v>
      </c>
      <c r="W282" s="32" t="n">
        <v>18.71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Cyclical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Volatile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Less than 50%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IF(B283=0,"",RANK(B283,$B$2:$B$339,0))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HIRECT</t>
        </is>
      </c>
      <c r="D283" s="31" t="inlineStr">
        <is>
          <t>Hind Rectifiers Limited</t>
        </is>
      </c>
      <c r="E283" s="31" t="inlineStr">
        <is>
          <t>consumer discretionary</t>
        </is>
      </c>
      <c r="F283" s="31" t="inlineStr">
        <is>
          <t>electronics - components</t>
        </is>
      </c>
      <c r="G283" s="31" t="inlineStr">
        <is>
          <t>smallcap</t>
        </is>
      </c>
      <c r="H283" s="32" t="n">
        <v>3885.26</v>
      </c>
      <c r="I283" s="32" t="n">
        <v>1135.6</v>
      </c>
      <c r="J283" s="32" t="n">
        <v>0.45</v>
      </c>
      <c r="K283" s="32" t="n">
        <v>91941</v>
      </c>
      <c r="L283" s="31" t="n">
        <v>83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76.73999999999999</v>
      </c>
      <c r="P283" s="32" t="n">
        <v>27.03</v>
      </c>
      <c r="Q283" s="32" t="inlineStr"/>
      <c r="R283" s="31" t="inlineStr">
        <is>
          <t>Earnings / Momentum Support</t>
        </is>
      </c>
      <c r="S283" s="31" t="inlineStr">
        <is>
          <t>Nifty 50</t>
        </is>
      </c>
      <c r="T283" s="32" t="n">
        <v>-4.43</v>
      </c>
      <c r="U283" s="32" t="n">
        <v>76.38</v>
      </c>
      <c r="V283" s="32" t="n">
        <v>84.56</v>
      </c>
      <c r="W283" s="32" t="n">
        <v>26.27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Above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IF(B284=0,"",RANK(B284,$B$2:$B$339,0))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XPROINDIA</t>
        </is>
      </c>
      <c r="D284" s="31" t="inlineStr">
        <is>
          <t>Xpro India Limited</t>
        </is>
      </c>
      <c r="E284" s="31" t="inlineStr">
        <is>
          <t>industrials</t>
        </is>
      </c>
      <c r="F284" s="31" t="inlineStr">
        <is>
          <t>packaging</t>
        </is>
      </c>
      <c r="G284" s="31" t="inlineStr">
        <is>
          <t>smallcap</t>
        </is>
      </c>
      <c r="H284" s="32" t="n">
        <v>2833.11</v>
      </c>
      <c r="I284" s="32" t="n">
        <v>1210</v>
      </c>
      <c r="J284" s="32" t="n">
        <v>0.24</v>
      </c>
      <c r="K284" s="32" t="n">
        <v>32082</v>
      </c>
      <c r="L284" s="31" t="n">
        <v>50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60.07</v>
      </c>
      <c r="P284" s="32" t="n">
        <v>20</v>
      </c>
      <c r="Q284" s="32" t="inlineStr"/>
      <c r="R284" s="31" t="inlineStr">
        <is>
          <t>Earnings / Momentum Support</t>
        </is>
      </c>
      <c r="S284" s="31" t="inlineStr">
        <is>
          <t>Nifty 50</t>
        </is>
      </c>
      <c r="T284" s="32" t="n">
        <v>-4.43</v>
      </c>
      <c r="U284" s="32" t="n">
        <v>-1.13</v>
      </c>
      <c r="V284" s="32" t="n">
        <v>3.46</v>
      </c>
      <c r="W284" s="32" t="n">
        <v>12.1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Between 1.5 to 2</t>
        </is>
      </c>
      <c r="BU284" s="31">
        <f>IF(BT284="Above 2",0,IF(BT284="Between 1.5 to 2",5,IF(BT284="Less than 1.5",10,0)))</f>
        <v/>
      </c>
      <c r="BV284" s="31" t="inlineStr">
        <is>
          <t>Less than 50%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IF(B285=0,"",RANK(B285,$B$2:$B$339,0))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GREENLAM</t>
        </is>
      </c>
      <c r="D285" s="31" t="inlineStr">
        <is>
          <t>Greenlam Industries Limited</t>
        </is>
      </c>
      <c r="E285" s="31" t="inlineStr">
        <is>
          <t>building materials</t>
        </is>
      </c>
      <c r="F285" s="31" t="inlineStr">
        <is>
          <t>miscellaneous</t>
        </is>
      </c>
      <c r="G285" s="31" t="inlineStr">
        <is>
          <t>midcap</t>
        </is>
      </c>
      <c r="H285" s="32" t="n">
        <v>6439.67</v>
      </c>
      <c r="I285" s="32" t="n">
        <v>252.8</v>
      </c>
      <c r="J285" s="32" t="n">
        <v>0.16</v>
      </c>
      <c r="K285" s="32" t="n">
        <v>371752</v>
      </c>
      <c r="L285" s="31" t="n">
        <v>20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59.18</v>
      </c>
      <c r="P285" s="32" t="n">
        <v>17.97</v>
      </c>
      <c r="Q285" s="32" t="inlineStr"/>
      <c r="R285" s="31" t="inlineStr">
        <is>
          <t>Earnings / Momentum Support</t>
        </is>
      </c>
      <c r="S285" s="31" t="inlineStr">
        <is>
          <t>Nifty Infra</t>
        </is>
      </c>
      <c r="T285" s="32" t="n">
        <v>2.95</v>
      </c>
      <c r="U285" s="32" t="n">
        <v>5.23</v>
      </c>
      <c r="V285" s="32" t="n">
        <v>2.21</v>
      </c>
      <c r="W285" s="32" t="n">
        <v>5.6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Between 0.7 to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IF(B286=0,"",RANK(B286,$B$2:$B$339,0))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JSWSTEEL</t>
        </is>
      </c>
      <c r="D286" s="33" t="inlineStr">
        <is>
          <t>Jsw Steel Limited</t>
        </is>
      </c>
      <c r="E286" s="31" t="inlineStr">
        <is>
          <t>metals &amp; mining</t>
        </is>
      </c>
      <c r="F286" s="31" t="inlineStr">
        <is>
          <t>steel - large</t>
        </is>
      </c>
      <c r="G286" s="31" t="inlineStr">
        <is>
          <t>largecap</t>
        </is>
      </c>
      <c r="H286" s="32" t="n">
        <v>317322.11</v>
      </c>
      <c r="I286" s="32" t="n">
        <v>1296.5</v>
      </c>
      <c r="J286" s="32" t="n">
        <v>-0.08</v>
      </c>
      <c r="K286" s="32" t="n">
        <v>1168850</v>
      </c>
      <c r="L286" s="31" t="n">
        <v>38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63.69</v>
      </c>
      <c r="P286" s="32" t="n">
        <v>26.49</v>
      </c>
      <c r="Q286" s="32" t="inlineStr"/>
      <c r="R286" s="31" t="inlineStr">
        <is>
          <t>Earnings / Momentum Support</t>
        </is>
      </c>
      <c r="S286" s="31" t="inlineStr">
        <is>
          <t>Nifty Metal</t>
        </is>
      </c>
      <c r="T286" s="32" t="n">
        <v>38.84</v>
      </c>
      <c r="U286" s="32" t="n">
        <v>31.79</v>
      </c>
      <c r="V286" s="32" t="n">
        <v>-5.07</v>
      </c>
      <c r="W286" s="32" t="n">
        <v>9.07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Cyclical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Volatile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IF(B287=0,"",RANK(B287,$B$2:$B$339,0))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NYKAA</t>
        </is>
      </c>
      <c r="D287" s="31" t="inlineStr">
        <is>
          <t>FSN E-Commerce Ventures Ltd</t>
        </is>
      </c>
      <c r="E287" s="31" t="inlineStr">
        <is>
          <t>i.t</t>
        </is>
      </c>
      <c r="F287" s="31" t="inlineStr">
        <is>
          <t>trading</t>
        </is>
      </c>
      <c r="G287" s="31" t="inlineStr">
        <is>
          <t>largecap</t>
        </is>
      </c>
      <c r="H287" s="32" t="n">
        <v>78309.27</v>
      </c>
      <c r="I287" s="32" t="n">
        <v>272.8</v>
      </c>
      <c r="J287" s="32" t="n">
        <v>-0.26</v>
      </c>
      <c r="K287" s="32" t="n">
        <v>5754999</v>
      </c>
      <c r="L287" s="31" t="n">
        <v>44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57.85</v>
      </c>
      <c r="P287" s="32" t="n">
        <v>17.93</v>
      </c>
      <c r="Q287" s="32" t="inlineStr"/>
      <c r="R287" s="31" t="inlineStr">
        <is>
          <t>Earnings / Momentum Support</t>
        </is>
      </c>
      <c r="S287" s="31" t="inlineStr">
        <is>
          <t>Nifty IT</t>
        </is>
      </c>
      <c r="T287" s="32" t="n">
        <v>-27.75</v>
      </c>
      <c r="U287" s="32" t="n">
        <v>40.45</v>
      </c>
      <c r="V287" s="32" t="n">
        <v>94.38</v>
      </c>
      <c r="W287" s="32" t="n">
        <v>10.47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IF(B288=0,"",RANK(B288,$B$2:$B$339,0))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BALAMINES</t>
        </is>
      </c>
      <c r="D288" s="31" t="inlineStr">
        <is>
          <t>Balaji Amines Limited</t>
        </is>
      </c>
      <c r="E288" s="31" t="inlineStr">
        <is>
          <t>chemicals</t>
        </is>
      </c>
      <c r="F288" s="31" t="inlineStr">
        <is>
          <t>chemicals</t>
        </is>
      </c>
      <c r="G288" s="31" t="inlineStr">
        <is>
          <t>midcap</t>
        </is>
      </c>
      <c r="H288" s="32" t="n">
        <v>6911.13</v>
      </c>
      <c r="I288" s="32" t="n">
        <v>2108.1</v>
      </c>
      <c r="J288" s="32" t="n">
        <v>-1.17</v>
      </c>
      <c r="K288" s="32" t="n">
        <v>174477</v>
      </c>
      <c r="L288" s="31" t="n">
        <v>93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82.48</v>
      </c>
      <c r="P288" s="32" t="n">
        <v>42.44</v>
      </c>
      <c r="Q288" s="32" t="inlineStr"/>
      <c r="R288" s="31" t="inlineStr">
        <is>
          <t>Earnings / Momentum Support</t>
        </is>
      </c>
      <c r="S288" s="31" t="inlineStr">
        <is>
          <t>Nifty 50</t>
        </is>
      </c>
      <c r="T288" s="32" t="n">
        <v>-4.43</v>
      </c>
      <c r="U288" s="32" t="n">
        <v>47.66</v>
      </c>
      <c r="V288" s="32" t="n">
        <v>54.51</v>
      </c>
      <c r="W288" s="32" t="n">
        <v>38.83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Duopoly That Cooperate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Shallow Cyclical (2 to 3 Years Growth)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4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Downtrend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Overhead supply in last 2 years in last 2 years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No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Between 50% to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IF(B289=0,"",RANK(B289,$B$2:$B$339,0))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DEEPAKFERT</t>
        </is>
      </c>
      <c r="D289" s="31" t="inlineStr">
        <is>
          <t>Deepak Fertilizers And Petrochemicals Corporation Limited</t>
        </is>
      </c>
      <c r="E289" s="31" t="inlineStr">
        <is>
          <t>chemicals</t>
        </is>
      </c>
      <c r="F289" s="31" t="inlineStr">
        <is>
          <t>chemicals</t>
        </is>
      </c>
      <c r="G289" s="31" t="inlineStr">
        <is>
          <t>midcap</t>
        </is>
      </c>
      <c r="H289" s="32" t="n">
        <v>19624.93</v>
      </c>
      <c r="I289" s="32" t="n">
        <v>1508.3</v>
      </c>
      <c r="J289" s="32" t="n">
        <v>-2.98</v>
      </c>
      <c r="K289" s="32" t="n">
        <v>640558</v>
      </c>
      <c r="L289" s="31" t="n">
        <v>64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69.3</v>
      </c>
      <c r="P289" s="32" t="n">
        <v>32.06</v>
      </c>
      <c r="Q289" s="32" t="inlineStr"/>
      <c r="R289" s="31" t="inlineStr">
        <is>
          <t>Earnings / Momentum Support</t>
        </is>
      </c>
      <c r="S289" s="31" t="inlineStr">
        <is>
          <t>Nifty 50</t>
        </is>
      </c>
      <c r="T289" s="32" t="n">
        <v>-4.43</v>
      </c>
      <c r="U289" s="32" t="n">
        <v>0.74</v>
      </c>
      <c r="V289" s="32" t="n">
        <v>5.41</v>
      </c>
      <c r="W289" s="32" t="n">
        <v>16.97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Less than 50%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IF(B290=0,"",RANK(B290,$B$2:$B$339,0))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ELECTHERM</t>
        </is>
      </c>
      <c r="D290" s="33" t="inlineStr">
        <is>
          <t>Electrotherm (india) Limited</t>
        </is>
      </c>
      <c r="E290" s="31" t="inlineStr">
        <is>
          <t>metals &amp; mining</t>
        </is>
      </c>
      <c r="F290" s="31" t="inlineStr">
        <is>
          <t>steel - medium / small</t>
        </is>
      </c>
      <c r="G290" s="31" t="inlineStr">
        <is>
          <t>smallcap</t>
        </is>
      </c>
      <c r="H290" s="32" t="n">
        <v>1516.52</v>
      </c>
      <c r="I290" s="32" t="n">
        <v>1122.25</v>
      </c>
      <c r="J290" s="32" t="n">
        <v>-5.7</v>
      </c>
      <c r="K290" s="32" t="n">
        <v>59434</v>
      </c>
      <c r="L290" s="31" t="n">
        <v>86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69.98999999999999</v>
      </c>
      <c r="P290" s="32" t="n">
        <v>28.46</v>
      </c>
      <c r="Q290" s="32" t="inlineStr"/>
      <c r="R290" s="31" t="inlineStr">
        <is>
          <t>Earnings / Momentum Support</t>
        </is>
      </c>
      <c r="S290" s="31" t="inlineStr">
        <is>
          <t>Nifty Metal</t>
        </is>
      </c>
      <c r="T290" s="32" t="n">
        <v>38.84</v>
      </c>
      <c r="U290" s="32" t="n">
        <v>-1.36</v>
      </c>
      <c r="V290" s="32" t="n">
        <v>-28.95</v>
      </c>
      <c r="W290" s="32" t="n">
        <v>29.54</v>
      </c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Volatile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IF(B291=0,"",RANK(B291,$B$2:$B$339,0))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BBOX</t>
        </is>
      </c>
      <c r="D291" s="31" t="inlineStr">
        <is>
          <t>Black Box Ltd</t>
        </is>
      </c>
      <c r="E291" s="31" t="inlineStr">
        <is>
          <t>i.t</t>
        </is>
      </c>
      <c r="F291" s="31" t="inlineStr">
        <is>
          <t>computers - software - medium / small</t>
        </is>
      </c>
      <c r="G291" s="31" t="inlineStr">
        <is>
          <t>midcap</t>
        </is>
      </c>
      <c r="H291" s="32" t="n">
        <v>18079.67</v>
      </c>
      <c r="I291" s="32" t="n">
        <v>1011.7</v>
      </c>
      <c r="J291" s="32" t="n">
        <v>-0.68</v>
      </c>
      <c r="K291" s="32" t="n">
        <v>594923</v>
      </c>
      <c r="L291" s="31" t="n">
        <v>94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78.59</v>
      </c>
      <c r="P291" s="32" t="n">
        <v>38.51</v>
      </c>
      <c r="Q291" s="32" t="inlineStr"/>
      <c r="R291" s="31" t="inlineStr">
        <is>
          <t>Earnings / Momentum Support</t>
        </is>
      </c>
      <c r="S291" s="31" t="inlineStr">
        <is>
          <t>Nifty IT</t>
        </is>
      </c>
      <c r="T291" s="32" t="n">
        <v>-27.75</v>
      </c>
      <c r="U291" s="32" t="n">
        <v>93.62</v>
      </c>
      <c r="V291" s="32" t="n">
        <v>167.96</v>
      </c>
      <c r="W291" s="32" t="n">
        <v>41.38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Less than 50%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Between 0.7 to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IF(B292=0,"",RANK(B292,$B$2:$B$339,0))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INDSWFTLAB</t>
        </is>
      </c>
      <c r="D292" s="31" t="inlineStr">
        <is>
          <t>Ind-swift Laboratories Limited</t>
        </is>
      </c>
      <c r="E292" s="31" t="inlineStr">
        <is>
          <t>healthcare</t>
        </is>
      </c>
      <c r="F292" s="31" t="inlineStr">
        <is>
          <t>pharmaceuticals - indian - bulk drugs &amp; formln</t>
        </is>
      </c>
      <c r="G292" s="31" t="inlineStr">
        <is>
          <t>smallcap</t>
        </is>
      </c>
      <c r="H292" s="32" t="n">
        <v>1415.7</v>
      </c>
      <c r="I292" s="32" t="n">
        <v>161.84</v>
      </c>
      <c r="J292" s="32" t="n">
        <v>-0.73</v>
      </c>
      <c r="K292" s="32" t="n">
        <v>569802</v>
      </c>
      <c r="L292" s="31" t="n">
        <v>55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73.02</v>
      </c>
      <c r="P292" s="32" t="n">
        <v>35.06</v>
      </c>
      <c r="Q292" s="32" t="inlineStr"/>
      <c r="R292" s="31" t="inlineStr">
        <is>
          <t>Earnings / Momentum Support</t>
        </is>
      </c>
      <c r="S292" s="31" t="inlineStr">
        <is>
          <t>Nifty Pharma</t>
        </is>
      </c>
      <c r="T292" s="32" t="n">
        <v>10.89</v>
      </c>
      <c r="U292" s="32" t="n">
        <v>50.16</v>
      </c>
      <c r="V292" s="32" t="n">
        <v>35.41</v>
      </c>
      <c r="W292" s="32" t="n">
        <v>13.53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Negative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IF(B293=0,"",RANK(B293,$B$2:$B$339,0))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TORNTPHARM</t>
        </is>
      </c>
      <c r="D293" s="31" t="inlineStr">
        <is>
          <t>Torrent Pharmaceuticals Limited</t>
        </is>
      </c>
      <c r="E293" s="31" t="inlineStr">
        <is>
          <t>healthcare</t>
        </is>
      </c>
      <c r="F293" s="31" t="inlineStr">
        <is>
          <t>pharmaceuticals - indian - formulations</t>
        </is>
      </c>
      <c r="G293" s="31" t="inlineStr">
        <is>
          <t>largecap</t>
        </is>
      </c>
      <c r="H293" s="32" t="n">
        <v>154710.18</v>
      </c>
      <c r="I293" s="32" t="n">
        <v>4504</v>
      </c>
      <c r="J293" s="32" t="n">
        <v>-1.47</v>
      </c>
      <c r="K293" s="32" t="n">
        <v>573684</v>
      </c>
      <c r="L293" s="31" t="n">
        <v>34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68.78</v>
      </c>
      <c r="P293" s="32" t="n">
        <v>29.01</v>
      </c>
      <c r="Q293" s="32" t="inlineStr"/>
      <c r="R293" s="31" t="inlineStr">
        <is>
          <t>Earnings / Momentum Support</t>
        </is>
      </c>
      <c r="S293" s="31" t="inlineStr">
        <is>
          <t>Nifty Pharma</t>
        </is>
      </c>
      <c r="T293" s="32" t="n">
        <v>10.89</v>
      </c>
      <c r="U293" s="32" t="n">
        <v>42.06</v>
      </c>
      <c r="V293" s="32" t="n">
        <v>28.1</v>
      </c>
      <c r="W293" s="32" t="n">
        <v>8.279999999999999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Annuity, Lower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Between 50% to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Between 0.7 to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IF(B294=0,"",RANK(B294,$B$2:$B$339,0))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DIACABS</t>
        </is>
      </c>
      <c r="D294" s="31" t="inlineStr">
        <is>
          <t>Diamond Power Infrastructure Ltd</t>
        </is>
      </c>
      <c r="E294" s="31" t="inlineStr">
        <is>
          <t>industrials</t>
        </is>
      </c>
      <c r="F294" s="31" t="inlineStr">
        <is>
          <t>cables - power</t>
        </is>
      </c>
      <c r="G294" s="31" t="inlineStr">
        <is>
          <t>midcap</t>
        </is>
      </c>
      <c r="H294" s="32" t="n">
        <v>10640.07</v>
      </c>
      <c r="I294" s="32" t="n">
        <v>215.34</v>
      </c>
      <c r="J294" s="32" t="n">
        <v>6.65</v>
      </c>
      <c r="K294" s="32" t="n">
        <v>11381936</v>
      </c>
      <c r="L294" s="31" t="n">
        <v>86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75.14</v>
      </c>
      <c r="P294" s="32" t="n">
        <v>35.54</v>
      </c>
      <c r="Q294" s="32" t="inlineStr"/>
      <c r="R294" s="31" t="inlineStr">
        <is>
          <t>Earnings / Momentum Support</t>
        </is>
      </c>
      <c r="S294" s="31" t="inlineStr">
        <is>
          <t>Nifty Energy</t>
        </is>
      </c>
      <c r="T294" s="32" t="n">
        <v>9.800000000000001</v>
      </c>
      <c r="U294" s="32" t="n">
        <v>100.77</v>
      </c>
      <c r="V294" s="32" t="n">
        <v>82.84</v>
      </c>
      <c r="W294" s="32" t="n">
        <v>29.58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Above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Negative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IF(B295=0,"",RANK(B295,$B$2:$B$339,0))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MANINDS</t>
        </is>
      </c>
      <c r="D295" s="31" t="inlineStr">
        <is>
          <t>Man Industries (india) Limited</t>
        </is>
      </c>
      <c r="E295" s="31" t="inlineStr">
        <is>
          <t>metals &amp; mining</t>
        </is>
      </c>
      <c r="F295" s="31" t="inlineStr">
        <is>
          <t>steel - medium / small</t>
        </is>
      </c>
      <c r="G295" s="31" t="inlineStr">
        <is>
          <t>smallcap</t>
        </is>
      </c>
      <c r="H295" s="32" t="n">
        <v>4095.15</v>
      </c>
      <c r="I295" s="32" t="n">
        <v>573.05</v>
      </c>
      <c r="J295" s="32" t="n">
        <v>4.96</v>
      </c>
      <c r="K295" s="32" t="n">
        <v>1364170</v>
      </c>
      <c r="L295" s="31" t="n">
        <v>64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60.27</v>
      </c>
      <c r="P295" s="32" t="n">
        <v>25.47</v>
      </c>
      <c r="Q295" s="32" t="inlineStr"/>
      <c r="R295" s="31" t="inlineStr">
        <is>
          <t>Earnings / Momentum Support</t>
        </is>
      </c>
      <c r="S295" s="31" t="inlineStr">
        <is>
          <t>Nifty Metal</t>
        </is>
      </c>
      <c r="T295" s="32" t="n">
        <v>38.84</v>
      </c>
      <c r="U295" s="32" t="n">
        <v>45.76</v>
      </c>
      <c r="V295" s="32" t="n">
        <v>4.99</v>
      </c>
      <c r="W295" s="32" t="n">
        <v>16.56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IF(B296=0,"",RANK(B296,$B$2:$B$339,0))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MANALIPETC</t>
        </is>
      </c>
      <c r="D296" s="33" t="inlineStr">
        <is>
          <t>Manali Petrochemicals Limited</t>
        </is>
      </c>
      <c r="E296" s="31" t="inlineStr">
        <is>
          <t>energy</t>
        </is>
      </c>
      <c r="F296" s="31" t="inlineStr">
        <is>
          <t>petrochemicals</t>
        </is>
      </c>
      <c r="G296" s="31" t="inlineStr">
        <is>
          <t>smallcap</t>
        </is>
      </c>
      <c r="H296" s="32" t="n">
        <v>1121.44</v>
      </c>
      <c r="I296" s="32" t="n">
        <v>68.2</v>
      </c>
      <c r="J296" s="32" t="n">
        <v>4.6</v>
      </c>
      <c r="K296" s="32" t="n">
        <v>2352553</v>
      </c>
      <c r="L296" s="31" t="n">
        <v>47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59.71</v>
      </c>
      <c r="P296" s="32" t="n">
        <v>21.84</v>
      </c>
      <c r="Q296" s="32" t="inlineStr"/>
      <c r="R296" s="31" t="inlineStr">
        <is>
          <t>Earnings / Momentum Support</t>
        </is>
      </c>
      <c r="S296" s="31" t="inlineStr">
        <is>
          <t>Nifty Energy</t>
        </is>
      </c>
      <c r="T296" s="32" t="n">
        <v>9.800000000000001</v>
      </c>
      <c r="U296" s="32" t="n">
        <v>2.59</v>
      </c>
      <c r="V296" s="32" t="n">
        <v>-6.57</v>
      </c>
      <c r="W296" s="32" t="n">
        <v>11.29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Yes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IF(B297=0,"",RANK(B297,$B$2:$B$339,0))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BHARATFORG</t>
        </is>
      </c>
      <c r="D297" s="31" t="inlineStr">
        <is>
          <t>Bharat Forge Limited</t>
        </is>
      </c>
      <c r="E297" s="31" t="inlineStr">
        <is>
          <t>industrials</t>
        </is>
      </c>
      <c r="F297" s="31" t="inlineStr">
        <is>
          <t>castings &amp; forgings</t>
        </is>
      </c>
      <c r="G297" s="31" t="inlineStr">
        <is>
          <t>largecap</t>
        </is>
      </c>
      <c r="H297" s="32" t="n">
        <v>92993.02</v>
      </c>
      <c r="I297" s="32" t="n">
        <v>2020.5</v>
      </c>
      <c r="J297" s="32" t="n">
        <v>3.88</v>
      </c>
      <c r="K297" s="32" t="n">
        <v>1665028</v>
      </c>
      <c r="L297" s="31" t="n">
        <v>49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64.42</v>
      </c>
      <c r="P297" s="32" t="n">
        <v>34.04</v>
      </c>
      <c r="Q297" s="32" t="inlineStr"/>
      <c r="R297" s="31" t="inlineStr">
        <is>
          <t>Earnings / Momentum Support</t>
        </is>
      </c>
      <c r="S297" s="31" t="inlineStr">
        <is>
          <t>Nifty 500</t>
        </is>
      </c>
      <c r="T297" s="32" t="n">
        <v>-1.34</v>
      </c>
      <c r="U297" s="32" t="n">
        <v>49.42</v>
      </c>
      <c r="V297" s="32" t="n">
        <v>51.45</v>
      </c>
      <c r="W297" s="32" t="n">
        <v>12.06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Between 50% to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Between 0.7 to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IF(B298=0,"",RANK(B298,$B$2:$B$339,0))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KIRLOSENG</t>
        </is>
      </c>
      <c r="D298" s="31" t="inlineStr">
        <is>
          <t>Kirloskar Oil Engines Limited</t>
        </is>
      </c>
      <c r="E298" s="31" t="inlineStr">
        <is>
          <t>industrials</t>
        </is>
      </c>
      <c r="F298" s="31" t="inlineStr">
        <is>
          <t>engines</t>
        </is>
      </c>
      <c r="G298" s="31" t="inlineStr">
        <is>
          <t>largecap</t>
        </is>
      </c>
      <c r="H298" s="32" t="n">
        <v>27480.16</v>
      </c>
      <c r="I298" s="32" t="n">
        <v>1933.8</v>
      </c>
      <c r="J298" s="32" t="n">
        <v>2.29</v>
      </c>
      <c r="K298" s="32" t="n">
        <v>317640</v>
      </c>
      <c r="L298" s="31" t="n">
        <v>78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73.06</v>
      </c>
      <c r="P298" s="32" t="n">
        <v>38.26</v>
      </c>
      <c r="Q298" s="32" t="inlineStr"/>
      <c r="R298" s="31" t="inlineStr">
        <is>
          <t>Earnings / Momentum Support</t>
        </is>
      </c>
      <c r="S298" s="31" t="inlineStr">
        <is>
          <t>Nifty 50</t>
        </is>
      </c>
      <c r="T298" s="32" t="n">
        <v>-4.43</v>
      </c>
      <c r="U298" s="32" t="n">
        <v>115.93</v>
      </c>
      <c r="V298" s="32" t="n">
        <v>125.94</v>
      </c>
      <c r="W298" s="32" t="n">
        <v>23.55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Between 50% to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More than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IF(B299=0,"",RANK(B299,$B$2:$B$339,0))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GRASIM</t>
        </is>
      </c>
      <c r="D299" s="31" t="inlineStr">
        <is>
          <t>Grasim Industries Limited</t>
        </is>
      </c>
      <c r="E299" s="31" t="inlineStr">
        <is>
          <t>textiles</t>
        </is>
      </c>
      <c r="F299" s="31" t="inlineStr">
        <is>
          <t>textiles - manmade</t>
        </is>
      </c>
      <c r="G299" s="31" t="inlineStr">
        <is>
          <t>largecap</t>
        </is>
      </c>
      <c r="H299" s="32" t="n">
        <v>211354.3</v>
      </c>
      <c r="I299" s="32" t="n">
        <v>3164.5</v>
      </c>
      <c r="J299" s="32" t="n">
        <v>1.9</v>
      </c>
      <c r="K299" s="32" t="n">
        <v>1033542</v>
      </c>
      <c r="L299" s="31" t="n">
        <v>32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64.54000000000001</v>
      </c>
      <c r="P299" s="32" t="n">
        <v>23.68</v>
      </c>
      <c r="Q299" s="32" t="inlineStr"/>
      <c r="R299" s="31" t="inlineStr">
        <is>
          <t>Earnings / Momentum Support</t>
        </is>
      </c>
      <c r="S299" s="31" t="inlineStr">
        <is>
          <t>Nifty 50</t>
        </is>
      </c>
      <c r="T299" s="32" t="n">
        <v>-4.43</v>
      </c>
      <c r="U299" s="32" t="n">
        <v>17.01</v>
      </c>
      <c r="V299" s="32" t="n">
        <v>22.43</v>
      </c>
      <c r="W299" s="32" t="n">
        <v>7.83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Negative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More than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IF(B300=0,"",RANK(B300,$B$2:$B$339,0))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TEGA</t>
        </is>
      </c>
      <c r="D300" s="31" t="inlineStr">
        <is>
          <t>Tega Industries Ltd</t>
        </is>
      </c>
      <c r="E300" s="31" t="inlineStr">
        <is>
          <t>industrials</t>
        </is>
      </c>
      <c r="F300" s="31" t="inlineStr">
        <is>
          <t>engineering</t>
        </is>
      </c>
      <c r="G300" s="31" t="inlineStr">
        <is>
          <t>midcap</t>
        </is>
      </c>
      <c r="H300" s="32" t="n">
        <v>13196.18</v>
      </c>
      <c r="I300" s="32" t="n">
        <v>1781.7</v>
      </c>
      <c r="J300" s="32" t="n">
        <v>1.43</v>
      </c>
      <c r="K300" s="32" t="n">
        <v>80855</v>
      </c>
      <c r="L300" s="31" t="n">
        <v>15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50.65</v>
      </c>
      <c r="P300" s="32" t="n">
        <v>9.24</v>
      </c>
      <c r="Q300" s="32" t="inlineStr"/>
      <c r="R300" s="31" t="inlineStr">
        <is>
          <t>Earnings / Momentum Support</t>
        </is>
      </c>
      <c r="S300" s="31" t="inlineStr">
        <is>
          <t>Nifty 50</t>
        </is>
      </c>
      <c r="T300" s="32" t="n">
        <v>-4.43</v>
      </c>
      <c r="U300" s="32" t="n">
        <v>16.56</v>
      </c>
      <c r="V300" s="32" t="n">
        <v>21.97</v>
      </c>
      <c r="W300" s="32" t="n">
        <v>3.99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IF(B301=0,"",RANK(B301,$B$2:$B$339,0))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EPL</t>
        </is>
      </c>
      <c r="D301" s="33" t="inlineStr">
        <is>
          <t>EPL Ltd</t>
        </is>
      </c>
      <c r="E301" s="31" t="inlineStr">
        <is>
          <t>industrials</t>
        </is>
      </c>
      <c r="F301" s="31" t="inlineStr">
        <is>
          <t>packaging</t>
        </is>
      </c>
      <c r="G301" s="31" t="inlineStr">
        <is>
          <t>midcap</t>
        </is>
      </c>
      <c r="H301" s="32" t="n">
        <v>7199.17</v>
      </c>
      <c r="I301" s="32" t="n">
        <v>226.87</v>
      </c>
      <c r="J301" s="32" t="n">
        <v>0.92</v>
      </c>
      <c r="K301" s="32" t="n">
        <v>712928</v>
      </c>
      <c r="L301" s="31" t="n">
        <v>15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54.56</v>
      </c>
      <c r="P301" s="32" t="n">
        <v>9.98</v>
      </c>
      <c r="Q301" s="32" t="inlineStr"/>
      <c r="R301" s="31" t="inlineStr">
        <is>
          <t>Earnings / Momentum Support</t>
        </is>
      </c>
      <c r="S301" s="31" t="inlineStr">
        <is>
          <t>Nifty 50</t>
        </is>
      </c>
      <c r="T301" s="32" t="n">
        <v>-4.43</v>
      </c>
      <c r="U301" s="32" t="n">
        <v>-5.45</v>
      </c>
      <c r="V301" s="32" t="n">
        <v>-1.06</v>
      </c>
      <c r="W301" s="32" t="n">
        <v>4.06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IF(B302=0,"",RANK(B302,$B$2:$B$339,0))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RICOAUTO</t>
        </is>
      </c>
      <c r="D302" s="31" t="inlineStr">
        <is>
          <t>Rico Auto Industries Limited</t>
        </is>
      </c>
      <c r="E302" s="31" t="inlineStr">
        <is>
          <t>auto</t>
        </is>
      </c>
      <c r="F302" s="31" t="inlineStr">
        <is>
          <t>auto ancillaries</t>
        </is>
      </c>
      <c r="G302" s="31" t="inlineStr">
        <is>
          <t>smallcap</t>
        </is>
      </c>
      <c r="H302" s="32" t="n">
        <v>1801.86</v>
      </c>
      <c r="I302" s="32" t="n">
        <v>133.39</v>
      </c>
      <c r="J302" s="32" t="n">
        <v>0.15</v>
      </c>
      <c r="K302" s="32" t="n">
        <v>2516523</v>
      </c>
      <c r="L302" s="31" t="n">
        <v>66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59.11</v>
      </c>
      <c r="P302" s="32" t="n">
        <v>19.73</v>
      </c>
      <c r="Q302" s="32" t="inlineStr"/>
      <c r="R302" s="31" t="inlineStr">
        <is>
          <t>Earnings / Momentum Support</t>
        </is>
      </c>
      <c r="S302" s="31" t="inlineStr">
        <is>
          <t>Nifty Auto</t>
        </is>
      </c>
      <c r="T302" s="32" t="n">
        <v>12.72</v>
      </c>
      <c r="U302" s="32" t="n">
        <v>69.3</v>
      </c>
      <c r="V302" s="32" t="n">
        <v>50.2</v>
      </c>
      <c r="W302" s="32" t="n">
        <v>17.41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Between 0.7 to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IF(B303=0,"",RANK(B303,$B$2:$B$339,0))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ADANIENSOL</t>
        </is>
      </c>
      <c r="D303" s="31" t="inlineStr">
        <is>
          <t>Adani Energy Solutions Ltd</t>
        </is>
      </c>
      <c r="E303" s="31" t="inlineStr">
        <is>
          <t>power &amp; utilities</t>
        </is>
      </c>
      <c r="F303" s="31" t="inlineStr">
        <is>
          <t>power generation and supply</t>
        </is>
      </c>
      <c r="G303" s="31" t="inlineStr">
        <is>
          <t>largecap</t>
        </is>
      </c>
      <c r="H303" s="32" t="n">
        <v>178943.06</v>
      </c>
      <c r="I303" s="32" t="n">
        <v>1491.9</v>
      </c>
      <c r="J303" s="32" t="n">
        <v>0.15</v>
      </c>
      <c r="K303" s="32" t="n">
        <v>1914035</v>
      </c>
      <c r="L303" s="31" t="n">
        <v>78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67.79000000000001</v>
      </c>
      <c r="P303" s="32" t="n">
        <v>37.85</v>
      </c>
      <c r="Q303" s="32" t="inlineStr"/>
      <c r="R303" s="31" t="inlineStr">
        <is>
          <t>Earnings / Momentum Support</t>
        </is>
      </c>
      <c r="S303" s="31" t="inlineStr">
        <is>
          <t>Nifty IT</t>
        </is>
      </c>
      <c r="T303" s="32" t="n">
        <v>-27.75</v>
      </c>
      <c r="U303" s="32" t="n">
        <v>73.01000000000001</v>
      </c>
      <c r="V303" s="32" t="n">
        <v>139.44</v>
      </c>
      <c r="W303" s="32" t="n">
        <v>23.32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More than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IF(B304=0,"",RANK(B304,$B$2:$B$339,0))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SBC</t>
        </is>
      </c>
      <c r="D304" s="31" t="inlineStr">
        <is>
          <t>SBC Exports Ltd</t>
        </is>
      </c>
      <c r="E304" s="31" t="inlineStr">
        <is>
          <t>textiles</t>
        </is>
      </c>
      <c r="F304" s="31" t="inlineStr">
        <is>
          <t>textiles - products</t>
        </is>
      </c>
      <c r="G304" s="31" t="inlineStr">
        <is>
          <t>smallcap</t>
        </is>
      </c>
      <c r="H304" s="32" t="n">
        <v>1770.47</v>
      </c>
      <c r="I304" s="32" t="n">
        <v>37.14</v>
      </c>
      <c r="J304" s="32" t="n">
        <v>-0.11</v>
      </c>
      <c r="K304" s="32" t="n">
        <v>10915058</v>
      </c>
      <c r="L304" s="31" t="n">
        <v>79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70.81</v>
      </c>
      <c r="P304" s="32" t="n">
        <v>24.02</v>
      </c>
      <c r="Q304" s="32" t="inlineStr"/>
      <c r="R304" s="31" t="inlineStr">
        <is>
          <t>Earnings / Momentum Support</t>
        </is>
      </c>
      <c r="S304" s="31" t="inlineStr">
        <is>
          <t>Nifty 50</t>
        </is>
      </c>
      <c r="T304" s="32" t="n">
        <v>-4.43</v>
      </c>
      <c r="U304" s="32" t="n">
        <v>150.03</v>
      </c>
      <c r="V304" s="32" t="n">
        <v>161.63</v>
      </c>
      <c r="W304" s="32" t="n">
        <v>24.29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Negative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More than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IF(B305=0,"",RANK(B305,$B$2:$B$339,0))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SHYAMMETL</t>
        </is>
      </c>
      <c r="D305" s="33" t="inlineStr">
        <is>
          <t>Shyam Metalics &amp; Energy Ltd</t>
        </is>
      </c>
      <c r="E305" s="31" t="inlineStr">
        <is>
          <t>metals &amp; mining</t>
        </is>
      </c>
      <c r="F305" s="31" t="inlineStr">
        <is>
          <t>steel - large</t>
        </is>
      </c>
      <c r="G305" s="31" t="inlineStr">
        <is>
          <t>largecap</t>
        </is>
      </c>
      <c r="H305" s="32" t="n">
        <v>27459.6</v>
      </c>
      <c r="I305" s="32" t="n">
        <v>969.85</v>
      </c>
      <c r="J305" s="32" t="n">
        <v>-1.41</v>
      </c>
      <c r="K305" s="32" t="n">
        <v>229990</v>
      </c>
      <c r="L305" s="31" t="n">
        <v>42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63.13</v>
      </c>
      <c r="P305" s="32" t="n">
        <v>15.53</v>
      </c>
      <c r="Q305" s="32" t="inlineStr"/>
      <c r="R305" s="31" t="inlineStr">
        <is>
          <t>Earnings / Momentum Support</t>
        </is>
      </c>
      <c r="S305" s="31" t="inlineStr">
        <is>
          <t>Nifty Metal</t>
        </is>
      </c>
      <c r="T305" s="32" t="n">
        <v>38.84</v>
      </c>
      <c r="U305" s="32" t="n">
        <v>18.11</v>
      </c>
      <c r="V305" s="32" t="n">
        <v>-14.93</v>
      </c>
      <c r="W305" s="32" t="n">
        <v>9.83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IF(B306=0,"",RANK(B306,$B$2:$B$339,0))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IRISDOREME</t>
        </is>
      </c>
      <c r="D306" s="33" t="inlineStr">
        <is>
          <t>Iris Clothings Ltd</t>
        </is>
      </c>
      <c r="E306" s="31" t="inlineStr">
        <is>
          <t>consumer discretionary</t>
        </is>
      </c>
      <c r="F306" s="31" t="inlineStr">
        <is>
          <t>textiles - products</t>
        </is>
      </c>
      <c r="G306" s="31" t="inlineStr">
        <is>
          <t>smallcap</t>
        </is>
      </c>
      <c r="H306" s="32" t="n">
        <v>696.23</v>
      </c>
      <c r="I306" s="32" t="n">
        <v>38.02</v>
      </c>
      <c r="J306" s="32" t="n">
        <v>3.94</v>
      </c>
      <c r="K306" s="32" t="n">
        <v>544589</v>
      </c>
      <c r="L306" s="31" t="n">
        <v>1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55.66</v>
      </c>
      <c r="P306" s="32" t="n">
        <v>15.8</v>
      </c>
      <c r="Q306" s="32" t="inlineStr"/>
      <c r="R306" s="31" t="inlineStr">
        <is>
          <t>Earnings / Momentum Support</t>
        </is>
      </c>
      <c r="S306" s="31" t="inlineStr">
        <is>
          <t>Nifty 50</t>
        </is>
      </c>
      <c r="T306" s="32" t="n">
        <v>-4.43</v>
      </c>
      <c r="U306" s="32" t="n">
        <v>-38.74</v>
      </c>
      <c r="V306" s="32" t="n">
        <v>-35.9</v>
      </c>
      <c r="W306" s="32" t="n">
        <v>-0.65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Between 1.5 to 2</t>
        </is>
      </c>
      <c r="BU306" s="31">
        <f>IF(BT306="Above 2",0,IF(BT306="Between 1.5 to 2",5,IF(BT306="Less than 1.5",10,0)))</f>
        <v/>
      </c>
      <c r="BV306" s="31" t="inlineStr">
        <is>
          <t>Negative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IF(B307=0,"",RANK(B307,$B$2:$B$339,0))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ACMESOLAR</t>
        </is>
      </c>
      <c r="D307" s="31" t="inlineStr">
        <is>
          <t>ACME Solar Holdings Ltd</t>
        </is>
      </c>
      <c r="E307" s="31" t="inlineStr">
        <is>
          <t>realty</t>
        </is>
      </c>
      <c r="F307" s="31" t="inlineStr">
        <is>
          <t>engineering - turnkey services</t>
        </is>
      </c>
      <c r="G307" s="31" t="inlineStr">
        <is>
          <t>largecap</t>
        </is>
      </c>
      <c r="H307" s="32" t="n">
        <v>20345.5</v>
      </c>
      <c r="I307" s="32" t="n">
        <v>347.25</v>
      </c>
      <c r="J307" s="32" t="n">
        <v>3.43</v>
      </c>
      <c r="K307" s="32" t="n">
        <v>2101286</v>
      </c>
      <c r="L307" s="31" t="n">
        <v>59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64.92</v>
      </c>
      <c r="P307" s="32" t="n">
        <v>22.84</v>
      </c>
      <c r="Q307" s="32" t="inlineStr"/>
      <c r="R307" s="31" t="inlineStr">
        <is>
          <t>Earnings / Momentum Support</t>
        </is>
      </c>
      <c r="S307" s="31" t="inlineStr">
        <is>
          <t>Nifty Realty</t>
        </is>
      </c>
      <c r="T307" s="32" t="n">
        <v>-23.58</v>
      </c>
      <c r="U307" s="32" t="n">
        <v>37.05</v>
      </c>
      <c r="V307" s="32" t="n">
        <v>79.33</v>
      </c>
      <c r="W307" s="32" t="n">
        <v>15.28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Between 50% to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IF(B308=0,"",RANK(B308,$B$2:$B$339,0))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3" t="inlineStr">
        <is>
          <t>TIINDIA</t>
        </is>
      </c>
      <c r="D308" s="33" t="inlineStr">
        <is>
          <t>Tube Investments of India Ltd</t>
        </is>
      </c>
      <c r="E308" s="31" t="inlineStr">
        <is>
          <t>industrials</t>
        </is>
      </c>
      <c r="F308" s="31" t="inlineStr">
        <is>
          <t>steel - large</t>
        </is>
      </c>
      <c r="G308" s="31" t="inlineStr">
        <is>
          <t>largecap</t>
        </is>
      </c>
      <c r="H308" s="32" t="n">
        <v>60810.44</v>
      </c>
      <c r="I308" s="32" t="n">
        <v>3226.1</v>
      </c>
      <c r="J308" s="32" t="n">
        <v>2.68</v>
      </c>
      <c r="K308" s="32" t="n">
        <v>261683</v>
      </c>
      <c r="L308" s="31" t="n">
        <v>34</v>
      </c>
      <c r="M308" s="31" t="inlineStr">
        <is>
          <t>Underperforming</t>
        </is>
      </c>
      <c r="N308" s="32">
        <f>IF(M308="Underperforming",-5,IF(L308&gt;=95,15,IF(L308&gt;=90,10,IF(L308&gt;=80,5,0))))</f>
        <v/>
      </c>
      <c r="O308" s="32" t="n">
        <v>62.4</v>
      </c>
      <c r="P308" s="32" t="n">
        <v>18.95</v>
      </c>
      <c r="Q308" s="32" t="inlineStr"/>
      <c r="R308" s="31" t="inlineStr">
        <is>
          <t>Earnings / Momentum Support</t>
        </is>
      </c>
      <c r="S308" s="31" t="inlineStr">
        <is>
          <t>Nifty Metal</t>
        </is>
      </c>
      <c r="T308" s="32" t="n">
        <v>38.84</v>
      </c>
      <c r="U308" s="32" t="n">
        <v>7.15</v>
      </c>
      <c r="V308" s="32" t="n">
        <v>-22.82</v>
      </c>
      <c r="W308" s="32" t="n">
        <v>8.109999999999999</v>
      </c>
      <c r="X308" s="31" t="inlineStr">
        <is>
          <t>Cyclical in an Upturn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IF(B309=0,"",RANK(B309,$B$2:$B$339,0))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TVSSCS</t>
        </is>
      </c>
      <c r="D309" s="31" t="inlineStr">
        <is>
          <t>TVS Supply Chain Solutions Ltd</t>
        </is>
      </c>
      <c r="E309" s="31" t="inlineStr">
        <is>
          <t>transportation</t>
        </is>
      </c>
      <c r="F309" s="31" t="inlineStr">
        <is>
          <t>miscellaneous</t>
        </is>
      </c>
      <c r="G309" s="31" t="inlineStr">
        <is>
          <t>midcap</t>
        </is>
      </c>
      <c r="H309" s="32" t="n">
        <v>5835.05</v>
      </c>
      <c r="I309" s="32" t="n">
        <v>134.6</v>
      </c>
      <c r="J309" s="32" t="n">
        <v>1.77</v>
      </c>
      <c r="K309" s="32" t="n">
        <v>2115857</v>
      </c>
      <c r="L309" s="31" t="n">
        <v>24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59.35</v>
      </c>
      <c r="P309" s="32" t="n">
        <v>11.47</v>
      </c>
      <c r="Q309" s="32" t="inlineStr"/>
      <c r="R309" s="31" t="inlineStr">
        <is>
          <t>Earnings / Momentum Support</t>
        </is>
      </c>
      <c r="S309" s="31" t="inlineStr">
        <is>
          <t>Nifty 50</t>
        </is>
      </c>
      <c r="T309" s="32" t="n">
        <v>-4.43</v>
      </c>
      <c r="U309" s="32" t="n">
        <v>-1.42</v>
      </c>
      <c r="V309" s="32" t="n">
        <v>3.15</v>
      </c>
      <c r="W309" s="32" t="n">
        <v>6.11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More than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IF(B310=0,"",RANK(B310,$B$2:$B$339,0))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LOKESHMACH</t>
        </is>
      </c>
      <c r="D310" s="31" t="inlineStr">
        <is>
          <t>Lokesh Machines Limited</t>
        </is>
      </c>
      <c r="E310" s="31" t="inlineStr">
        <is>
          <t>industrials</t>
        </is>
      </c>
      <c r="F310" s="31" t="inlineStr">
        <is>
          <t>engineering</t>
        </is>
      </c>
      <c r="G310" s="31" t="inlineStr">
        <is>
          <t>smallcap</t>
        </is>
      </c>
      <c r="H310" s="32" t="n">
        <v>565.64</v>
      </c>
      <c r="I310" s="32" t="n">
        <v>268.9</v>
      </c>
      <c r="J310" s="32" t="n">
        <v>1.24</v>
      </c>
      <c r="K310" s="32" t="n">
        <v>48147</v>
      </c>
      <c r="L310" s="31" t="n">
        <v>62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62.49</v>
      </c>
      <c r="P310" s="32" t="n">
        <v>38.34</v>
      </c>
      <c r="Q310" s="32" t="inlineStr"/>
      <c r="R310" s="31" t="inlineStr">
        <is>
          <t>Earnings / Momentum Support</t>
        </is>
      </c>
      <c r="S310" s="31" t="inlineStr">
        <is>
          <t>Nifty 50</t>
        </is>
      </c>
      <c r="T310" s="32" t="n">
        <v>-4.43</v>
      </c>
      <c r="U310" s="32" t="n">
        <v>49.43</v>
      </c>
      <c r="V310" s="32" t="n">
        <v>56.36</v>
      </c>
      <c r="W310" s="32" t="n">
        <v>16.05</v>
      </c>
      <c r="X310" s="31" t="inlineStr">
        <is>
          <t>Cyclical in an Upturn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Negative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Between 0.7 to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IF(B311=0,"",RANK(B311,$B$2:$B$339,0))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FACT</t>
        </is>
      </c>
      <c r="D311" s="33" t="inlineStr">
        <is>
          <t>Fertilizers And Chemicals Travancore Limited</t>
        </is>
      </c>
      <c r="E311" s="31" t="inlineStr">
        <is>
          <t>chemicals</t>
        </is>
      </c>
      <c r="F311" s="31" t="inlineStr">
        <is>
          <t>fertilizers</t>
        </is>
      </c>
      <c r="G311" s="31" t="inlineStr">
        <is>
          <t>largecap</t>
        </is>
      </c>
      <c r="H311" s="32" t="n">
        <v>58388.54</v>
      </c>
      <c r="I311" s="32" t="n">
        <v>906.05</v>
      </c>
      <c r="J311" s="32" t="n">
        <v>0.41</v>
      </c>
      <c r="K311" s="32" t="n">
        <v>193515</v>
      </c>
      <c r="L311" s="31" t="n">
        <v>1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55.99</v>
      </c>
      <c r="P311" s="32" t="n">
        <v>15.36</v>
      </c>
      <c r="Q311" s="32" t="inlineStr"/>
      <c r="R311" s="31" t="inlineStr">
        <is>
          <t>Earnings / Momentum Support</t>
        </is>
      </c>
      <c r="S311" s="31" t="inlineStr">
        <is>
          <t>Nifty 50</t>
        </is>
      </c>
      <c r="T311" s="32" t="n">
        <v>-4.43</v>
      </c>
      <c r="U311" s="32" t="n">
        <v>-11.1</v>
      </c>
      <c r="V311" s="32" t="n">
        <v>-6.97</v>
      </c>
      <c r="W311" s="32" t="n">
        <v>-0.83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Headwind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Less than 1.5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More than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IF(B312=0,"",RANK(B312,$B$2:$B$339,0))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RKFORGE</t>
        </is>
      </c>
      <c r="D312" s="33" t="inlineStr">
        <is>
          <t>Ramkrishna Forgings Limited</t>
        </is>
      </c>
      <c r="E312" s="31" t="inlineStr">
        <is>
          <t>industrials</t>
        </is>
      </c>
      <c r="F312" s="31" t="inlineStr">
        <is>
          <t>castings &amp; forgings</t>
        </is>
      </c>
      <c r="G312" s="31" t="inlineStr">
        <is>
          <t>midcap</t>
        </is>
      </c>
      <c r="H312" s="32" t="n">
        <v>10758.53</v>
      </c>
      <c r="I312" s="32" t="n">
        <v>589</v>
      </c>
      <c r="J312" s="32" t="n">
        <v>-0.54</v>
      </c>
      <c r="K312" s="32" t="n">
        <v>486403</v>
      </c>
      <c r="L312" s="31" t="n">
        <v>2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56.41</v>
      </c>
      <c r="P312" s="32" t="n">
        <v>15.46</v>
      </c>
      <c r="Q312" s="32" t="inlineStr"/>
      <c r="R312" s="31" t="inlineStr">
        <is>
          <t>Earnings / Momentum Support</t>
        </is>
      </c>
      <c r="S312" s="31" t="inlineStr">
        <is>
          <t>Nifty 50</t>
        </is>
      </c>
      <c r="T312" s="32" t="n">
        <v>-4.43</v>
      </c>
      <c r="U312" s="32" t="n">
        <v>-8.699999999999999</v>
      </c>
      <c r="V312" s="32" t="n">
        <v>-4.46</v>
      </c>
      <c r="W312" s="32" t="n">
        <v>-0.25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Between 0.7 to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IF(B313=0,"",RANK(B313,$B$2:$B$339,0))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ASIANENE</t>
        </is>
      </c>
      <c r="D313" s="31" t="inlineStr">
        <is>
          <t>Asian Energy Services Ltd</t>
        </is>
      </c>
      <c r="E313" s="31" t="inlineStr">
        <is>
          <t>energy</t>
        </is>
      </c>
      <c r="F313" s="31" t="inlineStr">
        <is>
          <t>oil drilling / allied services</t>
        </is>
      </c>
      <c r="G313" s="31" t="inlineStr">
        <is>
          <t>smallcap</t>
        </is>
      </c>
      <c r="H313" s="32" t="n">
        <v>1780.13</v>
      </c>
      <c r="I313" s="32" t="n">
        <v>363.45</v>
      </c>
      <c r="J313" s="32" t="n">
        <v>-0.75</v>
      </c>
      <c r="K313" s="32" t="n">
        <v>340786</v>
      </c>
      <c r="L313" s="31" t="n">
        <v>50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61.69</v>
      </c>
      <c r="P313" s="32" t="n">
        <v>13.89</v>
      </c>
      <c r="Q313" s="32" t="inlineStr"/>
      <c r="R313" s="31" t="inlineStr">
        <is>
          <t>Earnings / Momentum Support</t>
        </is>
      </c>
      <c r="S313" s="31" t="inlineStr">
        <is>
          <t>Nifty Energy</t>
        </is>
      </c>
      <c r="T313" s="32" t="n">
        <v>9.800000000000001</v>
      </c>
      <c r="U313" s="32" t="n">
        <v>18.14</v>
      </c>
      <c r="V313" s="32" t="n">
        <v>7.59</v>
      </c>
      <c r="W313" s="32" t="n">
        <v>12.13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Oligopoly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Yes</t>
        </is>
      </c>
      <c r="AC313" s="31">
        <f>IF(AB313="No",5,0)</f>
        <v/>
      </c>
      <c r="AD313" s="31" t="inlineStr">
        <is>
          <t>Headwind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Between 50% to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IF(B314=0,"",RANK(B314,$B$2:$B$339,0))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TATACOMM</t>
        </is>
      </c>
      <c r="D314" s="31" t="inlineStr">
        <is>
          <t>Tata Communications Limited</t>
        </is>
      </c>
      <c r="E314" s="31" t="inlineStr">
        <is>
          <t>telecom-service</t>
        </is>
      </c>
      <c r="F314" s="31" t="inlineStr">
        <is>
          <t>telecommunications - service provider</t>
        </is>
      </c>
      <c r="G314" s="31" t="inlineStr">
        <is>
          <t>largecap</t>
        </is>
      </c>
      <c r="H314" s="32" t="n">
        <v>56048.1</v>
      </c>
      <c r="I314" s="32" t="n">
        <v>1933.9</v>
      </c>
      <c r="J314" s="32" t="n">
        <v>-1.66</v>
      </c>
      <c r="K314" s="32" t="n">
        <v>596415</v>
      </c>
      <c r="L314" s="31" t="n">
        <v>54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68.67</v>
      </c>
      <c r="P314" s="32" t="n">
        <v>28.05</v>
      </c>
      <c r="Q314" s="32" t="inlineStr"/>
      <c r="R314" s="31" t="inlineStr">
        <is>
          <t>Earnings / Momentum Support</t>
        </is>
      </c>
      <c r="S314" s="31" t="inlineStr">
        <is>
          <t>Nifty 50</t>
        </is>
      </c>
      <c r="T314" s="32" t="n">
        <v>-4.43</v>
      </c>
      <c r="U314" s="32" t="n">
        <v>17</v>
      </c>
      <c r="V314" s="32" t="n">
        <v>22.42</v>
      </c>
      <c r="W314" s="32" t="n">
        <v>13.3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Oligopoly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More than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IF(B315=0,"",RANK(B315,$B$2:$B$339,0))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EIFFL</t>
        </is>
      </c>
      <c r="D315" s="31" t="inlineStr">
        <is>
          <t>Euro India Fresh Foods Ltd</t>
        </is>
      </c>
      <c r="E315" s="31" t="inlineStr">
        <is>
          <t>fmcg</t>
        </is>
      </c>
      <c r="F315" s="31" t="inlineStr">
        <is>
          <t>food - processing - indian</t>
        </is>
      </c>
      <c r="G315" s="31" t="inlineStr">
        <is>
          <t>smallcap</t>
        </is>
      </c>
      <c r="H315" s="32" t="n">
        <v>570.23</v>
      </c>
      <c r="I315" s="32" t="n">
        <v>244.76</v>
      </c>
      <c r="J315" s="32" t="n">
        <v>6.45</v>
      </c>
      <c r="K315" s="32" t="n">
        <v>53599</v>
      </c>
      <c r="L315" s="31" t="n">
        <v>4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46.45</v>
      </c>
      <c r="P315" s="32" t="n">
        <v>9.720000000000001</v>
      </c>
      <c r="Q315" s="32" t="inlineStr"/>
      <c r="R315" s="31" t="inlineStr">
        <is>
          <t>Earnings / Momentum Support</t>
        </is>
      </c>
      <c r="S315" s="31" t="inlineStr">
        <is>
          <t>Nifty FMCG</t>
        </is>
      </c>
      <c r="T315" s="32" t="n">
        <v>-10.45</v>
      </c>
      <c r="U315" s="32" t="n">
        <v>6.36</v>
      </c>
      <c r="V315" s="32" t="n">
        <v>18.77</v>
      </c>
      <c r="W315" s="32" t="n">
        <v>1.17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B2C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Annuity, Lower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Below 45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Between 0.7 to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IF(B316=0,"",RANK(B316,$B$2:$B$339,0))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MSTCLTD</t>
        </is>
      </c>
      <c r="D316" s="31" t="inlineStr">
        <is>
          <t>MSTC Ltd</t>
        </is>
      </c>
      <c r="E316" s="31" t="inlineStr">
        <is>
          <t>i.t</t>
        </is>
      </c>
      <c r="F316" s="31" t="inlineStr">
        <is>
          <t>trading</t>
        </is>
      </c>
      <c r="G316" s="31" t="inlineStr">
        <is>
          <t>smallcap</t>
        </is>
      </c>
      <c r="H316" s="32" t="n">
        <v>4002.59</v>
      </c>
      <c r="I316" s="32" t="n">
        <v>629.75</v>
      </c>
      <c r="J316" s="32" t="n">
        <v>10.76</v>
      </c>
      <c r="K316" s="32" t="n">
        <v>6949889</v>
      </c>
      <c r="L316" s="31" t="n">
        <v>45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66.08</v>
      </c>
      <c r="P316" s="32" t="n">
        <v>18.92</v>
      </c>
      <c r="Q316" s="32" t="inlineStr"/>
      <c r="R316" s="31" t="inlineStr">
        <is>
          <t>Earnings / Momentum Support</t>
        </is>
      </c>
      <c r="S316" s="31" t="inlineStr">
        <is>
          <t>Nifty IT</t>
        </is>
      </c>
      <c r="T316" s="32" t="n">
        <v>-27.75</v>
      </c>
      <c r="U316" s="32" t="n">
        <v>9.279999999999999</v>
      </c>
      <c r="V316" s="32" t="n">
        <v>51.25</v>
      </c>
      <c r="W316" s="32" t="n">
        <v>10.68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Negative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IF(B317=0,"",RANK(B317,$B$2:$B$339,0))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DEEDEV</t>
        </is>
      </c>
      <c r="D317" s="31" t="inlineStr">
        <is>
          <t>DEE Development Engineers Ltd</t>
        </is>
      </c>
      <c r="E317" s="31" t="inlineStr">
        <is>
          <t>metals &amp; mining</t>
        </is>
      </c>
      <c r="F317" s="31" t="inlineStr">
        <is>
          <t>steel - medium / small</t>
        </is>
      </c>
      <c r="G317" s="31" t="inlineStr">
        <is>
          <t>smallcap</t>
        </is>
      </c>
      <c r="H317" s="32" t="n">
        <v>4548.52</v>
      </c>
      <c r="I317" s="32" t="n">
        <v>689.5</v>
      </c>
      <c r="J317" s="32" t="n">
        <v>4.99</v>
      </c>
      <c r="K317" s="32" t="n">
        <v>54236</v>
      </c>
      <c r="L317" s="31" t="n">
        <v>96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84.41</v>
      </c>
      <c r="P317" s="32" t="n">
        <v>62</v>
      </c>
      <c r="Q317" s="32" t="inlineStr"/>
      <c r="R317" s="31" t="inlineStr">
        <is>
          <t>Earnings / Momentum Support</t>
        </is>
      </c>
      <c r="S317" s="31" t="inlineStr">
        <is>
          <t>Nifty Metal</t>
        </is>
      </c>
      <c r="T317" s="32" t="n">
        <v>38.84</v>
      </c>
      <c r="U317" s="32" t="n">
        <v>129.09</v>
      </c>
      <c r="V317" s="32" t="n">
        <v>65.01000000000001</v>
      </c>
      <c r="W317" s="32" t="n">
        <v>50.9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Above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Less than 50%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Between 0.7 to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IF(B318=0,"",RANK(B318,$B$2:$B$339,0))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LT</t>
        </is>
      </c>
      <c r="D318" s="31" t="inlineStr">
        <is>
          <t>Larsen &amp; Toubro Limited</t>
        </is>
      </c>
      <c r="E318" s="31" t="inlineStr">
        <is>
          <t>realty</t>
        </is>
      </c>
      <c r="F318" s="31" t="inlineStr">
        <is>
          <t>engineering - turnkey services</t>
        </is>
      </c>
      <c r="G318" s="31" t="inlineStr">
        <is>
          <t>largecap</t>
        </is>
      </c>
      <c r="H318" s="32" t="n">
        <v>557034.74</v>
      </c>
      <c r="I318" s="32" t="n">
        <v>4169.8</v>
      </c>
      <c r="J318" s="32" t="n">
        <v>2.98</v>
      </c>
      <c r="K318" s="32" t="n">
        <v>3978153</v>
      </c>
      <c r="L318" s="31" t="n">
        <v>30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55.34</v>
      </c>
      <c r="P318" s="32" t="n">
        <v>8.81</v>
      </c>
      <c r="Q318" s="32" t="inlineStr"/>
      <c r="R318" s="31" t="inlineStr">
        <is>
          <t>Earnings / Momentum Support</t>
        </is>
      </c>
      <c r="S318" s="31" t="inlineStr">
        <is>
          <t>Nifty Realty</t>
        </is>
      </c>
      <c r="T318" s="32" t="n">
        <v>-23.58</v>
      </c>
      <c r="U318" s="32" t="n">
        <v>13.98</v>
      </c>
      <c r="V318" s="32" t="n">
        <v>49.14</v>
      </c>
      <c r="W318" s="32" t="n">
        <v>7.16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Less than 50%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Between 0.7 to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IF(B319=0,"",RANK(B319,$B$2:$B$339,0))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TITAN</t>
        </is>
      </c>
      <c r="D319" s="31" t="inlineStr">
        <is>
          <t>Titan Company Limited</t>
        </is>
      </c>
      <c r="E319" s="31" t="inlineStr">
        <is>
          <t>consumer discretionary</t>
        </is>
      </c>
      <c r="F319" s="31" t="inlineStr">
        <is>
          <t>diamond cutting / jewellery</t>
        </is>
      </c>
      <c r="G319" s="31" t="inlineStr">
        <is>
          <t>largecap</t>
        </is>
      </c>
      <c r="H319" s="32" t="n">
        <v>371449.73</v>
      </c>
      <c r="I319" s="32" t="n">
        <v>4283.5</v>
      </c>
      <c r="J319" s="32" t="n">
        <v>2.38</v>
      </c>
      <c r="K319" s="32" t="n">
        <v>1076822</v>
      </c>
      <c r="L319" s="31" t="n">
        <v>17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51.74</v>
      </c>
      <c r="P319" s="32" t="n">
        <v>11.12</v>
      </c>
      <c r="Q319" s="32" t="inlineStr"/>
      <c r="R319" s="31" t="inlineStr">
        <is>
          <t>Earnings / Momentum Support</t>
        </is>
      </c>
      <c r="S319" s="31" t="inlineStr">
        <is>
          <t>Nifty 50</t>
        </is>
      </c>
      <c r="T319" s="32" t="n">
        <v>-4.43</v>
      </c>
      <c r="U319" s="32" t="n">
        <v>22.64</v>
      </c>
      <c r="V319" s="32" t="n">
        <v>28.33</v>
      </c>
      <c r="W319" s="32" t="n">
        <v>4.75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Between 50% to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IF(B320=0,"",RANK(B320,$B$2:$B$339,0))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KAPSTON</t>
        </is>
      </c>
      <c r="D320" s="31" t="inlineStr">
        <is>
          <t>Kapston Services Ltd</t>
        </is>
      </c>
      <c r="E320" s="31" t="inlineStr">
        <is>
          <t>miscellaneous</t>
        </is>
      </c>
      <c r="F320" s="31" t="inlineStr">
        <is>
          <t>miscellaneous</t>
        </is>
      </c>
      <c r="G320" s="31" t="inlineStr">
        <is>
          <t>smallcap</t>
        </is>
      </c>
      <c r="H320" s="32" t="n">
        <v>1032.26</v>
      </c>
      <c r="I320" s="32" t="n">
        <v>344.5</v>
      </c>
      <c r="J320" s="32" t="n">
        <v>1.56</v>
      </c>
      <c r="K320" s="32" t="n">
        <v>15622</v>
      </c>
      <c r="L320" s="31" t="n">
        <v>53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54.26</v>
      </c>
      <c r="P320" s="32" t="n">
        <v>11.19</v>
      </c>
      <c r="Q320" s="32" t="inlineStr"/>
      <c r="R320" s="31" t="inlineStr">
        <is>
          <t>Earnings / Momentum Support</t>
        </is>
      </c>
      <c r="S320" s="31" t="inlineStr">
        <is>
          <t>Nifty 50</t>
        </is>
      </c>
      <c r="T320" s="32" t="n">
        <v>-4.43</v>
      </c>
      <c r="U320" s="32" t="n">
        <v>40.22</v>
      </c>
      <c r="V320" s="32" t="n">
        <v>46.72</v>
      </c>
      <c r="W320" s="32" t="n">
        <v>12.95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Between 1.5 to 2</t>
        </is>
      </c>
      <c r="BU320" s="31">
        <f>IF(BT320="Above 2",0,IF(BT320="Between 1.5 to 2",5,IF(BT320="Less than 1.5",10,0)))</f>
        <v/>
      </c>
      <c r="BV320" s="31" t="inlineStr">
        <is>
          <t>Less than 50% and Borrowings are increasing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IF(B321=0,"",RANK(B321,$B$2:$B$339,0))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NEOGEN</t>
        </is>
      </c>
      <c r="D321" s="31" t="inlineStr">
        <is>
          <t>Neogen Chemicals Ltd</t>
        </is>
      </c>
      <c r="E321" s="31" t="inlineStr">
        <is>
          <t>chemicals</t>
        </is>
      </c>
      <c r="F321" s="31" t="inlineStr">
        <is>
          <t>chemicals</t>
        </is>
      </c>
      <c r="G321" s="31" t="inlineStr">
        <is>
          <t>midcap</t>
        </is>
      </c>
      <c r="H321" s="32" t="n">
        <v>5568.61</v>
      </c>
      <c r="I321" s="32" t="n">
        <v>2064.4</v>
      </c>
      <c r="J321" s="32" t="n">
        <v>1.51</v>
      </c>
      <c r="K321" s="32" t="n">
        <v>111918</v>
      </c>
      <c r="L321" s="31" t="n">
        <v>67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71.48999999999999</v>
      </c>
      <c r="P321" s="32" t="n">
        <v>34.61</v>
      </c>
      <c r="Q321" s="32" t="inlineStr"/>
      <c r="R321" s="31" t="inlineStr">
        <is>
          <t>Earnings / Momentum Support</t>
        </is>
      </c>
      <c r="S321" s="31" t="inlineStr">
        <is>
          <t>Nifty 50</t>
        </is>
      </c>
      <c r="T321" s="32" t="n">
        <v>-4.43</v>
      </c>
      <c r="U321" s="32" t="n">
        <v>22.6</v>
      </c>
      <c r="V321" s="32" t="n">
        <v>28.29</v>
      </c>
      <c r="W321" s="32" t="n">
        <v>18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Negative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More than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IF(B322=0,"",RANK(B322,$B$2:$B$339,0))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PANAMAPET</t>
        </is>
      </c>
      <c r="D322" s="33" t="inlineStr">
        <is>
          <t>Panama Petrochem Limited</t>
        </is>
      </c>
      <c r="E322" s="31" t="inlineStr">
        <is>
          <t>energy</t>
        </is>
      </c>
      <c r="F322" s="31" t="inlineStr">
        <is>
          <t>petrochemicals</t>
        </is>
      </c>
      <c r="G322" s="31" t="inlineStr">
        <is>
          <t>smallcap</t>
        </is>
      </c>
      <c r="H322" s="32" t="n">
        <v>2282.12</v>
      </c>
      <c r="I322" s="32" t="n">
        <v>381.5</v>
      </c>
      <c r="J322" s="32" t="n">
        <v>1.13</v>
      </c>
      <c r="K322" s="32" t="n">
        <v>158432</v>
      </c>
      <c r="L322" s="31" t="n">
        <v>44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70.45999999999999</v>
      </c>
      <c r="P322" s="32" t="n">
        <v>22.79</v>
      </c>
      <c r="Q322" s="32" t="inlineStr"/>
      <c r="R322" s="31" t="inlineStr">
        <is>
          <t>Earnings / Momentum Support</t>
        </is>
      </c>
      <c r="S322" s="31" t="inlineStr">
        <is>
          <t>Nifty Energy</t>
        </is>
      </c>
      <c r="T322" s="32" t="n">
        <v>9.800000000000001</v>
      </c>
      <c r="U322" s="32" t="n">
        <v>4.86</v>
      </c>
      <c r="V322" s="32" t="n">
        <v>-4.5</v>
      </c>
      <c r="W322" s="32" t="n">
        <v>10.56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Negative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IF(B323=0,"",RANK(B323,$B$2:$B$339,0))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PTCIL</t>
        </is>
      </c>
      <c r="D323" s="31" t="inlineStr">
        <is>
          <t>PTC Industries Ltd</t>
        </is>
      </c>
      <c r="E323" s="31" t="inlineStr">
        <is>
          <t>industrials</t>
        </is>
      </c>
      <c r="F323" s="31" t="inlineStr">
        <is>
          <t>castings &amp; forgings</t>
        </is>
      </c>
      <c r="G323" s="31" t="inlineStr">
        <is>
          <t>largecap</t>
        </is>
      </c>
      <c r="H323" s="32" t="n">
        <v>27889.14</v>
      </c>
      <c r="I323" s="32" t="n">
        <v>18656</v>
      </c>
      <c r="J323" s="32" t="n">
        <v>0.29</v>
      </c>
      <c r="K323" s="32" t="n">
        <v>16148</v>
      </c>
      <c r="L323" s="31" t="n">
        <v>27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60.75</v>
      </c>
      <c r="P323" s="32" t="n">
        <v>16.25</v>
      </c>
      <c r="Q323" s="32" t="inlineStr"/>
      <c r="R323" s="31" t="inlineStr">
        <is>
          <t>Earnings / Momentum Support</t>
        </is>
      </c>
      <c r="S323" s="31" t="inlineStr">
        <is>
          <t>Nifty 50</t>
        </is>
      </c>
      <c r="T323" s="32" t="n">
        <v>-4.43</v>
      </c>
      <c r="U323" s="32" t="n">
        <v>21.76</v>
      </c>
      <c r="V323" s="32" t="n">
        <v>27.41</v>
      </c>
      <c r="W323" s="32" t="n">
        <v>6.71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Negative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IF(B324=0,"",RANK(B324,$B$2:$B$339,0))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TBOTEK</t>
        </is>
      </c>
      <c r="D324" s="31" t="inlineStr">
        <is>
          <t>TBO Tek Ltd</t>
        </is>
      </c>
      <c r="E324" s="31" t="inlineStr">
        <is>
          <t>i.t</t>
        </is>
      </c>
      <c r="F324" s="31" t="inlineStr">
        <is>
          <t>travel agencies</t>
        </is>
      </c>
      <c r="G324" s="31" t="inlineStr">
        <is>
          <t>midcap</t>
        </is>
      </c>
      <c r="H324" s="32" t="n">
        <v>14689.76</v>
      </c>
      <c r="I324" s="32" t="n">
        <v>1452</v>
      </c>
      <c r="J324" s="32" t="n">
        <v>7.33</v>
      </c>
      <c r="K324" s="32" t="n">
        <v>2434342</v>
      </c>
      <c r="L324" s="31" t="n">
        <v>24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53.2</v>
      </c>
      <c r="P324" s="32" t="n">
        <v>16.6</v>
      </c>
      <c r="Q324" s="32" t="inlineStr"/>
      <c r="R324" s="31" t="inlineStr">
        <is>
          <t>Volume Spike / Accumulation</t>
        </is>
      </c>
      <c r="S324" s="31" t="inlineStr">
        <is>
          <t>Nifty IT</t>
        </is>
      </c>
      <c r="T324" s="32" t="n">
        <v>-27.75</v>
      </c>
      <c r="U324" s="32" t="n">
        <v>5.12</v>
      </c>
      <c r="V324" s="32" t="n">
        <v>45.49</v>
      </c>
      <c r="W324" s="32" t="n">
        <v>6.07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4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Negative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IF(B325=0,"",RANK(B325,$B$2:$B$339,0))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PRESTIGE</t>
        </is>
      </c>
      <c r="D325" s="31" t="inlineStr">
        <is>
          <t>Prestige Estates Projects Limited</t>
        </is>
      </c>
      <c r="E325" s="31" t="inlineStr">
        <is>
          <t>realty</t>
        </is>
      </c>
      <c r="F325" s="31" t="inlineStr">
        <is>
          <t>construction</t>
        </is>
      </c>
      <c r="G325" s="31" t="inlineStr">
        <is>
          <t>largecap</t>
        </is>
      </c>
      <c r="H325" s="32" t="n">
        <v>59755.21</v>
      </c>
      <c r="I325" s="32" t="n">
        <v>1472.5</v>
      </c>
      <c r="J325" s="32" t="n">
        <v>6.14</v>
      </c>
      <c r="K325" s="32" t="n">
        <v>1205499</v>
      </c>
      <c r="L325" s="31" t="n">
        <v>2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47.56</v>
      </c>
      <c r="P325" s="32" t="n">
        <v>17.67</v>
      </c>
      <c r="Q325" s="32" t="inlineStr"/>
      <c r="R325" s="31" t="inlineStr">
        <is>
          <t>Earnings / Momentum Support</t>
        </is>
      </c>
      <c r="S325" s="31" t="inlineStr">
        <is>
          <t>Nifty Realty</t>
        </is>
      </c>
      <c r="T325" s="32" t="n">
        <v>-23.58</v>
      </c>
      <c r="U325" s="32" t="n">
        <v>-16.13</v>
      </c>
      <c r="V325" s="32" t="n">
        <v>9.74</v>
      </c>
      <c r="W325" s="32" t="n">
        <v>-0.55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Below 45</t>
        </is>
      </c>
      <c r="BA325" s="31">
        <f>IF(AZ325="Between 50 to 75",10,IF(AZ325="Above 75",0,0))</f>
        <v/>
      </c>
      <c r="BB325" s="31" t="inlineStr">
        <is>
          <t>Stage 4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Between 0.7 to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IF(B326=0,"",RANK(B326,$B$2:$B$339,0))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PETRONET</t>
        </is>
      </c>
      <c r="D326" s="33" t="inlineStr">
        <is>
          <t>Petronet Lng Limited</t>
        </is>
      </c>
      <c r="E326" s="31" t="inlineStr">
        <is>
          <t>energy</t>
        </is>
      </c>
      <c r="F326" s="31" t="inlineStr">
        <is>
          <t>miscellaneous</t>
        </is>
      </c>
      <c r="G326" s="31" t="inlineStr">
        <is>
          <t>largecap</t>
        </is>
      </c>
      <c r="H326" s="32" t="n">
        <v>41212.5</v>
      </c>
      <c r="I326" s="32" t="n">
        <v>285.9</v>
      </c>
      <c r="J326" s="32" t="n">
        <v>4.06</v>
      </c>
      <c r="K326" s="32" t="n">
        <v>4766702</v>
      </c>
      <c r="L326" s="31" t="n">
        <v>1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49.48</v>
      </c>
      <c r="P326" s="32" t="n">
        <v>6.82</v>
      </c>
      <c r="Q326" s="32" t="inlineStr"/>
      <c r="R326" s="31" t="inlineStr">
        <is>
          <t>Earnings / Momentum Support</t>
        </is>
      </c>
      <c r="S326" s="31" t="inlineStr">
        <is>
          <t>Nifty Energy</t>
        </is>
      </c>
      <c r="T326" s="32" t="n">
        <v>9.800000000000001</v>
      </c>
      <c r="U326" s="32" t="n">
        <v>-5.43</v>
      </c>
      <c r="V326" s="32" t="n">
        <v>-13.87</v>
      </c>
      <c r="W326" s="32" t="n">
        <v>-1.82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Oligopoly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Yes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Below 45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IF(B327=0,"",RANK(B327,$B$2:$B$339,0))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TEXINFRA</t>
        </is>
      </c>
      <c r="D327" s="31" t="inlineStr">
        <is>
          <t>Texmaco Infrastructure &amp; Holdings Limited</t>
        </is>
      </c>
      <c r="E327" s="31" t="inlineStr">
        <is>
          <t>realty</t>
        </is>
      </c>
      <c r="F327" s="31" t="inlineStr">
        <is>
          <t>construction</t>
        </is>
      </c>
      <c r="G327" s="31" t="inlineStr">
        <is>
          <t>smallcap</t>
        </is>
      </c>
      <c r="H327" s="32" t="n">
        <v>1259.61</v>
      </c>
      <c r="I327" s="32" t="n">
        <v>101.16</v>
      </c>
      <c r="J327" s="32" t="n">
        <v>2.34</v>
      </c>
      <c r="K327" s="32" t="n">
        <v>104976</v>
      </c>
      <c r="L327" s="31" t="n">
        <v>10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51.65</v>
      </c>
      <c r="P327" s="32" t="n">
        <v>15.32</v>
      </c>
      <c r="Q327" s="32" t="inlineStr"/>
      <c r="R327" s="31" t="inlineStr">
        <is>
          <t>Earnings / Momentum Support</t>
        </is>
      </c>
      <c r="S327" s="31" t="inlineStr">
        <is>
          <t>Nifty Realty</t>
        </is>
      </c>
      <c r="T327" s="32" t="n">
        <v>-23.58</v>
      </c>
      <c r="U327" s="32" t="n">
        <v>-4.14</v>
      </c>
      <c r="V327" s="32" t="n">
        <v>25.44</v>
      </c>
      <c r="W327" s="32" t="n">
        <v>2.96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Negative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IF(B328=0,"",RANK(B328,$B$2:$B$339,0))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ITI</t>
        </is>
      </c>
      <c r="D328" s="33" t="inlineStr">
        <is>
          <t>Iti Limited</t>
        </is>
      </c>
      <c r="E328" s="31" t="inlineStr">
        <is>
          <t>aerospace &amp; defence</t>
        </is>
      </c>
      <c r="F328" s="31" t="inlineStr">
        <is>
          <t>telecommunications - equipment</t>
        </is>
      </c>
      <c r="G328" s="31" t="inlineStr">
        <is>
          <t>largecap</t>
        </is>
      </c>
      <c r="H328" s="32" t="n">
        <v>28813.35</v>
      </c>
      <c r="I328" s="32" t="n">
        <v>301.75</v>
      </c>
      <c r="J328" s="32" t="n">
        <v>0.84</v>
      </c>
      <c r="K328" s="32" t="n">
        <v>457627</v>
      </c>
      <c r="L328" s="31" t="n">
        <v>16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53.47</v>
      </c>
      <c r="P328" s="32" t="n">
        <v>16.72</v>
      </c>
      <c r="Q328" s="32" t="inlineStr"/>
      <c r="R328" s="31" t="inlineStr">
        <is>
          <t>Earnings / Momentum Support</t>
        </is>
      </c>
      <c r="S328" s="31" t="inlineStr">
        <is>
          <t>Nifty 50</t>
        </is>
      </c>
      <c r="T328" s="32" t="n">
        <v>-4.43</v>
      </c>
      <c r="U328" s="32" t="n">
        <v>-6.94</v>
      </c>
      <c r="V328" s="32" t="n">
        <v>-2.62</v>
      </c>
      <c r="W328" s="32" t="n">
        <v>4.25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Oligopoly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Yes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Negative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IF(B329=0,"",RANK(B329,$B$2:$B$339,0))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PITTIENG</t>
        </is>
      </c>
      <c r="D329" s="33" t="inlineStr">
        <is>
          <t>Pitti Engineering Ltd</t>
        </is>
      </c>
      <c r="E329" s="31" t="inlineStr">
        <is>
          <t>industrials</t>
        </is>
      </c>
      <c r="F329" s="31" t="inlineStr">
        <is>
          <t>engineering</t>
        </is>
      </c>
      <c r="G329" s="31" t="inlineStr">
        <is>
          <t>smallcap</t>
        </is>
      </c>
      <c r="H329" s="32" t="n">
        <v>3739</v>
      </c>
      <c r="I329" s="32" t="n">
        <v>977.5</v>
      </c>
      <c r="J329" s="32" t="n">
        <v>-1.56</v>
      </c>
      <c r="K329" s="32" t="n">
        <v>83731</v>
      </c>
      <c r="L329" s="31" t="n">
        <v>27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59.67</v>
      </c>
      <c r="P329" s="32" t="n">
        <v>11.81</v>
      </c>
      <c r="Q329" s="32" t="inlineStr"/>
      <c r="R329" s="31" t="inlineStr">
        <is>
          <t>Earnings / Momentum Support</t>
        </is>
      </c>
      <c r="S329" s="31" t="inlineStr">
        <is>
          <t>Nifty Infra</t>
        </is>
      </c>
      <c r="T329" s="32" t="n">
        <v>2.95</v>
      </c>
      <c r="U329" s="32" t="n">
        <v>-0.27</v>
      </c>
      <c r="V329" s="32" t="n">
        <v>-3.13</v>
      </c>
      <c r="W329" s="32" t="n">
        <v>6.65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3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Between 50% to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Between 0.7 to 1.2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IF(B330=0,"",RANK(B330,$B$2:$B$339,0))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STEELXIND</t>
        </is>
      </c>
      <c r="D330" s="33" t="inlineStr">
        <is>
          <t>Steel Exchange India Ltd</t>
        </is>
      </c>
      <c r="E330" s="31" t="inlineStr">
        <is>
          <t>metals &amp; mining</t>
        </is>
      </c>
      <c r="F330" s="31" t="inlineStr">
        <is>
          <t>steel - medium / small</t>
        </is>
      </c>
      <c r="G330" s="31" t="inlineStr">
        <is>
          <t>smallcap</t>
        </is>
      </c>
      <c r="H330" s="32" t="n">
        <v>1465.57</v>
      </c>
      <c r="I330" s="32" t="n">
        <v>12.35</v>
      </c>
      <c r="J330" s="32" t="n">
        <v>7.48</v>
      </c>
      <c r="K330" s="32" t="n">
        <v>10769731</v>
      </c>
      <c r="L330" s="31" t="n">
        <v>72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62.34</v>
      </c>
      <c r="P330" s="32" t="n">
        <v>23.75</v>
      </c>
      <c r="Q330" s="32" t="inlineStr"/>
      <c r="R330" s="31" t="inlineStr">
        <is>
          <t>Earnings / Momentum Support</t>
        </is>
      </c>
      <c r="S330" s="31" t="inlineStr">
        <is>
          <t>Nifty Metal</t>
        </is>
      </c>
      <c r="T330" s="32" t="n">
        <v>38.84</v>
      </c>
      <c r="U330" s="32" t="n">
        <v>38.27</v>
      </c>
      <c r="V330" s="32" t="n">
        <v>-0.41</v>
      </c>
      <c r="W330" s="32" t="n">
        <v>19.25</v>
      </c>
      <c r="X330" s="31" t="inlineStr">
        <is>
          <t>Cyclical in an Upturn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Cyclical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Volatile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Negative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IF(B331=0,"",RANK(B331,$B$2:$B$339,0))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MAITHANALL</t>
        </is>
      </c>
      <c r="D331" s="33" t="inlineStr">
        <is>
          <t>Maithan Alloys Limited</t>
        </is>
      </c>
      <c r="E331" s="31" t="inlineStr">
        <is>
          <t>metals &amp; mining</t>
        </is>
      </c>
      <c r="F331" s="31" t="inlineStr">
        <is>
          <t>mining / minerals / metals</t>
        </is>
      </c>
      <c r="G331" s="31" t="inlineStr">
        <is>
          <t>smallcap</t>
        </is>
      </c>
      <c r="H331" s="32" t="n">
        <v>2953.37</v>
      </c>
      <c r="I331" s="32" t="n">
        <v>1062.9</v>
      </c>
      <c r="J331" s="32" t="n">
        <v>4.77</v>
      </c>
      <c r="K331" s="32" t="n">
        <v>192412</v>
      </c>
      <c r="L331" s="31" t="n">
        <v>2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52.46</v>
      </c>
      <c r="P331" s="32" t="n">
        <v>14.59</v>
      </c>
      <c r="Q331" s="32" t="inlineStr"/>
      <c r="R331" s="31" t="inlineStr">
        <is>
          <t>Earnings / Momentum Support</t>
        </is>
      </c>
      <c r="S331" s="31" t="inlineStr">
        <is>
          <t>Nifty Metal</t>
        </is>
      </c>
      <c r="T331" s="32" t="n">
        <v>38.84</v>
      </c>
      <c r="U331" s="32" t="n">
        <v>-14.51</v>
      </c>
      <c r="V331" s="32" t="n">
        <v>-38.43</v>
      </c>
      <c r="W331" s="32" t="n">
        <v>-0.58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IF(B332=0,"",RANK(B332,$B$2:$B$339,0))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RITCO</t>
        </is>
      </c>
      <c r="D332" s="33" t="inlineStr">
        <is>
          <t>Ritco Logistics Ltd</t>
        </is>
      </c>
      <c r="E332" s="31" t="inlineStr">
        <is>
          <t>transportation</t>
        </is>
      </c>
      <c r="F332" s="31" t="inlineStr">
        <is>
          <t>miscellaneous</t>
        </is>
      </c>
      <c r="G332" s="31" t="inlineStr">
        <is>
          <t>smallcap</t>
        </is>
      </c>
      <c r="H332" s="32" t="n">
        <v>720.58</v>
      </c>
      <c r="I332" s="32" t="n">
        <v>257.7</v>
      </c>
      <c r="J332" s="32" t="n">
        <v>2.36</v>
      </c>
      <c r="K332" s="32" t="n">
        <v>52345</v>
      </c>
      <c r="L332" s="31" t="n">
        <v>9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53.76</v>
      </c>
      <c r="P332" s="32" t="n">
        <v>26.03</v>
      </c>
      <c r="Q332" s="32" t="inlineStr"/>
      <c r="R332" s="31" t="inlineStr">
        <is>
          <t>Earnings / Momentum Support</t>
        </is>
      </c>
      <c r="S332" s="31" t="inlineStr">
        <is>
          <t>Nifty 50</t>
        </is>
      </c>
      <c r="T332" s="32" t="n">
        <v>-4.43</v>
      </c>
      <c r="U332" s="32" t="n">
        <v>-12.54</v>
      </c>
      <c r="V332" s="32" t="n">
        <v>-8.48</v>
      </c>
      <c r="W332" s="32" t="n">
        <v>2.85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20 to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Negative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More than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IF(B333=0,"",RANK(B333,$B$2:$B$339,0))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KAMDHENU</t>
        </is>
      </c>
      <c r="D333" s="33" t="inlineStr">
        <is>
          <t>Kamdhenu Limited</t>
        </is>
      </c>
      <c r="E333" s="31" t="inlineStr">
        <is>
          <t>metals &amp; mining</t>
        </is>
      </c>
      <c r="F333" s="31" t="inlineStr">
        <is>
          <t>steel - medium / small</t>
        </is>
      </c>
      <c r="G333" s="31" t="inlineStr">
        <is>
          <t>smallcap</t>
        </is>
      </c>
      <c r="H333" s="32" t="n">
        <v>825.64</v>
      </c>
      <c r="I333" s="32" t="n">
        <v>30.64</v>
      </c>
      <c r="J333" s="32" t="n">
        <v>4.61</v>
      </c>
      <c r="K333" s="32" t="n">
        <v>3896157</v>
      </c>
      <c r="L333" s="31" t="n">
        <v>25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63.61</v>
      </c>
      <c r="P333" s="32" t="n">
        <v>19.2</v>
      </c>
      <c r="Q333" s="32" t="inlineStr"/>
      <c r="R333" s="31" t="inlineStr">
        <is>
          <t>Earnings / Momentum Support</t>
        </is>
      </c>
      <c r="S333" s="31" t="inlineStr">
        <is>
          <t>Nifty Metal</t>
        </is>
      </c>
      <c r="T333" s="32" t="n">
        <v>38.84</v>
      </c>
      <c r="U333" s="32" t="n">
        <v>-8.960000000000001</v>
      </c>
      <c r="V333" s="32" t="n">
        <v>-34.43</v>
      </c>
      <c r="W333" s="32" t="n">
        <v>6.25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Cyclical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Volatile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Between 50% to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IF(B334=0,"",RANK(B334,$B$2:$B$339,0))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GAIL</t>
        </is>
      </c>
      <c r="D334" s="33" t="inlineStr">
        <is>
          <t>Gail (india) Limited</t>
        </is>
      </c>
      <c r="E334" s="31" t="inlineStr">
        <is>
          <t>energy</t>
        </is>
      </c>
      <c r="F334" s="31" t="inlineStr">
        <is>
          <t>miscellaneous</t>
        </is>
      </c>
      <c r="G334" s="31" t="inlineStr">
        <is>
          <t>largecap</t>
        </is>
      </c>
      <c r="H334" s="32" t="n">
        <v>112105.45</v>
      </c>
      <c r="I334" s="32" t="n">
        <v>175.41</v>
      </c>
      <c r="J334" s="32" t="n">
        <v>2.88</v>
      </c>
      <c r="K334" s="32" t="n">
        <v>18354141</v>
      </c>
      <c r="L334" s="31" t="n">
        <v>6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57.38</v>
      </c>
      <c r="P334" s="32" t="n">
        <v>12.02</v>
      </c>
      <c r="Q334" s="32" t="inlineStr"/>
      <c r="R334" s="31" t="inlineStr">
        <is>
          <t>Earnings / Momentum Support</t>
        </is>
      </c>
      <c r="S334" s="31" t="inlineStr">
        <is>
          <t>Nifty Energy</t>
        </is>
      </c>
      <c r="T334" s="32" t="n">
        <v>9.800000000000001</v>
      </c>
      <c r="U334" s="32" t="n">
        <v>-7.58</v>
      </c>
      <c r="V334" s="32" t="n">
        <v>-15.84</v>
      </c>
      <c r="W334" s="32" t="n">
        <v>1.9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IF(B335=0,"",RANK(B335,$B$2:$B$339,0))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VENUSPIPES</t>
        </is>
      </c>
      <c r="D335" s="33" t="inlineStr">
        <is>
          <t>Venus Pipes &amp; Tubes Ltd</t>
        </is>
      </c>
      <c r="E335" s="31" t="inlineStr">
        <is>
          <t>metals &amp; mining</t>
        </is>
      </c>
      <c r="F335" s="31" t="inlineStr">
        <is>
          <t>steel - medium / small</t>
        </is>
      </c>
      <c r="G335" s="31" t="inlineStr">
        <is>
          <t>smallcap</t>
        </is>
      </c>
      <c r="H335" s="32" t="n">
        <v>2929.88</v>
      </c>
      <c r="I335" s="32" t="n">
        <v>1429.1</v>
      </c>
      <c r="J335" s="32" t="n">
        <v>1.05</v>
      </c>
      <c r="K335" s="32" t="n">
        <v>35868</v>
      </c>
      <c r="L335" s="31" t="n">
        <v>47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60.03</v>
      </c>
      <c r="P335" s="32" t="n">
        <v>19.09</v>
      </c>
      <c r="Q335" s="32" t="inlineStr"/>
      <c r="R335" s="31" t="inlineStr">
        <is>
          <t>Earnings / Momentum Support</t>
        </is>
      </c>
      <c r="S335" s="31" t="inlineStr">
        <is>
          <t>Nifty Metal</t>
        </is>
      </c>
      <c r="T335" s="32" t="n">
        <v>38.84</v>
      </c>
      <c r="U335" s="32" t="n">
        <v>1.43</v>
      </c>
      <c r="V335" s="32" t="n">
        <v>-26.94</v>
      </c>
      <c r="W335" s="32" t="n">
        <v>11.26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Between 50% to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IF(B336=0,"",RANK(B336,$B$2:$B$339,0))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RAJRATAN</t>
        </is>
      </c>
      <c r="D336" s="33" t="inlineStr">
        <is>
          <t>Rajratan Global Wire Ltd</t>
        </is>
      </c>
      <c r="E336" s="31" t="inlineStr">
        <is>
          <t>metals &amp; mining</t>
        </is>
      </c>
      <c r="F336" s="31" t="inlineStr">
        <is>
          <t>steel - medium / small</t>
        </is>
      </c>
      <c r="G336" s="31" t="inlineStr">
        <is>
          <t>smallcap</t>
        </is>
      </c>
      <c r="H336" s="32" t="n">
        <v>2331.4</v>
      </c>
      <c r="I336" s="32" t="n">
        <v>455.85</v>
      </c>
      <c r="J336" s="32" t="n">
        <v>-0.73</v>
      </c>
      <c r="K336" s="32" t="n">
        <v>63168</v>
      </c>
      <c r="L336" s="31" t="n">
        <v>35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57.6</v>
      </c>
      <c r="P336" s="32" t="n">
        <v>8.970000000000001</v>
      </c>
      <c r="Q336" s="32" t="inlineStr"/>
      <c r="R336" s="31" t="inlineStr">
        <is>
          <t>Earnings / Momentum Support</t>
        </is>
      </c>
      <c r="S336" s="31" t="inlineStr">
        <is>
          <t>Nifty Metal</t>
        </is>
      </c>
      <c r="T336" s="32" t="n">
        <v>38.84</v>
      </c>
      <c r="U336" s="32" t="n">
        <v>7.97</v>
      </c>
      <c r="V336" s="32" t="n">
        <v>-22.23</v>
      </c>
      <c r="W336" s="32" t="n">
        <v>8.529999999999999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Between 50% to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IF(B337=0,"",RANK(B337,$B$2:$B$339,0))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JTLIND</t>
        </is>
      </c>
      <c r="D337" s="33" t="inlineStr">
        <is>
          <t>JTL Industries Ltd</t>
        </is>
      </c>
      <c r="E337" s="31" t="inlineStr">
        <is>
          <t>metals &amp; mining</t>
        </is>
      </c>
      <c r="F337" s="31" t="inlineStr">
        <is>
          <t>steel - medium / small</t>
        </is>
      </c>
      <c r="G337" s="31" t="inlineStr">
        <is>
          <t>smallcap</t>
        </is>
      </c>
      <c r="H337" s="32" t="n">
        <v>2947.72</v>
      </c>
      <c r="I337" s="32" t="n">
        <v>76.48999999999999</v>
      </c>
      <c r="J337" s="32" t="n">
        <v>2</v>
      </c>
      <c r="K337" s="32" t="n">
        <v>3632324</v>
      </c>
      <c r="L337" s="31" t="n">
        <v>43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56.12</v>
      </c>
      <c r="P337" s="32" t="n">
        <v>13.44</v>
      </c>
      <c r="Q337" s="32" t="inlineStr"/>
      <c r="R337" s="31" t="inlineStr">
        <is>
          <t>Earnings / Momentum Support</t>
        </is>
      </c>
      <c r="S337" s="31" t="inlineStr">
        <is>
          <t>Nifty Metal</t>
        </is>
      </c>
      <c r="T337" s="32" t="n">
        <v>38.84</v>
      </c>
      <c r="U337" s="32" t="n">
        <v>-3.62</v>
      </c>
      <c r="V337" s="32" t="n">
        <v>-30.58</v>
      </c>
      <c r="W337" s="32" t="n">
        <v>10.17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Negative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IF(B338=0,"",RANK(B338,$B$2:$B$339,0))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GRAVITA</t>
        </is>
      </c>
      <c r="D338" s="33" t="inlineStr">
        <is>
          <t>Gravita India Limited</t>
        </is>
      </c>
      <c r="E338" s="31" t="inlineStr">
        <is>
          <t>metals &amp; mining</t>
        </is>
      </c>
      <c r="F338" s="31" t="inlineStr">
        <is>
          <t>mining / minerals / metals</t>
        </is>
      </c>
      <c r="G338" s="31" t="inlineStr">
        <is>
          <t>midcap</t>
        </is>
      </c>
      <c r="H338" s="32" t="n">
        <v>11830.76</v>
      </c>
      <c r="I338" s="32" t="n">
        <v>1659.5</v>
      </c>
      <c r="J338" s="32" t="n">
        <v>3.53</v>
      </c>
      <c r="K338" s="32" t="n">
        <v>133971</v>
      </c>
      <c r="L338" s="31" t="n">
        <v>6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48.91</v>
      </c>
      <c r="P338" s="32" t="n">
        <v>17.29</v>
      </c>
      <c r="Q338" s="32" t="inlineStr"/>
      <c r="R338" s="31" t="inlineStr">
        <is>
          <t>Earnings / Momentum Support</t>
        </is>
      </c>
      <c r="S338" s="31" t="inlineStr">
        <is>
          <t>Nifty Metal</t>
        </is>
      </c>
      <c r="T338" s="32" t="n">
        <v>38.84</v>
      </c>
      <c r="U338" s="32" t="n">
        <v>-8.69</v>
      </c>
      <c r="V338" s="32" t="n">
        <v>-34.23</v>
      </c>
      <c r="W338" s="32" t="n">
        <v>1.69</v>
      </c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Cyclical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Volatile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Below 45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Less than 50%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IF(B339=0,"",RANK(B339,$B$2:$B$339,0))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JBMA</t>
        </is>
      </c>
      <c r="D339" s="33" t="inlineStr">
        <is>
          <t>Jbm Auto Limited</t>
        </is>
      </c>
      <c r="E339" s="31" t="inlineStr">
        <is>
          <t>auto</t>
        </is>
      </c>
      <c r="F339" s="31" t="inlineStr">
        <is>
          <t>auto ancillaries</t>
        </is>
      </c>
      <c r="G339" s="31" t="inlineStr">
        <is>
          <t>midcap</t>
        </is>
      </c>
      <c r="H339" s="32" t="n">
        <v>16171.48</v>
      </c>
      <c r="I339" s="32" t="n">
        <v>683.3</v>
      </c>
      <c r="J339" s="32" t="n">
        <v>-0.07000000000000001</v>
      </c>
      <c r="K339" s="32" t="n">
        <v>721344</v>
      </c>
      <c r="L339" s="31" t="n">
        <v>37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61.15</v>
      </c>
      <c r="P339" s="32" t="n">
        <v>15.65</v>
      </c>
      <c r="Q339" s="32" t="inlineStr"/>
      <c r="R339" s="31" t="inlineStr">
        <is>
          <t>Earnings / Momentum Support</t>
        </is>
      </c>
      <c r="S339" s="31" t="inlineStr">
        <is>
          <t>Nifty Auto</t>
        </is>
      </c>
      <c r="T339" s="32" t="n">
        <v>12.72</v>
      </c>
      <c r="U339" s="32" t="n">
        <v>-2.37</v>
      </c>
      <c r="V339" s="32" t="n">
        <v>-13.39</v>
      </c>
      <c r="W339" s="32" t="n">
        <v>9.02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3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Negative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More than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</sheetData>
  <autoFilter ref="A1:CE339"/>
  <conditionalFormatting sqref="B2:B33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3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3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3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3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39">
    <cfRule type="cellIs" priority="36" operator="equal" dxfId="3" stopIfTrue="1">
      <formula>"Underperforming"</formula>
    </cfRule>
  </conditionalFormatting>
  <conditionalFormatting sqref="N2:N339">
    <cfRule type="cellIs" priority="37" operator="equal" dxfId="3" stopIfTrue="1">
      <formula>-5</formula>
    </cfRule>
  </conditionalFormatting>
  <conditionalFormatting sqref="Q2:Q33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39" showDropDown="0" showInputMessage="0" showErrorMessage="0" allowBlank="1" type="list">
      <formula1>"Growing Industry,Stagnant Industry,Cyclical in an Upturn"</formula1>
    </dataValidation>
    <dataValidation sqref="Z2:Z33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39" showDropDown="0" showInputMessage="0" showErrorMessage="0" allowBlank="1" type="list">
      <formula1>"Yes,No"</formula1>
    </dataValidation>
    <dataValidation sqref="AD2:AD339" showDropDown="0" showInputMessage="0" showErrorMessage="0" allowBlank="1" type="list">
      <formula1>"Tailwind,Headwind"</formula1>
    </dataValidation>
    <dataValidation sqref="AF2:AF339" showDropDown="0" showInputMessage="0" showErrorMessage="0" allowBlank="1" type="list">
      <formula1>"Structural (10 Years Consistency),Shallow Cyclical (2 to 3 Years Growth),Cyclical"</formula1>
    </dataValidation>
    <dataValidation sqref="AH2:AH339" showDropDown="0" showInputMessage="0" showErrorMessage="0" allowBlank="1" type="list">
      <formula1>"Yes due to Product Mix change or Operating Leverage,Yes, these are peak margins,No"</formula1>
    </dataValidation>
    <dataValidation sqref="AJ2:AJ339" showDropDown="0" showInputMessage="0" showErrorMessage="0" allowBlank="1" type="list">
      <formula1>"Stable,Volatile"</formula1>
    </dataValidation>
    <dataValidation sqref="AL2:AL339" showDropDown="0" showInputMessage="0" showErrorMessage="0" allowBlank="1" type="list">
      <formula1>"Yes,No"</formula1>
    </dataValidation>
    <dataValidation sqref="AN2:AN339" showDropDown="0" showInputMessage="0" showErrorMessage="0" allowBlank="1" type="list">
      <formula1>"B2C,B2B,B2G"</formula1>
    </dataValidation>
    <dataValidation sqref="AP2:AP339" showDropDown="0" showInputMessage="0" showErrorMessage="0" allowBlank="1" type="list">
      <formula1>"Yes,No"</formula1>
    </dataValidation>
    <dataValidation sqref="AR2:AR339" showDropDown="0" showInputMessage="0" showErrorMessage="0" allowBlank="1" type="list">
      <formula1>"Fully Annuity,Higher Annuity, Lower One time,Higher One Time, Lower Annuity,Fully One Time"</formula1>
    </dataValidation>
    <dataValidation sqref="AT2:AT339" showDropDown="0" showInputMessage="0" showErrorMessage="0" allowBlank="1" type="list">
      <formula1>"Good,Allocated capital in Non-core Areas"</formula1>
    </dataValidation>
    <dataValidation sqref="AV2:AV339" showDropDown="0" showInputMessage="0" showErrorMessage="0" allowBlank="1" type="list">
      <formula1>"Yes for more than 2 years,Yes only for next 1 to 2 years,No"</formula1>
    </dataValidation>
    <dataValidation sqref="AX2:AX339" showDropDown="0" showInputMessage="0" showErrorMessage="0" allowBlank="1" type="list">
      <formula1>"Above 40,20 to 40,0 to 20"</formula1>
    </dataValidation>
    <dataValidation sqref="AZ2:AZ339" showDropDown="0" showInputMessage="0" showErrorMessage="0" allowBlank="1" type="list">
      <formula1>"Between 50 to 75,Above 75,Below 45"</formula1>
    </dataValidation>
    <dataValidation sqref="BB2:BB339" showDropDown="0" showInputMessage="0" showErrorMessage="0" allowBlank="1" type="list">
      <formula1>"Stage 1,Stage 2,Stage 3,Stage 4"</formula1>
    </dataValidation>
    <dataValidation sqref="BD2:BD339" showDropDown="0" showInputMessage="0" showErrorMessage="0" allowBlank="1" type="list">
      <formula1>"Positive Trend,Negative Trend"</formula1>
    </dataValidation>
    <dataValidation sqref="BF2:BF339" showDropDown="0" showInputMessage="0" showErrorMessage="0" allowBlank="1" type="list">
      <formula1>"Uptrend,Sideways,Downtrend"</formula1>
    </dataValidation>
    <dataValidation sqref="BH2:BH339" showDropDown="0" showInputMessage="0" showErrorMessage="0" allowBlank="1" type="list">
      <formula1>"Uptrend,Sideways,Downtrend"</formula1>
    </dataValidation>
    <dataValidation sqref="BJ2:BJ33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39" showDropDown="0" showInputMessage="0" showErrorMessage="0" allowBlank="1" type="list">
      <formula1>"Yes,No"</formula1>
    </dataValidation>
    <dataValidation sqref="BN2:BN339" showDropDown="0" showInputMessage="0" showErrorMessage="0" allowBlank="1" type="list">
      <formula1>"More than 20%,Between 12 to 20%,Less than 12%"</formula1>
    </dataValidation>
    <dataValidation sqref="BP2:BP339" showDropDown="0" showInputMessage="0" showErrorMessage="0" allowBlank="1" type="list">
      <formula1>"Yes,No"</formula1>
    </dataValidation>
    <dataValidation sqref="BR2:BR339" showDropDown="0" showInputMessage="0" showErrorMessage="0" allowBlank="1" type="list">
      <formula1>"Yes,No"</formula1>
    </dataValidation>
    <dataValidation sqref="BT2:BT339" showDropDown="0" showInputMessage="0" showErrorMessage="0" allowBlank="1" type="list">
      <formula1>"Above 2,Between 1.5 to 2,Less than 1.5"</formula1>
    </dataValidation>
    <dataValidation sqref="BV2:BV339" showDropDown="0" showInputMessage="0" showErrorMessage="0" allowBlank="1" type="list">
      <formula1>"Above 70%,Between 50% to 70%,Less than 50%,Less than 50% and Borrowings are increasing,Negative"</formula1>
    </dataValidation>
    <dataValidation sqref="BX2:BX339" showDropDown="0" showInputMessage="0" showErrorMessage="0" allowBlank="1" type="list">
      <formula1>"More than 1.2,Between 0.7 to 1.2,Less than 0.7"</formula1>
    </dataValidation>
    <dataValidation sqref="BZ2:BZ339" showDropDown="0" showInputMessage="0" showErrorMessage="0" allowBlank="1" type="list">
      <formula1>"Yes,No"</formula1>
    </dataValidation>
    <dataValidation sqref="CB2:CB339" showDropDown="0" showInputMessage="0" showErrorMessage="0" allowBlank="1" type="list">
      <formula1>"More than 15%,Less than 15%"</formula1>
    </dataValidation>
    <dataValidation sqref="CD2:CD33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IF(B2=0,"",RANK(B2,$B$2:$B$60,0))</f>
        <v/>
      </c>
      <c r="B2" s="32">
        <f>SUM(N2,Y2,AA2,AC2,AE2,AG2,AI2,AK2,AM2,AO2,AQ2,AS2,AU2,AW2,AY2,BA2,BC2,BE2,BG2,BI2,BK2,BM2,BO2,BQ2,BS2,BU2,BW2,BY2,CA2)</f>
        <v/>
      </c>
      <c r="C2" s="31" t="inlineStr">
        <is>
          <t>EQUITASBNK</t>
        </is>
      </c>
      <c r="D2" s="31" t="inlineStr">
        <is>
          <t>Equitas Small Finance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8619.440000000001</v>
      </c>
      <c r="I2" s="32" t="n">
        <v>78.45999999999999</v>
      </c>
      <c r="J2" s="32" t="n">
        <v>3.87</v>
      </c>
      <c r="K2" s="32" t="n">
        <v>8069568</v>
      </c>
      <c r="L2" s="31" t="n">
        <v>43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63.74</v>
      </c>
      <c r="P2" s="32" t="n">
        <v>22.76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2.32</v>
      </c>
      <c r="U2" s="32" t="n">
        <v>10.41</v>
      </c>
      <c r="V2" s="32" t="n">
        <v>7.9</v>
      </c>
      <c r="W2" s="32" t="n">
        <v>10.22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 in an Uptick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inlineStr">
        <is>
          <t>Yes</t>
        </is>
      </c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No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No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IF(B3=0,"",RANK(B3,$B$2:$B$60,0))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SATIN</t>
        </is>
      </c>
      <c r="D3" s="31" t="inlineStr">
        <is>
          <t>Satin Creditcare Network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2500.18</v>
      </c>
      <c r="I3" s="32" t="n">
        <v>232.11</v>
      </c>
      <c r="J3" s="32" t="n">
        <v>2.56</v>
      </c>
      <c r="K3" s="32" t="n">
        <v>552368</v>
      </c>
      <c r="L3" s="31" t="n">
        <v>74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68.55</v>
      </c>
      <c r="P3" s="32" t="n">
        <v>45.82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2.32</v>
      </c>
      <c r="U3" s="32" t="n">
        <v>42.22</v>
      </c>
      <c r="V3" s="32" t="n">
        <v>39</v>
      </c>
      <c r="W3" s="32" t="n">
        <v>20.92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IF(B4=0,"",RANK(B4,$B$2:$B$60,0))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MAHABANK</t>
        </is>
      </c>
      <c r="D4" s="31" t="inlineStr">
        <is>
          <t>Bank Of Maharashtra Ltd</t>
        </is>
      </c>
      <c r="E4" s="31" t="inlineStr">
        <is>
          <t>bank</t>
        </is>
      </c>
      <c r="F4" s="31" t="inlineStr">
        <is>
          <t>banks - public sector</t>
        </is>
      </c>
      <c r="G4" s="31" t="inlineStr">
        <is>
          <t>largecap</t>
        </is>
      </c>
      <c r="H4" s="32" t="n">
        <v>67147.27</v>
      </c>
      <c r="I4" s="32" t="n">
        <v>89.12</v>
      </c>
      <c r="J4" s="32" t="n">
        <v>2.08</v>
      </c>
      <c r="K4" s="32" t="n">
        <v>33101447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71.34</v>
      </c>
      <c r="P4" s="32" t="n">
        <v>43.49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2.32</v>
      </c>
      <c r="U4" s="32" t="n">
        <v>65.40000000000001</v>
      </c>
      <c r="V4" s="32" t="n">
        <v>61.65</v>
      </c>
      <c r="W4" s="32" t="n">
        <v>19.11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IF(B5=0,"",RANK(B5,$B$2:$B$60,0))</f>
        <v/>
      </c>
      <c r="B5" s="32">
        <f>SUM(N5,Y5,AA5,AC5,AE5,AG5,AI5,AK5,AM5,AO5,AQ5,AS5,AU5,AW5,AY5,BA5,BC5,BE5,BG5,BI5,BK5,BM5,BO5,BQ5,BS5,BU5,BW5,BY5,CA5)</f>
        <v/>
      </c>
      <c r="C5" s="31" t="inlineStr">
        <is>
          <t>KTKBANK</t>
        </is>
      </c>
      <c r="D5" s="31" t="inlineStr">
        <is>
          <t>The Karnataka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10425.33</v>
      </c>
      <c r="I5" s="32" t="n">
        <v>272.7</v>
      </c>
      <c r="J5" s="32" t="n">
        <v>-1.09</v>
      </c>
      <c r="K5" s="32" t="n">
        <v>3006943</v>
      </c>
      <c r="L5" s="31" t="n">
        <v>50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69.23</v>
      </c>
      <c r="P5" s="32" t="n">
        <v>54.4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2.32</v>
      </c>
      <c r="U5" s="32" t="n">
        <v>38</v>
      </c>
      <c r="V5" s="32" t="n">
        <v>34.87</v>
      </c>
      <c r="W5" s="32" t="n">
        <v>12.09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IF(B6=0,"",RANK(B6,$B$2:$B$60,0))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FEDFINA</t>
        </is>
      </c>
      <c r="D6" s="31" t="inlineStr">
        <is>
          <t>Fedbank Financial Services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midcap</t>
        </is>
      </c>
      <c r="H6" s="32" t="n">
        <v>5717.5</v>
      </c>
      <c r="I6" s="32" t="n">
        <v>162.19</v>
      </c>
      <c r="J6" s="32" t="n">
        <v>6.15</v>
      </c>
      <c r="K6" s="32" t="n">
        <v>2205524</v>
      </c>
      <c r="L6" s="31" t="n">
        <v>44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56.49</v>
      </c>
      <c r="P6" s="32" t="n">
        <v>24.31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2.32</v>
      </c>
      <c r="U6" s="32" t="n">
        <v>30.33</v>
      </c>
      <c r="V6" s="32" t="n">
        <v>27.38</v>
      </c>
      <c r="W6" s="32" t="n">
        <v>10.67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IF(B7=0,"",RANK(B7,$B$2:$B$60,0))</f>
        <v/>
      </c>
      <c r="B7" s="32">
        <f>SUM(N7,Y7,AA7,AC7,AE7,AG7,AI7,AK7,AM7,AO7,AQ7,AS7,AU7,AW7,AY7,BA7,BC7,BE7,BG7,BI7,BK7,BM7,BO7,BQ7,BS7,BU7,BW7,BY7,CA7)</f>
        <v/>
      </c>
      <c r="C7" s="31" t="inlineStr">
        <is>
          <t>BANDHANBNK</t>
        </is>
      </c>
      <c r="D7" s="31" t="inlineStr">
        <is>
          <t>Bandhan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32960.49</v>
      </c>
      <c r="I7" s="32" t="n">
        <v>210.88</v>
      </c>
      <c r="J7" s="32" t="n">
        <v>3.07</v>
      </c>
      <c r="K7" s="32" t="n">
        <v>13330721</v>
      </c>
      <c r="L7" s="31" t="n">
        <v>30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64.06999999999999</v>
      </c>
      <c r="P7" s="32" t="n">
        <v>25.66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2.32</v>
      </c>
      <c r="U7" s="32" t="n">
        <v>17.85</v>
      </c>
      <c r="V7" s="32" t="n">
        <v>15.18</v>
      </c>
      <c r="W7" s="32" t="n">
        <v>7.24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IF(B8=0,"",RANK(B8,$B$2:$B$60,0))</f>
        <v/>
      </c>
      <c r="B8" s="32">
        <f>SUM(N8,Y8,AA8,AC8,AE8,AG8,AI8,AK8,AM8,AO8,AQ8,AS8,AU8,AW8,AY8,BA8,BC8,BE8,BG8,BI8,BK8,BM8,BO8,BQ8,BS8,BU8,BW8,BY8,CA8)</f>
        <v/>
      </c>
      <c r="C8" s="31" t="inlineStr">
        <is>
          <t>NORTHARC</t>
        </is>
      </c>
      <c r="D8" s="31" t="inlineStr">
        <is>
          <t>Northern ARC Capital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4676.7</v>
      </c>
      <c r="I8" s="32" t="n">
        <v>294.9</v>
      </c>
      <c r="J8" s="32" t="n">
        <v>1.88</v>
      </c>
      <c r="K8" s="32" t="n">
        <v>531708</v>
      </c>
      <c r="L8" s="31" t="n">
        <v>51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61.57</v>
      </c>
      <c r="P8" s="32" t="n">
        <v>30.18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2.32</v>
      </c>
      <c r="U8" s="32" t="n">
        <v>29.29</v>
      </c>
      <c r="V8" s="32" t="n">
        <v>26.36</v>
      </c>
      <c r="W8" s="32" t="n">
        <v>12.21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IF(B9=0,"",RANK(B9,$B$2:$B$60,0))</f>
        <v/>
      </c>
      <c r="B9" s="32">
        <f>SUM(N9,Y9,AA9,AC9,AE9,AG9,AI9,AK9,AM9,AO9,AQ9,AS9,AU9,AW9,AY9,BA9,BC9,BE9,BG9,BI9,BK9,BM9,BO9,BQ9,BS9,BU9,BW9,BY9,CA9)</f>
        <v/>
      </c>
      <c r="C9" s="31" t="inlineStr">
        <is>
          <t>RBLBANK</t>
        </is>
      </c>
      <c r="D9" s="31" t="inlineStr">
        <is>
          <t>Rbl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22613.61</v>
      </c>
      <c r="I9" s="32" t="n">
        <v>372.65</v>
      </c>
      <c r="J9" s="32" t="n">
        <v>1.86</v>
      </c>
      <c r="K9" s="32" t="n">
        <v>8331313</v>
      </c>
      <c r="L9" s="31" t="n">
        <v>63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69.23999999999999</v>
      </c>
      <c r="P9" s="32" t="n">
        <v>31.26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2.32</v>
      </c>
      <c r="U9" s="32" t="n">
        <v>66.73</v>
      </c>
      <c r="V9" s="32" t="n">
        <v>62.95</v>
      </c>
      <c r="W9" s="32" t="n">
        <v>16.22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IF(B10=0,"",RANK(B10,$B$2:$B$60,0))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SURYODAY</t>
        </is>
      </c>
      <c r="D10" s="31" t="inlineStr">
        <is>
          <t>Suryoday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smallcap</t>
        </is>
      </c>
      <c r="H10" s="32" t="n">
        <v>1803.21</v>
      </c>
      <c r="I10" s="32" t="n">
        <v>171.89</v>
      </c>
      <c r="J10" s="32" t="n">
        <v>1.32</v>
      </c>
      <c r="K10" s="32" t="n">
        <v>347090</v>
      </c>
      <c r="L10" s="31" t="n">
        <v>42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62.34</v>
      </c>
      <c r="P10" s="32" t="n">
        <v>30.75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2.32</v>
      </c>
      <c r="U10" s="32" t="n">
        <v>18.56</v>
      </c>
      <c r="V10" s="32" t="n">
        <v>15.88</v>
      </c>
      <c r="W10" s="32" t="n">
        <v>10.01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IF(B11=0,"",RANK(B11,$B$2:$B$60,0))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TMB</t>
        </is>
      </c>
      <c r="D11" s="31" t="inlineStr">
        <is>
          <t>Tamilnad Mercantile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12146.35</v>
      </c>
      <c r="I11" s="32" t="n">
        <v>774.2</v>
      </c>
      <c r="J11" s="32" t="n">
        <v>0.93</v>
      </c>
      <c r="K11" s="32" t="n">
        <v>270891</v>
      </c>
      <c r="L11" s="31" t="n">
        <v>66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68.01000000000001</v>
      </c>
      <c r="P11" s="32" t="n">
        <v>30.63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2.32</v>
      </c>
      <c r="U11" s="32" t="n">
        <v>73.67</v>
      </c>
      <c r="V11" s="32" t="n">
        <v>69.73</v>
      </c>
      <c r="W11" s="32" t="n">
        <v>17.81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IF(B12=0,"",RANK(B12,$B$2:$B$60,0))</f>
        <v/>
      </c>
      <c r="B12" s="32">
        <f>SUM(N12,Y12,AA12,AC12,AE12,AG12,AI12,AK12,AM12,AO12,AQ12,AS12,AU12,AW12,AY12,BA12,BC12,BE12,BG12,BI12,BK12,BM12,BO12,BQ12,BS12,BU12,BW12,BY12,CA12)</f>
        <v/>
      </c>
      <c r="C12" s="33" t="inlineStr">
        <is>
          <t>ESAFSFB</t>
        </is>
      </c>
      <c r="D12" s="33" t="inlineStr">
        <is>
          <t>ESAF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smallcap</t>
        </is>
      </c>
      <c r="H12" s="32" t="n">
        <v>1468.61</v>
      </c>
      <c r="I12" s="32" t="n">
        <v>29.1</v>
      </c>
      <c r="J12" s="32" t="n">
        <v>2.18</v>
      </c>
      <c r="K12" s="32" t="n">
        <v>705497</v>
      </c>
      <c r="L12" s="31" t="n">
        <v>6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55.09</v>
      </c>
      <c r="P12" s="32" t="n">
        <v>23.13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2.32</v>
      </c>
      <c r="U12" s="32" t="n">
        <v>-10.27</v>
      </c>
      <c r="V12" s="32" t="n">
        <v>-12.3</v>
      </c>
      <c r="W12" s="32" t="n">
        <v>1.89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IF(B13=0,"",RANK(B13,$B$2:$B$60,0))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J&amp;KBANK</t>
        </is>
      </c>
      <c r="D13" s="31" t="inlineStr">
        <is>
          <t>The Jammu &amp; Kashmir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midcap</t>
        </is>
      </c>
      <c r="H13" s="32" t="n">
        <v>17332.61</v>
      </c>
      <c r="I13" s="32" t="n">
        <v>159.91</v>
      </c>
      <c r="J13" s="32" t="n">
        <v>1.59</v>
      </c>
      <c r="K13" s="32" t="n">
        <v>6242841</v>
      </c>
      <c r="L13" s="31" t="n">
        <v>60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73.43000000000001</v>
      </c>
      <c r="P13" s="32" t="n">
        <v>50.22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2.32</v>
      </c>
      <c r="U13" s="32" t="n">
        <v>53.3</v>
      </c>
      <c r="V13" s="32" t="n">
        <v>49.83</v>
      </c>
      <c r="W13" s="32" t="n">
        <v>15.66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IF(B14=0,"",RANK(B14,$B$2:$B$60,0))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RANEHOLDIN</t>
        </is>
      </c>
      <c r="D14" s="33" t="inlineStr">
        <is>
          <t>Rane Holdings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2070.28</v>
      </c>
      <c r="I14" s="32" t="n">
        <v>1467.7</v>
      </c>
      <c r="J14" s="32" t="n">
        <v>1.22</v>
      </c>
      <c r="K14" s="32" t="n">
        <v>9158</v>
      </c>
      <c r="L14" s="31" t="n">
        <v>25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61.23</v>
      </c>
      <c r="P14" s="32" t="n">
        <v>25.94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2.32</v>
      </c>
      <c r="U14" s="32" t="n">
        <v>-1.7</v>
      </c>
      <c r="V14" s="32" t="n">
        <v>-3.93</v>
      </c>
      <c r="W14" s="32" t="n">
        <v>6.31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IF(B15=0,"",RANK(B15,$B$2:$B$60,0))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MOTILALOFS</t>
        </is>
      </c>
      <c r="D15" s="31" t="inlineStr">
        <is>
          <t>Motilal Oswal Financial Services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53472.26</v>
      </c>
      <c r="I15" s="32" t="n">
        <v>939.45</v>
      </c>
      <c r="J15" s="32" t="n">
        <v>5.74</v>
      </c>
      <c r="K15" s="32" t="n">
        <v>2438845</v>
      </c>
      <c r="L15" s="31" t="n">
        <v>39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58.2</v>
      </c>
      <c r="P15" s="32" t="n">
        <v>21.23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2.32</v>
      </c>
      <c r="U15" s="32" t="n">
        <v>9.050000000000001</v>
      </c>
      <c r="V15" s="32" t="n">
        <v>6.58</v>
      </c>
      <c r="W15" s="32" t="n">
        <v>9.300000000000001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IF(B16=0,"",RANK(B16,$B$2:$B$60,0))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CREDITACC</t>
        </is>
      </c>
      <c r="D16" s="31" t="inlineStr">
        <is>
          <t>CreditAccess Grameen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20992.09</v>
      </c>
      <c r="I16" s="32" t="n">
        <v>1375</v>
      </c>
      <c r="J16" s="32" t="n">
        <v>4.93</v>
      </c>
      <c r="K16" s="32" t="n">
        <v>290020</v>
      </c>
      <c r="L16" s="31" t="n">
        <v>18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52.16</v>
      </c>
      <c r="P16" s="32" t="n">
        <v>27.46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2.32</v>
      </c>
      <c r="U16" s="32" t="n">
        <v>10.92</v>
      </c>
      <c r="V16" s="32" t="n">
        <v>8.41</v>
      </c>
      <c r="W16" s="32" t="n">
        <v>4.99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IF(B17=0,"",RANK(B17,$B$2:$B$60,0))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AUBANK</t>
        </is>
      </c>
      <c r="D17" s="31" t="inlineStr">
        <is>
          <t>AU Small Finance Bank Ltd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75986.53</v>
      </c>
      <c r="I17" s="32" t="n">
        <v>1033.6</v>
      </c>
      <c r="J17" s="32" t="n">
        <v>1.78</v>
      </c>
      <c r="K17" s="32" t="n">
        <v>1771740</v>
      </c>
      <c r="L17" s="31" t="n">
        <v>42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56.96</v>
      </c>
      <c r="P17" s="32" t="n">
        <v>21.29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2.32</v>
      </c>
      <c r="U17" s="32" t="n">
        <v>32.29</v>
      </c>
      <c r="V17" s="32" t="n">
        <v>29.29</v>
      </c>
      <c r="W17" s="32" t="n">
        <v>10.01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IF(B18=0,"",RANK(B18,$B$2:$B$60,0))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STARHEALTH</t>
        </is>
      </c>
      <c r="D18" s="31" t="inlineStr">
        <is>
          <t>Star Health &amp; Allied Insurance Company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30573.45</v>
      </c>
      <c r="I18" s="32" t="n">
        <v>528.65</v>
      </c>
      <c r="J18" s="32" t="n">
        <v>1.74</v>
      </c>
      <c r="K18" s="32" t="n">
        <v>289392</v>
      </c>
      <c r="L18" s="31" t="n">
        <v>22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60.15</v>
      </c>
      <c r="P18" s="32" t="n">
        <v>27.47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2.32</v>
      </c>
      <c r="U18" s="32" t="n">
        <v>17.11</v>
      </c>
      <c r="V18" s="32" t="n">
        <v>14.45</v>
      </c>
      <c r="W18" s="32" t="n">
        <v>5.73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IF(B19=0,"",RANK(B19,$B$2:$B$60,0))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PAISALO</t>
        </is>
      </c>
      <c r="D19" s="31" t="inlineStr">
        <is>
          <t>Paisalo Digital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midcap</t>
        </is>
      </c>
      <c r="H19" s="32" t="n">
        <v>5393.46</v>
      </c>
      <c r="I19" s="32" t="n">
        <v>58.16</v>
      </c>
      <c r="J19" s="32" t="n">
        <v>-1.92</v>
      </c>
      <c r="K19" s="32" t="n">
        <v>8007652</v>
      </c>
      <c r="L19" s="31" t="n">
        <v>91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77.36</v>
      </c>
      <c r="P19" s="32" t="n">
        <v>35.42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2.32</v>
      </c>
      <c r="U19" s="32" t="n">
        <v>89.7</v>
      </c>
      <c r="V19" s="32" t="n">
        <v>85.40000000000001</v>
      </c>
      <c r="W19" s="32" t="n">
        <v>37.18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Above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IF(B20=0,"",RANK(B20,$B$2:$B$60,0))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ABSLAMC</t>
        </is>
      </c>
      <c r="D20" s="31" t="inlineStr">
        <is>
          <t>Aditya Birla Sun Life AMC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31803.34</v>
      </c>
      <c r="I20" s="32" t="n">
        <v>1146.1</v>
      </c>
      <c r="J20" s="32" t="n">
        <v>4.08</v>
      </c>
      <c r="K20" s="32" t="n">
        <v>1017809</v>
      </c>
      <c r="L20" s="31" t="n">
        <v>52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66.28</v>
      </c>
      <c r="P20" s="32" t="n">
        <v>41.64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2.32</v>
      </c>
      <c r="U20" s="32" t="n">
        <v>47.78</v>
      </c>
      <c r="V20" s="32" t="n">
        <v>44.43</v>
      </c>
      <c r="W20" s="32" t="n">
        <v>12.52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IF(B21=0,"",RANK(B21,$B$2:$B$60,0))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MANAPPURAM</t>
        </is>
      </c>
      <c r="D21" s="31" t="inlineStr">
        <is>
          <t>Manappuram Finance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28668.54</v>
      </c>
      <c r="I21" s="32" t="n">
        <v>317.65</v>
      </c>
      <c r="J21" s="32" t="n">
        <v>4.08</v>
      </c>
      <c r="K21" s="32" t="n">
        <v>2566512</v>
      </c>
      <c r="L21" s="31" t="n">
        <v>25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55.49</v>
      </c>
      <c r="P21" s="32" t="n">
        <v>19.5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2.32</v>
      </c>
      <c r="U21" s="32" t="n">
        <v>9.949999999999999</v>
      </c>
      <c r="V21" s="32" t="n">
        <v>7.46</v>
      </c>
      <c r="W21" s="32" t="n">
        <v>6.25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IF(B22=0,"",RANK(B22,$B$2:$B$60,0))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MUTHOOTMF</t>
        </is>
      </c>
      <c r="D22" s="31" t="inlineStr">
        <is>
          <t>Muthoot Microfin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3198.43</v>
      </c>
      <c r="I22" s="32" t="n">
        <v>195.21</v>
      </c>
      <c r="J22" s="32" t="n">
        <v>4.06</v>
      </c>
      <c r="K22" s="32" t="n">
        <v>364564</v>
      </c>
      <c r="L22" s="31" t="n">
        <v>56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56.58</v>
      </c>
      <c r="P22" s="32" t="n">
        <v>23.8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2.32</v>
      </c>
      <c r="U22" s="32" t="n">
        <v>40.12</v>
      </c>
      <c r="V22" s="32" t="n">
        <v>36.94</v>
      </c>
      <c r="W22" s="32" t="n">
        <v>13.96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IF(B23=0,"",RANK(B23,$B$2:$B$60,0))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YESBANK</t>
        </is>
      </c>
      <c r="D23" s="31" t="inlineStr">
        <is>
          <t>Yes Bank Limited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largecap</t>
        </is>
      </c>
      <c r="H23" s="32" t="n">
        <v>72233.17999999999</v>
      </c>
      <c r="I23" s="32" t="n">
        <v>23.78</v>
      </c>
      <c r="J23" s="32" t="n">
        <v>3.3</v>
      </c>
      <c r="K23" s="32" t="n">
        <v>161580507</v>
      </c>
      <c r="L23" s="31" t="n">
        <v>32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60.11</v>
      </c>
      <c r="P23" s="32" t="n">
        <v>23.47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2.32</v>
      </c>
      <c r="U23" s="32" t="n">
        <v>14.19</v>
      </c>
      <c r="V23" s="32" t="n">
        <v>11.6</v>
      </c>
      <c r="W23" s="32" t="n">
        <v>7.84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IF(B24=0,"",RANK(B24,$B$2:$B$60,0))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IDFCFIRSTB</t>
        </is>
      </c>
      <c r="D24" s="31" t="inlineStr">
        <is>
          <t>IDFC First Bank Ltd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65803</v>
      </c>
      <c r="I24" s="32" t="n">
        <v>78.33</v>
      </c>
      <c r="J24" s="32" t="n">
        <v>2.39</v>
      </c>
      <c r="K24" s="32" t="n">
        <v>28524089</v>
      </c>
      <c r="L24" s="31" t="n">
        <v>31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56.5</v>
      </c>
      <c r="P24" s="32" t="n">
        <v>27.07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2.32</v>
      </c>
      <c r="U24" s="32" t="n">
        <v>8.960000000000001</v>
      </c>
      <c r="V24" s="32" t="n">
        <v>6.49</v>
      </c>
      <c r="W24" s="32" t="n">
        <v>7.48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IF(B25=0,"",RANK(B25,$B$2:$B$60,0))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INDUSINDBK</t>
        </is>
      </c>
      <c r="D25" s="31" t="inlineStr">
        <is>
          <t>Indusind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71471.3</v>
      </c>
      <c r="I25" s="32" t="n">
        <v>933.2</v>
      </c>
      <c r="J25" s="32" t="n">
        <v>1.73</v>
      </c>
      <c r="K25" s="32" t="n">
        <v>3037001</v>
      </c>
      <c r="L25" s="31" t="n">
        <v>19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55.68</v>
      </c>
      <c r="P25" s="32" t="n">
        <v>13.82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2.32</v>
      </c>
      <c r="U25" s="32" t="n">
        <v>12.3</v>
      </c>
      <c r="V25" s="32" t="n">
        <v>9.76</v>
      </c>
      <c r="W25" s="32" t="n">
        <v>5.29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IF(B26=0,"",RANK(B26,$B$2:$B$60,0))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FEDERALBNK</t>
        </is>
      </c>
      <c r="D26" s="31" t="inlineStr">
        <is>
          <t>The Federal Bank  Limited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largecap</t>
        </is>
      </c>
      <c r="H26" s="32" t="n">
        <v>77797.39</v>
      </c>
      <c r="I26" s="32" t="n">
        <v>317.1</v>
      </c>
      <c r="J26" s="32" t="n">
        <v>0.44</v>
      </c>
      <c r="K26" s="32" t="n">
        <v>8390759</v>
      </c>
      <c r="L26" s="31" t="n">
        <v>56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67.78</v>
      </c>
      <c r="P26" s="32" t="n">
        <v>18.64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2.32</v>
      </c>
      <c r="U26" s="32" t="n">
        <v>54.71</v>
      </c>
      <c r="V26" s="32" t="n">
        <v>51.2</v>
      </c>
      <c r="W26" s="32" t="n">
        <v>14.08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IF(B27=0,"",RANK(B27,$B$2:$B$60,0))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CANFINHOME</t>
        </is>
      </c>
      <c r="D27" s="31" t="inlineStr">
        <is>
          <t>Can Fin Homes Limited</t>
        </is>
      </c>
      <c r="E27" s="31" t="inlineStr">
        <is>
          <t>financials</t>
        </is>
      </c>
      <c r="F27" s="31" t="inlineStr">
        <is>
          <t>finance - housing</t>
        </is>
      </c>
      <c r="G27" s="31" t="inlineStr">
        <is>
          <t>midcap</t>
        </is>
      </c>
      <c r="H27" s="32" t="n">
        <v>11481.88</v>
      </c>
      <c r="I27" s="32" t="n">
        <v>864.4</v>
      </c>
      <c r="J27" s="32" t="n">
        <v>0.24</v>
      </c>
      <c r="K27" s="32" t="n">
        <v>147272</v>
      </c>
      <c r="L27" s="31" t="n">
        <v>13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51.95</v>
      </c>
      <c r="P27" s="32" t="n">
        <v>15.65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2.32</v>
      </c>
      <c r="U27" s="32" t="n">
        <v>10.47</v>
      </c>
      <c r="V27" s="32" t="n">
        <v>7.97</v>
      </c>
      <c r="W27" s="32" t="n">
        <v>3.63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IF(B28=0,"",RANK(B28,$B$2:$B$60,0))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STEL</t>
        </is>
      </c>
      <c r="D28" s="31" t="inlineStr">
        <is>
          <t>Stel Holdings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1022.61</v>
      </c>
      <c r="I28" s="32" t="n">
        <v>616.6</v>
      </c>
      <c r="J28" s="32" t="n">
        <v>11.28</v>
      </c>
      <c r="K28" s="32" t="n">
        <v>83001</v>
      </c>
      <c r="L28" s="31" t="n">
        <v>42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62.71</v>
      </c>
      <c r="P28" s="32" t="n">
        <v>8.27</v>
      </c>
      <c r="Q28" s="32" t="inlineStr"/>
      <c r="R28" s="31" t="inlineStr">
        <is>
          <t>Volume Spike / Accumulation</t>
        </is>
      </c>
      <c r="S28" s="31" t="inlineStr">
        <is>
          <t>Nifty Bank</t>
        </is>
      </c>
      <c r="T28" s="32" t="n">
        <v>2.32</v>
      </c>
      <c r="U28" s="32" t="n">
        <v>31.32</v>
      </c>
      <c r="V28" s="32" t="n">
        <v>28.34</v>
      </c>
      <c r="W28" s="32" t="n">
        <v>10.09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IF(B29=0,"",RANK(B29,$B$2:$B$60,0))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CAPITALSFB</t>
        </is>
      </c>
      <c r="D29" s="33" t="inlineStr">
        <is>
          <t>Capital Small Finance Bank Ltd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smallcap</t>
        </is>
      </c>
      <c r="H29" s="32" t="n">
        <v>1279.45</v>
      </c>
      <c r="I29" s="32" t="n">
        <v>289.95</v>
      </c>
      <c r="J29" s="32" t="n">
        <v>2.93</v>
      </c>
      <c r="K29" s="32" t="n">
        <v>114980</v>
      </c>
      <c r="L29" s="31" t="n">
        <v>10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55.52</v>
      </c>
      <c r="P29" s="32" t="n">
        <v>26.77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2.32</v>
      </c>
      <c r="U29" s="32" t="n">
        <v>-5.89</v>
      </c>
      <c r="V29" s="32" t="n">
        <v>-8.02</v>
      </c>
      <c r="W29" s="32" t="n">
        <v>3.09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IF(B30=0,"",RANK(B30,$B$2:$B$60,0))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BFINVEST</t>
        </is>
      </c>
      <c r="D30" s="33" t="inlineStr">
        <is>
          <t>Bf Investment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1647.21</v>
      </c>
      <c r="I30" s="32" t="n">
        <v>445</v>
      </c>
      <c r="J30" s="32" t="n">
        <v>1.76</v>
      </c>
      <c r="K30" s="32" t="n">
        <v>41379</v>
      </c>
      <c r="L30" s="31" t="n">
        <v>8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55.54</v>
      </c>
      <c r="P30" s="32" t="n">
        <v>18.25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2.32</v>
      </c>
      <c r="U30" s="32" t="n">
        <v>-9.630000000000001</v>
      </c>
      <c r="V30" s="32" t="n">
        <v>-11.68</v>
      </c>
      <c r="W30" s="32" t="n">
        <v>2.34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IF(B31=0,"",RANK(B31,$B$2:$B$60,0))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LTF</t>
        </is>
      </c>
      <c r="D31" s="31" t="inlineStr">
        <is>
          <t>L&amp;T Finance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69108.53</v>
      </c>
      <c r="I31" s="32" t="n">
        <v>293.25</v>
      </c>
      <c r="J31" s="32" t="n">
        <v>6.27</v>
      </c>
      <c r="K31" s="32" t="n">
        <v>13734537</v>
      </c>
      <c r="L31" s="31" t="n">
        <v>48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51.01</v>
      </c>
      <c r="P31" s="32" t="n">
        <v>14.22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2.32</v>
      </c>
      <c r="U31" s="32" t="n">
        <v>50.14</v>
      </c>
      <c r="V31" s="32" t="n">
        <v>46.74</v>
      </c>
      <c r="W31" s="32" t="n">
        <v>11.5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IF(B32=0,"",RANK(B32,$B$2:$B$60,0))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IFCI</t>
        </is>
      </c>
      <c r="D32" s="31" t="inlineStr">
        <is>
          <t>Ifci Limited</t>
        </is>
      </c>
      <c r="E32" s="31" t="inlineStr">
        <is>
          <t>financials</t>
        </is>
      </c>
      <c r="F32" s="31" t="inlineStr">
        <is>
          <t>finance - term-lending institutions</t>
        </is>
      </c>
      <c r="G32" s="31" t="inlineStr">
        <is>
          <t>largecap</t>
        </is>
      </c>
      <c r="H32" s="32" t="n">
        <v>22785.82</v>
      </c>
      <c r="I32" s="32" t="n">
        <v>89.59999999999999</v>
      </c>
      <c r="J32" s="32" t="n">
        <v>5.95</v>
      </c>
      <c r="K32" s="32" t="n">
        <v>309826530</v>
      </c>
      <c r="L32" s="31" t="n">
        <v>69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72.79000000000001</v>
      </c>
      <c r="P32" s="32" t="n">
        <v>26.35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2.32</v>
      </c>
      <c r="U32" s="32" t="n">
        <v>37.36</v>
      </c>
      <c r="V32" s="32" t="n">
        <v>34.24</v>
      </c>
      <c r="W32" s="32" t="n">
        <v>18.21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IF(B33=0,"",RANK(B33,$B$2:$B$60,0))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SHRIRAMFIN</t>
        </is>
      </c>
      <c r="D33" s="31" t="inlineStr">
        <is>
          <t>Shriram Finance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224669.79</v>
      </c>
      <c r="I33" s="32" t="n">
        <v>1000.65</v>
      </c>
      <c r="J33" s="32" t="n">
        <v>4.79</v>
      </c>
      <c r="K33" s="32" t="n">
        <v>12251483</v>
      </c>
      <c r="L33" s="31" t="n">
        <v>32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52.25</v>
      </c>
      <c r="P33" s="32" t="n">
        <v>10.17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2.32</v>
      </c>
      <c r="U33" s="32" t="n">
        <v>44.66</v>
      </c>
      <c r="V33" s="32" t="n">
        <v>41.38</v>
      </c>
      <c r="W33" s="32" t="n">
        <v>7.75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IF(B34=0,"",RANK(B34,$B$2:$B$60,0))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NAM-INDIA</t>
        </is>
      </c>
      <c r="D34" s="31" t="inlineStr">
        <is>
          <t>Nippon Life India Asset Management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69497.21000000001</v>
      </c>
      <c r="I34" s="32" t="n">
        <v>1140.1</v>
      </c>
      <c r="J34" s="32" t="n">
        <v>4.68</v>
      </c>
      <c r="K34" s="32" t="n">
        <v>1550884</v>
      </c>
      <c r="L34" s="31" t="n">
        <v>61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64.63</v>
      </c>
      <c r="P34" s="32" t="n">
        <v>29.14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2.32</v>
      </c>
      <c r="U34" s="32" t="n">
        <v>51.49</v>
      </c>
      <c r="V34" s="32" t="n">
        <v>48.06</v>
      </c>
      <c r="W34" s="32" t="n">
        <v>15.86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IF(B35=0,"",RANK(B35,$B$2:$B$60,0))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NUVAMA</t>
        </is>
      </c>
      <c r="D35" s="31" t="inlineStr">
        <is>
          <t>Nuvama Wealth Management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28910.01</v>
      </c>
      <c r="I35" s="32" t="n">
        <v>1660.9</v>
      </c>
      <c r="J35" s="32" t="n">
        <v>4.58</v>
      </c>
      <c r="K35" s="32" t="n">
        <v>978451</v>
      </c>
      <c r="L35" s="31" t="n">
        <v>51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60.91</v>
      </c>
      <c r="P35" s="32" t="n">
        <v>28.19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2.32</v>
      </c>
      <c r="U35" s="32" t="n">
        <v>14.17</v>
      </c>
      <c r="V35" s="32" t="n">
        <v>11.58</v>
      </c>
      <c r="W35" s="32" t="n">
        <v>12.33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IF(B36=0,"",RANK(B36,$B$2:$B$60,0))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UJJIVANSFB</t>
        </is>
      </c>
      <c r="D36" s="31" t="inlineStr">
        <is>
          <t>Ujjivan Small Finance Bank Ltd</t>
        </is>
      </c>
      <c r="E36" s="31" t="inlineStr">
        <is>
          <t>bank</t>
        </is>
      </c>
      <c r="F36" s="31" t="inlineStr">
        <is>
          <t>banks - private sector</t>
        </is>
      </c>
      <c r="G36" s="31" t="inlineStr">
        <is>
          <t>midcap</t>
        </is>
      </c>
      <c r="H36" s="32" t="n">
        <v>10638.3</v>
      </c>
      <c r="I36" s="32" t="n">
        <v>56.95</v>
      </c>
      <c r="J36" s="32" t="n">
        <v>4</v>
      </c>
      <c r="K36" s="32" t="n">
        <v>11313700</v>
      </c>
      <c r="L36" s="31" t="n">
        <v>15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49.02</v>
      </c>
      <c r="P36" s="32" t="n">
        <v>15.08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2.32</v>
      </c>
      <c r="U36" s="32" t="n">
        <v>11.6</v>
      </c>
      <c r="V36" s="32" t="n">
        <v>9.07</v>
      </c>
      <c r="W36" s="32" t="n">
        <v>4.08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Below 45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IF(B37=0,"",RANK(B37,$B$2:$B$60,0))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ANGELONE</t>
        </is>
      </c>
      <c r="D37" s="31" t="inlineStr">
        <is>
          <t>Angel One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30923.67</v>
      </c>
      <c r="I37" s="32" t="n">
        <v>352.3</v>
      </c>
      <c r="J37" s="32" t="n">
        <v>3.77</v>
      </c>
      <c r="K37" s="32" t="n">
        <v>14953832</v>
      </c>
      <c r="L37" s="31" t="n">
        <v>70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64.84999999999999</v>
      </c>
      <c r="P37" s="32" t="n">
        <v>25.12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2.32</v>
      </c>
      <c r="U37" s="32" t="n">
        <v>17.95</v>
      </c>
      <c r="V37" s="32" t="n">
        <v>15.28</v>
      </c>
      <c r="W37" s="32" t="n">
        <v>18.76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IF(B38=0,"",RANK(B38,$B$2:$B$60,0))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PRUDENT</t>
        </is>
      </c>
      <c r="D38" s="31" t="inlineStr">
        <is>
          <t>Prudent Corporate Advisory Services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midcap</t>
        </is>
      </c>
      <c r="H38" s="32" t="n">
        <v>12045.62</v>
      </c>
      <c r="I38" s="32" t="n">
        <v>3003.7</v>
      </c>
      <c r="J38" s="32" t="n">
        <v>3.25</v>
      </c>
      <c r="K38" s="32" t="n">
        <v>43154</v>
      </c>
      <c r="L38" s="31" t="n">
        <v>31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61.84</v>
      </c>
      <c r="P38" s="32" t="n">
        <v>20.66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2.32</v>
      </c>
      <c r="U38" s="32" t="n">
        <v>2.41</v>
      </c>
      <c r="V38" s="32" t="n">
        <v>0.09</v>
      </c>
      <c r="W38" s="32" t="n">
        <v>7.65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IF(B39=0,"",RANK(B39,$B$2:$B$60,0))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ABCAPITAL</t>
        </is>
      </c>
      <c r="D39" s="31" t="inlineStr">
        <is>
          <t>Aditya Birla Capital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93808.09</v>
      </c>
      <c r="I39" s="32" t="n">
        <v>368.2</v>
      </c>
      <c r="J39" s="32" t="n">
        <v>2.82</v>
      </c>
      <c r="K39" s="32" t="n">
        <v>4180867</v>
      </c>
      <c r="L39" s="31" t="n">
        <v>51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59.22</v>
      </c>
      <c r="P39" s="32" t="n">
        <v>17.02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2.32</v>
      </c>
      <c r="U39" s="32" t="n">
        <v>48.98</v>
      </c>
      <c r="V39" s="32" t="n">
        <v>45.6</v>
      </c>
      <c r="W39" s="32" t="n">
        <v>12.38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IF(B40=0,"",RANK(B40,$B$2:$B$60,0))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CGCL</t>
        </is>
      </c>
      <c r="D40" s="31" t="inlineStr">
        <is>
          <t>Capri Global Capital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20058.99</v>
      </c>
      <c r="I40" s="32" t="n">
        <v>214.18</v>
      </c>
      <c r="J40" s="32" t="n">
        <v>2.73</v>
      </c>
      <c r="K40" s="32" t="n">
        <v>5764981</v>
      </c>
      <c r="L40" s="31" t="n">
        <v>37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65.56999999999999</v>
      </c>
      <c r="P40" s="32" t="n">
        <v>18.43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2.32</v>
      </c>
      <c r="U40" s="32" t="n">
        <v>21.96</v>
      </c>
      <c r="V40" s="32" t="n">
        <v>19.19</v>
      </c>
      <c r="W40" s="32" t="n">
        <v>9.06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IF(B41=0,"",RANK(B41,$B$2:$B$60,0))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BSE</t>
        </is>
      </c>
      <c r="D41" s="31" t="inlineStr">
        <is>
          <t>BSE (Bombay stock exchange) Ltd</t>
        </is>
      </c>
      <c r="E41" s="31" t="inlineStr">
        <is>
          <t>financials</t>
        </is>
      </c>
      <c r="F41" s="31" t="inlineStr">
        <is>
          <t>miscellaneous</t>
        </is>
      </c>
      <c r="G41" s="31" t="inlineStr">
        <is>
          <t>largecap</t>
        </is>
      </c>
      <c r="H41" s="32" t="n">
        <v>164830.03</v>
      </c>
      <c r="I41" s="32" t="n">
        <v>4126</v>
      </c>
      <c r="J41" s="32" t="n">
        <v>2.1</v>
      </c>
      <c r="K41" s="32" t="n">
        <v>4653050</v>
      </c>
      <c r="L41" s="31" t="n">
        <v>72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69.98</v>
      </c>
      <c r="P41" s="32" t="n">
        <v>33.06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2.32</v>
      </c>
      <c r="U41" s="32" t="n">
        <v>49.05</v>
      </c>
      <c r="V41" s="32" t="n">
        <v>45.67</v>
      </c>
      <c r="W41" s="32" t="n">
        <v>19.33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above 5x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20 to 40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IF(B42=0,"",RANK(B42,$B$2:$B$60,0))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TFCILTD</t>
        </is>
      </c>
      <c r="D42" s="31" t="inlineStr">
        <is>
          <t>Tourism Finance Corporation Of India Limited</t>
        </is>
      </c>
      <c r="E42" s="31" t="inlineStr">
        <is>
          <t>financials</t>
        </is>
      </c>
      <c r="F42" s="31" t="inlineStr">
        <is>
          <t>finance - term-lending institutions</t>
        </is>
      </c>
      <c r="G42" s="31" t="inlineStr">
        <is>
          <t>smallcap</t>
        </is>
      </c>
      <c r="H42" s="32" t="n">
        <v>3457.51</v>
      </c>
      <c r="I42" s="32" t="n">
        <v>76.16</v>
      </c>
      <c r="J42" s="32" t="n">
        <v>1.98</v>
      </c>
      <c r="K42" s="32" t="n">
        <v>4329103</v>
      </c>
      <c r="L42" s="31" t="n">
        <v>69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55.77</v>
      </c>
      <c r="P42" s="32" t="n">
        <v>25.57</v>
      </c>
      <c r="Q42" s="32" t="inlineStr"/>
      <c r="R42" s="31" t="inlineStr">
        <is>
          <t>Earnings / Momentum Support</t>
        </is>
      </c>
      <c r="S42" s="31" t="inlineStr">
        <is>
          <t>Nifty Bank</t>
        </is>
      </c>
      <c r="T42" s="32" t="n">
        <v>2.32</v>
      </c>
      <c r="U42" s="32" t="n">
        <v>73.55</v>
      </c>
      <c r="V42" s="32" t="n">
        <v>69.62</v>
      </c>
      <c r="W42" s="32" t="n">
        <v>18.53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between 2.5x to 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20 to 40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IF(B43=0,"",RANK(B43,$B$2:$B$60,0))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MONARCH</t>
        </is>
      </c>
      <c r="D43" s="31" t="inlineStr">
        <is>
          <t>Monarch Networth Capital Ltd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smallcap</t>
        </is>
      </c>
      <c r="H43" s="32" t="n">
        <v>2694.73</v>
      </c>
      <c r="I43" s="32" t="n">
        <v>338.3</v>
      </c>
      <c r="J43" s="32" t="n">
        <v>-0.49</v>
      </c>
      <c r="K43" s="32" t="n">
        <v>876419</v>
      </c>
      <c r="L43" s="31" t="n">
        <v>36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63.2</v>
      </c>
      <c r="P43" s="32" t="n">
        <v>19.02</v>
      </c>
      <c r="Q43" s="32" t="inlineStr"/>
      <c r="R43" s="31" t="inlineStr">
        <is>
          <t>Earnings / Momentum Support</t>
        </is>
      </c>
      <c r="S43" s="31" t="inlineStr">
        <is>
          <t>Nifty Bank</t>
        </is>
      </c>
      <c r="T43" s="32" t="n">
        <v>2.32</v>
      </c>
      <c r="U43" s="32" t="n">
        <v>7.67</v>
      </c>
      <c r="V43" s="32" t="n">
        <v>5.23</v>
      </c>
      <c r="W43" s="32" t="n">
        <v>8.85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between 2.5x to 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3</t>
        </is>
      </c>
      <c r="BQ43" s="31">
        <f>IF(BP43="Stage 2",20,IF(BP43="Stage 1",0,IF(BP43="Stage 3",5,IF(BP43="Stage 4",-5,0))))</f>
        <v/>
      </c>
      <c r="BR43" s="31" t="inlineStr">
        <is>
          <t>Negative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IF(B44=0,"",RANK(B44,$B$2:$B$60,0))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AIIL</t>
        </is>
      </c>
      <c r="D44" s="31" t="inlineStr">
        <is>
          <t>Authum Investment &amp; Infrastructure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largecap</t>
        </is>
      </c>
      <c r="H44" s="32" t="n">
        <v>45021.69</v>
      </c>
      <c r="I44" s="32" t="n">
        <v>558.7</v>
      </c>
      <c r="J44" s="32" t="n">
        <v>5.39</v>
      </c>
      <c r="K44" s="32" t="n">
        <v>8528310</v>
      </c>
      <c r="L44" s="31" t="n">
        <v>18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54.25</v>
      </c>
      <c r="P44" s="32" t="n">
        <v>10.61</v>
      </c>
      <c r="Q44" s="32" t="inlineStr"/>
      <c r="R44" s="31" t="inlineStr">
        <is>
          <t>Volume Spike / Accumulation</t>
        </is>
      </c>
      <c r="S44" s="31" t="inlineStr">
        <is>
          <t>Nifty Bank</t>
        </is>
      </c>
      <c r="T44" s="32" t="n">
        <v>2.32</v>
      </c>
      <c r="U44" s="32" t="n">
        <v>8.25</v>
      </c>
      <c r="V44" s="32" t="n">
        <v>5.79</v>
      </c>
      <c r="W44" s="32" t="n">
        <v>5.11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between 2.5x to 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3</t>
        </is>
      </c>
      <c r="BQ44" s="31">
        <f>IF(BP44="Stage 2",20,IF(BP44="Stage 1",0,IF(BP44="Stage 3",5,IF(BP44="Stage 4",-5,0))))</f>
        <v/>
      </c>
      <c r="BR44" s="31" t="inlineStr">
        <is>
          <t>Negative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IF(B45=0,"",RANK(B45,$B$2:$B$60,0))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SAMMAANCAP</t>
        </is>
      </c>
      <c r="D45" s="31" t="inlineStr">
        <is>
          <t>Sammaan Capital Ltd</t>
        </is>
      </c>
      <c r="E45" s="31" t="inlineStr">
        <is>
          <t>financials</t>
        </is>
      </c>
      <c r="F45" s="31" t="inlineStr">
        <is>
          <t>finance - housing</t>
        </is>
      </c>
      <c r="G45" s="31" t="inlineStr">
        <is>
          <t>largecap</t>
        </is>
      </c>
      <c r="H45" s="32" t="n">
        <v>20262.09</v>
      </c>
      <c r="I45" s="32" t="n">
        <v>180.75</v>
      </c>
      <c r="J45" s="32" t="n">
        <v>3.63</v>
      </c>
      <c r="K45" s="32" t="n">
        <v>12331468</v>
      </c>
      <c r="L45" s="31" t="n">
        <v>48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60.79</v>
      </c>
      <c r="P45" s="32" t="n">
        <v>19.79</v>
      </c>
      <c r="Q45" s="32" t="inlineStr"/>
      <c r="R45" s="31" t="inlineStr">
        <is>
          <t>Earnings / Momentum Support</t>
        </is>
      </c>
      <c r="S45" s="31" t="inlineStr">
        <is>
          <t>Nifty Bank</t>
        </is>
      </c>
      <c r="T45" s="32" t="n">
        <v>2.32</v>
      </c>
      <c r="U45" s="32" t="n">
        <v>36.36</v>
      </c>
      <c r="V45" s="32" t="n">
        <v>33.27</v>
      </c>
      <c r="W45" s="32" t="n">
        <v>11.79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3</t>
        </is>
      </c>
      <c r="BQ45" s="31">
        <f>IF(BP45="Stage 2",20,IF(BP45="Stage 1",0,IF(BP45="Stage 3",5,IF(BP45="Stage 4",-5,0))))</f>
        <v/>
      </c>
      <c r="BR45" s="31" t="inlineStr">
        <is>
          <t>Negative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IF(B46=0,"",RANK(B46,$B$2:$B$60,0))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DCBBANK</t>
        </is>
      </c>
      <c r="D46" s="31" t="inlineStr">
        <is>
          <t>Dcb Bank Limited</t>
        </is>
      </c>
      <c r="E46" s="31" t="inlineStr">
        <is>
          <t>bank</t>
        </is>
      </c>
      <c r="F46" s="31" t="inlineStr">
        <is>
          <t>banks - private sector</t>
        </is>
      </c>
      <c r="G46" s="31" t="inlineStr">
        <is>
          <t>midcap</t>
        </is>
      </c>
      <c r="H46" s="32" t="n">
        <v>5789.73</v>
      </c>
      <c r="I46" s="32" t="n">
        <v>184.61</v>
      </c>
      <c r="J46" s="32" t="n">
        <v>2.64</v>
      </c>
      <c r="K46" s="32" t="n">
        <v>1267664</v>
      </c>
      <c r="L46" s="31" t="n">
        <v>28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53.26</v>
      </c>
      <c r="P46" s="32" t="n">
        <v>19.27</v>
      </c>
      <c r="Q46" s="32" t="inlineStr"/>
      <c r="R46" s="31" t="inlineStr">
        <is>
          <t>Earnings / Momentum Support</t>
        </is>
      </c>
      <c r="S46" s="31" t="inlineStr">
        <is>
          <t>Nifty Bank</t>
        </is>
      </c>
      <c r="T46" s="32" t="n">
        <v>2.32</v>
      </c>
      <c r="U46" s="32" t="n">
        <v>25.24</v>
      </c>
      <c r="V46" s="32" t="n">
        <v>22.4</v>
      </c>
      <c r="W46" s="32" t="n">
        <v>6.91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3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IF(B47=0,"",RANK(B47,$B$2:$B$60,0))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AXISBANK</t>
        </is>
      </c>
      <c r="D47" s="31" t="inlineStr">
        <is>
          <t>Axis Bank Limited</t>
        </is>
      </c>
      <c r="E47" s="31" t="inlineStr">
        <is>
          <t>bank</t>
        </is>
      </c>
      <c r="F47" s="31" t="inlineStr">
        <is>
          <t>banks - private sector</t>
        </is>
      </c>
      <c r="G47" s="31" t="inlineStr">
        <is>
          <t>largecap</t>
        </is>
      </c>
      <c r="H47" s="32" t="n">
        <v>421561.45</v>
      </c>
      <c r="I47" s="32" t="n">
        <v>1368.3</v>
      </c>
      <c r="J47" s="32" t="n">
        <v>0.88</v>
      </c>
      <c r="K47" s="32" t="n">
        <v>7522828</v>
      </c>
      <c r="L47" s="31" t="n">
        <v>20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58.98</v>
      </c>
      <c r="P47" s="32" t="n">
        <v>9.289999999999999</v>
      </c>
      <c r="Q47" s="32" t="inlineStr"/>
      <c r="R47" s="31" t="inlineStr">
        <is>
          <t>Earnings / Momentum Support</t>
        </is>
      </c>
      <c r="S47" s="31" t="inlineStr">
        <is>
          <t>Nifty Bank</t>
        </is>
      </c>
      <c r="T47" s="32" t="n">
        <v>2.32</v>
      </c>
      <c r="U47" s="32" t="n">
        <v>12.58</v>
      </c>
      <c r="V47" s="32" t="n">
        <v>10.03</v>
      </c>
      <c r="W47" s="32" t="n">
        <v>5.55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3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IF(B48=0,"",RANK(B48,$B$2:$B$60,0))</f>
        <v/>
      </c>
      <c r="B48" s="32">
        <f>SUM(N48,Y48,AA48,AC48,AE48,AG48,AI48,AK48,AM48,AO48,AQ48,AS48,AU48,AW48,AY48,BA48,BC48,BE48,BG48,BI48,BK48,BM48,BO48,BQ48,BS48,BU48,BW48,BY48,CA48)</f>
        <v/>
      </c>
      <c r="C48" s="31" t="inlineStr">
        <is>
          <t>UNIONBANK</t>
        </is>
      </c>
      <c r="D48" s="31" t="inlineStr">
        <is>
          <t>Union Bank Of India Ltd</t>
        </is>
      </c>
      <c r="E48" s="31" t="inlineStr">
        <is>
          <t>bank</t>
        </is>
      </c>
      <c r="F48" s="31" t="inlineStr">
        <is>
          <t>banks - public sector</t>
        </is>
      </c>
      <c r="G48" s="31" t="inlineStr">
        <is>
          <t>largecap</t>
        </is>
      </c>
      <c r="H48" s="32" t="n">
        <v>129809.46</v>
      </c>
      <c r="I48" s="32" t="n">
        <v>171.3</v>
      </c>
      <c r="J48" s="32" t="n">
        <v>0.74</v>
      </c>
      <c r="K48" s="32" t="n">
        <v>8365210</v>
      </c>
      <c r="L48" s="31" t="n">
        <v>13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51.44</v>
      </c>
      <c r="P48" s="32" t="n">
        <v>18.05</v>
      </c>
      <c r="Q48" s="32" t="inlineStr"/>
      <c r="R48" s="31" t="inlineStr">
        <is>
          <t>Earnings / Momentum Support</t>
        </is>
      </c>
      <c r="S48" s="31" t="inlineStr">
        <is>
          <t>Nifty Bank</t>
        </is>
      </c>
      <c r="T48" s="32" t="n">
        <v>2.32</v>
      </c>
      <c r="U48" s="32" t="n">
        <v>20.22</v>
      </c>
      <c r="V48" s="32" t="n">
        <v>17.5</v>
      </c>
      <c r="W48" s="32" t="n">
        <v>3.63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3</t>
        </is>
      </c>
      <c r="BQ48" s="31">
        <f>IF(BP48="Stage 2",20,IF(BP48="Stage 1",0,IF(BP48="Stage 3",5,IF(BP48="Stage 4",-5,0))))</f>
        <v/>
      </c>
      <c r="BR48" s="31" t="inlineStr">
        <is>
          <t>Negative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IF(B49=0,"",RANK(B49,$B$2:$B$60,0))</f>
        <v/>
      </c>
      <c r="B49" s="32">
        <f>SUM(N49,Y49,AA49,AC49,AE49,AG49,AI49,AK49,AM49,AO49,AQ49,AS49,AU49,AW49,AY49,BA49,BC49,BE49,BG49,BI49,BK49,BM49,BO49,BQ49,BS49,BU49,BW49,BY49,CA49)</f>
        <v/>
      </c>
      <c r="C49" s="31" t="inlineStr">
        <is>
          <t>SOUTHBANK</t>
        </is>
      </c>
      <c r="D49" s="31" t="inlineStr">
        <is>
          <t>The South Indian Bank Limited</t>
        </is>
      </c>
      <c r="E49" s="31" t="inlineStr">
        <is>
          <t>bank</t>
        </is>
      </c>
      <c r="F49" s="31" t="inlineStr">
        <is>
          <t>banks - private sector</t>
        </is>
      </c>
      <c r="G49" s="31" t="inlineStr">
        <is>
          <t>midcap</t>
        </is>
      </c>
      <c r="H49" s="32" t="n">
        <v>12213.57</v>
      </c>
      <c r="I49" s="32" t="n">
        <v>46.92</v>
      </c>
      <c r="J49" s="32" t="n">
        <v>0.5600000000000001</v>
      </c>
      <c r="K49" s="32" t="n">
        <v>26102262</v>
      </c>
      <c r="L49" s="31" t="n">
        <v>59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67.83</v>
      </c>
      <c r="P49" s="32" t="n">
        <v>15.93</v>
      </c>
      <c r="Q49" s="32" t="inlineStr"/>
      <c r="R49" s="31" t="inlineStr">
        <is>
          <t>Earnings / Momentum Support</t>
        </is>
      </c>
      <c r="S49" s="31" t="inlineStr">
        <is>
          <t>Nifty Bank</t>
        </is>
      </c>
      <c r="T49" s="32" t="n">
        <v>2.32</v>
      </c>
      <c r="U49" s="32" t="n">
        <v>56.81</v>
      </c>
      <c r="V49" s="32" t="n">
        <v>53.26</v>
      </c>
      <c r="W49" s="32" t="n">
        <v>15.2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less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3</t>
        </is>
      </c>
      <c r="BQ49" s="31">
        <f>IF(BP49="Stage 2",20,IF(BP49="Stage 1",0,IF(BP49="Stage 3",5,IF(BP49="Stage 4",-5,0))))</f>
        <v/>
      </c>
      <c r="BR49" s="31" t="inlineStr">
        <is>
          <t>Negative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IF(B50=0,"",RANK(B50,$B$2:$B$60,0))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BANKBARODA</t>
        </is>
      </c>
      <c r="D50" s="31" t="inlineStr">
        <is>
          <t>Bank Of Baroda Ltd</t>
        </is>
      </c>
      <c r="E50" s="31" t="inlineStr">
        <is>
          <t>bank</t>
        </is>
      </c>
      <c r="F50" s="31" t="inlineStr">
        <is>
          <t>banks - public sector</t>
        </is>
      </c>
      <c r="G50" s="31" t="inlineStr">
        <is>
          <t>largecap</t>
        </is>
      </c>
      <c r="H50" s="32" t="n">
        <v>142083.18</v>
      </c>
      <c r="I50" s="32" t="n">
        <v>276.05</v>
      </c>
      <c r="J50" s="32" t="n">
        <v>0.47</v>
      </c>
      <c r="K50" s="32" t="n">
        <v>9344475</v>
      </c>
      <c r="L50" s="31" t="n">
        <v>14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53.94</v>
      </c>
      <c r="P50" s="32" t="n">
        <v>8.34</v>
      </c>
      <c r="Q50" s="32" t="inlineStr"/>
      <c r="R50" s="31" t="inlineStr">
        <is>
          <t>Earnings / Momentum Support</t>
        </is>
      </c>
      <c r="S50" s="31" t="inlineStr">
        <is>
          <t>Nifty Bank</t>
        </is>
      </c>
      <c r="T50" s="32" t="n">
        <v>2.32</v>
      </c>
      <c r="U50" s="32" t="n">
        <v>18.57</v>
      </c>
      <c r="V50" s="32" t="n">
        <v>15.88</v>
      </c>
      <c r="W50" s="32" t="n">
        <v>3.94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less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3</t>
        </is>
      </c>
      <c r="BQ50" s="31">
        <f>IF(BP50="Stage 2",20,IF(BP50="Stage 1",0,IF(BP50="Stage 3",5,IF(BP50="Stage 4",-5,0))))</f>
        <v/>
      </c>
      <c r="BR50" s="31" t="inlineStr">
        <is>
          <t>Negative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IF(B51=0,"",RANK(B51,$B$2:$B$60,0))</f>
        <v/>
      </c>
      <c r="B51" s="32">
        <f>SUM(N51,Y51,AA51,AC51,AE51,AG51,AI51,AK51,AM51,AO51,AQ51,AS51,AU51,AW51,AY51,BA51,BC51,BE51,BG51,BI51,BK51,BM51,BO51,BQ51,BS51,BU51,BW51,BY51,CA51)</f>
        <v/>
      </c>
      <c r="C51" s="31" t="inlineStr">
        <is>
          <t>SBIN</t>
        </is>
      </c>
      <c r="D51" s="31" t="inlineStr">
        <is>
          <t>State Bank Of India Ltd</t>
        </is>
      </c>
      <c r="E51" s="31" t="inlineStr">
        <is>
          <t>bank</t>
        </is>
      </c>
      <c r="F51" s="31" t="inlineStr">
        <is>
          <t>banks - public sector</t>
        </is>
      </c>
      <c r="G51" s="31" t="inlineStr">
        <is>
          <t>largecap</t>
        </is>
      </c>
      <c r="H51" s="32" t="n">
        <v>938892.27</v>
      </c>
      <c r="I51" s="32" t="n">
        <v>1020.85</v>
      </c>
      <c r="J51" s="32" t="n">
        <v>0.36</v>
      </c>
      <c r="K51" s="32" t="n">
        <v>12463437</v>
      </c>
      <c r="L51" s="31" t="n">
        <v>20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52.43</v>
      </c>
      <c r="P51" s="32" t="n">
        <v>9.83</v>
      </c>
      <c r="Q51" s="32" t="inlineStr"/>
      <c r="R51" s="31" t="inlineStr">
        <is>
          <t>Earnings / Momentum Support</t>
        </is>
      </c>
      <c r="S51" s="31" t="inlineStr">
        <is>
          <t>Nifty Bank</t>
        </is>
      </c>
      <c r="T51" s="32" t="n">
        <v>2.32</v>
      </c>
      <c r="U51" s="32" t="n">
        <v>30.69</v>
      </c>
      <c r="V51" s="32" t="n">
        <v>27.72</v>
      </c>
      <c r="W51" s="32" t="n">
        <v>5.48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3</t>
        </is>
      </c>
      <c r="BQ51" s="31">
        <f>IF(BP51="Stage 2",20,IF(BP51="Stage 1",0,IF(BP51="Stage 3",5,IF(BP51="Stage 4",-5,0))))</f>
        <v/>
      </c>
      <c r="BR51" s="31" t="inlineStr">
        <is>
          <t>Negative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IF(B52=0,"",RANK(B52,$B$2:$B$60,0))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AADHARHFC</t>
        </is>
      </c>
      <c r="D52" s="31" t="inlineStr">
        <is>
          <t>Aadhar Housing Finance Ltd</t>
        </is>
      </c>
      <c r="E52" s="31" t="inlineStr">
        <is>
          <t>financials</t>
        </is>
      </c>
      <c r="F52" s="31" t="inlineStr">
        <is>
          <t>finance - housing</t>
        </is>
      </c>
      <c r="G52" s="31" t="inlineStr">
        <is>
          <t>largecap</t>
        </is>
      </c>
      <c r="H52" s="32" t="n">
        <v>20637.11</v>
      </c>
      <c r="I52" s="32" t="n">
        <v>488.95</v>
      </c>
      <c r="J52" s="32" t="n">
        <v>3.23</v>
      </c>
      <c r="K52" s="32" t="n">
        <v>664826</v>
      </c>
      <c r="L52" s="31" t="n">
        <v>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49.22</v>
      </c>
      <c r="P52" s="32" t="n">
        <v>18.66</v>
      </c>
      <c r="Q52" s="32" t="inlineStr"/>
      <c r="R52" s="31" t="inlineStr">
        <is>
          <t>Earnings / Momentum Support</t>
        </is>
      </c>
      <c r="S52" s="31" t="inlineStr">
        <is>
          <t>Nifty Bank</t>
        </is>
      </c>
      <c r="T52" s="32" t="n">
        <v>2.32</v>
      </c>
      <c r="U52" s="32" t="n">
        <v>8.19</v>
      </c>
      <c r="V52" s="32" t="n">
        <v>5.74</v>
      </c>
      <c r="W52" s="32" t="n">
        <v>2.46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between 2.5x to 5x and Growth more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Below 45</t>
        </is>
      </c>
      <c r="BO52" s="31">
        <f>IF(BN52="Between 50 to 75",10,IF(BN52="Above 75",0,0))</f>
        <v/>
      </c>
      <c r="BP52" s="31" t="inlineStr">
        <is>
          <t>Stage 3</t>
        </is>
      </c>
      <c r="BQ52" s="31">
        <f>IF(BP52="Stage 2",20,IF(BP52="Stage 1",0,IF(BP52="Stage 3",5,IF(BP52="Stage 4",-5,0))))</f>
        <v/>
      </c>
      <c r="BR52" s="31" t="inlineStr">
        <is>
          <t>Negative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IF(B53=0,"",RANK(B53,$B$2:$B$60,0))</f>
        <v/>
      </c>
      <c r="B53" s="32">
        <f>SUM(N53,Y53,AA53,AC53,AE53,AG53,AI53,AK53,AM53,AO53,AQ53,AS53,AU53,AW53,AY53,BA53,BC53,BE53,BG53,BI53,BK53,BM53,BO53,BQ53,BS53,BU53,BW53,BY53,CA53)</f>
        <v/>
      </c>
      <c r="C53" s="33" t="inlineStr">
        <is>
          <t>GEOJITFSL</t>
        </is>
      </c>
      <c r="D53" s="33" t="inlineStr">
        <is>
          <t>Geojit Financial Services Ltd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smallcap</t>
        </is>
      </c>
      <c r="H53" s="32" t="n">
        <v>2093.97</v>
      </c>
      <c r="I53" s="32" t="n">
        <v>76.48999999999999</v>
      </c>
      <c r="J53" s="32" t="n">
        <v>1.96</v>
      </c>
      <c r="K53" s="32" t="n">
        <v>549609</v>
      </c>
      <c r="L53" s="31" t="n">
        <v>19</v>
      </c>
      <c r="M53" s="31" t="inlineStr">
        <is>
          <t>Underperforming</t>
        </is>
      </c>
      <c r="N53" s="32">
        <f>IF(M53="Underperforming",-5,IF(L53&gt;=95,15,IF(L53&gt;=90,10,IF(L53&gt;=80,5,0))))</f>
        <v/>
      </c>
      <c r="O53" s="32" t="n">
        <v>57.42</v>
      </c>
      <c r="P53" s="32" t="n">
        <v>16.14</v>
      </c>
      <c r="Q53" s="32" t="inlineStr"/>
      <c r="R53" s="31" t="inlineStr">
        <is>
          <t>Earnings / Momentum Support</t>
        </is>
      </c>
      <c r="S53" s="31" t="inlineStr">
        <is>
          <t>Nifty Bank</t>
        </is>
      </c>
      <c r="T53" s="32" t="n">
        <v>2.32</v>
      </c>
      <c r="U53" s="32" t="n">
        <v>-6.34</v>
      </c>
      <c r="V53" s="32" t="n">
        <v>-8.460000000000001</v>
      </c>
      <c r="W53" s="32" t="n">
        <v>5.21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less than 2.5x and Growth less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3</t>
        </is>
      </c>
      <c r="BQ53" s="31">
        <f>IF(BP53="Stage 2",20,IF(BP53="Stage 1",0,IF(BP53="Stage 3",5,IF(BP53="Stage 4",-5,0))))</f>
        <v/>
      </c>
      <c r="BR53" s="31" t="inlineStr">
        <is>
          <t>Negative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IF(B54=0,"",RANK(B54,$B$2:$B$60,0))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CREST</t>
        </is>
      </c>
      <c r="D54" s="33" t="inlineStr">
        <is>
          <t>Crest Ventures Limited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smallcap</t>
        </is>
      </c>
      <c r="H54" s="32" t="n">
        <v>1077.82</v>
      </c>
      <c r="I54" s="32" t="n">
        <v>382.9</v>
      </c>
      <c r="J54" s="32" t="n">
        <v>1.07</v>
      </c>
      <c r="K54" s="32" t="n">
        <v>7445</v>
      </c>
      <c r="L54" s="31" t="n">
        <v>11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54.76</v>
      </c>
      <c r="P54" s="32" t="n">
        <v>14.5</v>
      </c>
      <c r="Q54" s="32" t="inlineStr"/>
      <c r="R54" s="31" t="inlineStr">
        <is>
          <t>Earnings / Momentum Support</t>
        </is>
      </c>
      <c r="S54" s="31" t="inlineStr">
        <is>
          <t>Nifty Bank</t>
        </is>
      </c>
      <c r="T54" s="32" t="n">
        <v>2.32</v>
      </c>
      <c r="U54" s="32" t="n">
        <v>-4.98</v>
      </c>
      <c r="V54" s="32" t="n">
        <v>-7.13</v>
      </c>
      <c r="W54" s="32" t="n">
        <v>3.43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less than 2.5x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3</t>
        </is>
      </c>
      <c r="BQ54" s="31">
        <f>IF(BP54="Stage 2",20,IF(BP54="Stage 1",0,IF(BP54="Stage 3",5,IF(BP54="Stage 4",-5,0))))</f>
        <v/>
      </c>
      <c r="BR54" s="31" t="inlineStr">
        <is>
          <t>Negative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IF(B55=0,"",RANK(B55,$B$2:$B$60,0))</f>
        <v/>
      </c>
      <c r="B55" s="32">
        <f>SUM(N55,Y55,AA55,AC55,AE55,AG55,AI55,AK55,AM55,AO55,AQ55,AS55,AU55,AW55,AY55,BA55,BC55,BE55,BG55,BI55,BK55,BM55,BO55,BQ55,BS55,BU55,BW55,BY55,CA55)</f>
        <v/>
      </c>
      <c r="C55" s="33" t="inlineStr">
        <is>
          <t>KOTAKBANK</t>
        </is>
      </c>
      <c r="D55" s="33" t="inlineStr">
        <is>
          <t>Kotak Mahindra Bank Limited</t>
        </is>
      </c>
      <c r="E55" s="31" t="inlineStr">
        <is>
          <t>bank</t>
        </is>
      </c>
      <c r="F55" s="31" t="inlineStr">
        <is>
          <t>banks - private sector</t>
        </is>
      </c>
      <c r="G55" s="31" t="inlineStr">
        <is>
          <t>largecap</t>
        </is>
      </c>
      <c r="H55" s="32" t="n">
        <v>80220.35000000001</v>
      </c>
      <c r="I55" s="32" t="n">
        <v>405.75</v>
      </c>
      <c r="J55" s="32" t="n">
        <v>0.61</v>
      </c>
      <c r="K55" s="32" t="n">
        <v>14269679</v>
      </c>
      <c r="L55" s="31" t="n">
        <v>5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54.1</v>
      </c>
      <c r="P55" s="32" t="n">
        <v>18.11</v>
      </c>
      <c r="Q55" s="32" t="inlineStr"/>
      <c r="R55" s="31" t="inlineStr">
        <is>
          <t>Earnings / Momentum Support</t>
        </is>
      </c>
      <c r="S55" s="31" t="inlineStr">
        <is>
          <t>Nifty Bank</t>
        </is>
      </c>
      <c r="T55" s="32" t="n">
        <v>2.32</v>
      </c>
      <c r="U55" s="32" t="n">
        <v>-4.2</v>
      </c>
      <c r="V55" s="32" t="n">
        <v>-6.37</v>
      </c>
      <c r="W55" s="32" t="n">
        <v>1.64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less than 2.5x and Growth less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3</t>
        </is>
      </c>
      <c r="BQ55" s="31">
        <f>IF(BP55="Stage 2",20,IF(BP55="Stage 1",0,IF(BP55="Stage 3",5,IF(BP55="Stage 4",-5,0))))</f>
        <v/>
      </c>
      <c r="BR55" s="31" t="inlineStr">
        <is>
          <t>Negative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IF(B56=0,"",RANK(B56,$B$2:$B$60,0))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MUFIN</t>
        </is>
      </c>
      <c r="D56" s="31" t="inlineStr">
        <is>
          <t>Mufin Green Finance Ltd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smallcap</t>
        </is>
      </c>
      <c r="H56" s="32" t="n">
        <v>2426.69</v>
      </c>
      <c r="I56" s="32" t="n">
        <v>123.41</v>
      </c>
      <c r="J56" s="32" t="n">
        <v>0.78</v>
      </c>
      <c r="K56" s="32" t="n">
        <v>544168</v>
      </c>
      <c r="L56" s="31" t="n">
        <v>58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61.65</v>
      </c>
      <c r="P56" s="32" t="n">
        <v>18.14</v>
      </c>
      <c r="Q56" s="32" t="inlineStr"/>
      <c r="R56" s="31" t="inlineStr">
        <is>
          <t>Earnings / Momentum Support</t>
        </is>
      </c>
      <c r="S56" s="31" t="inlineStr">
        <is>
          <t>Nifty Bank</t>
        </is>
      </c>
      <c r="T56" s="32" t="n">
        <v>2.32</v>
      </c>
      <c r="U56" s="32" t="n">
        <v>63.15</v>
      </c>
      <c r="V56" s="32" t="n">
        <v>59.45</v>
      </c>
      <c r="W56" s="32" t="n">
        <v>15.12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above 5x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3</t>
        </is>
      </c>
      <c r="BQ56" s="31">
        <f>IF(BP56="Stage 2",20,IF(BP56="Stage 1",0,IF(BP56="Stage 3",5,IF(BP56="Stage 4",-5,0))))</f>
        <v/>
      </c>
      <c r="BR56" s="31" t="inlineStr">
        <is>
          <t>Negative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IF(B57=0,"",RANK(B57,$B$2:$B$60,0))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RELIGARE</t>
        </is>
      </c>
      <c r="D57" s="31" t="inlineStr">
        <is>
          <t>Religare Enterprises Limited</t>
        </is>
      </c>
      <c r="E57" s="31" t="inlineStr">
        <is>
          <t>financials</t>
        </is>
      </c>
      <c r="F57" s="31" t="inlineStr">
        <is>
          <t>finance &amp; investments</t>
        </is>
      </c>
      <c r="G57" s="31" t="inlineStr">
        <is>
          <t>midcap</t>
        </is>
      </c>
      <c r="H57" s="32" t="n">
        <v>7983.38</v>
      </c>
      <c r="I57" s="32" t="n">
        <v>240.69</v>
      </c>
      <c r="J57" s="32" t="n">
        <v>0.36</v>
      </c>
      <c r="K57" s="32" t="n">
        <v>1825958</v>
      </c>
      <c r="L57" s="31" t="n">
        <v>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54.87</v>
      </c>
      <c r="P57" s="32" t="n">
        <v>8.33</v>
      </c>
      <c r="Q57" s="32" t="inlineStr"/>
      <c r="R57" s="31" t="inlineStr">
        <is>
          <t>Earnings / Momentum Support</t>
        </is>
      </c>
      <c r="S57" s="31" t="inlineStr">
        <is>
          <t>Nifty Bank</t>
        </is>
      </c>
      <c r="T57" s="32" t="n">
        <v>2.32</v>
      </c>
      <c r="U57" s="32" t="n">
        <v>2.69</v>
      </c>
      <c r="V57" s="32" t="n">
        <v>0.37</v>
      </c>
      <c r="W57" s="32" t="n">
        <v>2.64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less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3</t>
        </is>
      </c>
      <c r="BQ57" s="31">
        <f>IF(BP57="Stage 2",20,IF(BP57="Stage 1",0,IF(BP57="Stage 3",5,IF(BP57="Stage 4",-5,0))))</f>
        <v/>
      </c>
      <c r="BR57" s="31" t="inlineStr">
        <is>
          <t>Negative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IF(B58=0,"",RANK(B58,$B$2:$B$60,0))</f>
        <v/>
      </c>
      <c r="B58" s="32">
        <f>SUM(N58,Y58,AA58,AC58,AE58,AG58,AI58,AK58,AM58,AO58,AQ58,AS58,AU58,AW58,AY58,BA58,BC58,BE58,BG58,BI58,BK58,BM58,BO58,BQ58,BS58,BU58,BW58,BY58,CA58)</f>
        <v/>
      </c>
      <c r="C58" s="33" t="inlineStr">
        <is>
          <t>360ONE</t>
        </is>
      </c>
      <c r="D58" s="33" t="inlineStr">
        <is>
          <t>360 ONE WAM Ltd</t>
        </is>
      </c>
      <c r="E58" s="31" t="inlineStr">
        <is>
          <t>financials</t>
        </is>
      </c>
      <c r="F58" s="31" t="inlineStr">
        <is>
          <t>finance &amp; investments</t>
        </is>
      </c>
      <c r="G58" s="31" t="inlineStr">
        <is>
          <t>largecap</t>
        </is>
      </c>
      <c r="H58" s="32" t="n">
        <v>44545.26</v>
      </c>
      <c r="I58" s="32" t="n">
        <v>1130.8</v>
      </c>
      <c r="J58" s="32" t="n">
        <v>3.1</v>
      </c>
      <c r="K58" s="32" t="n">
        <v>2132710</v>
      </c>
      <c r="L58" s="31" t="n">
        <v>4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52.02</v>
      </c>
      <c r="P58" s="32" t="n">
        <v>13.27</v>
      </c>
      <c r="Q58" s="32" t="inlineStr"/>
      <c r="R58" s="31" t="inlineStr">
        <is>
          <t>Earnings / Momentum Support</t>
        </is>
      </c>
      <c r="S58" s="31" t="inlineStr">
        <is>
          <t>Nifty Bank</t>
        </is>
      </c>
      <c r="T58" s="32" t="n">
        <v>2.32</v>
      </c>
      <c r="U58" s="32" t="n">
        <v>-2.78</v>
      </c>
      <c r="V58" s="32" t="n">
        <v>-4.98</v>
      </c>
      <c r="W58" s="32" t="n">
        <v>1.16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No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between 2.5x to 5x and Growth less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3</t>
        </is>
      </c>
      <c r="BQ58" s="31">
        <f>IF(BP58="Stage 2",20,IF(BP58="Stage 1",0,IF(BP58="Stage 3",5,IF(BP58="Stage 4",-5,0))))</f>
        <v/>
      </c>
      <c r="BR58" s="31" t="inlineStr">
        <is>
          <t>Negative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IF(B59=0,"",RANK(B59,$B$2:$B$60,0))</f>
        <v/>
      </c>
      <c r="B59" s="32">
        <f>SUM(N59,Y59,AA59,AC59,AE59,AG59,AI59,AK59,AM59,AO59,AQ59,AS59,AU59,AW59,AY59,BA59,BC59,BE59,BG59,BI59,BK59,BM59,BO59,BQ59,BS59,BU59,BW59,BY59,CA59)</f>
        <v/>
      </c>
      <c r="C59" s="33" t="inlineStr">
        <is>
          <t>CHOLAFIN</t>
        </is>
      </c>
      <c r="D59" s="33" t="inlineStr">
        <is>
          <t>Cholamandalam Investment And Finance Company Limited</t>
        </is>
      </c>
      <c r="E59" s="31" t="inlineStr">
        <is>
          <t>financials</t>
        </is>
      </c>
      <c r="F59" s="31" t="inlineStr">
        <is>
          <t>finance &amp; investments</t>
        </is>
      </c>
      <c r="G59" s="31" t="inlineStr">
        <is>
          <t>largecap</t>
        </is>
      </c>
      <c r="H59" s="32" t="n">
        <v>133607.95</v>
      </c>
      <c r="I59" s="32" t="n">
        <v>1653.6</v>
      </c>
      <c r="J59" s="32" t="n">
        <v>5.45</v>
      </c>
      <c r="K59" s="32" t="n">
        <v>4372229</v>
      </c>
      <c r="L59" s="31" t="n">
        <v>5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49.34</v>
      </c>
      <c r="P59" s="32" t="n">
        <v>10.43</v>
      </c>
      <c r="Q59" s="32" t="inlineStr"/>
      <c r="R59" s="31" t="inlineStr">
        <is>
          <t>Earnings / Momentum Support</t>
        </is>
      </c>
      <c r="S59" s="31" t="inlineStr">
        <is>
          <t>Nifty Bank</t>
        </is>
      </c>
      <c r="T59" s="32" t="n">
        <v>2.32</v>
      </c>
      <c r="U59" s="32" t="n">
        <v>1.04</v>
      </c>
      <c r="V59" s="32" t="n">
        <v>-1.25</v>
      </c>
      <c r="W59" s="32" t="n">
        <v>1.32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No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between 2.5x to 5x and Growth more than 20%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Below 45</t>
        </is>
      </c>
      <c r="BO59" s="31">
        <f>IF(BN59="Between 50 to 75",10,IF(BN59="Above 75",0,0))</f>
        <v/>
      </c>
      <c r="BP59" s="31" t="inlineStr">
        <is>
          <t>Stage 4</t>
        </is>
      </c>
      <c r="BQ59" s="31">
        <f>IF(BP59="Stage 2",20,IF(BP59="Stage 1",0,IF(BP59="Stage 3",5,IF(BP59="Stage 4",-5,0))))</f>
        <v/>
      </c>
      <c r="BR59" s="31" t="inlineStr">
        <is>
          <t>Negative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Close to 52 week high or retracement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IF(B60=0,"",RANK(B60,$B$2:$B$60,0))</f>
        <v/>
      </c>
      <c r="B60" s="32">
        <f>SUM(N60,Y60,AA60,AC60,AE60,AG60,AI60,AK60,AM60,AO60,AQ60,AS60,AU60,AW60,AY60,BA60,BC60,BE60,BG60,BI60,BK60,BM60,BO60,BQ60,BS60,BU60,BW60,BY60,CA60)</f>
        <v/>
      </c>
      <c r="C60" s="33" t="inlineStr">
        <is>
          <t>BAJFINANCE</t>
        </is>
      </c>
      <c r="D60" s="33" t="inlineStr">
        <is>
          <t>Bajaj Finance Limited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largecap</t>
        </is>
      </c>
      <c r="H60" s="32" t="n">
        <v>571410.51</v>
      </c>
      <c r="I60" s="32" t="n">
        <v>942.3</v>
      </c>
      <c r="J60" s="32" t="n">
        <v>2.61</v>
      </c>
      <c r="K60" s="32" t="n">
        <v>11989428</v>
      </c>
      <c r="L60" s="31" t="n">
        <v>5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48.48</v>
      </c>
      <c r="P60" s="32" t="n">
        <v>14.14</v>
      </c>
      <c r="Q60" s="32" t="inlineStr"/>
      <c r="R60" s="31" t="inlineStr">
        <is>
          <t>Earnings / Momentum Support</t>
        </is>
      </c>
      <c r="S60" s="31" t="inlineStr">
        <is>
          <t>Nifty Bank</t>
        </is>
      </c>
      <c r="T60" s="32" t="n">
        <v>2.32</v>
      </c>
      <c r="U60" s="32" t="n">
        <v>-1.59</v>
      </c>
      <c r="V60" s="32" t="n">
        <v>-3.82</v>
      </c>
      <c r="W60" s="32" t="n">
        <v>1.55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No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above 5x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Below 45</t>
        </is>
      </c>
      <c r="BO60" s="31">
        <f>IF(BN60="Between 50 to 75",10,IF(BN60="Above 75",0,0))</f>
        <v/>
      </c>
      <c r="BP60" s="31" t="inlineStr">
        <is>
          <t>Stage 4</t>
        </is>
      </c>
      <c r="BQ60" s="31">
        <f>IF(BP60="Stage 2",20,IF(BP60="Stage 1",0,IF(BP60="Stage 3",5,IF(BP60="Stage 4",-5,0))))</f>
        <v/>
      </c>
      <c r="BR60" s="31" t="inlineStr">
        <is>
          <t>Negative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</sheetData>
  <autoFilter ref="A1:CA60"/>
  <conditionalFormatting sqref="B2:B6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0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0">
    <cfRule type="cellIs" priority="34" operator="equal" dxfId="3" stopIfTrue="1">
      <formula>"Underperforming"</formula>
    </cfRule>
  </conditionalFormatting>
  <conditionalFormatting sqref="N2:N60">
    <cfRule type="cellIs" priority="35" operator="equal" dxfId="3" stopIfTrue="1">
      <formula>-5</formula>
    </cfRule>
  </conditionalFormatting>
  <conditionalFormatting sqref="Q2:Q60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0" showDropDown="0" showInputMessage="0" showErrorMessage="0" allowBlank="1" type="list">
      <formula1>"Growing Industry,Stagnant Industry,Cyclical in an Upturn"</formula1>
    </dataValidation>
    <dataValidation sqref="Z2:Z60" showDropDown="0" showInputMessage="0" showErrorMessage="0" allowBlank="1" type="list">
      <formula1>"Fragmented with Low ROE,Fragmented with High ROE,Highly Cyclical"</formula1>
    </dataValidation>
    <dataValidation sqref="AB2:AB60" showDropDown="0" showInputMessage="0" showErrorMessage="0" allowBlank="1" type="list">
      <formula1>"Yes,No"</formula1>
    </dataValidation>
    <dataValidation sqref="AD2:AD60" showDropDown="0" showInputMessage="0" showErrorMessage="0" allowBlank="1" type="list">
      <formula1>"Tailwind,Headwind"</formula1>
    </dataValidation>
    <dataValidation sqref="AF2:AF6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0" showDropDown="0" showInputMessage="0" showErrorMessage="0" allowBlank="1" type="list">
      <formula1>"Yes,No"</formula1>
    </dataValidation>
    <dataValidation sqref="AJ2:AJ60" showDropDown="0" showInputMessage="0" showErrorMessage="0" allowBlank="1" type="list">
      <formula1>"Yes,No,Not Applicable"</formula1>
    </dataValidation>
    <dataValidation sqref="AL2:AL60" showDropDown="0" showInputMessage="0" showErrorMessage="0" allowBlank="1" type="list">
      <formula1>"Yes,No"</formula1>
    </dataValidation>
    <dataValidation sqref="AN2:AN60" showDropDown="0" showInputMessage="0" showErrorMessage="0" allowBlank="1" type="list">
      <formula1>"Yes,No"</formula1>
    </dataValidation>
    <dataValidation sqref="AP2:AP60" showDropDown="0" showInputMessage="0" showErrorMessage="0" allowBlank="1" type="list">
      <formula1>"Yes,No"</formula1>
    </dataValidation>
    <dataValidation sqref="AR2:AR60" showDropDown="0" showInputMessage="0" showErrorMessage="0" allowBlank="1" type="list">
      <formula1>"Yes,No"</formula1>
    </dataValidation>
    <dataValidation sqref="AT2:AT60" showDropDown="0" showInputMessage="0" showErrorMessage="0" allowBlank="1" type="list">
      <formula1>"No,Yes"</formula1>
    </dataValidation>
    <dataValidation sqref="AV2:AV60" showDropDown="0" showInputMessage="0" showErrorMessage="0" allowBlank="1" type="list">
      <formula1>"No,Yes"</formula1>
    </dataValidation>
    <dataValidation sqref="AX2:AX60" showDropDown="0" showInputMessage="0" showErrorMessage="0" allowBlank="1" type="list">
      <formula1>"No,Yes CEO Resignation,Yes CEO Retirement"</formula1>
    </dataValidation>
    <dataValidation sqref="AZ2:AZ60" showDropDown="0" showInputMessage="0" showErrorMessage="0" allowBlank="1" type="list">
      <formula1>"No,Yes"</formula1>
    </dataValidation>
    <dataValidation sqref="BB2:BB60" showDropDown="0" showInputMessage="0" showErrorMessage="0" allowBlank="1" type="list">
      <formula1>"No,Yes"</formula1>
    </dataValidation>
    <dataValidation sqref="BD2:BD60" showDropDown="0" showInputMessage="0" showErrorMessage="0" allowBlank="1" type="list">
      <formula1>"Yes,No"</formula1>
    </dataValidation>
    <dataValidation sqref="BF2:BF60" showDropDown="0" showInputMessage="0" showErrorMessage="0" allowBlank="1" type="list">
      <formula1>"Yes,No"</formula1>
    </dataValidation>
    <dataValidation sqref="BH2:BH60" showDropDown="0" showInputMessage="0" showErrorMessage="0" allowBlank="1" type="list">
      <formula1>"Yes,No"</formula1>
    </dataValidation>
    <dataValidation sqref="BJ2:BJ6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0" showDropDown="0" showInputMessage="0" showErrorMessage="0" allowBlank="1" type="list">
      <formula1>"Above 40,20 to 40,0 to 20"</formula1>
    </dataValidation>
    <dataValidation sqref="BN2:BN60" showDropDown="0" showInputMessage="0" showErrorMessage="0" allowBlank="1" type="list">
      <formula1>"Between 50 to 75,Above 75,Below 45"</formula1>
    </dataValidation>
    <dataValidation sqref="BP2:BP60" showDropDown="0" showInputMessage="0" showErrorMessage="0" allowBlank="1" type="list">
      <formula1>"Stage 1,Stage 2,Stage 3,Stage 4"</formula1>
    </dataValidation>
    <dataValidation sqref="BR2:BR60" showDropDown="0" showInputMessage="0" showErrorMessage="0" allowBlank="1" type="list">
      <formula1>"Positive Trend,Negative Trend"</formula1>
    </dataValidation>
    <dataValidation sqref="BT2:BT60" showDropDown="0" showInputMessage="0" showErrorMessage="0" allowBlank="1" type="list">
      <formula1>"Uptrend,Sideways,Downtrend"</formula1>
    </dataValidation>
    <dataValidation sqref="BV2:BV60" showDropDown="0" showInputMessage="0" showErrorMessage="0" allowBlank="1" type="list">
      <formula1>"Uptrend,Sideways,Downtrend"</formula1>
    </dataValidation>
    <dataValidation sqref="BX2:BX6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51</v>
      </c>
      <c r="H2" s="31" t="inlineStr">
        <is>
          <t>GVPIL</t>
        </is>
      </c>
      <c r="I2" s="31" t="inlineStr">
        <is>
          <t>GE Power India Ltd</t>
        </is>
      </c>
      <c r="J2" s="31" t="inlineStr">
        <is>
          <t>realty</t>
        </is>
      </c>
      <c r="K2" s="31" t="inlineStr">
        <is>
          <t>engineering - turnkey services</t>
        </is>
      </c>
      <c r="L2" s="31" t="inlineStr">
        <is>
          <t>midcap</t>
        </is>
      </c>
      <c r="M2" s="32" t="n">
        <v>6249.13</v>
      </c>
      <c r="N2" s="32" t="n">
        <v>976</v>
      </c>
      <c r="O2" s="32" t="n">
        <v>5</v>
      </c>
      <c r="P2" s="32" t="n">
        <v>347513</v>
      </c>
      <c r="Q2" s="31" t="n">
        <v>96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88.2</v>
      </c>
      <c r="U2" s="32" t="n">
        <v>58.48</v>
      </c>
      <c r="V2" s="32" t="inlineStr"/>
      <c r="W2" s="31" t="inlineStr">
        <is>
          <t>Earnings / Momentum Support</t>
        </is>
      </c>
      <c r="X2" s="31" t="inlineStr">
        <is>
          <t>Nifty Realty</t>
        </is>
      </c>
      <c r="Y2" s="32" t="n">
        <v>-23.58</v>
      </c>
      <c r="Z2" s="32" t="n">
        <v>194.11</v>
      </c>
      <c r="AA2" s="32" t="n">
        <v>284.86</v>
      </c>
      <c r="AB2" s="32" t="n">
        <v>52.55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Duopoly That Cooperate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Shallow Cyclical (2 to 3 Years Growth)</t>
        </is>
      </c>
      <c r="AL2" s="31">
        <f>IF(AK2="Structural (10 Years Consistency)",10,IF(AK2="Shallow Cyclical (2 to 3 years growth)",5,0))</f>
        <v/>
      </c>
      <c r="AM2" s="31" t="inlineStr">
        <is>
          <t>Yes due to Product Mix change or Operating Leverage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Fully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only for next 1 to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Between 50% to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Between 0.7 to 1.2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139.8</v>
      </c>
      <c r="E3" s="32" t="inlineStr">
        <is>
          <t>5%</t>
        </is>
      </c>
      <c r="F3" s="32" t="n">
        <v>50000</v>
      </c>
      <c r="G3" s="32" t="n">
        <v>26</v>
      </c>
      <c r="H3" s="31" t="inlineStr">
        <is>
          <t>VENUSREM</t>
        </is>
      </c>
      <c r="I3" s="31" t="inlineStr">
        <is>
          <t>Venus Remedies Limited</t>
        </is>
      </c>
      <c r="J3" s="31" t="inlineStr">
        <is>
          <t>healthcare</t>
        </is>
      </c>
      <c r="K3" s="31" t="inlineStr">
        <is>
          <t>pharmaceuticals - indian - formulations</t>
        </is>
      </c>
      <c r="L3" s="31" t="inlineStr">
        <is>
          <t>smallcap</t>
        </is>
      </c>
      <c r="M3" s="32" t="n">
        <v>2402.72</v>
      </c>
      <c r="N3" s="32" t="n">
        <v>1883</v>
      </c>
      <c r="O3" s="32" t="n">
        <v>4.76</v>
      </c>
      <c r="P3" s="32" t="n">
        <v>91246</v>
      </c>
      <c r="Q3" s="31" t="n">
        <v>97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82.7</v>
      </c>
      <c r="U3" s="32" t="n">
        <v>52.68</v>
      </c>
      <c r="V3" s="32" t="inlineStr"/>
      <c r="W3" s="31" t="inlineStr">
        <is>
          <t>Earnings / Momentum Support</t>
        </is>
      </c>
      <c r="X3" s="31" t="inlineStr">
        <is>
          <t>Nifty Pharma</t>
        </is>
      </c>
      <c r="Y3" s="32" t="n">
        <v>10.89</v>
      </c>
      <c r="Z3" s="32" t="n">
        <v>293.07</v>
      </c>
      <c r="AA3" s="32" t="n">
        <v>254.46</v>
      </c>
      <c r="AB3" s="32" t="n">
        <v>58.33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2178</v>
      </c>
      <c r="H4" s="31" t="inlineStr">
        <is>
          <t>GAYAPROJ</t>
        </is>
      </c>
      <c r="I4" s="31" t="inlineStr">
        <is>
          <t>Gayatri Projects Limited</t>
        </is>
      </c>
      <c r="J4" s="31" t="inlineStr">
        <is>
          <t>realty</t>
        </is>
      </c>
      <c r="K4" s="31" t="inlineStr">
        <is>
          <t>construction</t>
        </is>
      </c>
      <c r="L4" s="31" t="inlineStr">
        <is>
          <t>smallcap</t>
        </is>
      </c>
      <c r="M4" s="32" t="n">
        <v>647.49</v>
      </c>
      <c r="N4" s="32" t="n">
        <v>22.95</v>
      </c>
      <c r="O4" s="32" t="n">
        <v>4.99</v>
      </c>
      <c r="P4" s="32" t="n">
        <v>560787</v>
      </c>
      <c r="Q4" s="31" t="n">
        <v>90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75.62</v>
      </c>
      <c r="U4" s="32" t="n">
        <v>59.55</v>
      </c>
      <c r="V4" s="32" t="inlineStr"/>
      <c r="W4" s="31" t="inlineStr">
        <is>
          <t>Earnings / Momentum Support</t>
        </is>
      </c>
      <c r="X4" s="31" t="inlineStr">
        <is>
          <t>Nifty Realty</t>
        </is>
      </c>
      <c r="Y4" s="32" t="n">
        <v>-23.58</v>
      </c>
      <c r="Z4" s="32" t="n">
        <v>146.45</v>
      </c>
      <c r="AA4" s="32" t="n">
        <v>222.49</v>
      </c>
      <c r="AB4" s="32" t="n">
        <v>36.49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</v>
      </c>
      <c r="E5" s="32" t="inlineStr">
        <is>
          <t>5%</t>
        </is>
      </c>
      <c r="F5" s="32" t="n">
        <v>50000</v>
      </c>
      <c r="G5" s="32" t="n">
        <v>15</v>
      </c>
      <c r="H5" s="31" t="inlineStr">
        <is>
          <t>STYLAMIND</t>
        </is>
      </c>
      <c r="I5" s="31" t="inlineStr">
        <is>
          <t>Stylam Industries Ltd</t>
        </is>
      </c>
      <c r="J5" s="31" t="inlineStr">
        <is>
          <t>building materials</t>
        </is>
      </c>
      <c r="K5" s="31" t="inlineStr">
        <is>
          <t>miscellaneous</t>
        </is>
      </c>
      <c r="L5" s="31" t="inlineStr">
        <is>
          <t>midcap</t>
        </is>
      </c>
      <c r="M5" s="32" t="n">
        <v>5389.31</v>
      </c>
      <c r="N5" s="32" t="n">
        <v>3257.2</v>
      </c>
      <c r="O5" s="32" t="n">
        <v>2.43</v>
      </c>
      <c r="P5" s="32" t="n">
        <v>31529</v>
      </c>
      <c r="Q5" s="31" t="n">
        <v>77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90.27</v>
      </c>
      <c r="U5" s="32" t="n">
        <v>59.54</v>
      </c>
      <c r="V5" s="32" t="inlineStr"/>
      <c r="W5" s="31" t="inlineStr">
        <is>
          <t>Earnings / Momentum Support</t>
        </is>
      </c>
      <c r="X5" s="31" t="inlineStr">
        <is>
          <t>Nifty Infra</t>
        </is>
      </c>
      <c r="Y5" s="32" t="n">
        <v>2.95</v>
      </c>
      <c r="Z5" s="32" t="n">
        <v>84.75</v>
      </c>
      <c r="AA5" s="32" t="n">
        <v>79.45</v>
      </c>
      <c r="AB5" s="32" t="n">
        <v>23.25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EMA Crossover</t>
        </is>
      </c>
      <c r="D6" s="32" t="n">
        <v>142.4</v>
      </c>
      <c r="E6" s="32" t="inlineStr">
        <is>
          <t>7%</t>
        </is>
      </c>
      <c r="F6" s="32" t="n">
        <v>70000</v>
      </c>
      <c r="G6" s="32" t="n">
        <v>19</v>
      </c>
      <c r="H6" s="31" t="inlineStr">
        <is>
          <t>BANARISUG</t>
        </is>
      </c>
      <c r="I6" s="31" t="inlineStr">
        <is>
          <t>Bannari Amman Sugars Limited</t>
        </is>
      </c>
      <c r="J6" s="31" t="inlineStr">
        <is>
          <t>fmcg</t>
        </is>
      </c>
      <c r="K6" s="31" t="inlineStr">
        <is>
          <t>sugar</t>
        </is>
      </c>
      <c r="L6" s="31" t="inlineStr">
        <is>
          <t>smallcap</t>
        </is>
      </c>
      <c r="M6" s="32" t="n">
        <v>4533.85</v>
      </c>
      <c r="N6" s="32" t="n">
        <v>3649.3</v>
      </c>
      <c r="O6" s="32" t="n">
        <v>0.93</v>
      </c>
      <c r="P6" s="32" t="n">
        <v>266</v>
      </c>
      <c r="Q6" s="31" t="n">
        <v>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49.53</v>
      </c>
      <c r="U6" s="32" t="n">
        <v>42.02</v>
      </c>
      <c r="V6" s="32" t="inlineStr"/>
      <c r="W6" s="31" t="inlineStr">
        <is>
          <t>Earnings / Momentum Support</t>
        </is>
      </c>
      <c r="X6" s="31" t="inlineStr">
        <is>
          <t>Nifty FMCG</t>
        </is>
      </c>
      <c r="Y6" s="32" t="n">
        <v>-10.45</v>
      </c>
      <c r="Z6" s="32" t="n">
        <v>-7.04</v>
      </c>
      <c r="AA6" s="32" t="n">
        <v>3.81</v>
      </c>
      <c r="AB6" s="32" t="n">
        <v>-1.3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B2C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Below 45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Between 12 to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Between 1.5 to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139.9</v>
      </c>
      <c r="E7" s="32" t="inlineStr">
        <is>
          <t>5%</t>
        </is>
      </c>
      <c r="F7" s="32" t="n">
        <v>50000</v>
      </c>
      <c r="G7" s="32" t="n">
        <v>303</v>
      </c>
      <c r="H7" s="31" t="inlineStr">
        <is>
          <t>CUPID</t>
        </is>
      </c>
      <c r="I7" s="31" t="inlineStr">
        <is>
          <t>Cupid Limited</t>
        </is>
      </c>
      <c r="J7" s="31" t="inlineStr">
        <is>
          <t>fmcg</t>
        </is>
      </c>
      <c r="K7" s="31" t="inlineStr">
        <is>
          <t>personal care - indian</t>
        </is>
      </c>
      <c r="L7" s="31" t="inlineStr">
        <is>
          <t>largecap</t>
        </is>
      </c>
      <c r="M7" s="32" t="n">
        <v>21510.54</v>
      </c>
      <c r="N7" s="32" t="n">
        <v>164.83</v>
      </c>
      <c r="O7" s="32" t="n">
        <v>3.04</v>
      </c>
      <c r="P7" s="32" t="n">
        <v>18403212</v>
      </c>
      <c r="Q7" s="31" t="n">
        <v>99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81.55</v>
      </c>
      <c r="U7" s="32" t="n">
        <v>48.31</v>
      </c>
      <c r="V7" s="32" t="inlineStr"/>
      <c r="W7" s="31" t="inlineStr">
        <is>
          <t>Earnings / Momentum Support</t>
        </is>
      </c>
      <c r="X7" s="31" t="inlineStr">
        <is>
          <t>Nifty FMCG</t>
        </is>
      </c>
      <c r="Y7" s="32" t="n">
        <v>-10.45</v>
      </c>
      <c r="Z7" s="32" t="n">
        <v>726.97</v>
      </c>
      <c r="AA7" s="32" t="n">
        <v>823.51</v>
      </c>
      <c r="AB7" s="32" t="n">
        <v>84.01000000000001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B2C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Less than 50%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138.7</v>
      </c>
      <c r="E8" s="32" t="inlineStr">
        <is>
          <t>5%</t>
        </is>
      </c>
      <c r="F8" s="32" t="n">
        <v>50000</v>
      </c>
      <c r="G8" s="32" t="n">
        <v>75</v>
      </c>
      <c r="H8" s="31" t="inlineStr">
        <is>
          <t>UNIPARTS</t>
        </is>
      </c>
      <c r="I8" s="31" t="inlineStr">
        <is>
          <t>Uniparts India Ltd</t>
        </is>
      </c>
      <c r="J8" s="31" t="inlineStr">
        <is>
          <t>industrials</t>
        </is>
      </c>
      <c r="K8" s="31" t="inlineStr">
        <is>
          <t>engineering</t>
        </is>
      </c>
      <c r="L8" s="31" t="inlineStr">
        <is>
          <t>smallcap</t>
        </is>
      </c>
      <c r="M8" s="32" t="n">
        <v>2978.09</v>
      </c>
      <c r="N8" s="32" t="n">
        <v>663.65</v>
      </c>
      <c r="O8" s="32" t="n">
        <v>0.6</v>
      </c>
      <c r="P8" s="32" t="n">
        <v>161621</v>
      </c>
      <c r="Q8" s="31" t="n">
        <v>80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73.86</v>
      </c>
      <c r="U8" s="32" t="n">
        <v>37.84</v>
      </c>
      <c r="V8" s="32" t="inlineStr"/>
      <c r="W8" s="31" t="inlineStr">
        <is>
          <t>Earnings / Momentum Support</t>
        </is>
      </c>
      <c r="X8" s="31" t="inlineStr">
        <is>
          <t>Nifty 50</t>
        </is>
      </c>
      <c r="Y8" s="32" t="n">
        <v>-4.43</v>
      </c>
      <c r="Z8" s="32" t="n">
        <v>84.56999999999999</v>
      </c>
      <c r="AA8" s="32" t="n">
        <v>93.13</v>
      </c>
      <c r="AB8" s="32" t="n">
        <v>24.75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138.5</v>
      </c>
      <c r="E9" s="32" t="inlineStr">
        <is>
          <t>5%</t>
        </is>
      </c>
      <c r="F9" s="32" t="n">
        <v>50000</v>
      </c>
      <c r="G9" s="32" t="n">
        <v>209</v>
      </c>
      <c r="H9" s="31" t="inlineStr">
        <is>
          <t>BELRISE</t>
        </is>
      </c>
      <c r="I9" s="31" t="inlineStr">
        <is>
          <t>Belrise Industries Ltd</t>
        </is>
      </c>
      <c r="J9" s="31" t="inlineStr">
        <is>
          <t>auto</t>
        </is>
      </c>
      <c r="K9" s="31" t="inlineStr">
        <is>
          <t>auto ancillaries</t>
        </is>
      </c>
      <c r="L9" s="31" t="inlineStr">
        <is>
          <t>largecap</t>
        </is>
      </c>
      <c r="M9" s="32" t="n">
        <v>20309.71</v>
      </c>
      <c r="N9" s="32" t="n">
        <v>238.26</v>
      </c>
      <c r="O9" s="32" t="n">
        <v>4.39</v>
      </c>
      <c r="P9" s="32" t="n">
        <v>6682701</v>
      </c>
      <c r="Q9" s="31" t="n">
        <v>80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69.81999999999999</v>
      </c>
      <c r="U9" s="32" t="n">
        <v>52.36</v>
      </c>
      <c r="V9" s="32" t="inlineStr"/>
      <c r="W9" s="31" t="inlineStr">
        <is>
          <t>Earnings / Momentum Support</t>
        </is>
      </c>
      <c r="X9" s="31" t="inlineStr">
        <is>
          <t>Nifty Auto</t>
        </is>
      </c>
      <c r="Y9" s="32" t="n">
        <v>12.72</v>
      </c>
      <c r="Z9" s="32" t="n">
        <v>124.74</v>
      </c>
      <c r="AA9" s="32" t="n">
        <v>99.39</v>
      </c>
      <c r="AB9" s="32" t="n">
        <v>24.34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Less than 12%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139.5</v>
      </c>
      <c r="E10" s="32" t="inlineStr">
        <is>
          <t>5%</t>
        </is>
      </c>
      <c r="F10" s="32" t="n">
        <v>50000</v>
      </c>
      <c r="G10" s="32" t="n">
        <v>7</v>
      </c>
      <c r="H10" s="31" t="inlineStr">
        <is>
          <t>GRWRHITECH</t>
        </is>
      </c>
      <c r="I10" s="31" t="inlineStr">
        <is>
          <t>Garware Hi Tech Films Ltd</t>
        </is>
      </c>
      <c r="J10" s="31" t="inlineStr">
        <is>
          <t>industrials</t>
        </is>
      </c>
      <c r="K10" s="31" t="inlineStr">
        <is>
          <t>packaging</t>
        </is>
      </c>
      <c r="L10" s="31" t="inlineStr">
        <is>
          <t>midcap</t>
        </is>
      </c>
      <c r="M10" s="32" t="n">
        <v>14244.94</v>
      </c>
      <c r="N10" s="32" t="n">
        <v>6320.5</v>
      </c>
      <c r="O10" s="32" t="n">
        <v>3.08</v>
      </c>
      <c r="P10" s="32" t="n">
        <v>65564</v>
      </c>
      <c r="Q10" s="31" t="n">
        <v>76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73.93000000000001</v>
      </c>
      <c r="U10" s="32" t="n">
        <v>30.52</v>
      </c>
      <c r="V10" s="32" t="inlineStr"/>
      <c r="W10" s="31" t="inlineStr">
        <is>
          <t>Earnings / Momentum Support</t>
        </is>
      </c>
      <c r="X10" s="31" t="inlineStr">
        <is>
          <t>Nifty 50</t>
        </is>
      </c>
      <c r="Y10" s="32" t="n">
        <v>-4.43</v>
      </c>
      <c r="Z10" s="32" t="n">
        <v>43.86</v>
      </c>
      <c r="AA10" s="32" t="n">
        <v>50.53</v>
      </c>
      <c r="AB10" s="32" t="n">
        <v>22.68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Between 50% to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EMA Crossover</t>
        </is>
      </c>
      <c r="D11" s="32" t="n">
        <v>146.2</v>
      </c>
      <c r="E11" s="32" t="inlineStr">
        <is>
          <t>7%</t>
        </is>
      </c>
      <c r="F11" s="32" t="n">
        <v>70000</v>
      </c>
      <c r="G11" s="32" t="n">
        <v>479</v>
      </c>
      <c r="H11" s="31" t="inlineStr">
        <is>
          <t>NAVNETEDUL</t>
        </is>
      </c>
      <c r="I11" s="31" t="inlineStr">
        <is>
          <t>Navneet Education Limited</t>
        </is>
      </c>
      <c r="J11" s="31" t="inlineStr">
        <is>
          <t>miscellaneous</t>
        </is>
      </c>
      <c r="K11" s="31" t="inlineStr">
        <is>
          <t>printing &amp; stationery</t>
        </is>
      </c>
      <c r="L11" s="31" t="inlineStr">
        <is>
          <t>smallcap</t>
        </is>
      </c>
      <c r="M11" s="32" t="n">
        <v>3141.01</v>
      </c>
      <c r="N11" s="32" t="n">
        <v>145.9</v>
      </c>
      <c r="O11" s="32" t="n">
        <v>2.75</v>
      </c>
      <c r="P11" s="32" t="n">
        <v>166493</v>
      </c>
      <c r="Q11" s="31" t="n">
        <v>11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50.25</v>
      </c>
      <c r="U11" s="32" t="n">
        <v>21.47</v>
      </c>
      <c r="V11" s="32" t="inlineStr"/>
      <c r="W11" s="31" t="inlineStr">
        <is>
          <t>Earnings / Momentum Support</t>
        </is>
      </c>
      <c r="X11" s="31" t="inlineStr">
        <is>
          <t>Nifty 50</t>
        </is>
      </c>
      <c r="Y11" s="32" t="n">
        <v>-4.43</v>
      </c>
      <c r="Z11" s="32" t="n">
        <v>4.3</v>
      </c>
      <c r="AA11" s="32" t="n">
        <v>9.140000000000001</v>
      </c>
      <c r="AB11" s="32" t="n">
        <v>3.51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Less than 12%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139.4</v>
      </c>
      <c r="E12" s="32" t="inlineStr">
        <is>
          <t>5%</t>
        </is>
      </c>
      <c r="F12" s="32" t="n">
        <v>50000</v>
      </c>
      <c r="G12" s="32" t="n">
        <v>13</v>
      </c>
      <c r="H12" s="31" t="inlineStr">
        <is>
          <t>SHRIPISTON</t>
        </is>
      </c>
      <c r="I12" s="31" t="inlineStr">
        <is>
          <t>Shriram Pistons &amp; Rings Limited</t>
        </is>
      </c>
      <c r="J12" s="31" t="inlineStr">
        <is>
          <t>auto</t>
        </is>
      </c>
      <c r="K12" s="31" t="inlineStr">
        <is>
          <t>auto ancillaries</t>
        </is>
      </c>
      <c r="L12" s="31" t="inlineStr">
        <is>
          <t>midcap</t>
        </is>
      </c>
      <c r="M12" s="32" t="n">
        <v>15524.92</v>
      </c>
      <c r="N12" s="32" t="n">
        <v>3741.9</v>
      </c>
      <c r="O12" s="32" t="n">
        <v>6.17</v>
      </c>
      <c r="P12" s="32" t="n">
        <v>219352</v>
      </c>
      <c r="Q12" s="31" t="n">
        <v>54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59.05</v>
      </c>
      <c r="U12" s="32" t="n">
        <v>28.33</v>
      </c>
      <c r="V12" s="32" t="inlineStr"/>
      <c r="W12" s="31" t="inlineStr">
        <is>
          <t>Earnings / Momentum Support</t>
        </is>
      </c>
      <c r="X12" s="31" t="inlineStr">
        <is>
          <t>Nifty Auto</t>
        </is>
      </c>
      <c r="Y12" s="32" t="n">
        <v>12.72</v>
      </c>
      <c r="Z12" s="32" t="n">
        <v>45.22</v>
      </c>
      <c r="AA12" s="32" t="n">
        <v>28.83</v>
      </c>
      <c r="AB12" s="32" t="n">
        <v>13.07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139.3</v>
      </c>
      <c r="E13" s="32" t="inlineStr">
        <is>
          <t>5%</t>
        </is>
      </c>
      <c r="F13" s="32" t="n">
        <v>50000</v>
      </c>
      <c r="G13" s="32" t="n">
        <v>57</v>
      </c>
      <c r="H13" s="31" t="inlineStr">
        <is>
          <t>DIVGIITTS</t>
        </is>
      </c>
      <c r="I13" s="31" t="inlineStr">
        <is>
          <t>Divgi Torqtransfer Systems Ltd</t>
        </is>
      </c>
      <c r="J13" s="31" t="inlineStr">
        <is>
          <t>auto</t>
        </is>
      </c>
      <c r="K13" s="31" t="inlineStr">
        <is>
          <t>auto ancillaries</t>
        </is>
      </c>
      <c r="L13" s="31" t="inlineStr">
        <is>
          <t>smallcap</t>
        </is>
      </c>
      <c r="M13" s="32" t="n">
        <v>2504.74</v>
      </c>
      <c r="N13" s="32" t="n">
        <v>869.2</v>
      </c>
      <c r="O13" s="32" t="n">
        <v>6.13</v>
      </c>
      <c r="P13" s="32" t="n">
        <v>210095</v>
      </c>
      <c r="Q13" s="31" t="n">
        <v>47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61.16</v>
      </c>
      <c r="U13" s="32" t="n">
        <v>27.87</v>
      </c>
      <c r="V13" s="32" t="inlineStr"/>
      <c r="W13" s="31" t="inlineStr">
        <is>
          <t>Earnings / Momentum Support</t>
        </is>
      </c>
      <c r="X13" s="31" t="inlineStr">
        <is>
          <t>Nifty Auto</t>
        </is>
      </c>
      <c r="Y13" s="32" t="n">
        <v>12.72</v>
      </c>
      <c r="Z13" s="32" t="n">
        <v>36.63</v>
      </c>
      <c r="AA13" s="32" t="n">
        <v>21.22</v>
      </c>
      <c r="AB13" s="32" t="n">
        <v>11.3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Between 50% to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</v>
      </c>
      <c r="E14" s="32" t="inlineStr">
        <is>
          <t>5%</t>
        </is>
      </c>
      <c r="F14" s="32" t="n">
        <v>50000</v>
      </c>
      <c r="G14" s="32" t="n">
        <v>28</v>
      </c>
      <c r="H14" s="31" t="inlineStr">
        <is>
          <t>AVALON</t>
        </is>
      </c>
      <c r="I14" s="31" t="inlineStr">
        <is>
          <t>Avalon Technologies Ltd</t>
        </is>
      </c>
      <c r="J14" s="31" t="inlineStr">
        <is>
          <t>consumer discretionary</t>
        </is>
      </c>
      <c r="K14" s="31" t="inlineStr">
        <is>
          <t>electronics - components</t>
        </is>
      </c>
      <c r="L14" s="31" t="inlineStr">
        <is>
          <t>midcap</t>
        </is>
      </c>
      <c r="M14" s="32" t="n">
        <v>11263.45</v>
      </c>
      <c r="N14" s="32" t="n">
        <v>1760</v>
      </c>
      <c r="O14" s="32" t="n">
        <v>4.33</v>
      </c>
      <c r="P14" s="32" t="n">
        <v>611900</v>
      </c>
      <c r="Q14" s="31" t="n">
        <v>92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76.33</v>
      </c>
      <c r="U14" s="32" t="n">
        <v>37.29</v>
      </c>
      <c r="V14" s="32" t="inlineStr"/>
      <c r="W14" s="31" t="inlineStr">
        <is>
          <t>Earnings / Momentum Support</t>
        </is>
      </c>
      <c r="X14" s="31" t="inlineStr">
        <is>
          <t>Nifty 50</t>
        </is>
      </c>
      <c r="Y14" s="32" t="n">
        <v>-4.43</v>
      </c>
      <c r="Z14" s="32" t="n">
        <v>102.97</v>
      </c>
      <c r="AA14" s="32" t="n">
        <v>112.39</v>
      </c>
      <c r="AB14" s="32" t="n">
        <v>38.24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Between 1.5 to 2</t>
        </is>
      </c>
      <c r="BZ14" s="31">
        <f>IF(BY14="Above 2",0,IF(BY14="Between 1.5 to 2",5,IF(BY14="Less than 1.5",10,0)))</f>
        <v/>
      </c>
      <c r="CA14" s="31" t="inlineStr">
        <is>
          <t>Less than 50%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</v>
      </c>
      <c r="E15" s="32" t="inlineStr">
        <is>
          <t>5%</t>
        </is>
      </c>
      <c r="F15" s="32" t="n">
        <v>50000</v>
      </c>
      <c r="G15" s="32" t="n">
        <v>24</v>
      </c>
      <c r="H15" s="31" t="inlineStr">
        <is>
          <t>KERNEX</t>
        </is>
      </c>
      <c r="I15" s="31" t="inlineStr">
        <is>
          <t>Kernex Microsystems (india) Limited</t>
        </is>
      </c>
      <c r="J15" s="31" t="inlineStr">
        <is>
          <t>consumer discretionary</t>
        </is>
      </c>
      <c r="K15" s="31" t="inlineStr">
        <is>
          <t>electronics - components</t>
        </is>
      </c>
      <c r="L15" s="31" t="inlineStr">
        <is>
          <t>smallcap</t>
        </is>
      </c>
      <c r="M15" s="32" t="n">
        <v>3349.23</v>
      </c>
      <c r="N15" s="32" t="n">
        <v>2037.2</v>
      </c>
      <c r="O15" s="32" t="n">
        <v>2.2</v>
      </c>
      <c r="P15" s="32" t="n">
        <v>307957</v>
      </c>
      <c r="Q15" s="31" t="n">
        <v>90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73.28</v>
      </c>
      <c r="U15" s="32" t="n">
        <v>34.15</v>
      </c>
      <c r="V15" s="32" t="inlineStr"/>
      <c r="W15" s="31" t="inlineStr">
        <is>
          <t>Earnings / Momentum Support</t>
        </is>
      </c>
      <c r="X15" s="31" t="inlineStr">
        <is>
          <t>Nifty 50</t>
        </is>
      </c>
      <c r="Y15" s="32" t="n">
        <v>-4.43</v>
      </c>
      <c r="Z15" s="32" t="n">
        <v>53.18</v>
      </c>
      <c r="AA15" s="32" t="n">
        <v>60.28</v>
      </c>
      <c r="AB15" s="32" t="n">
        <v>35.86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Negative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138.6</v>
      </c>
      <c r="E16" s="32" t="inlineStr">
        <is>
          <t>5%</t>
        </is>
      </c>
      <c r="F16" s="32" t="n">
        <v>50000</v>
      </c>
      <c r="G16" s="32" t="n">
        <v>104</v>
      </c>
      <c r="H16" s="31" t="inlineStr">
        <is>
          <t>AEROFLEX</t>
        </is>
      </c>
      <c r="I16" s="31" t="inlineStr">
        <is>
          <t>Aeroflex Industries Ltd</t>
        </is>
      </c>
      <c r="J16" s="31" t="inlineStr">
        <is>
          <t>metals &amp; mining</t>
        </is>
      </c>
      <c r="K16" s="31" t="inlineStr">
        <is>
          <t>steel - medium / small</t>
        </is>
      </c>
      <c r="L16" s="31" t="inlineStr">
        <is>
          <t>midcap</t>
        </is>
      </c>
      <c r="M16" s="32" t="n">
        <v>5929.74</v>
      </c>
      <c r="N16" s="32" t="n">
        <v>478</v>
      </c>
      <c r="O16" s="32" t="n">
        <v>6.67</v>
      </c>
      <c r="P16" s="32" t="n">
        <v>5416719</v>
      </c>
      <c r="Q16" s="31" t="n">
        <v>94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73.31999999999999</v>
      </c>
      <c r="U16" s="32" t="n">
        <v>60.74</v>
      </c>
      <c r="V16" s="32" t="inlineStr"/>
      <c r="W16" s="31" t="inlineStr">
        <is>
          <t>Earnings / Momentum Support</t>
        </is>
      </c>
      <c r="X16" s="31" t="inlineStr">
        <is>
          <t>Nifty Metal</t>
        </is>
      </c>
      <c r="Y16" s="32" t="n">
        <v>38.84</v>
      </c>
      <c r="Z16" s="32" t="n">
        <v>162.4</v>
      </c>
      <c r="AA16" s="32" t="n">
        <v>89</v>
      </c>
      <c r="AB16" s="32" t="n">
        <v>43.76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Between 1.5 to 2</t>
        </is>
      </c>
      <c r="BZ16" s="31">
        <f>IF(BY16="Above 2",0,IF(BY16="Between 1.5 to 2",5,IF(BY16="Less than 1.5",10,0)))</f>
        <v/>
      </c>
      <c r="CA16" s="31" t="inlineStr">
        <is>
          <t>Between 50% to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138.8</v>
      </c>
      <c r="E17" s="32" t="inlineStr">
        <is>
          <t>5%</t>
        </is>
      </c>
      <c r="F17" s="32" t="n">
        <v>50000</v>
      </c>
      <c r="G17" s="32" t="n">
        <v>3</v>
      </c>
      <c r="H17" s="31" t="inlineStr">
        <is>
          <t>APARINDS</t>
        </is>
      </c>
      <c r="I17" s="31" t="inlineStr">
        <is>
          <t>Apar Industries Limited</t>
        </is>
      </c>
      <c r="J17" s="31" t="inlineStr">
        <is>
          <t>industrials</t>
        </is>
      </c>
      <c r="K17" s="31" t="inlineStr">
        <is>
          <t>electric equipment</t>
        </is>
      </c>
      <c r="L17" s="31" t="inlineStr">
        <is>
          <t>largecap</t>
        </is>
      </c>
      <c r="M17" s="32" t="n">
        <v>61140.19</v>
      </c>
      <c r="N17" s="32" t="n">
        <v>15986</v>
      </c>
      <c r="O17" s="32" t="n">
        <v>5.03</v>
      </c>
      <c r="P17" s="32" t="n">
        <v>235859</v>
      </c>
      <c r="Q17" s="31" t="n">
        <v>87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76.68000000000001</v>
      </c>
      <c r="U17" s="32" t="n">
        <v>41.55</v>
      </c>
      <c r="V17" s="32" t="inlineStr"/>
      <c r="W17" s="31" t="inlineStr">
        <is>
          <t>Earnings / Momentum Support</t>
        </is>
      </c>
      <c r="X17" s="31" t="inlineStr">
        <is>
          <t>Nifty 50</t>
        </is>
      </c>
      <c r="Y17" s="32" t="n">
        <v>-4.43</v>
      </c>
      <c r="Z17" s="32" t="n">
        <v>93.92</v>
      </c>
      <c r="AA17" s="32" t="n">
        <v>102.92</v>
      </c>
      <c r="AB17" s="32" t="n">
        <v>30.56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314</v>
      </c>
      <c r="H18" s="31" t="inlineStr">
        <is>
          <t>JAYBARMARU</t>
        </is>
      </c>
      <c r="I18" s="31" t="inlineStr">
        <is>
          <t>Jay Bharat Maruti Limited</t>
        </is>
      </c>
      <c r="J18" s="31" t="inlineStr">
        <is>
          <t>auto</t>
        </is>
      </c>
      <c r="K18" s="31" t="inlineStr">
        <is>
          <t>auto ancillaries</t>
        </is>
      </c>
      <c r="L18" s="31" t="inlineStr">
        <is>
          <t>smallcap</t>
        </is>
      </c>
      <c r="M18" s="32" t="n">
        <v>1565.94</v>
      </c>
      <c r="N18" s="32" t="n">
        <v>159.12</v>
      </c>
      <c r="O18" s="32" t="n">
        <v>10</v>
      </c>
      <c r="P18" s="32" t="n">
        <v>3156863</v>
      </c>
      <c r="Q18" s="31" t="n">
        <v>85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70.29000000000001</v>
      </c>
      <c r="U18" s="32" t="n">
        <v>19.88</v>
      </c>
      <c r="V18" s="32" t="inlineStr"/>
      <c r="W18" s="31" t="inlineStr">
        <is>
          <t>Earnings / Momentum Support</t>
        </is>
      </c>
      <c r="X18" s="31" t="inlineStr">
        <is>
          <t>Nifty Auto</t>
        </is>
      </c>
      <c r="Y18" s="32" t="n">
        <v>12.72</v>
      </c>
      <c r="Z18" s="32" t="n">
        <v>86.31999999999999</v>
      </c>
      <c r="AA18" s="32" t="n">
        <v>65.3</v>
      </c>
      <c r="AB18" s="32" t="n">
        <v>28.52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Between 50% to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138.9</v>
      </c>
      <c r="E19" s="32" t="inlineStr">
        <is>
          <t>5%</t>
        </is>
      </c>
      <c r="F19" s="32" t="n">
        <v>50000</v>
      </c>
      <c r="G19" s="32" t="n">
        <v>24</v>
      </c>
      <c r="H19" s="31" t="inlineStr">
        <is>
          <t>BHARATFORG</t>
        </is>
      </c>
      <c r="I19" s="31" t="inlineStr">
        <is>
          <t>Bharat Forge Limited</t>
        </is>
      </c>
      <c r="J19" s="31" t="inlineStr">
        <is>
          <t>industrials</t>
        </is>
      </c>
      <c r="K19" s="31" t="inlineStr">
        <is>
          <t>castings &amp; forgings</t>
        </is>
      </c>
      <c r="L19" s="31" t="inlineStr">
        <is>
          <t>largecap</t>
        </is>
      </c>
      <c r="M19" s="32" t="n">
        <v>92993.02</v>
      </c>
      <c r="N19" s="32" t="n">
        <v>2020.5</v>
      </c>
      <c r="O19" s="32" t="n">
        <v>3.88</v>
      </c>
      <c r="P19" s="32" t="n">
        <v>1665028</v>
      </c>
      <c r="Q19" s="31" t="n">
        <v>49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64.42</v>
      </c>
      <c r="U19" s="32" t="n">
        <v>34.04</v>
      </c>
      <c r="V19" s="32" t="inlineStr"/>
      <c r="W19" s="31" t="inlineStr">
        <is>
          <t>Earnings / Momentum Support</t>
        </is>
      </c>
      <c r="X19" s="31" t="inlineStr">
        <is>
          <t>Nifty 500</t>
        </is>
      </c>
      <c r="Y19" s="32" t="n">
        <v>-1.34</v>
      </c>
      <c r="Z19" s="32" t="n">
        <v>49.42</v>
      </c>
      <c r="AA19" s="32" t="n">
        <v>51.45</v>
      </c>
      <c r="AB19" s="32" t="n">
        <v>12.06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EMA Crossover</t>
        </is>
      </c>
      <c r="D20" s="32" t="n">
        <v>140</v>
      </c>
      <c r="E20" s="32" t="inlineStr">
        <is>
          <t>7%</t>
        </is>
      </c>
      <c r="F20" s="32" t="n">
        <v>70000</v>
      </c>
      <c r="G20" s="32" t="n">
        <v>285</v>
      </c>
      <c r="H20" s="31" t="inlineStr">
        <is>
          <t>EIFFL</t>
        </is>
      </c>
      <c r="I20" s="31" t="inlineStr">
        <is>
          <t>Euro India Fresh Foods Ltd</t>
        </is>
      </c>
      <c r="J20" s="31" t="inlineStr">
        <is>
          <t>fmcg</t>
        </is>
      </c>
      <c r="K20" s="31" t="inlineStr">
        <is>
          <t>food - processing - indian</t>
        </is>
      </c>
      <c r="L20" s="31" t="inlineStr">
        <is>
          <t>smallcap</t>
        </is>
      </c>
      <c r="M20" s="32" t="n">
        <v>570.23</v>
      </c>
      <c r="N20" s="32" t="n">
        <v>244.76</v>
      </c>
      <c r="O20" s="32" t="n">
        <v>6.45</v>
      </c>
      <c r="P20" s="32" t="n">
        <v>53599</v>
      </c>
      <c r="Q20" s="31" t="n">
        <v>4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46.45</v>
      </c>
      <c r="U20" s="32" t="n">
        <v>9.720000000000001</v>
      </c>
      <c r="V20" s="32" t="inlineStr"/>
      <c r="W20" s="31" t="inlineStr">
        <is>
          <t>Earnings / Momentum Support</t>
        </is>
      </c>
      <c r="X20" s="31" t="inlineStr">
        <is>
          <t>Nifty FMCG</t>
        </is>
      </c>
      <c r="Y20" s="32" t="n">
        <v>-10.45</v>
      </c>
      <c r="Z20" s="32" t="n">
        <v>6.36</v>
      </c>
      <c r="AA20" s="32" t="n">
        <v>18.77</v>
      </c>
      <c r="AB20" s="32" t="n">
        <v>1.17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B2C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Below 45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Between 0.7 to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134</v>
      </c>
      <c r="H2" s="31" t="inlineStr">
        <is>
          <t>RBLBANK</t>
        </is>
      </c>
      <c r="I2" s="31" t="inlineStr">
        <is>
          <t>Rbl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22613.61</v>
      </c>
      <c r="N2" s="32" t="n">
        <v>372.65</v>
      </c>
      <c r="O2" s="32" t="n">
        <v>1.86</v>
      </c>
      <c r="P2" s="32" t="n">
        <v>8331313</v>
      </c>
      <c r="Q2" s="31" t="n">
        <v>63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69.23999999999999</v>
      </c>
      <c r="U2" s="32" t="n">
        <v>31.26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2.32</v>
      </c>
      <c r="Z2" s="32" t="n">
        <v>66.73</v>
      </c>
      <c r="AA2" s="32" t="n">
        <v>62.95</v>
      </c>
      <c r="AB2" s="32" t="n">
        <v>16.22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138.9</v>
      </c>
      <c r="E3" s="32" t="inlineStr">
        <is>
          <t>5%</t>
        </is>
      </c>
      <c r="F3" s="32" t="n">
        <v>50000</v>
      </c>
      <c r="G3" s="32" t="n">
        <v>43</v>
      </c>
      <c r="H3" s="31" t="inlineStr">
        <is>
          <t>ABSLAMC</t>
        </is>
      </c>
      <c r="I3" s="31" t="inlineStr">
        <is>
          <t>Aditya Birla Sun Life AMC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31803.34</v>
      </c>
      <c r="N3" s="32" t="n">
        <v>1146.1</v>
      </c>
      <c r="O3" s="32" t="n">
        <v>4.08</v>
      </c>
      <c r="P3" s="32" t="n">
        <v>1017809</v>
      </c>
      <c r="Q3" s="31" t="n">
        <v>52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66.28</v>
      </c>
      <c r="U3" s="32" t="n">
        <v>41.64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2.32</v>
      </c>
      <c r="Z3" s="32" t="n">
        <v>47.78</v>
      </c>
      <c r="AA3" s="32" t="n">
        <v>44.43</v>
      </c>
      <c r="AB3" s="32" t="n">
        <v>12.52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3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138.9</v>
      </c>
      <c r="E4" s="32" t="inlineStr">
        <is>
          <t>5%</t>
        </is>
      </c>
      <c r="F4" s="32" t="n">
        <v>50000</v>
      </c>
      <c r="G4" s="32" t="n">
        <v>157</v>
      </c>
      <c r="H4" s="31" t="inlineStr">
        <is>
          <t>FEDERALBNK</t>
        </is>
      </c>
      <c r="I4" s="31" t="inlineStr">
        <is>
          <t>The Federal Bank 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largecap</t>
        </is>
      </c>
      <c r="M4" s="32" t="n">
        <v>77797.39</v>
      </c>
      <c r="N4" s="32" t="n">
        <v>317.1</v>
      </c>
      <c r="O4" s="32" t="n">
        <v>0.44</v>
      </c>
      <c r="P4" s="32" t="n">
        <v>8390759</v>
      </c>
      <c r="Q4" s="31" t="n">
        <v>56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67.78</v>
      </c>
      <c r="U4" s="32" t="n">
        <v>18.64</v>
      </c>
      <c r="V4" s="32" t="inlineStr"/>
      <c r="W4" s="31" t="inlineStr">
        <is>
          <t>Earnings / Momentum Support</t>
        </is>
      </c>
      <c r="X4" s="31" t="inlineStr">
        <is>
          <t>Nifty Bank</t>
        </is>
      </c>
      <c r="Y4" s="32" t="n">
        <v>2.32</v>
      </c>
      <c r="Z4" s="32" t="n">
        <v>54.71</v>
      </c>
      <c r="AA4" s="32" t="n">
        <v>51.2</v>
      </c>
      <c r="AB4" s="32" t="n">
        <v>14.08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No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3</t>
        </is>
      </c>
      <c r="BV4" s="31">
        <f>IF(BU4="Stage 2",20,IF(BU4="Stage 1",0,IF(BU4="Stage 3",5,IF(BU4="Stage 4",-5,0))))</f>
        <v/>
      </c>
      <c r="BW4" s="31" t="inlineStr">
        <is>
          <t>Negative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IF(B2=0,"",RANK(B2,$B$2:$B$93,0))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ACCENTMIC</t>
        </is>
      </c>
      <c r="D2" s="31" t="inlineStr">
        <is>
          <t>Accent Microcell Ltd</t>
        </is>
      </c>
      <c r="E2" s="31" t="inlineStr">
        <is>
          <t>unknown</t>
        </is>
      </c>
      <c r="F2" s="31" t="inlineStr">
        <is>
          <t>Pharma - Formulators</t>
        </is>
      </c>
      <c r="G2" s="31" t="inlineStr">
        <is>
          <t>smallcap</t>
        </is>
      </c>
      <c r="H2" s="32" t="n">
        <v>1079.51</v>
      </c>
      <c r="I2" s="32" t="n">
        <v>450</v>
      </c>
      <c r="J2" s="32" t="n">
        <v>-2.05</v>
      </c>
      <c r="K2" s="32" t="n">
        <v>0</v>
      </c>
      <c r="L2" s="31" t="n">
        <v>76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66.98999999999999</v>
      </c>
      <c r="P2" s="32" t="n">
        <v>52.91</v>
      </c>
      <c r="Q2" s="32" t="n">
        <v>367.3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-4.43</v>
      </c>
      <c r="U2" s="32" t="n">
        <v>101.08</v>
      </c>
      <c r="V2" s="32" t="n">
        <v>110.41</v>
      </c>
      <c r="W2" s="32" t="n">
        <v>22.38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IF(B3=0,"",RANK(B3,$B$2:$B$93,0))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VMARCIND</t>
        </is>
      </c>
      <c r="D3" s="31" t="inlineStr">
        <is>
          <t>V-Marc India Ltd</t>
        </is>
      </c>
      <c r="E3" s="31" t="inlineStr">
        <is>
          <t>unknown</t>
        </is>
      </c>
      <c r="F3" s="31" t="inlineStr">
        <is>
          <t>Cables - Power</t>
        </is>
      </c>
      <c r="G3" s="31" t="inlineStr">
        <is>
          <t>smallcap</t>
        </is>
      </c>
      <c r="H3" s="32" t="n">
        <v>3477.02</v>
      </c>
      <c r="I3" s="32" t="n">
        <v>1423.8</v>
      </c>
      <c r="J3" s="32" t="n">
        <v>1.73</v>
      </c>
      <c r="K3" s="32" t="n">
        <v>0</v>
      </c>
      <c r="L3" s="31" t="n">
        <v>98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77.58</v>
      </c>
      <c r="P3" s="32" t="n">
        <v>40.87</v>
      </c>
      <c r="Q3" s="32" t="n">
        <v>1123.26</v>
      </c>
      <c r="R3" s="31" t="inlineStr">
        <is>
          <t>Earnings / Momentum Support</t>
        </is>
      </c>
      <c r="S3" s="31" t="inlineStr">
        <is>
          <t>Nifty 50</t>
        </is>
      </c>
      <c r="T3" s="32" t="n">
        <v>-4.43</v>
      </c>
      <c r="U3" s="32" t="n">
        <v>352.96</v>
      </c>
      <c r="V3" s="32" t="n">
        <v>373.97</v>
      </c>
      <c r="W3" s="32" t="n">
        <v>60.41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IF(B4=0,"",RANK(B4,$B$2:$B$93,0))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GVPIL</t>
        </is>
      </c>
      <c r="D4" s="31" t="inlineStr">
        <is>
          <t>GE Power India Ltd</t>
        </is>
      </c>
      <c r="E4" s="31" t="inlineStr">
        <is>
          <t>realty</t>
        </is>
      </c>
      <c r="F4" s="31" t="inlineStr">
        <is>
          <t>Infra - General</t>
        </is>
      </c>
      <c r="G4" s="31" t="inlineStr">
        <is>
          <t>midcap</t>
        </is>
      </c>
      <c r="H4" s="32" t="n">
        <v>6561.4</v>
      </c>
      <c r="I4" s="32" t="n">
        <v>976</v>
      </c>
      <c r="J4" s="32" t="n">
        <v>5</v>
      </c>
      <c r="K4" s="32" t="n">
        <v>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88.2</v>
      </c>
      <c r="P4" s="32" t="n">
        <v>58.48</v>
      </c>
      <c r="Q4" s="32" t="inlineStr"/>
      <c r="R4" s="31" t="inlineStr">
        <is>
          <t>Earnings / Momentum Support</t>
        </is>
      </c>
      <c r="S4" s="31" t="inlineStr">
        <is>
          <t>Nifty Realty</t>
        </is>
      </c>
      <c r="T4" s="32" t="n">
        <v>-23.58</v>
      </c>
      <c r="U4" s="32" t="n">
        <v>194.11</v>
      </c>
      <c r="V4" s="32" t="n">
        <v>284.86</v>
      </c>
      <c r="W4" s="32" t="n">
        <v>52.55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Duopoly That Cooperate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Yes due to Product Mix change or Operating Leverage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only for next 1 to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Between 0.7 to 1.2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IF(B5=0,"",RANK(B5,$B$2:$B$93,0))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APOLLO</t>
        </is>
      </c>
      <c r="D5" s="31" t="inlineStr">
        <is>
          <t>Apollo Micro Systems Ltd</t>
        </is>
      </c>
      <c r="E5" s="31" t="inlineStr">
        <is>
          <t>aerospace &amp; defence</t>
        </is>
      </c>
      <c r="F5" s="31" t="inlineStr">
        <is>
          <t>Aerospace &amp; Defence - Equipments</t>
        </is>
      </c>
      <c r="G5" s="31" t="inlineStr">
        <is>
          <t>midcap</t>
        </is>
      </c>
      <c r="H5" s="32" t="n">
        <v>15208.53</v>
      </c>
      <c r="I5" s="32" t="n">
        <v>421.65</v>
      </c>
      <c r="J5" s="32" t="n">
        <v>2.99</v>
      </c>
      <c r="K5" s="32" t="n">
        <v>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71.78</v>
      </c>
      <c r="P5" s="32" t="n">
        <v>37.1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-4.43</v>
      </c>
      <c r="U5" s="32" t="n">
        <v>111.18</v>
      </c>
      <c r="V5" s="32" t="n">
        <v>120.98</v>
      </c>
      <c r="W5" s="32" t="n">
        <v>46.5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IF(B6=0,"",RANK(B6,$B$2:$B$93,0))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IBULLSLTD</t>
        </is>
      </c>
      <c r="D6" s="31" t="inlineStr">
        <is>
          <t>Indiabulls Limited</t>
        </is>
      </c>
      <c r="E6" s="31" t="inlineStr">
        <is>
          <t>miscellaneous</t>
        </is>
      </c>
      <c r="F6" s="31" t="inlineStr">
        <is>
          <t>Diversified</t>
        </is>
      </c>
      <c r="G6" s="31" t="inlineStr">
        <is>
          <t>midcap</t>
        </is>
      </c>
      <c r="H6" s="32" t="n">
        <v>5539.65</v>
      </c>
      <c r="I6" s="32" t="n">
        <v>23.78</v>
      </c>
      <c r="J6" s="32" t="n">
        <v>1.15</v>
      </c>
      <c r="K6" s="32" t="n">
        <v>0</v>
      </c>
      <c r="L6" s="31" t="n">
        <v>95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72.08</v>
      </c>
      <c r="P6" s="32" t="n">
        <v>36.21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-4.43</v>
      </c>
      <c r="U6" s="32" t="n">
        <v>27.43</v>
      </c>
      <c r="V6" s="32" t="n">
        <v>33.34</v>
      </c>
      <c r="W6" s="32" t="n">
        <v>47.45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20</t>
        </is>
      </c>
      <c r="CG6" s="31">
        <f>IF(CF6&gt;20,10,IF(CF6&gt;=10,5,2))</f>
        <v/>
      </c>
    </row>
    <row r="7">
      <c r="A7" s="31">
        <f>IF(B7=0,"",RANK(B7,$B$2:$B$93,0))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MODINSU</t>
        </is>
      </c>
      <c r="D7" s="31" t="inlineStr">
        <is>
          <t>Modern Insulators Ltd</t>
        </is>
      </c>
      <c r="E7" s="31" t="inlineStr">
        <is>
          <t>Technology</t>
        </is>
      </c>
      <c r="F7" s="31" t="inlineStr">
        <is>
          <t>Capital Goods - Electric General</t>
        </is>
      </c>
      <c r="G7" s="31" t="inlineStr">
        <is>
          <t>smallcap</t>
        </is>
      </c>
      <c r="H7" s="32" t="n">
        <v>2042.98</v>
      </c>
      <c r="I7" s="32" t="n">
        <v>433.35</v>
      </c>
      <c r="J7" s="32" t="n">
        <v>4.99</v>
      </c>
      <c r="K7" s="32" t="n">
        <v>0</v>
      </c>
      <c r="L7" s="31" t="n">
        <v>95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68.78</v>
      </c>
      <c r="P7" s="32" t="n">
        <v>42.82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-4.43</v>
      </c>
      <c r="U7" s="32" t="n">
        <v>299.37</v>
      </c>
      <c r="V7" s="32" t="n">
        <v>317.9</v>
      </c>
      <c r="W7" s="32" t="n">
        <v>50.08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Less than 50%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22</t>
        </is>
      </c>
      <c r="CG7" s="31">
        <f>IF(CF7&gt;20,10,IF(CF7&gt;=10,5,2))</f>
        <v/>
      </c>
    </row>
    <row r="8">
      <c r="A8" s="31">
        <f>IF(B8=0,"",RANK(B8,$B$2:$B$93,0))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IOLCP</t>
        </is>
      </c>
      <c r="D8" s="31" t="inlineStr">
        <is>
          <t>IOL Chemicals &amp; Pharmaceuticals Ltd</t>
        </is>
      </c>
      <c r="E8" s="31" t="inlineStr">
        <is>
          <t>healthcare</t>
        </is>
      </c>
      <c r="F8" s="31" t="inlineStr">
        <is>
          <t>Pharma - API &amp; CRAMS</t>
        </is>
      </c>
      <c r="G8" s="31" t="inlineStr">
        <is>
          <t>smallcap</t>
        </is>
      </c>
      <c r="H8" s="32" t="n">
        <v>3919.18</v>
      </c>
      <c r="I8" s="32" t="n">
        <v>133.52</v>
      </c>
      <c r="J8" s="32" t="n">
        <v>-0.54</v>
      </c>
      <c r="K8" s="32" t="n">
        <v>0</v>
      </c>
      <c r="L8" s="31" t="n">
        <v>90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80.97</v>
      </c>
      <c r="P8" s="32" t="n">
        <v>44.74</v>
      </c>
      <c r="Q8" s="32" t="inlineStr"/>
      <c r="R8" s="31" t="inlineStr">
        <is>
          <t>Earnings / Momentum Support</t>
        </is>
      </c>
      <c r="S8" s="31" t="inlineStr">
        <is>
          <t>Nifty Pharma</t>
        </is>
      </c>
      <c r="T8" s="32" t="n">
        <v>10.89</v>
      </c>
      <c r="U8" s="32" t="n">
        <v>53.31</v>
      </c>
      <c r="V8" s="32" t="n">
        <v>38.25</v>
      </c>
      <c r="W8" s="32" t="n">
        <v>35.26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17</t>
        </is>
      </c>
      <c r="CG8" s="31">
        <f>IF(CF8&gt;20,10,IF(CF8&gt;=10,5,2))</f>
        <v/>
      </c>
    </row>
    <row r="9">
      <c r="A9" s="31">
        <f>IF(B9=0,"",RANK(B9,$B$2:$B$93,0))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PRECWIRE</t>
        </is>
      </c>
      <c r="D9" s="31" t="inlineStr">
        <is>
          <t>Precision Wires India Ltd</t>
        </is>
      </c>
      <c r="E9" s="31" t="inlineStr">
        <is>
          <t>Industrials</t>
        </is>
      </c>
      <c r="F9" s="31" t="inlineStr">
        <is>
          <t>Copper Wires</t>
        </is>
      </c>
      <c r="G9" s="31" t="inlineStr">
        <is>
          <t>midcap</t>
        </is>
      </c>
      <c r="H9" s="32" t="n">
        <v>7381.79</v>
      </c>
      <c r="I9" s="32" t="n">
        <v>403.8</v>
      </c>
      <c r="J9" s="32" t="n">
        <v>3.08</v>
      </c>
      <c r="K9" s="32" t="n">
        <v>0</v>
      </c>
      <c r="L9" s="31" t="n">
        <v>82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62.63</v>
      </c>
      <c r="P9" s="32" t="n">
        <v>66.8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-4.43</v>
      </c>
      <c r="U9" s="32" t="n">
        <v>115.3</v>
      </c>
      <c r="V9" s="32" t="n">
        <v>125.29</v>
      </c>
      <c r="W9" s="32" t="n">
        <v>25.28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IF(B10=0,"",RANK(B10,$B$2:$B$93,0))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GVT&amp;D</t>
        </is>
      </c>
      <c r="D10" s="31" t="inlineStr">
        <is>
          <t>GE Vernova T&amp;D India Ltd</t>
        </is>
      </c>
      <c r="E10" s="31" t="inlineStr">
        <is>
          <t>Industrials</t>
        </is>
      </c>
      <c r="F10" s="31" t="inlineStr">
        <is>
          <t>Electrical Equipments/HVDC</t>
        </is>
      </c>
      <c r="G10" s="31" t="inlineStr">
        <is>
          <t>largecap</t>
        </is>
      </c>
      <c r="H10" s="32" t="n">
        <v>123043.16</v>
      </c>
      <c r="I10" s="32" t="n">
        <v>4805.5</v>
      </c>
      <c r="J10" s="32" t="n">
        <v>-2.77</v>
      </c>
      <c r="K10" s="32" t="n">
        <v>0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69.38</v>
      </c>
      <c r="P10" s="32" t="n">
        <v>50.23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-4.43</v>
      </c>
      <c r="U10" s="32" t="n">
        <v>113.2</v>
      </c>
      <c r="V10" s="32" t="n">
        <v>123.09</v>
      </c>
      <c r="W10" s="32" t="n">
        <v>24.42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IF(B11=0,"",RANK(B11,$B$2:$B$93,0))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INDOBORAX</t>
        </is>
      </c>
      <c r="D11" s="31" t="inlineStr">
        <is>
          <t>Indo Borax &amp; Chemicals Ltd</t>
        </is>
      </c>
      <c r="E11" s="31" t="inlineStr">
        <is>
          <t>chemicals</t>
        </is>
      </c>
      <c r="F11" s="31" t="inlineStr">
        <is>
          <t>Chemicals - Inorganic</t>
        </is>
      </c>
      <c r="G11" s="31" t="inlineStr">
        <is>
          <t>smallcap</t>
        </is>
      </c>
      <c r="H11" s="32" t="n">
        <v>1196.8</v>
      </c>
      <c r="I11" s="32" t="n">
        <v>372.95</v>
      </c>
      <c r="J11" s="32" t="n">
        <v>-0.13</v>
      </c>
      <c r="K11" s="32" t="n">
        <v>0</v>
      </c>
      <c r="L11" s="31" t="n">
        <v>82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82.41</v>
      </c>
      <c r="P11" s="32" t="n">
        <v>52.55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-4.43</v>
      </c>
      <c r="U11" s="32" t="n">
        <v>83.33</v>
      </c>
      <c r="V11" s="32" t="n">
        <v>91.83</v>
      </c>
      <c r="W11" s="32" t="n">
        <v>25.44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IF(B12=0,"",RANK(B12,$B$2:$B$93,0))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VENUSREM</t>
        </is>
      </c>
      <c r="D12" s="31" t="inlineStr">
        <is>
          <t>Venus Remedies Ltd</t>
        </is>
      </c>
      <c r="E12" s="31" t="inlineStr">
        <is>
          <t>healthcare</t>
        </is>
      </c>
      <c r="F12" s="31" t="inlineStr">
        <is>
          <t>Pharmaceuticals - I V Fluids</t>
        </is>
      </c>
      <c r="G12" s="31" t="inlineStr">
        <is>
          <t>smallcap</t>
        </is>
      </c>
      <c r="H12" s="32" t="n">
        <v>2517</v>
      </c>
      <c r="I12" s="32" t="n">
        <v>1883</v>
      </c>
      <c r="J12" s="32" t="n">
        <v>4.76</v>
      </c>
      <c r="K12" s="32" t="n">
        <v>0</v>
      </c>
      <c r="L12" s="31" t="n">
        <v>97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82.7</v>
      </c>
      <c r="P12" s="32" t="n">
        <v>52.68</v>
      </c>
      <c r="Q12" s="32" t="inlineStr"/>
      <c r="R12" s="31" t="inlineStr">
        <is>
          <t>Earnings / Momentum Support</t>
        </is>
      </c>
      <c r="S12" s="31" t="inlineStr">
        <is>
          <t>Nifty Pharma</t>
        </is>
      </c>
      <c r="T12" s="32" t="n">
        <v>10.89</v>
      </c>
      <c r="U12" s="32" t="n">
        <v>293.07</v>
      </c>
      <c r="V12" s="32" t="n">
        <v>254.46</v>
      </c>
      <c r="W12" s="32" t="n">
        <v>58.33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26</t>
        </is>
      </c>
      <c r="CG12" s="31">
        <f>IF(CF12&gt;20,10,IF(CF12&gt;=10,5,2))</f>
        <v/>
      </c>
    </row>
    <row r="13">
      <c r="A13" s="31">
        <f>IF(B13=0,"",RANK(B13,$B$2:$B$93,0))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BAJAJCON</t>
        </is>
      </c>
      <c r="D13" s="31" t="inlineStr">
        <is>
          <t>Bajaj Consumer Care Ltd</t>
        </is>
      </c>
      <c r="E13" s="31" t="inlineStr">
        <is>
          <t>fmcg</t>
        </is>
      </c>
      <c r="F13" s="31" t="inlineStr">
        <is>
          <t>FMCG - Personal Care</t>
        </is>
      </c>
      <c r="G13" s="31" t="inlineStr">
        <is>
          <t>midcap</t>
        </is>
      </c>
      <c r="H13" s="32" t="n">
        <v>7737.83</v>
      </c>
      <c r="I13" s="32" t="n">
        <v>592.4</v>
      </c>
      <c r="J13" s="32" t="n">
        <v>0.13</v>
      </c>
      <c r="K13" s="32" t="n">
        <v>0</v>
      </c>
      <c r="L13" s="31" t="n">
        <v>94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77.31999999999999</v>
      </c>
      <c r="P13" s="32" t="n">
        <v>55.82</v>
      </c>
      <c r="Q13" s="32" t="inlineStr"/>
      <c r="R13" s="31" t="inlineStr">
        <is>
          <t>Earnings / Momentum Support</t>
        </is>
      </c>
      <c r="S13" s="31" t="inlineStr">
        <is>
          <t>Nifty FMCG</t>
        </is>
      </c>
      <c r="T13" s="32" t="n">
        <v>-10.45</v>
      </c>
      <c r="U13" s="32" t="n">
        <v>233.59</v>
      </c>
      <c r="V13" s="32" t="n">
        <v>272.53</v>
      </c>
      <c r="W13" s="32" t="n">
        <v>45.08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25</t>
        </is>
      </c>
      <c r="CG13" s="31">
        <f>IF(CF13&gt;20,10,IF(CF13&gt;=10,5,2))</f>
        <v/>
      </c>
    </row>
    <row r="14">
      <c r="A14" s="31">
        <f>IF(B14=0,"",RANK(B14,$B$2:$B$93,0))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BLISSGVS</t>
        </is>
      </c>
      <c r="D14" s="31" t="inlineStr">
        <is>
          <t>Bliss GVS Pharma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smallcap</t>
        </is>
      </c>
      <c r="H14" s="32" t="n">
        <v>4661.7</v>
      </c>
      <c r="I14" s="32" t="n">
        <v>439.55</v>
      </c>
      <c r="J14" s="32" t="n">
        <v>0.39</v>
      </c>
      <c r="K14" s="32" t="n">
        <v>0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88.26000000000001</v>
      </c>
      <c r="P14" s="32" t="n">
        <v>63.36</v>
      </c>
      <c r="Q14" s="32" t="inlineStr"/>
      <c r="R14" s="31" t="inlineStr">
        <is>
          <t>Earnings / Momentum Support</t>
        </is>
      </c>
      <c r="S14" s="31" t="inlineStr">
        <is>
          <t>Nifty Pharma</t>
        </is>
      </c>
      <c r="T14" s="32" t="n">
        <v>10.89</v>
      </c>
      <c r="U14" s="32" t="n">
        <v>194.84</v>
      </c>
      <c r="V14" s="32" t="n">
        <v>165.88</v>
      </c>
      <c r="W14" s="32" t="n">
        <v>53.79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22</t>
        </is>
      </c>
      <c r="CG14" s="31">
        <f>IF(CF14&gt;20,10,IF(CF14&gt;=10,5,2))</f>
        <v/>
      </c>
    </row>
    <row r="15">
      <c r="A15" s="31">
        <f>IF(B15=0,"",RANK(B15,$B$2:$B$93,0))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THANGAMAYL</t>
        </is>
      </c>
      <c r="D15" s="31" t="inlineStr">
        <is>
          <t>Thangamayil Jewellery Ltd</t>
        </is>
      </c>
      <c r="E15" s="31" t="inlineStr">
        <is>
          <t>consumer discretionary</t>
        </is>
      </c>
      <c r="F15" s="31" t="inlineStr">
        <is>
          <t>Diamond, Gems &amp; Jewellery</t>
        </is>
      </c>
      <c r="G15" s="31" t="inlineStr">
        <is>
          <t>midcap</t>
        </is>
      </c>
      <c r="H15" s="32" t="n">
        <v>17099.77</v>
      </c>
      <c r="I15" s="32" t="n">
        <v>5501.5</v>
      </c>
      <c r="J15" s="32" t="n">
        <v>0.42</v>
      </c>
      <c r="K15" s="32" t="n">
        <v>0</v>
      </c>
      <c r="L15" s="31" t="n">
        <v>91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71.18000000000001</v>
      </c>
      <c r="P15" s="32" t="n">
        <v>40.06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-4.43</v>
      </c>
      <c r="U15" s="32" t="n">
        <v>197.76</v>
      </c>
      <c r="V15" s="32" t="n">
        <v>211.57</v>
      </c>
      <c r="W15" s="32" t="n">
        <v>37.47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33</t>
        </is>
      </c>
      <c r="CG15" s="31">
        <f>IF(CF15&gt;20,10,IF(CF15&gt;=10,5,2))</f>
        <v/>
      </c>
    </row>
    <row r="16">
      <c r="A16" s="31">
        <f>IF(B16=0,"",RANK(B16,$B$2:$B$93,0))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AEGISLOG</t>
        </is>
      </c>
      <c r="D16" s="31" t="inlineStr">
        <is>
          <t>Aegis Logistics Ltd</t>
        </is>
      </c>
      <c r="E16" s="31" t="inlineStr">
        <is>
          <t>services</t>
        </is>
      </c>
      <c r="F16" s="31" t="inlineStr">
        <is>
          <t>Logistics</t>
        </is>
      </c>
      <c r="G16" s="31" t="inlineStr">
        <is>
          <t>largecap</t>
        </is>
      </c>
      <c r="H16" s="32" t="n">
        <v>34548.93</v>
      </c>
      <c r="I16" s="32" t="n">
        <v>984.3</v>
      </c>
      <c r="J16" s="32" t="n">
        <v>4.22</v>
      </c>
      <c r="K16" s="32" t="n">
        <v>0</v>
      </c>
      <c r="L16" s="31" t="n">
        <v>68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72.40000000000001</v>
      </c>
      <c r="P16" s="32" t="n">
        <v>23.07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-4.43</v>
      </c>
      <c r="U16" s="32" t="n">
        <v>20.77</v>
      </c>
      <c r="V16" s="32" t="n">
        <v>26.37</v>
      </c>
      <c r="W16" s="32" t="n">
        <v>18.14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30</t>
        </is>
      </c>
      <c r="CG16" s="31">
        <f>IF(CF16&gt;20,10,IF(CF16&gt;=10,5,2))</f>
        <v/>
      </c>
    </row>
    <row r="17">
      <c r="A17" s="31">
        <f>IF(B17=0,"",RANK(B17,$B$2:$B$93,0))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SEKURITIND</t>
        </is>
      </c>
      <c r="D17" s="31" t="inlineStr">
        <is>
          <t>Saint-Gobain Sekurit India Ltd</t>
        </is>
      </c>
      <c r="E17" s="31" t="inlineStr">
        <is>
          <t>Consumer Cyclical</t>
        </is>
      </c>
      <c r="F17" s="31" t="inlineStr">
        <is>
          <t>Glass &amp; Glass Products</t>
        </is>
      </c>
      <c r="G17" s="31" t="inlineStr">
        <is>
          <t>smallcap</t>
        </is>
      </c>
      <c r="H17" s="32" t="n">
        <v>1158.86</v>
      </c>
      <c r="I17" s="32" t="n">
        <v>127.2</v>
      </c>
      <c r="J17" s="32" t="n">
        <v>1.11</v>
      </c>
      <c r="K17" s="32" t="n">
        <v>0</v>
      </c>
      <c r="L17" s="31" t="n">
        <v>45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67.02</v>
      </c>
      <c r="P17" s="32" t="n">
        <v>31.48</v>
      </c>
      <c r="Q17" s="32" t="inlineStr"/>
      <c r="R17" s="31" t="inlineStr">
        <is>
          <t>Earnings / Momentum Support</t>
        </is>
      </c>
      <c r="S17" s="31" t="inlineStr">
        <is>
          <t>Nifty Auto</t>
        </is>
      </c>
      <c r="T17" s="32" t="n">
        <v>12.72</v>
      </c>
      <c r="U17" s="32" t="n">
        <v>14.43</v>
      </c>
      <c r="V17" s="32" t="n">
        <v>1.52</v>
      </c>
      <c r="W17" s="32" t="n">
        <v>10.9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24</t>
        </is>
      </c>
      <c r="CG17" s="31">
        <f>IF(CF17&gt;20,10,IF(CF17&gt;=10,5,2))</f>
        <v/>
      </c>
    </row>
    <row r="18">
      <c r="A18" s="31">
        <f>IF(B18=0,"",RANK(B18,$B$2:$B$93,0))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WHEELS</t>
        </is>
      </c>
      <c r="D18" s="31" t="inlineStr">
        <is>
          <t>Wheels India Ltd</t>
        </is>
      </c>
      <c r="E18" s="31" t="inlineStr">
        <is>
          <t>auto</t>
        </is>
      </c>
      <c r="F18" s="31" t="inlineStr">
        <is>
          <t>Auto Ancillaries - Wheels</t>
        </is>
      </c>
      <c r="G18" s="31" t="inlineStr">
        <is>
          <t>smallcap</t>
        </is>
      </c>
      <c r="H18" s="32" t="n">
        <v>3929.07</v>
      </c>
      <c r="I18" s="32" t="n">
        <v>1608.1</v>
      </c>
      <c r="J18" s="32" t="n">
        <v>-1.63</v>
      </c>
      <c r="K18" s="32" t="n">
        <v>0</v>
      </c>
      <c r="L18" s="31" t="n">
        <v>90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73.42</v>
      </c>
      <c r="P18" s="32" t="n">
        <v>53.57</v>
      </c>
      <c r="Q18" s="32" t="inlineStr"/>
      <c r="R18" s="31" t="inlineStr">
        <is>
          <t>Earnings / Momentum Support</t>
        </is>
      </c>
      <c r="S18" s="31" t="inlineStr">
        <is>
          <t>Nifty Auto</t>
        </is>
      </c>
      <c r="T18" s="32" t="n">
        <v>12.72</v>
      </c>
      <c r="U18" s="32" t="n">
        <v>121.54</v>
      </c>
      <c r="V18" s="32" t="n">
        <v>96.55</v>
      </c>
      <c r="W18" s="32" t="n">
        <v>36.92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Less than 12%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24</t>
        </is>
      </c>
      <c r="CG18" s="31">
        <f>IF(CF18&gt;20,10,IF(CF18&gt;=10,5,2))</f>
        <v/>
      </c>
    </row>
    <row r="19">
      <c r="A19" s="31">
        <f>IF(B19=0,"",RANK(B19,$B$2:$B$93,0))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GAYAPROJ</t>
        </is>
      </c>
      <c r="D19" s="31" t="inlineStr">
        <is>
          <t>Gayatri Projects Ltd</t>
        </is>
      </c>
      <c r="E19" s="31" t="inlineStr">
        <is>
          <t>realty</t>
        </is>
      </c>
      <c r="F19" s="31" t="inlineStr">
        <is>
          <t>Construction - Civil/Turnkey</t>
        </is>
      </c>
      <c r="G19" s="31" t="inlineStr">
        <is>
          <t>smallcap</t>
        </is>
      </c>
      <c r="H19" s="32" t="n">
        <v>1065.57</v>
      </c>
      <c r="I19" s="32" t="n">
        <v>22.95</v>
      </c>
      <c r="J19" s="32" t="n">
        <v>4.99</v>
      </c>
      <c r="K19" s="32" t="n">
        <v>0</v>
      </c>
      <c r="L19" s="31" t="n">
        <v>90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75.62</v>
      </c>
      <c r="P19" s="32" t="n">
        <v>59.55</v>
      </c>
      <c r="Q19" s="32" t="inlineStr"/>
      <c r="R19" s="31" t="inlineStr">
        <is>
          <t>Earnings / Momentum Support</t>
        </is>
      </c>
      <c r="S19" s="31" t="inlineStr">
        <is>
          <t>Nifty Realty</t>
        </is>
      </c>
      <c r="T19" s="32" t="n">
        <v>-23.58</v>
      </c>
      <c r="U19" s="32" t="n">
        <v>146.45</v>
      </c>
      <c r="V19" s="32" t="n">
        <v>222.49</v>
      </c>
      <c r="W19" s="32" t="n">
        <v>36.49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21</t>
        </is>
      </c>
      <c r="CG19" s="31">
        <f>IF(CF19&gt;20,10,IF(CF19&gt;=10,5,2))</f>
        <v/>
      </c>
    </row>
    <row r="20">
      <c r="A20" s="31">
        <f>IF(B20=0,"",RANK(B20,$B$2:$B$93,0))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NETWEB</t>
        </is>
      </c>
      <c r="D20" s="31" t="inlineStr">
        <is>
          <t>Netweb Technologies India Ltd</t>
        </is>
      </c>
      <c r="E20" s="31" t="inlineStr">
        <is>
          <t>i.t</t>
        </is>
      </c>
      <c r="F20" s="31" t="inlineStr">
        <is>
          <t>Data Centre</t>
        </is>
      </c>
      <c r="G20" s="31" t="inlineStr">
        <is>
          <t>largecap</t>
        </is>
      </c>
      <c r="H20" s="32" t="n">
        <v>26262.75</v>
      </c>
      <c r="I20" s="32" t="n">
        <v>4612.3</v>
      </c>
      <c r="J20" s="32" t="n">
        <v>0.54</v>
      </c>
      <c r="K20" s="32" t="n">
        <v>0</v>
      </c>
      <c r="L20" s="31" t="n">
        <v>88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64.54000000000001</v>
      </c>
      <c r="P20" s="32" t="n">
        <v>44.64</v>
      </c>
      <c r="Q20" s="32" t="inlineStr"/>
      <c r="R20" s="31" t="inlineStr">
        <is>
          <t>Earnings / Momentum Support</t>
        </is>
      </c>
      <c r="S20" s="31" t="inlineStr">
        <is>
          <t>Nifty IT</t>
        </is>
      </c>
      <c r="T20" s="32" t="n">
        <v>-27.75</v>
      </c>
      <c r="U20" s="32" t="n">
        <v>157.77</v>
      </c>
      <c r="V20" s="32" t="n">
        <v>256.75</v>
      </c>
      <c r="W20" s="32" t="n">
        <v>32.3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IF(B21=0,"",RANK(B21,$B$2:$B$93,0))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ATHERENERG</t>
        </is>
      </c>
      <c r="D21" s="31" t="inlineStr">
        <is>
          <t>Ather Energy Ltd</t>
        </is>
      </c>
      <c r="E21" s="31" t="inlineStr">
        <is>
          <t>auto</t>
        </is>
      </c>
      <c r="F21" s="31" t="inlineStr">
        <is>
          <t>Auto - 2 &amp; 3 Wheelers</t>
        </is>
      </c>
      <c r="G21" s="31" t="inlineStr">
        <is>
          <t>largecap</t>
        </is>
      </c>
      <c r="H21" s="32" t="n">
        <v>39361.85</v>
      </c>
      <c r="I21" s="32" t="n">
        <v>1027.4</v>
      </c>
      <c r="J21" s="32" t="n">
        <v>-0.13</v>
      </c>
      <c r="K21" s="32" t="n">
        <v>0</v>
      </c>
      <c r="L21" s="31" t="n">
        <v>92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73.01000000000001</v>
      </c>
      <c r="P21" s="32" t="n">
        <v>50.14</v>
      </c>
      <c r="Q21" s="32" t="inlineStr"/>
      <c r="R21" s="31" t="inlineStr">
        <is>
          <t>Earnings / Momentum Support</t>
        </is>
      </c>
      <c r="S21" s="31" t="inlineStr">
        <is>
          <t>Nifty Auto</t>
        </is>
      </c>
      <c r="T21" s="32" t="n">
        <v>12.72</v>
      </c>
      <c r="U21" s="32" t="n">
        <v>227.61</v>
      </c>
      <c r="V21" s="32" t="n">
        <v>190.65</v>
      </c>
      <c r="W21" s="32" t="n">
        <v>38.56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Negative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17</t>
        </is>
      </c>
      <c r="CG21" s="31">
        <f>IF(CF21&gt;20,10,IF(CF21&gt;=10,5,2))</f>
        <v/>
      </c>
    </row>
    <row r="22">
      <c r="A22" s="31">
        <f>IF(B22=0,"",RANK(B22,$B$2:$B$93,0))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CUPID</t>
        </is>
      </c>
      <c r="D22" s="31" t="inlineStr">
        <is>
          <t>Cupid Ltd</t>
        </is>
      </c>
      <c r="E22" s="31" t="inlineStr">
        <is>
          <t>fmcg</t>
        </is>
      </c>
      <c r="F22" s="31" t="inlineStr">
        <is>
          <t>Contraceptives/Protectives</t>
        </is>
      </c>
      <c r="G22" s="31" t="inlineStr">
        <is>
          <t>largecap</t>
        </is>
      </c>
      <c r="H22" s="32" t="n">
        <v>22164.04</v>
      </c>
      <c r="I22" s="32" t="n">
        <v>164.83</v>
      </c>
      <c r="J22" s="32" t="n">
        <v>3.04</v>
      </c>
      <c r="K22" s="32" t="n">
        <v>0</v>
      </c>
      <c r="L22" s="31" t="n">
        <v>99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81.55</v>
      </c>
      <c r="P22" s="32" t="n">
        <v>48.31</v>
      </c>
      <c r="Q22" s="32" t="inlineStr"/>
      <c r="R22" s="31" t="inlineStr">
        <is>
          <t>Earnings / Momentum Support</t>
        </is>
      </c>
      <c r="S22" s="31" t="inlineStr">
        <is>
          <t>Nifty FMCG</t>
        </is>
      </c>
      <c r="T22" s="32" t="n">
        <v>-10.45</v>
      </c>
      <c r="U22" s="32" t="n">
        <v>726.97</v>
      </c>
      <c r="V22" s="32" t="n">
        <v>823.51</v>
      </c>
      <c r="W22" s="32" t="n">
        <v>84.01000000000001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23</t>
        </is>
      </c>
      <c r="CG22" s="31">
        <f>IF(CF22&gt;20,10,IF(CF22&gt;=10,5,2))</f>
        <v/>
      </c>
    </row>
    <row r="23">
      <c r="A23" s="31">
        <f>IF(B23=0,"",RANK(B23,$B$2:$B$93,0))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SAKAR</t>
        </is>
      </c>
      <c r="D23" s="31" t="inlineStr">
        <is>
          <t>Sakar Healthcare Ltd</t>
        </is>
      </c>
      <c r="E23" s="31" t="inlineStr">
        <is>
          <t>healthcare</t>
        </is>
      </c>
      <c r="F23" s="31" t="inlineStr">
        <is>
          <t>Hospitals</t>
        </is>
      </c>
      <c r="G23" s="31" t="inlineStr">
        <is>
          <t>smallcap</t>
        </is>
      </c>
      <c r="H23" s="32" t="n">
        <v>1878.23</v>
      </c>
      <c r="I23" s="32" t="n">
        <v>844.15</v>
      </c>
      <c r="J23" s="32" t="n">
        <v>2.43</v>
      </c>
      <c r="K23" s="32" t="n">
        <v>0</v>
      </c>
      <c r="L23" s="31" t="n">
        <v>89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76.54000000000001</v>
      </c>
      <c r="P23" s="32" t="n">
        <v>53.72</v>
      </c>
      <c r="Q23" s="32" t="inlineStr"/>
      <c r="R23" s="31" t="inlineStr">
        <is>
          <t>Earnings / Momentum Support</t>
        </is>
      </c>
      <c r="S23" s="31" t="inlineStr">
        <is>
          <t>Nifty Pharma</t>
        </is>
      </c>
      <c r="T23" s="32" t="n">
        <v>10.89</v>
      </c>
      <c r="U23" s="32" t="n">
        <v>163.04</v>
      </c>
      <c r="V23" s="32" t="n">
        <v>137.2</v>
      </c>
      <c r="W23" s="32" t="n">
        <v>34.72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IF(B24=0,"",RANK(B24,$B$2:$B$93,0))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PARAS</t>
        </is>
      </c>
      <c r="D24" s="31" t="inlineStr">
        <is>
          <t>Paras Defence and Space Technologies Ltd</t>
        </is>
      </c>
      <c r="E24" s="31" t="inlineStr">
        <is>
          <t>aerospace &amp; defence</t>
        </is>
      </c>
      <c r="F24" s="31" t="inlineStr">
        <is>
          <t>Aerospace &amp; Defence - Equipments</t>
        </is>
      </c>
      <c r="G24" s="31" t="inlineStr">
        <is>
          <t>midcap</t>
        </is>
      </c>
      <c r="H24" s="32" t="n">
        <v>8930.280000000001</v>
      </c>
      <c r="I24" s="32" t="n">
        <v>1108.15</v>
      </c>
      <c r="J24" s="32" t="n">
        <v>1</v>
      </c>
      <c r="K24" s="32" t="n">
        <v>0</v>
      </c>
      <c r="L24" s="31" t="n">
        <v>79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72.98999999999999</v>
      </c>
      <c r="P24" s="32" t="n">
        <v>40.49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-4.43</v>
      </c>
      <c r="U24" s="32" t="n">
        <v>35.11</v>
      </c>
      <c r="V24" s="32" t="n">
        <v>41.38</v>
      </c>
      <c r="W24" s="32" t="n">
        <v>24.16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24</t>
        </is>
      </c>
      <c r="CG24" s="31">
        <f>IF(CF24&gt;20,10,IF(CF24&gt;=10,5,2))</f>
        <v/>
      </c>
    </row>
    <row r="25">
      <c r="A25" s="31">
        <f>IF(B25=0,"",RANK(B25,$B$2:$B$93,0))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RPTECH</t>
        </is>
      </c>
      <c r="D25" s="31" t="inlineStr">
        <is>
          <t>Rashi Peripherals Ltd</t>
        </is>
      </c>
      <c r="E25" s="31" t="inlineStr">
        <is>
          <t>services</t>
        </is>
      </c>
      <c r="F25" s="31" t="inlineStr">
        <is>
          <t>Trading</t>
        </is>
      </c>
      <c r="G25" s="31" t="inlineStr">
        <is>
          <t>smallcap</t>
        </is>
      </c>
      <c r="H25" s="32" t="n">
        <v>3698.62</v>
      </c>
      <c r="I25" s="32" t="n">
        <v>561.25</v>
      </c>
      <c r="J25" s="32" t="n">
        <v>0.51</v>
      </c>
      <c r="K25" s="32" t="n">
        <v>0</v>
      </c>
      <c r="L25" s="31" t="n">
        <v>83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78.42</v>
      </c>
      <c r="P25" s="32" t="n">
        <v>52.57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-4.43</v>
      </c>
      <c r="U25" s="32" t="n">
        <v>80.52</v>
      </c>
      <c r="V25" s="32" t="n">
        <v>88.89</v>
      </c>
      <c r="W25" s="32" t="n">
        <v>27.42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IF(B26=0,"",RANK(B26,$B$2:$B$93,0))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SYRMA</t>
        </is>
      </c>
      <c r="D26" s="31" t="inlineStr">
        <is>
          <t>Syrma SGS Technology Ltd</t>
        </is>
      </c>
      <c r="E26" s="31" t="inlineStr">
        <is>
          <t>consumer discretionary</t>
        </is>
      </c>
      <c r="F26" s="31" t="inlineStr">
        <is>
          <t>Consumer Electronics - EMS</t>
        </is>
      </c>
      <c r="G26" s="31" t="inlineStr">
        <is>
          <t>largecap</t>
        </is>
      </c>
      <c r="H26" s="32" t="n">
        <v>25089.17</v>
      </c>
      <c r="I26" s="32" t="n">
        <v>1301.1</v>
      </c>
      <c r="J26" s="32" t="n">
        <v>2.72</v>
      </c>
      <c r="K26" s="32" t="n">
        <v>0</v>
      </c>
      <c r="L26" s="31" t="n">
        <v>93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74.45</v>
      </c>
      <c r="P26" s="32" t="n">
        <v>37.43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-4.43</v>
      </c>
      <c r="U26" s="32" t="n">
        <v>142.76</v>
      </c>
      <c r="V26" s="32" t="n">
        <v>154.02</v>
      </c>
      <c r="W26" s="32" t="n">
        <v>39.06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Between 1.5 to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IF(B27=0,"",RANK(B27,$B$2:$B$93,0))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TIMEX</t>
        </is>
      </c>
      <c r="D27" s="31" t="inlineStr">
        <is>
          <t>Timex Group India Ltd</t>
        </is>
      </c>
      <c r="E27" s="31" t="inlineStr">
        <is>
          <t>Consumer Cyclical</t>
        </is>
      </c>
      <c r="F27" s="31" t="inlineStr">
        <is>
          <t>Watches</t>
        </is>
      </c>
      <c r="G27" s="31" t="inlineStr">
        <is>
          <t>smallcap</t>
        </is>
      </c>
      <c r="H27" s="32" t="n">
        <v>4995.01</v>
      </c>
      <c r="I27" s="32" t="n">
        <v>494.8</v>
      </c>
      <c r="J27" s="32" t="n">
        <v>0.23</v>
      </c>
      <c r="K27" s="32" t="n">
        <v>0</v>
      </c>
      <c r="L27" s="31" t="n">
        <v>88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74.59999999999999</v>
      </c>
      <c r="P27" s="32" t="n">
        <v>29.87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-4.43</v>
      </c>
      <c r="U27" s="32" t="n">
        <v>80.66</v>
      </c>
      <c r="V27" s="32" t="n">
        <v>89.04000000000001</v>
      </c>
      <c r="W27" s="32" t="n">
        <v>31.92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IF(B28=0,"",RANK(B28,$B$2:$B$93,0))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MTARTECH</t>
        </is>
      </c>
      <c r="D28" s="31" t="inlineStr">
        <is>
          <t>MTAR Technologies Ltd</t>
        </is>
      </c>
      <c r="E28" s="31" t="inlineStr">
        <is>
          <t>Industrials</t>
        </is>
      </c>
      <c r="F28" s="31" t="inlineStr">
        <is>
          <t>Aerospace &amp; Defence - Equipments</t>
        </is>
      </c>
      <c r="G28" s="31" t="inlineStr">
        <is>
          <t>largecap</t>
        </is>
      </c>
      <c r="H28" s="32" t="n">
        <v>22589.84</v>
      </c>
      <c r="I28" s="32" t="n">
        <v>7344</v>
      </c>
      <c r="J28" s="32" t="n">
        <v>2.58</v>
      </c>
      <c r="K28" s="32" t="n">
        <v>0</v>
      </c>
      <c r="L28" s="31" t="n">
        <v>98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75.42</v>
      </c>
      <c r="P28" s="32" t="n">
        <v>62.83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-4.43</v>
      </c>
      <c r="U28" s="32" t="n">
        <v>325.22</v>
      </c>
      <c r="V28" s="32" t="n">
        <v>344.95</v>
      </c>
      <c r="W28" s="32" t="n">
        <v>61.3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IF(B29=0,"",RANK(B29,$B$2:$B$93,0))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SEAMECLTD</t>
        </is>
      </c>
      <c r="D29" s="31" t="inlineStr">
        <is>
          <t>SEAMEC Ltd</t>
        </is>
      </c>
      <c r="E29" s="31" t="inlineStr">
        <is>
          <t>Industrials</t>
        </is>
      </c>
      <c r="F29" s="31" t="inlineStr">
        <is>
          <t>Shipping</t>
        </is>
      </c>
      <c r="G29" s="31" t="inlineStr">
        <is>
          <t>smallcap</t>
        </is>
      </c>
      <c r="H29" s="32" t="n">
        <v>4090.12</v>
      </c>
      <c r="I29" s="32" t="n">
        <v>1608.7</v>
      </c>
      <c r="J29" s="32" t="n">
        <v>1.59</v>
      </c>
      <c r="K29" s="32" t="n">
        <v>0</v>
      </c>
      <c r="L29" s="31" t="n">
        <v>66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69.40000000000001</v>
      </c>
      <c r="P29" s="32" t="n">
        <v>56.1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-4.43</v>
      </c>
      <c r="U29" s="32" t="n">
        <v>84.15000000000001</v>
      </c>
      <c r="V29" s="32" t="n">
        <v>92.69</v>
      </c>
      <c r="W29" s="32" t="n">
        <v>17.35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IF(B30=0,"",RANK(B30,$B$2:$B$93,0))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MAYURUNIQ</t>
        </is>
      </c>
      <c r="D30" s="31" t="inlineStr">
        <is>
          <t>Mayur Uniquoters Ltd</t>
        </is>
      </c>
      <c r="E30" s="31" t="inlineStr">
        <is>
          <t>consumer discretionary</t>
        </is>
      </c>
      <c r="F30" s="31" t="inlineStr">
        <is>
          <t>Plastics - Plastic &amp; Plastic Products</t>
        </is>
      </c>
      <c r="G30" s="31" t="inlineStr">
        <is>
          <t>smallcap</t>
        </is>
      </c>
      <c r="H30" s="32" t="n">
        <v>3463.61</v>
      </c>
      <c r="I30" s="32" t="n">
        <v>797.1</v>
      </c>
      <c r="J30" s="32" t="n">
        <v>0.49</v>
      </c>
      <c r="K30" s="32" t="n">
        <v>0</v>
      </c>
      <c r="L30" s="31" t="n">
        <v>73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77.54000000000001</v>
      </c>
      <c r="P30" s="32" t="n">
        <v>40.58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-4.43</v>
      </c>
      <c r="U30" s="32" t="n">
        <v>38.37</v>
      </c>
      <c r="V30" s="32" t="n">
        <v>44.79</v>
      </c>
      <c r="W30" s="32" t="n">
        <v>20.53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IF(B31=0,"",RANK(B31,$B$2:$B$93,0))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SANSERA</t>
        </is>
      </c>
      <c r="D31" s="31" t="inlineStr">
        <is>
          <t>Sansera Engineering Ltd</t>
        </is>
      </c>
      <c r="E31" s="31" t="inlineStr">
        <is>
          <t>auto</t>
        </is>
      </c>
      <c r="F31" s="31" t="inlineStr">
        <is>
          <t>Auto Ancillaries - Diversified</t>
        </is>
      </c>
      <c r="G31" s="31" t="inlineStr">
        <is>
          <t>midcap</t>
        </is>
      </c>
      <c r="H31" s="32" t="n">
        <v>18326.25</v>
      </c>
      <c r="I31" s="32" t="n">
        <v>2940.1</v>
      </c>
      <c r="J31" s="32" t="n">
        <v>0.89</v>
      </c>
      <c r="K31" s="32" t="n">
        <v>0</v>
      </c>
      <c r="L31" s="31" t="n">
        <v>85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73.15000000000001</v>
      </c>
      <c r="P31" s="32" t="n">
        <v>41.61</v>
      </c>
      <c r="Q31" s="32" t="inlineStr"/>
      <c r="R31" s="31" t="inlineStr">
        <is>
          <t>Earnings / Momentum Support</t>
        </is>
      </c>
      <c r="S31" s="31" t="inlineStr">
        <is>
          <t>Nifty Auto</t>
        </is>
      </c>
      <c r="T31" s="32" t="n">
        <v>12.72</v>
      </c>
      <c r="U31" s="32" t="n">
        <v>122.25</v>
      </c>
      <c r="V31" s="32" t="n">
        <v>97.18000000000001</v>
      </c>
      <c r="W31" s="32" t="n">
        <v>28.27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17</t>
        </is>
      </c>
      <c r="CG31" s="31">
        <f>IF(CF31&gt;20,10,IF(CF31&gt;=10,5,2))</f>
        <v/>
      </c>
    </row>
    <row r="32">
      <c r="A32" s="31">
        <f>IF(B32=0,"",RANK(B32,$B$2:$B$93,0))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KPL</t>
        </is>
      </c>
      <c r="D32" s="31" t="inlineStr">
        <is>
          <t>Kwality Pharmaceuticals Ltd</t>
        </is>
      </c>
      <c r="E32" s="31" t="inlineStr">
        <is>
          <t>Healthcare</t>
        </is>
      </c>
      <c r="F32" s="31" t="inlineStr">
        <is>
          <t>Pharma - Formulators</t>
        </is>
      </c>
      <c r="G32" s="31" t="inlineStr">
        <is>
          <t>smallcap</t>
        </is>
      </c>
      <c r="H32" s="32" t="n">
        <v>2494.54</v>
      </c>
      <c r="I32" s="32" t="n">
        <v>2404.1</v>
      </c>
      <c r="J32" s="32" t="n">
        <v>-3.72</v>
      </c>
      <c r="K32" s="32" t="n">
        <v>0</v>
      </c>
      <c r="L32" s="31" t="n">
        <v>89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80.06</v>
      </c>
      <c r="P32" s="32" t="n">
        <v>52.94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10.89</v>
      </c>
      <c r="U32" s="32" t="n">
        <v>142.72</v>
      </c>
      <c r="V32" s="32" t="n">
        <v>118.88</v>
      </c>
      <c r="W32" s="32" t="n">
        <v>34.68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26</t>
        </is>
      </c>
      <c r="CG32" s="31">
        <f>IF(CF32&gt;20,10,IF(CF32&gt;=10,5,2))</f>
        <v/>
      </c>
    </row>
    <row r="33">
      <c r="A33" s="31">
        <f>IF(B33=0,"",RANK(B33,$B$2:$B$93,0))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SKMEGGPROD</t>
        </is>
      </c>
      <c r="D33" s="31" t="inlineStr">
        <is>
          <t>SKM Egg Products Export (India) Ltd</t>
        </is>
      </c>
      <c r="E33" s="31" t="inlineStr">
        <is>
          <t>fmcg</t>
        </is>
      </c>
      <c r="F33" s="31" t="inlineStr">
        <is>
          <t>FMCG - Animal/Polutry</t>
        </is>
      </c>
      <c r="G33" s="31" t="inlineStr">
        <is>
          <t>smallcap</t>
        </is>
      </c>
      <c r="H33" s="32" t="n">
        <v>1242.41</v>
      </c>
      <c r="I33" s="32" t="n">
        <v>235.93</v>
      </c>
      <c r="J33" s="32" t="n">
        <v>-1.95</v>
      </c>
      <c r="K33" s="32" t="n">
        <v>0</v>
      </c>
      <c r="L33" s="31" t="n">
        <v>86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69.05</v>
      </c>
      <c r="P33" s="32" t="n">
        <v>22.1</v>
      </c>
      <c r="Q33" s="32" t="inlineStr"/>
      <c r="R33" s="31" t="inlineStr">
        <is>
          <t>Earnings / Momentum Support</t>
        </is>
      </c>
      <c r="S33" s="31" t="inlineStr">
        <is>
          <t>Nifty FMCG</t>
        </is>
      </c>
      <c r="T33" s="32" t="n">
        <v>-10.45</v>
      </c>
      <c r="U33" s="32" t="n">
        <v>87.43000000000001</v>
      </c>
      <c r="V33" s="32" t="n">
        <v>109.31</v>
      </c>
      <c r="W33" s="32" t="n">
        <v>29.13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26</t>
        </is>
      </c>
      <c r="CG33" s="31">
        <f>IF(CF33&gt;20,10,IF(CF33&gt;=10,5,2))</f>
        <v/>
      </c>
    </row>
    <row r="34">
      <c r="A34" s="31">
        <f>IF(B34=0,"",RANK(B34,$B$2:$B$93,0))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ACUTAAS</t>
        </is>
      </c>
      <c r="D34" s="31" t="inlineStr">
        <is>
          <t>Acutaas Chemicals Ltd</t>
        </is>
      </c>
      <c r="E34" s="31" t="inlineStr">
        <is>
          <t>healthcare</t>
        </is>
      </c>
      <c r="F34" s="31" t="inlineStr">
        <is>
          <t>Pharma - API &amp; CRAMS</t>
        </is>
      </c>
      <c r="G34" s="31" t="inlineStr">
        <is>
          <t>largecap</t>
        </is>
      </c>
      <c r="H34" s="32" t="n">
        <v>25353.03</v>
      </c>
      <c r="I34" s="32" t="n">
        <v>3096.7</v>
      </c>
      <c r="J34" s="32" t="n">
        <v>-1.55</v>
      </c>
      <c r="K34" s="32" t="n">
        <v>0</v>
      </c>
      <c r="L34" s="31" t="n">
        <v>88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71.72</v>
      </c>
      <c r="P34" s="32" t="n">
        <v>66.36</v>
      </c>
      <c r="Q34" s="32" t="inlineStr"/>
      <c r="R34" s="31" t="inlineStr">
        <is>
          <t>Earnings / Momentum Support</t>
        </is>
      </c>
      <c r="S34" s="31" t="inlineStr">
        <is>
          <t>Nifty Pharma</t>
        </is>
      </c>
      <c r="T34" s="32" t="n">
        <v>10.89</v>
      </c>
      <c r="U34" s="32" t="n">
        <v>185.01</v>
      </c>
      <c r="V34" s="32" t="n">
        <v>157.01</v>
      </c>
      <c r="W34" s="32" t="n">
        <v>34.63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23</t>
        </is>
      </c>
      <c r="CG34" s="31">
        <f>IF(CF34&gt;20,10,IF(CF34&gt;=10,5,2))</f>
        <v/>
      </c>
    </row>
    <row r="35">
      <c r="A35" s="31">
        <f>IF(B35=0,"",RANK(B35,$B$2:$B$93,0))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GOLDIAM</t>
        </is>
      </c>
      <c r="D35" s="31" t="inlineStr">
        <is>
          <t>Goldiam International Ltd</t>
        </is>
      </c>
      <c r="E35" s="31" t="inlineStr">
        <is>
          <t>consumer discretionary</t>
        </is>
      </c>
      <c r="F35" s="31" t="inlineStr">
        <is>
          <t>Lab Grown Diamonds</t>
        </is>
      </c>
      <c r="G35" s="31" t="inlineStr">
        <is>
          <t>midcap</t>
        </is>
      </c>
      <c r="H35" s="32" t="n">
        <v>5295.85</v>
      </c>
      <c r="I35" s="32" t="n">
        <v>469</v>
      </c>
      <c r="J35" s="32" t="n">
        <v>-2.05</v>
      </c>
      <c r="K35" s="32" t="n">
        <v>0</v>
      </c>
      <c r="L35" s="31" t="n">
        <v>75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64.98</v>
      </c>
      <c r="P35" s="32" t="n">
        <v>28.49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-4.43</v>
      </c>
      <c r="U35" s="32" t="n">
        <v>34.65</v>
      </c>
      <c r="V35" s="32" t="n">
        <v>40.89</v>
      </c>
      <c r="W35" s="32" t="n">
        <v>21.56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24</t>
        </is>
      </c>
      <c r="CG35" s="31">
        <f>IF(CF35&gt;20,10,IF(CF35&gt;=10,5,2))</f>
        <v/>
      </c>
    </row>
    <row r="36">
      <c r="A36" s="31">
        <f>IF(B36=0,"",RANK(B36,$B$2:$B$93,0))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UNIPARTS</t>
        </is>
      </c>
      <c r="D36" s="31" t="inlineStr">
        <is>
          <t>Uniparts India Ltd</t>
        </is>
      </c>
      <c r="E36" s="31" t="inlineStr">
        <is>
          <t>industrials</t>
        </is>
      </c>
      <c r="F36" s="31" t="inlineStr">
        <is>
          <t>Castings, Forgings &amp; Fastners</t>
        </is>
      </c>
      <c r="G36" s="31" t="inlineStr">
        <is>
          <t>smallcap</t>
        </is>
      </c>
      <c r="H36" s="32" t="n">
        <v>2995.92</v>
      </c>
      <c r="I36" s="32" t="n">
        <v>663.65</v>
      </c>
      <c r="J36" s="32" t="n">
        <v>0.6</v>
      </c>
      <c r="K36" s="32" t="n">
        <v>0</v>
      </c>
      <c r="L36" s="31" t="n">
        <v>80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73.86</v>
      </c>
      <c r="P36" s="32" t="n">
        <v>37.84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-4.43</v>
      </c>
      <c r="U36" s="32" t="n">
        <v>84.56999999999999</v>
      </c>
      <c r="V36" s="32" t="n">
        <v>93.13</v>
      </c>
      <c r="W36" s="32" t="n">
        <v>24.75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24</t>
        </is>
      </c>
      <c r="CG36" s="31">
        <f>IF(CF36&gt;20,10,IF(CF36&gt;=10,5,2))</f>
        <v/>
      </c>
    </row>
    <row r="37">
      <c r="A37" s="31">
        <f>IF(B37=0,"",RANK(B37,$B$2:$B$93,0))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BHAGYANGR</t>
        </is>
      </c>
      <c r="D37" s="31" t="inlineStr">
        <is>
          <t>Bhagyanagar India Ltd</t>
        </is>
      </c>
      <c r="E37" s="31" t="inlineStr">
        <is>
          <t>power &amp; utilities</t>
        </is>
      </c>
      <c r="F37" s="31" t="inlineStr">
        <is>
          <t>Recycling</t>
        </is>
      </c>
      <c r="G37" s="31" t="inlineStr">
        <is>
          <t>smallcap</t>
        </is>
      </c>
      <c r="H37" s="32" t="n">
        <v>1043.36</v>
      </c>
      <c r="I37" s="32" t="n">
        <v>326.1</v>
      </c>
      <c r="J37" s="32" t="n">
        <v>4.99</v>
      </c>
      <c r="K37" s="32" t="n">
        <v>0</v>
      </c>
      <c r="L37" s="31" t="n">
        <v>97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75.25</v>
      </c>
      <c r="P37" s="32" t="n">
        <v>59.75</v>
      </c>
      <c r="Q37" s="32" t="inlineStr"/>
      <c r="R37" s="31" t="inlineStr">
        <is>
          <t>Earnings / Momentum Support</t>
        </is>
      </c>
      <c r="S37" s="31" t="inlineStr">
        <is>
          <t>Nifty IT</t>
        </is>
      </c>
      <c r="T37" s="32" t="n">
        <v>-27.75</v>
      </c>
      <c r="U37" s="32" t="n">
        <v>301.4</v>
      </c>
      <c r="V37" s="32" t="n">
        <v>455.53</v>
      </c>
      <c r="W37" s="32" t="n">
        <v>60.26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Between 0.7 to 1.2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22</t>
        </is>
      </c>
      <c r="CG37" s="31">
        <f>IF(CF37&gt;20,10,IF(CF37&gt;=10,5,2))</f>
        <v/>
      </c>
    </row>
    <row r="38">
      <c r="A38" s="31">
        <f>IF(B38=0,"",RANK(B38,$B$2:$B$93,0))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CEIGALL</t>
        </is>
      </c>
      <c r="D38" s="31" t="inlineStr">
        <is>
          <t>Ceigall India Ltd</t>
        </is>
      </c>
      <c r="E38" s="31" t="inlineStr">
        <is>
          <t>realty</t>
        </is>
      </c>
      <c r="F38" s="31" t="inlineStr">
        <is>
          <t>Construction - Civil/Turnkey</t>
        </is>
      </c>
      <c r="G38" s="31" t="inlineStr">
        <is>
          <t>midcap</t>
        </is>
      </c>
      <c r="H38" s="32" t="n">
        <v>6570.14</v>
      </c>
      <c r="I38" s="32" t="n">
        <v>377.15</v>
      </c>
      <c r="J38" s="32" t="n">
        <v>0.5600000000000001</v>
      </c>
      <c r="K38" s="32" t="n">
        <v>0</v>
      </c>
      <c r="L38" s="31" t="n">
        <v>68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72.03</v>
      </c>
      <c r="P38" s="32" t="n">
        <v>45.76</v>
      </c>
      <c r="Q38" s="32" t="inlineStr"/>
      <c r="R38" s="31" t="inlineStr">
        <is>
          <t>Earnings / Momentum Support</t>
        </is>
      </c>
      <c r="S38" s="31" t="inlineStr">
        <is>
          <t>Nifty Realty</t>
        </is>
      </c>
      <c r="T38" s="32" t="n">
        <v>-23.58</v>
      </c>
      <c r="U38" s="32" t="n">
        <v>50.75</v>
      </c>
      <c r="V38" s="32" t="n">
        <v>97.26000000000001</v>
      </c>
      <c r="W38" s="32" t="n">
        <v>18.13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Negative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IF(B39=0,"",RANK(B39,$B$2:$B$93,0))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POWERINDIA</t>
        </is>
      </c>
      <c r="D39" s="31" t="inlineStr">
        <is>
          <t>Hitachi Energy India Ltd</t>
        </is>
      </c>
      <c r="E39" s="31" t="inlineStr">
        <is>
          <t>Industrials</t>
        </is>
      </c>
      <c r="F39" s="31" t="inlineStr">
        <is>
          <t>Electrical Equipments/HVDC</t>
        </is>
      </c>
      <c r="G39" s="31" t="inlineStr">
        <is>
          <t>largecap</t>
        </is>
      </c>
      <c r="H39" s="32" t="n">
        <v>154643.81</v>
      </c>
      <c r="I39" s="32" t="n">
        <v>34695</v>
      </c>
      <c r="J39" s="32" t="n">
        <v>1.08</v>
      </c>
      <c r="K39" s="32" t="n">
        <v>0</v>
      </c>
      <c r="L39" s="31" t="n">
        <v>78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65.8</v>
      </c>
      <c r="P39" s="32" t="n">
        <v>58.73</v>
      </c>
      <c r="Q39" s="32" t="inlineStr"/>
      <c r="R39" s="31" t="inlineStr">
        <is>
          <t>Earnings / Momentum Support</t>
        </is>
      </c>
      <c r="S39" s="31" t="inlineStr">
        <is>
          <t>Nifty 500</t>
        </is>
      </c>
      <c r="T39" s="32" t="n">
        <v>-1.34</v>
      </c>
      <c r="U39" s="32" t="n">
        <v>93.11</v>
      </c>
      <c r="V39" s="32" t="n">
        <v>95.73</v>
      </c>
      <c r="W39" s="32" t="n">
        <v>23.58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17</t>
        </is>
      </c>
      <c r="CG39" s="31">
        <f>IF(CF39&gt;20,10,IF(CF39&gt;=10,5,2))</f>
        <v/>
      </c>
    </row>
    <row r="40">
      <c r="A40" s="31">
        <f>IF(B40=0,"",RANK(B40,$B$2:$B$93,0))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NGLFINE</t>
        </is>
      </c>
      <c r="D40" s="31" t="inlineStr">
        <is>
          <t>NGL Fine Chem Ltd</t>
        </is>
      </c>
      <c r="E40" s="31" t="inlineStr">
        <is>
          <t>healthcare</t>
        </is>
      </c>
      <c r="F40" s="31" t="inlineStr">
        <is>
          <t>Pharma - Animal</t>
        </is>
      </c>
      <c r="G40" s="31" t="inlineStr">
        <is>
          <t>smallcap</t>
        </is>
      </c>
      <c r="H40" s="32" t="n">
        <v>1920.93</v>
      </c>
      <c r="I40" s="32" t="n">
        <v>3109.3</v>
      </c>
      <c r="J40" s="32" t="n">
        <v>1.98</v>
      </c>
      <c r="K40" s="32" t="n">
        <v>0</v>
      </c>
      <c r="L40" s="31" t="n">
        <v>89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79.58</v>
      </c>
      <c r="P40" s="32" t="n">
        <v>65.43000000000001</v>
      </c>
      <c r="Q40" s="32" t="inlineStr"/>
      <c r="R40" s="31" t="inlineStr">
        <is>
          <t>Earnings / Momentum Support</t>
        </is>
      </c>
      <c r="S40" s="31" t="inlineStr">
        <is>
          <t>Nifty Pharma</t>
        </is>
      </c>
      <c r="T40" s="32" t="n">
        <v>10.89</v>
      </c>
      <c r="U40" s="32" t="n">
        <v>190.78</v>
      </c>
      <c r="V40" s="32" t="n">
        <v>162.22</v>
      </c>
      <c r="W40" s="32" t="n">
        <v>35.07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26</t>
        </is>
      </c>
      <c r="CG40" s="31">
        <f>IF(CF40&gt;20,10,IF(CF40&gt;=10,5,2))</f>
        <v/>
      </c>
    </row>
    <row r="41">
      <c r="A41" s="31">
        <f>IF(B41=0,"",RANK(B41,$B$2:$B$93,0))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SUPRIYA</t>
        </is>
      </c>
      <c r="D41" s="31" t="inlineStr">
        <is>
          <t>Supriya Lifescience Ltd</t>
        </is>
      </c>
      <c r="E41" s="31" t="inlineStr">
        <is>
          <t>healthcare</t>
        </is>
      </c>
      <c r="F41" s="31" t="inlineStr">
        <is>
          <t>Pharma - API &amp; CRAMS</t>
        </is>
      </c>
      <c r="G41" s="31" t="inlineStr">
        <is>
          <t>midcap</t>
        </is>
      </c>
      <c r="H41" s="32" t="n">
        <v>7687.72</v>
      </c>
      <c r="I41" s="32" t="n">
        <v>955.2</v>
      </c>
      <c r="J41" s="32" t="n">
        <v>-2.25</v>
      </c>
      <c r="K41" s="32" t="n">
        <v>0</v>
      </c>
      <c r="L41" s="31" t="n">
        <v>81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77.09</v>
      </c>
      <c r="P41" s="32" t="n">
        <v>35.47</v>
      </c>
      <c r="Q41" s="32" t="inlineStr"/>
      <c r="R41" s="31" t="inlineStr">
        <is>
          <t>Earnings / Momentum Support</t>
        </is>
      </c>
      <c r="S41" s="31" t="inlineStr">
        <is>
          <t>Nifty Pharma</t>
        </is>
      </c>
      <c r="T41" s="32" t="n">
        <v>10.89</v>
      </c>
      <c r="U41" s="32" t="n">
        <v>41.92</v>
      </c>
      <c r="V41" s="32" t="n">
        <v>27.98</v>
      </c>
      <c r="W41" s="32" t="n">
        <v>25.05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IF(B42=0,"",RANK(B42,$B$2:$B$93,0))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3" t="inlineStr">
        <is>
          <t>INNOVACAP</t>
        </is>
      </c>
      <c r="D42" s="33" t="inlineStr">
        <is>
          <t>Innova Captab Ltd</t>
        </is>
      </c>
      <c r="E42" s="31" t="inlineStr">
        <is>
          <t>healthcare</t>
        </is>
      </c>
      <c r="F42" s="31" t="inlineStr">
        <is>
          <t>Pharma - API</t>
        </is>
      </c>
      <c r="G42" s="31" t="inlineStr">
        <is>
          <t>midcap</t>
        </is>
      </c>
      <c r="H42" s="32" t="n">
        <v>5424.64</v>
      </c>
      <c r="I42" s="32" t="n">
        <v>947.95</v>
      </c>
      <c r="J42" s="32" t="n">
        <v>0.58</v>
      </c>
      <c r="K42" s="32" t="n">
        <v>0</v>
      </c>
      <c r="L42" s="31" t="n">
        <v>35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71.45999999999999</v>
      </c>
      <c r="P42" s="32" t="n">
        <v>31.91</v>
      </c>
      <c r="Q42" s="32" t="inlineStr"/>
      <c r="R42" s="31" t="inlineStr">
        <is>
          <t>Earnings / Momentum Support</t>
        </is>
      </c>
      <c r="S42" s="31" t="inlineStr">
        <is>
          <t>Nifty Pharma</t>
        </is>
      </c>
      <c r="T42" s="32" t="n">
        <v>10.89</v>
      </c>
      <c r="U42" s="32" t="n">
        <v>4.18</v>
      </c>
      <c r="V42" s="32" t="n">
        <v>-6.05</v>
      </c>
      <c r="W42" s="32" t="n">
        <v>8.41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IF(B43=0,"",RANK(B43,$B$2:$B$93,0))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SIGMAADV</t>
        </is>
      </c>
      <c r="D43" s="31" t="inlineStr">
        <is>
          <t>Sigma Advanced System Ltd</t>
        </is>
      </c>
      <c r="E43" s="31" t="inlineStr">
        <is>
          <t>aerospace &amp; defence</t>
        </is>
      </c>
      <c r="F43" s="31" t="inlineStr">
        <is>
          <t>Aerospace &amp; Defence - Equipments</t>
        </is>
      </c>
      <c r="G43" s="31" t="inlineStr">
        <is>
          <t>midcap</t>
        </is>
      </c>
      <c r="H43" s="32" t="n">
        <v>8145.8</v>
      </c>
      <c r="I43" s="32" t="n">
        <v>462.2</v>
      </c>
      <c r="J43" s="32" t="n">
        <v>-3.61</v>
      </c>
      <c r="K43" s="32" t="n">
        <v>0</v>
      </c>
      <c r="L43" s="31" t="n">
        <v>99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86.09999999999999</v>
      </c>
      <c r="P43" s="32" t="n">
        <v>43.45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-4.43</v>
      </c>
      <c r="U43" s="32" t="n">
        <v>384.44</v>
      </c>
      <c r="V43" s="32" t="n">
        <v>406.91</v>
      </c>
      <c r="W43" s="32" t="n">
        <v>102.99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Negative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28</t>
        </is>
      </c>
      <c r="CG43" s="31">
        <f>IF(CF43&gt;20,10,IF(CF43&gt;=10,5,2))</f>
        <v/>
      </c>
    </row>
    <row r="44">
      <c r="A44" s="31">
        <f>IF(B44=0,"",RANK(B44,$B$2:$B$93,0))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SKIPPER</t>
        </is>
      </c>
      <c r="D44" s="31" t="inlineStr">
        <is>
          <t>Skipper Ltd</t>
        </is>
      </c>
      <c r="E44" s="31" t="inlineStr">
        <is>
          <t>industrials</t>
        </is>
      </c>
      <c r="F44" s="31" t="inlineStr">
        <is>
          <t>Electrical Equipments/HVDC</t>
        </is>
      </c>
      <c r="G44" s="31" t="inlineStr">
        <is>
          <t>midcap</t>
        </is>
      </c>
      <c r="H44" s="32" t="n">
        <v>6208.16</v>
      </c>
      <c r="I44" s="32" t="n">
        <v>549.7</v>
      </c>
      <c r="J44" s="32" t="n">
        <v>0.93</v>
      </c>
      <c r="K44" s="32" t="n">
        <v>0</v>
      </c>
      <c r="L44" s="31" t="n">
        <v>61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67.92</v>
      </c>
      <c r="P44" s="32" t="n">
        <v>32.99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-4.43</v>
      </c>
      <c r="U44" s="32" t="n">
        <v>6.68</v>
      </c>
      <c r="V44" s="32" t="n">
        <v>11.63</v>
      </c>
      <c r="W44" s="32" t="n">
        <v>16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25</t>
        </is>
      </c>
      <c r="CG44" s="31">
        <f>IF(CF44&gt;20,10,IF(CF44&gt;=10,5,2))</f>
        <v/>
      </c>
    </row>
    <row r="45">
      <c r="A45" s="31">
        <f>IF(B45=0,"",RANK(B45,$B$2:$B$93,0))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SIS</t>
        </is>
      </c>
      <c r="D45" s="31" t="inlineStr">
        <is>
          <t>SIS Ltd</t>
        </is>
      </c>
      <c r="E45" s="31" t="inlineStr">
        <is>
          <t>miscellaneous</t>
        </is>
      </c>
      <c r="F45" s="31" t="inlineStr">
        <is>
          <t>Facility Management</t>
        </is>
      </c>
      <c r="G45" s="31" t="inlineStr">
        <is>
          <t>midcap</t>
        </is>
      </c>
      <c r="H45" s="32" t="n">
        <v>6043.9</v>
      </c>
      <c r="I45" s="32" t="n">
        <v>427.75</v>
      </c>
      <c r="J45" s="32" t="n">
        <v>1.57</v>
      </c>
      <c r="K45" s="32" t="n">
        <v>0</v>
      </c>
      <c r="L45" s="31" t="n">
        <v>59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76.06</v>
      </c>
      <c r="P45" s="32" t="n">
        <v>41.22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-4.43</v>
      </c>
      <c r="U45" s="32" t="n">
        <v>16.08</v>
      </c>
      <c r="V45" s="32" t="n">
        <v>21.46</v>
      </c>
      <c r="W45" s="32" t="n">
        <v>15.32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IF(B46=0,"",RANK(B46,$B$2:$B$93,0))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SFL</t>
        </is>
      </c>
      <c r="D46" s="31" t="inlineStr">
        <is>
          <t>Sheela Foam Ltd</t>
        </is>
      </c>
      <c r="E46" s="31" t="inlineStr">
        <is>
          <t>consumer discretionary</t>
        </is>
      </c>
      <c r="F46" s="31" t="inlineStr">
        <is>
          <t>Mattress</t>
        </is>
      </c>
      <c r="G46" s="31" t="inlineStr">
        <is>
          <t>midcap</t>
        </is>
      </c>
      <c r="H46" s="32" t="n">
        <v>7748.76</v>
      </c>
      <c r="I46" s="32" t="n">
        <v>709.6</v>
      </c>
      <c r="J46" s="32" t="n">
        <v>0.86</v>
      </c>
      <c r="K46" s="32" t="n">
        <v>0</v>
      </c>
      <c r="L46" s="31" t="n">
        <v>43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66.02</v>
      </c>
      <c r="P46" s="32" t="n">
        <v>20.91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-4.43</v>
      </c>
      <c r="U46" s="32" t="n">
        <v>5.45</v>
      </c>
      <c r="V46" s="32" t="n">
        <v>10.34</v>
      </c>
      <c r="W46" s="32" t="n">
        <v>10.23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IF(B47=0,"",RANK(B47,$B$2:$B$93,0))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MMTC</t>
        </is>
      </c>
      <c r="D47" s="31" t="inlineStr">
        <is>
          <t>MMTC Ltd</t>
        </is>
      </c>
      <c r="E47" s="31" t="inlineStr">
        <is>
          <t>services</t>
        </is>
      </c>
      <c r="F47" s="31" t="inlineStr">
        <is>
          <t>Trading</t>
        </is>
      </c>
      <c r="G47" s="31" t="inlineStr">
        <is>
          <t>midcap</t>
        </is>
      </c>
      <c r="H47" s="32" t="n">
        <v>10528.5</v>
      </c>
      <c r="I47" s="32" t="n">
        <v>70.19</v>
      </c>
      <c r="J47" s="32" t="n">
        <v>3.13</v>
      </c>
      <c r="K47" s="32" t="n">
        <v>0</v>
      </c>
      <c r="L47" s="31" t="n">
        <v>23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56.06</v>
      </c>
      <c r="P47" s="32" t="n">
        <v>14.81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-4.43</v>
      </c>
      <c r="U47" s="32" t="n">
        <v>-2.21</v>
      </c>
      <c r="V47" s="32" t="n">
        <v>2.32</v>
      </c>
      <c r="W47" s="32" t="n">
        <v>6.05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0 to 20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IF(B48=0,"",RANK(B48,$B$2:$B$93,0))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PSPPROJECT</t>
        </is>
      </c>
      <c r="D48" s="31" t="inlineStr">
        <is>
          <t>PSP Projects Ltd</t>
        </is>
      </c>
      <c r="E48" s="31" t="inlineStr">
        <is>
          <t>realty</t>
        </is>
      </c>
      <c r="F48" s="31" t="inlineStr">
        <is>
          <t>Construction &amp; Contracting</t>
        </is>
      </c>
      <c r="G48" s="31" t="inlineStr">
        <is>
          <t>smallcap</t>
        </is>
      </c>
      <c r="H48" s="32" t="n">
        <v>3652.4</v>
      </c>
      <c r="I48" s="32" t="n">
        <v>921.35</v>
      </c>
      <c r="J48" s="32" t="n">
        <v>0.45</v>
      </c>
      <c r="K48" s="32" t="n">
        <v>0</v>
      </c>
      <c r="L48" s="31" t="n">
        <v>61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63.57</v>
      </c>
      <c r="P48" s="32" t="n">
        <v>23.51</v>
      </c>
      <c r="Q48" s="32" t="inlineStr"/>
      <c r="R48" s="31" t="inlineStr">
        <is>
          <t>Earnings / Momentum Support</t>
        </is>
      </c>
      <c r="S48" s="31" t="inlineStr">
        <is>
          <t>Nifty Realty</t>
        </is>
      </c>
      <c r="T48" s="32" t="n">
        <v>-23.58</v>
      </c>
      <c r="U48" s="32" t="n">
        <v>31.28</v>
      </c>
      <c r="V48" s="32" t="n">
        <v>71.79000000000001</v>
      </c>
      <c r="W48" s="32" t="n">
        <v>15.71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20</t>
        </is>
      </c>
      <c r="CG48" s="31">
        <f>IF(CF48&gt;20,10,IF(CF48&gt;=10,5,2))</f>
        <v/>
      </c>
    </row>
    <row r="49">
      <c r="A49" s="31">
        <f>IF(B49=0,"",RANK(B49,$B$2:$B$93,0))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COCKERILL</t>
        </is>
      </c>
      <c r="D49" s="31" t="inlineStr">
        <is>
          <t>John Cockerill India Ltd</t>
        </is>
      </c>
      <c r="E49" s="31" t="inlineStr">
        <is>
          <t>Industrials</t>
        </is>
      </c>
      <c r="F49" s="31" t="inlineStr">
        <is>
          <t>Capital Goods - Engineering Heavy</t>
        </is>
      </c>
      <c r="G49" s="31" t="inlineStr">
        <is>
          <t>smallcap</t>
        </is>
      </c>
      <c r="H49" s="32" t="n">
        <v>4608.88</v>
      </c>
      <c r="I49" s="32" t="n">
        <v>9333.85</v>
      </c>
      <c r="J49" s="32" t="n">
        <v>-6.93</v>
      </c>
      <c r="K49" s="32" t="n">
        <v>0</v>
      </c>
      <c r="L49" s="31" t="n">
        <v>96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83.77</v>
      </c>
      <c r="P49" s="32" t="n">
        <v>36.76</v>
      </c>
      <c r="Q49" s="32" t="inlineStr"/>
      <c r="R49" s="31" t="inlineStr">
        <is>
          <t>Earnings / Momentum Support</t>
        </is>
      </c>
      <c r="S49" s="31" t="inlineStr">
        <is>
          <t>Nifty Metal</t>
        </is>
      </c>
      <c r="T49" s="32" t="n">
        <v>38.84</v>
      </c>
      <c r="U49" s="32" t="n">
        <v>182.88</v>
      </c>
      <c r="V49" s="32" t="n">
        <v>103.75</v>
      </c>
      <c r="W49" s="32" t="n">
        <v>51.82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18</t>
        </is>
      </c>
      <c r="CG49" s="31">
        <f>IF(CF49&gt;20,10,IF(CF49&gt;=10,5,2))</f>
        <v/>
      </c>
    </row>
    <row r="50">
      <c r="A50" s="31">
        <f>IF(B50=0,"",RANK(B50,$B$2:$B$93,0))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RAIN</t>
        </is>
      </c>
      <c r="D50" s="31" t="inlineStr">
        <is>
          <t>Rain Industries Ltd</t>
        </is>
      </c>
      <c r="E50" s="31" t="inlineStr">
        <is>
          <t>miscellaneous</t>
        </is>
      </c>
      <c r="F50" s="31" t="inlineStr">
        <is>
          <t>Cement</t>
        </is>
      </c>
      <c r="G50" s="31" t="inlineStr">
        <is>
          <t>midcap</t>
        </is>
      </c>
      <c r="H50" s="32" t="n">
        <v>6988.59</v>
      </c>
      <c r="I50" s="32" t="n">
        <v>207.78</v>
      </c>
      <c r="J50" s="32" t="n">
        <v>5.54</v>
      </c>
      <c r="K50" s="32" t="n">
        <v>0</v>
      </c>
      <c r="L50" s="31" t="n">
        <v>82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72.34</v>
      </c>
      <c r="P50" s="32" t="n">
        <v>25.31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-4.43</v>
      </c>
      <c r="U50" s="32" t="n">
        <v>32.95</v>
      </c>
      <c r="V50" s="32" t="n">
        <v>39.11</v>
      </c>
      <c r="W50" s="32" t="n">
        <v>25.34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More than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IF(B51=0,"",RANK(B51,$B$2:$B$93,0))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SENORES</t>
        </is>
      </c>
      <c r="D51" s="31" t="inlineStr">
        <is>
          <t>Senores Pharmaceuticals Ltd</t>
        </is>
      </c>
      <c r="E51" s="31" t="inlineStr">
        <is>
          <t>healthcare</t>
        </is>
      </c>
      <c r="F51" s="31" t="inlineStr">
        <is>
          <t>Pharma - API</t>
        </is>
      </c>
      <c r="G51" s="31" t="inlineStr">
        <is>
          <t>midcap</t>
        </is>
      </c>
      <c r="H51" s="32" t="n">
        <v>5909.6</v>
      </c>
      <c r="I51" s="32" t="n">
        <v>1283.2</v>
      </c>
      <c r="J51" s="32" t="n">
        <v>-0.53</v>
      </c>
      <c r="K51" s="32" t="n">
        <v>0</v>
      </c>
      <c r="L51" s="31" t="n">
        <v>90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77.44</v>
      </c>
      <c r="P51" s="32" t="n">
        <v>44.58</v>
      </c>
      <c r="Q51" s="32" t="inlineStr"/>
      <c r="R51" s="31" t="inlineStr">
        <is>
          <t>Earnings / Momentum Support</t>
        </is>
      </c>
      <c r="S51" s="31" t="inlineStr">
        <is>
          <t>Nifty Pharma</t>
        </is>
      </c>
      <c r="T51" s="32" t="n">
        <v>10.89</v>
      </c>
      <c r="U51" s="32" t="n">
        <v>131.62</v>
      </c>
      <c r="V51" s="32" t="n">
        <v>108.87</v>
      </c>
      <c r="W51" s="32" t="n">
        <v>37.03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27</t>
        </is>
      </c>
      <c r="CG51" s="31">
        <f>IF(CF51&gt;20,10,IF(CF51&gt;=10,5,2))</f>
        <v/>
      </c>
    </row>
    <row r="52">
      <c r="A52" s="31">
        <f>IF(B52=0,"",RANK(B52,$B$2:$B$93,0))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KMCSHIL</t>
        </is>
      </c>
      <c r="D52" s="31" t="inlineStr">
        <is>
          <t>KMC Speciality Hospitals (India) Ltd</t>
        </is>
      </c>
      <c r="E52" s="31" t="inlineStr">
        <is>
          <t>Healthcare</t>
        </is>
      </c>
      <c r="F52" s="31" t="inlineStr">
        <is>
          <t>Hospitals</t>
        </is>
      </c>
      <c r="G52" s="31" t="inlineStr">
        <is>
          <t>smallcap</t>
        </is>
      </c>
      <c r="H52" s="32" t="n">
        <v>1943.16</v>
      </c>
      <c r="I52" s="32" t="n">
        <v>119.15</v>
      </c>
      <c r="J52" s="32" t="n">
        <v>0.51</v>
      </c>
      <c r="K52" s="32" t="n">
        <v>0</v>
      </c>
      <c r="L52" s="31" t="n">
        <v>75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83.70999999999999</v>
      </c>
      <c r="P52" s="32" t="n">
        <v>54.88</v>
      </c>
      <c r="Q52" s="32" t="inlineStr"/>
      <c r="R52" s="31" t="inlineStr">
        <is>
          <t>Earnings / Momentum Support</t>
        </is>
      </c>
      <c r="S52" s="31" t="inlineStr">
        <is>
          <t>Nifty Pharma</t>
        </is>
      </c>
      <c r="T52" s="32" t="n">
        <v>10.89</v>
      </c>
      <c r="U52" s="32" t="n">
        <v>75.08</v>
      </c>
      <c r="V52" s="32" t="n">
        <v>57.89</v>
      </c>
      <c r="W52" s="32" t="n">
        <v>21.59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27</t>
        </is>
      </c>
      <c r="CG52" s="31">
        <f>IF(CF52&gt;20,10,IF(CF52&gt;=10,5,2))</f>
        <v/>
      </c>
    </row>
    <row r="53">
      <c r="A53" s="31">
        <f>IF(B53=0,"",RANK(B53,$B$2:$B$93,0))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SPARC</t>
        </is>
      </c>
      <c r="D53" s="31" t="inlineStr">
        <is>
          <t>Sun Pharma Advanced Research Company Ltd</t>
        </is>
      </c>
      <c r="E53" s="31" t="inlineStr">
        <is>
          <t>healthcare</t>
        </is>
      </c>
      <c r="F53" s="31" t="inlineStr">
        <is>
          <t>Pharma - Others</t>
        </is>
      </c>
      <c r="G53" s="31" t="inlineStr">
        <is>
          <t>midcap</t>
        </is>
      </c>
      <c r="H53" s="32" t="n">
        <v>7432.52</v>
      </c>
      <c r="I53" s="32" t="n">
        <v>229.03</v>
      </c>
      <c r="J53" s="32" t="n">
        <v>2.36</v>
      </c>
      <c r="K53" s="32" t="n">
        <v>0</v>
      </c>
      <c r="L53" s="31" t="n">
        <v>87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76.31</v>
      </c>
      <c r="P53" s="32" t="n">
        <v>49.69</v>
      </c>
      <c r="Q53" s="32" t="inlineStr"/>
      <c r="R53" s="31" t="inlineStr">
        <is>
          <t>Earnings / Momentum Support</t>
        </is>
      </c>
      <c r="S53" s="31" t="inlineStr">
        <is>
          <t>Nifty Pharma</t>
        </is>
      </c>
      <c r="T53" s="32" t="n">
        <v>10.89</v>
      </c>
      <c r="U53" s="32" t="n">
        <v>34.88</v>
      </c>
      <c r="V53" s="32" t="n">
        <v>21.63</v>
      </c>
      <c r="W53" s="32" t="n">
        <v>30.06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18</t>
        </is>
      </c>
      <c r="CG53" s="31">
        <f>IF(CF53&gt;20,10,IF(CF53&gt;=10,5,2))</f>
        <v/>
      </c>
    </row>
    <row r="54">
      <c r="A54" s="31">
        <f>IF(B54=0,"",RANK(B54,$B$2:$B$93,0))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SHILPAMED</t>
        </is>
      </c>
      <c r="D54" s="31" t="inlineStr">
        <is>
          <t>Shilpa Medicare Ltd</t>
        </is>
      </c>
      <c r="E54" s="31" t="inlineStr">
        <is>
          <t>healthcare</t>
        </is>
      </c>
      <c r="F54" s="31" t="inlineStr">
        <is>
          <t>Pharma - API &amp; CRAMS</t>
        </is>
      </c>
      <c r="G54" s="31" t="inlineStr">
        <is>
          <t>midcap</t>
        </is>
      </c>
      <c r="H54" s="32" t="n">
        <v>10419.62</v>
      </c>
      <c r="I54" s="32" t="n">
        <v>532.75</v>
      </c>
      <c r="J54" s="32" t="n">
        <v>-2.56</v>
      </c>
      <c r="K54" s="32" t="n">
        <v>0</v>
      </c>
      <c r="L54" s="31" t="n">
        <v>75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79.53</v>
      </c>
      <c r="P54" s="32" t="n">
        <v>49.74</v>
      </c>
      <c r="Q54" s="32" t="inlineStr"/>
      <c r="R54" s="31" t="inlineStr">
        <is>
          <t>Earnings / Momentum Support</t>
        </is>
      </c>
      <c r="S54" s="31" t="inlineStr">
        <is>
          <t>Nifty Pharma</t>
        </is>
      </c>
      <c r="T54" s="32" t="n">
        <v>10.89</v>
      </c>
      <c r="U54" s="32" t="n">
        <v>11.06</v>
      </c>
      <c r="V54" s="32" t="n">
        <v>0.15</v>
      </c>
      <c r="W54" s="32" t="n">
        <v>21.62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18</t>
        </is>
      </c>
      <c r="CG54" s="31">
        <f>IF(CF54&gt;20,10,IF(CF54&gt;=10,5,2))</f>
        <v/>
      </c>
    </row>
    <row r="55">
      <c r="A55" s="31">
        <f>IF(B55=0,"",RANK(B55,$B$2:$B$93,0))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AVALON</t>
        </is>
      </c>
      <c r="D55" s="31" t="inlineStr">
        <is>
          <t>Avalon Technologies Ltd</t>
        </is>
      </c>
      <c r="E55" s="31" t="inlineStr">
        <is>
          <t>consumer discretionary</t>
        </is>
      </c>
      <c r="F55" s="31" t="inlineStr">
        <is>
          <t>Consumer Electronics - EMS</t>
        </is>
      </c>
      <c r="G55" s="31" t="inlineStr">
        <is>
          <t>midcap</t>
        </is>
      </c>
      <c r="H55" s="32" t="n">
        <v>11754.63</v>
      </c>
      <c r="I55" s="32" t="n">
        <v>1760</v>
      </c>
      <c r="J55" s="32" t="n">
        <v>4.33</v>
      </c>
      <c r="K55" s="32" t="n">
        <v>0</v>
      </c>
      <c r="L55" s="31" t="n">
        <v>92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76.33</v>
      </c>
      <c r="P55" s="32" t="n">
        <v>37.29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-4.43</v>
      </c>
      <c r="U55" s="32" t="n">
        <v>102.97</v>
      </c>
      <c r="V55" s="32" t="n">
        <v>112.39</v>
      </c>
      <c r="W55" s="32" t="n">
        <v>38.24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22</t>
        </is>
      </c>
      <c r="CG55" s="31">
        <f>IF(CF55&gt;20,10,IF(CF55&gt;=10,5,2))</f>
        <v/>
      </c>
    </row>
    <row r="56">
      <c r="A56" s="31">
        <f>IF(B56=0,"",RANK(B56,$B$2:$B$93,0))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KERNEX</t>
        </is>
      </c>
      <c r="D56" s="31" t="inlineStr">
        <is>
          <t>Kernex Microsystems (India) Ltd</t>
        </is>
      </c>
      <c r="E56" s="31" t="inlineStr">
        <is>
          <t>consumer discretionary</t>
        </is>
      </c>
      <c r="F56" s="31" t="inlineStr">
        <is>
          <t>Railways - Kavach/Springs</t>
        </is>
      </c>
      <c r="G56" s="31" t="inlineStr">
        <is>
          <t>smallcap</t>
        </is>
      </c>
      <c r="H56" s="32" t="n">
        <v>3422.99</v>
      </c>
      <c r="I56" s="32" t="n">
        <v>2037.2</v>
      </c>
      <c r="J56" s="32" t="n">
        <v>2.2</v>
      </c>
      <c r="K56" s="32" t="n">
        <v>0</v>
      </c>
      <c r="L56" s="31" t="n">
        <v>90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73.28</v>
      </c>
      <c r="P56" s="32" t="n">
        <v>34.15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-4.43</v>
      </c>
      <c r="U56" s="32" t="n">
        <v>53.18</v>
      </c>
      <c r="V56" s="32" t="n">
        <v>60.28</v>
      </c>
      <c r="W56" s="32" t="n">
        <v>35.86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Negative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IF(B57=0,"",RANK(B57,$B$2:$B$93,0))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SANDHAR</t>
        </is>
      </c>
      <c r="D57" s="31" t="inlineStr">
        <is>
          <t>Sandhar Technologies Limited</t>
        </is>
      </c>
      <c r="E57" s="31" t="inlineStr">
        <is>
          <t>auto</t>
        </is>
      </c>
      <c r="F57" s="31" t="inlineStr">
        <is>
          <t>Auto Ancillaries - 2&amp;3 Wheelers</t>
        </is>
      </c>
      <c r="G57" s="31" t="inlineStr">
        <is>
          <t>smallcap</t>
        </is>
      </c>
      <c r="H57" s="32" t="n">
        <v>4256.08</v>
      </c>
      <c r="I57" s="32" t="n">
        <v>707.1</v>
      </c>
      <c r="J57" s="32" t="n">
        <v>-0.6899999999999999</v>
      </c>
      <c r="K57" s="32" t="n">
        <v>0</v>
      </c>
      <c r="L57" s="31" t="n">
        <v>67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71.98</v>
      </c>
      <c r="P57" s="32" t="n">
        <v>23.42</v>
      </c>
      <c r="Q57" s="32" t="inlineStr"/>
      <c r="R57" s="31" t="inlineStr">
        <is>
          <t>Earnings / Momentum Support</t>
        </is>
      </c>
      <c r="S57" s="31" t="inlineStr">
        <is>
          <t>Nifty Auto</t>
        </is>
      </c>
      <c r="T57" s="32" t="n">
        <v>12.72</v>
      </c>
      <c r="U57" s="32" t="n">
        <v>34.17</v>
      </c>
      <c r="V57" s="32" t="n">
        <v>19.04</v>
      </c>
      <c r="W57" s="32" t="n">
        <v>17.84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IF(B58=0,"",RANK(B58,$B$2:$B$93,0))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AEROFLEX</t>
        </is>
      </c>
      <c r="D58" s="31" t="inlineStr">
        <is>
          <t>Aeroflex Industries Ltd</t>
        </is>
      </c>
      <c r="E58" s="31" t="inlineStr">
        <is>
          <t>metals &amp; mining</t>
        </is>
      </c>
      <c r="F58" s="31" t="inlineStr">
        <is>
          <t>Stainless Steel</t>
        </is>
      </c>
      <c r="G58" s="31" t="inlineStr">
        <is>
          <t>midcap</t>
        </is>
      </c>
      <c r="H58" s="32" t="n">
        <v>6325.41</v>
      </c>
      <c r="I58" s="32" t="n">
        <v>478</v>
      </c>
      <c r="J58" s="32" t="n">
        <v>6.67</v>
      </c>
      <c r="K58" s="32" t="n">
        <v>0</v>
      </c>
      <c r="L58" s="31" t="n">
        <v>94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73.31999999999999</v>
      </c>
      <c r="P58" s="32" t="n">
        <v>60.74</v>
      </c>
      <c r="Q58" s="32" t="inlineStr"/>
      <c r="R58" s="31" t="inlineStr">
        <is>
          <t>Earnings / Momentum Support</t>
        </is>
      </c>
      <c r="S58" s="31" t="inlineStr">
        <is>
          <t>Nifty Metal</t>
        </is>
      </c>
      <c r="T58" s="32" t="n">
        <v>38.84</v>
      </c>
      <c r="U58" s="32" t="n">
        <v>162.4</v>
      </c>
      <c r="V58" s="32" t="n">
        <v>89</v>
      </c>
      <c r="W58" s="32" t="n">
        <v>43.76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IF(B59=0,"",RANK(B59,$B$2:$B$93,0))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NRBBEARING</t>
        </is>
      </c>
      <c r="D59" s="31" t="inlineStr">
        <is>
          <t>NRB Bearings Ltd</t>
        </is>
      </c>
      <c r="E59" s="31" t="inlineStr">
        <is>
          <t>industrials</t>
        </is>
      </c>
      <c r="F59" s="31" t="inlineStr">
        <is>
          <t>Bearings</t>
        </is>
      </c>
      <c r="G59" s="31" t="inlineStr">
        <is>
          <t>smallcap</t>
        </is>
      </c>
      <c r="H59" s="32" t="n">
        <v>4168.16</v>
      </c>
      <c r="I59" s="32" t="n">
        <v>430.05</v>
      </c>
      <c r="J59" s="32" t="n">
        <v>0.99</v>
      </c>
      <c r="K59" s="32" t="n">
        <v>0</v>
      </c>
      <c r="L59" s="31" t="n">
        <v>85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78.98999999999999</v>
      </c>
      <c r="P59" s="32" t="n">
        <v>33.01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-4.43</v>
      </c>
      <c r="U59" s="32" t="n">
        <v>74.05</v>
      </c>
      <c r="V59" s="32" t="n">
        <v>82.12</v>
      </c>
      <c r="W59" s="32" t="n">
        <v>28.39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19</t>
        </is>
      </c>
      <c r="CG59" s="31">
        <f>IF(CF59&gt;20,10,IF(CF59&gt;=10,5,2))</f>
        <v/>
      </c>
    </row>
    <row r="60">
      <c r="A60" s="31">
        <f>IF(B60=0,"",RANK(B60,$B$2:$B$93,0))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STLTECH</t>
        </is>
      </c>
      <c r="D60" s="31" t="inlineStr">
        <is>
          <t>Sterlite Technologies Ltd</t>
        </is>
      </c>
      <c r="E60" s="31" t="inlineStr">
        <is>
          <t>industrials</t>
        </is>
      </c>
      <c r="F60" s="31" t="inlineStr">
        <is>
          <t>Cables - Telecom</t>
        </is>
      </c>
      <c r="G60" s="31" t="inlineStr">
        <is>
          <t>largecap</t>
        </is>
      </c>
      <c r="H60" s="32" t="n">
        <v>29719.65</v>
      </c>
      <c r="I60" s="32" t="n">
        <v>608.8</v>
      </c>
      <c r="J60" s="32" t="n">
        <v>4.31</v>
      </c>
      <c r="K60" s="32" t="n">
        <v>0</v>
      </c>
      <c r="L60" s="31" t="n">
        <v>99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87.84</v>
      </c>
      <c r="P60" s="32" t="n">
        <v>81.7</v>
      </c>
      <c r="Q60" s="32" t="inlineStr"/>
      <c r="R60" s="31" t="inlineStr">
        <is>
          <t>Earnings / Momentum Support</t>
        </is>
      </c>
      <c r="S60" s="31" t="inlineStr">
        <is>
          <t>Nifty Infra</t>
        </is>
      </c>
      <c r="T60" s="32" t="n">
        <v>2.95</v>
      </c>
      <c r="U60" s="32" t="n">
        <v>600.41</v>
      </c>
      <c r="V60" s="32" t="n">
        <v>580.33</v>
      </c>
      <c r="W60" s="32" t="n">
        <v>107.58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17</t>
        </is>
      </c>
      <c r="CG60" s="31">
        <f>IF(CF60&gt;20,10,IF(CF60&gt;=10,5,2))</f>
        <v/>
      </c>
    </row>
    <row r="61">
      <c r="A61" s="31">
        <f>IF(B61=0,"",RANK(B61,$B$2:$B$93,0))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VADILALIND</t>
        </is>
      </c>
      <c r="D61" s="31" t="inlineStr">
        <is>
          <t>Vadilal Industries Ltd</t>
        </is>
      </c>
      <c r="E61" s="31" t="inlineStr">
        <is>
          <t>fmcg</t>
        </is>
      </c>
      <c r="F61" s="31" t="inlineStr">
        <is>
          <t>FMCG - Dairy Products</t>
        </is>
      </c>
      <c r="G61" s="31" t="inlineStr">
        <is>
          <t>smallcap</t>
        </is>
      </c>
      <c r="H61" s="32" t="n">
        <v>4331.75</v>
      </c>
      <c r="I61" s="32" t="n">
        <v>6026.5</v>
      </c>
      <c r="J61" s="32" t="n">
        <v>0.29</v>
      </c>
      <c r="K61" s="32" t="n">
        <v>0</v>
      </c>
      <c r="L61" s="31" t="n">
        <v>36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66.31</v>
      </c>
      <c r="P61" s="32" t="n">
        <v>15.06</v>
      </c>
      <c r="Q61" s="32" t="inlineStr"/>
      <c r="R61" s="31" t="inlineStr">
        <is>
          <t>Earnings / Momentum Support</t>
        </is>
      </c>
      <c r="S61" s="31" t="inlineStr">
        <is>
          <t>Nifty FMCG</t>
        </is>
      </c>
      <c r="T61" s="32" t="n">
        <v>-10.45</v>
      </c>
      <c r="U61" s="32" t="n">
        <v>13.05</v>
      </c>
      <c r="V61" s="32" t="n">
        <v>26.25</v>
      </c>
      <c r="W61" s="32" t="n">
        <v>8.98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29</t>
        </is>
      </c>
      <c r="CG61" s="31">
        <f>IF(CF61&gt;20,10,IF(CF61&gt;=10,5,2))</f>
        <v/>
      </c>
    </row>
    <row r="62">
      <c r="A62" s="31">
        <f>IF(B62=0,"",RANK(B62,$B$2:$B$93,0))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CAPLIPOINT</t>
        </is>
      </c>
      <c r="D62" s="31" t="inlineStr">
        <is>
          <t>Caplin Point Laboratories Ltd</t>
        </is>
      </c>
      <c r="E62" s="31" t="inlineStr">
        <is>
          <t>healthcare</t>
        </is>
      </c>
      <c r="F62" s="31" t="inlineStr">
        <is>
          <t>Pharma - Formulators</t>
        </is>
      </c>
      <c r="G62" s="31" t="inlineStr">
        <is>
          <t>midcap</t>
        </is>
      </c>
      <c r="H62" s="32" t="n">
        <v>17973.73</v>
      </c>
      <c r="I62" s="32" t="n">
        <v>2364.6</v>
      </c>
      <c r="J62" s="32" t="n">
        <v>-1.79</v>
      </c>
      <c r="K62" s="32" t="n">
        <v>0</v>
      </c>
      <c r="L62" s="31" t="n">
        <v>55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76.51000000000001</v>
      </c>
      <c r="P62" s="32" t="n">
        <v>25.49</v>
      </c>
      <c r="Q62" s="32" t="inlineStr"/>
      <c r="R62" s="31" t="inlineStr">
        <is>
          <t>Earnings / Momentum Support</t>
        </is>
      </c>
      <c r="S62" s="31" t="inlineStr">
        <is>
          <t>Nifty Pharma</t>
        </is>
      </c>
      <c r="T62" s="32" t="n">
        <v>10.89</v>
      </c>
      <c r="U62" s="32" t="n">
        <v>12.87</v>
      </c>
      <c r="V62" s="32" t="n">
        <v>1.78</v>
      </c>
      <c r="W62" s="32" t="n">
        <v>13.48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21</t>
        </is>
      </c>
      <c r="CG62" s="31">
        <f>IF(CF62&gt;20,10,IF(CF62&gt;=10,5,2))</f>
        <v/>
      </c>
    </row>
    <row r="63">
      <c r="A63" s="31">
        <f>IF(B63=0,"",RANK(B63,$B$2:$B$93,0))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FCL</t>
        </is>
      </c>
      <c r="D63" s="31" t="inlineStr">
        <is>
          <t>Fineotex Chemical Ltd</t>
        </is>
      </c>
      <c r="E63" s="31" t="inlineStr">
        <is>
          <t>chemicals</t>
        </is>
      </c>
      <c r="F63" s="31" t="inlineStr">
        <is>
          <t>Speciality Chemicals</t>
        </is>
      </c>
      <c r="G63" s="31" t="inlineStr">
        <is>
          <t>smallcap</t>
        </is>
      </c>
      <c r="H63" s="32" t="n">
        <v>4832.68</v>
      </c>
      <c r="I63" s="32" t="n">
        <v>41.5</v>
      </c>
      <c r="J63" s="32" t="n">
        <v>5.95</v>
      </c>
      <c r="K63" s="32" t="n">
        <v>0</v>
      </c>
      <c r="L63" s="31" t="n">
        <v>84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72.38</v>
      </c>
      <c r="P63" s="32" t="n">
        <v>33.74</v>
      </c>
      <c r="Q63" s="32" t="inlineStr"/>
      <c r="R63" s="31" t="inlineStr">
        <is>
          <t>Earnings / Momentum Support</t>
        </is>
      </c>
      <c r="S63" s="31" t="inlineStr">
        <is>
          <t>Nifty IT</t>
        </is>
      </c>
      <c r="T63" s="32" t="n">
        <v>-27.75</v>
      </c>
      <c r="U63" s="32" t="n">
        <v>48.01</v>
      </c>
      <c r="V63" s="32" t="n">
        <v>104.85</v>
      </c>
      <c r="W63" s="32" t="n">
        <v>27.77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IF(B64=0,"",RANK(B64,$B$2:$B$93,0))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GALAPREC</t>
        </is>
      </c>
      <c r="D64" s="31" t="inlineStr">
        <is>
          <t>Gala Precision Engineering Ltd</t>
        </is>
      </c>
      <c r="E64" s="31" t="inlineStr">
        <is>
          <t>industrials</t>
        </is>
      </c>
      <c r="F64" s="31" t="inlineStr">
        <is>
          <t>Castings, Forgings &amp; Fastners</t>
        </is>
      </c>
      <c r="G64" s="31" t="inlineStr">
        <is>
          <t>smallcap</t>
        </is>
      </c>
      <c r="H64" s="32" t="n">
        <v>1323.33</v>
      </c>
      <c r="I64" s="32" t="n">
        <v>1034.05</v>
      </c>
      <c r="J64" s="32" t="n">
        <v>11.32</v>
      </c>
      <c r="K64" s="32" t="n">
        <v>0</v>
      </c>
      <c r="L64" s="31" t="n">
        <v>23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65.48999999999999</v>
      </c>
      <c r="P64" s="32" t="n">
        <v>22.52</v>
      </c>
      <c r="Q64" s="32" t="inlineStr"/>
      <c r="R64" s="31" t="inlineStr">
        <is>
          <t>Volume Spike / Accumulation</t>
        </is>
      </c>
      <c r="S64" s="31" t="inlineStr">
        <is>
          <t>Nifty 50</t>
        </is>
      </c>
      <c r="T64" s="32" t="n">
        <v>-4.43</v>
      </c>
      <c r="U64" s="32" t="n">
        <v>3.28</v>
      </c>
      <c r="V64" s="32" t="n">
        <v>8.07</v>
      </c>
      <c r="W64" s="32" t="n">
        <v>6.06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IF(B65=0,"",RANK(B65,$B$2:$B$93,0))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FIEMIND</t>
        </is>
      </c>
      <c r="D65" s="31" t="inlineStr">
        <is>
          <t>Fiem Industries Ltd</t>
        </is>
      </c>
      <c r="E65" s="31" t="inlineStr">
        <is>
          <t>auto</t>
        </is>
      </c>
      <c r="F65" s="31" t="inlineStr">
        <is>
          <t>Auto Ancillaries - 2&amp;3 Wheelers</t>
        </is>
      </c>
      <c r="G65" s="31" t="inlineStr">
        <is>
          <t>midcap</t>
        </is>
      </c>
      <c r="H65" s="32" t="n">
        <v>6281.98</v>
      </c>
      <c r="I65" s="32" t="n">
        <v>2386.8</v>
      </c>
      <c r="J65" s="32" t="n">
        <v>3.38</v>
      </c>
      <c r="K65" s="32" t="n">
        <v>0</v>
      </c>
      <c r="L65" s="31" t="n">
        <v>30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58.71</v>
      </c>
      <c r="P65" s="32" t="n">
        <v>16.62</v>
      </c>
      <c r="Q65" s="32" t="inlineStr"/>
      <c r="R65" s="31" t="inlineStr">
        <is>
          <t>Earnings / Momentum Support</t>
        </is>
      </c>
      <c r="S65" s="31" t="inlineStr">
        <is>
          <t>Nifty Auto</t>
        </is>
      </c>
      <c r="T65" s="32" t="n">
        <v>12.72</v>
      </c>
      <c r="U65" s="32" t="n">
        <v>23.85</v>
      </c>
      <c r="V65" s="32" t="n">
        <v>9.880000000000001</v>
      </c>
      <c r="W65" s="32" t="n">
        <v>7.36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18</t>
        </is>
      </c>
      <c r="CG65" s="31">
        <f>IF(CF65&gt;20,10,IF(CF65&gt;=10,5,2))</f>
        <v/>
      </c>
    </row>
    <row r="66">
      <c r="A66" s="31">
        <f>IF(B66=0,"",RANK(B66,$B$2:$B$93,0))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HFCL</t>
        </is>
      </c>
      <c r="D66" s="31" t="inlineStr">
        <is>
          <t>HFCL Ltd</t>
        </is>
      </c>
      <c r="E66" s="31" t="inlineStr">
        <is>
          <t>telecom</t>
        </is>
      </c>
      <c r="F66" s="31" t="inlineStr">
        <is>
          <t>Telecom Services</t>
        </is>
      </c>
      <c r="G66" s="31" t="inlineStr">
        <is>
          <t>largecap</t>
        </is>
      </c>
      <c r="H66" s="32" t="n">
        <v>27619.72</v>
      </c>
      <c r="I66" s="32" t="n">
        <v>180.45</v>
      </c>
      <c r="J66" s="32" t="n">
        <v>5</v>
      </c>
      <c r="K66" s="32" t="n">
        <v>0</v>
      </c>
      <c r="L66" s="31" t="n">
        <v>96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79.31999999999999</v>
      </c>
      <c r="P66" s="32" t="n">
        <v>51.45</v>
      </c>
      <c r="Q66" s="32" t="inlineStr"/>
      <c r="R66" s="31" t="inlineStr">
        <is>
          <t>Earnings / Momentum Support</t>
        </is>
      </c>
      <c r="S66" s="31" t="inlineStr">
        <is>
          <t>Nifty Infra</t>
        </is>
      </c>
      <c r="T66" s="32" t="n">
        <v>2.95</v>
      </c>
      <c r="U66" s="32" t="n">
        <v>98.28</v>
      </c>
      <c r="V66" s="32" t="n">
        <v>92.59</v>
      </c>
      <c r="W66" s="32" t="n">
        <v>52.22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IF(B67=0,"",RANK(B67,$B$2:$B$93,0))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INDNIPPON</t>
        </is>
      </c>
      <c r="D67" s="31" t="inlineStr">
        <is>
          <t>India Nippon Electricals Ltd</t>
        </is>
      </c>
      <c r="E67" s="31" t="inlineStr">
        <is>
          <t>auto</t>
        </is>
      </c>
      <c r="F67" s="31" t="inlineStr">
        <is>
          <t>Auto Ancillaries - Engine Parts</t>
        </is>
      </c>
      <c r="G67" s="31" t="inlineStr">
        <is>
          <t>smallcap</t>
        </is>
      </c>
      <c r="H67" s="32" t="n">
        <v>2066.69</v>
      </c>
      <c r="I67" s="32" t="n">
        <v>913.6</v>
      </c>
      <c r="J67" s="32" t="n">
        <v>2.62</v>
      </c>
      <c r="K67" s="32" t="n">
        <v>0</v>
      </c>
      <c r="L67" s="31" t="n">
        <v>38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59.04</v>
      </c>
      <c r="P67" s="32" t="n">
        <v>12.95</v>
      </c>
      <c r="Q67" s="32" t="inlineStr"/>
      <c r="R67" s="31" t="inlineStr">
        <is>
          <t>Earnings / Momentum Support</t>
        </is>
      </c>
      <c r="S67" s="31" t="inlineStr">
        <is>
          <t>Nifty Auto</t>
        </is>
      </c>
      <c r="T67" s="32" t="n">
        <v>12.72</v>
      </c>
      <c r="U67" s="32" t="n">
        <v>24.84</v>
      </c>
      <c r="V67" s="32" t="n">
        <v>10.76</v>
      </c>
      <c r="W67" s="32" t="n">
        <v>9.07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18</t>
        </is>
      </c>
      <c r="CG67" s="31">
        <f>IF(CF67&gt;20,10,IF(CF67&gt;=10,5,2))</f>
        <v/>
      </c>
    </row>
    <row r="68">
      <c r="A68" s="31">
        <f>IF(B68=0,"",RANK(B68,$B$2:$B$93,0))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VINCOFE</t>
        </is>
      </c>
      <c r="D68" s="31" t="inlineStr">
        <is>
          <t>Vintage Coffee &amp; Beverages Ltd</t>
        </is>
      </c>
      <c r="E68" s="31" t="inlineStr">
        <is>
          <t>consumer discretionary</t>
        </is>
      </c>
      <c r="F68" s="31" t="inlineStr">
        <is>
          <t>FMCG - Coffee</t>
        </is>
      </c>
      <c r="G68" s="31" t="inlineStr">
        <is>
          <t>smallcap</t>
        </is>
      </c>
      <c r="H68" s="32" t="n">
        <v>2264</v>
      </c>
      <c r="I68" s="32" t="n">
        <v>155.4</v>
      </c>
      <c r="J68" s="32" t="n">
        <v>-2.48</v>
      </c>
      <c r="K68" s="32" t="n">
        <v>0</v>
      </c>
      <c r="L68" s="31" t="n">
        <v>52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60.74</v>
      </c>
      <c r="P68" s="32" t="n">
        <v>13.94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-4.43</v>
      </c>
      <c r="U68" s="32" t="n">
        <v>27.58</v>
      </c>
      <c r="V68" s="32" t="n">
        <v>33.5</v>
      </c>
      <c r="W68" s="32" t="n">
        <v>12.82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Between 12 to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Between 1.5 to 2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21</t>
        </is>
      </c>
      <c r="CG68" s="31">
        <f>IF(CF68&gt;20,10,IF(CF68&gt;=10,5,2))</f>
        <v/>
      </c>
    </row>
    <row r="69">
      <c r="A69" s="31">
        <f>IF(B69=0,"",RANK(B69,$B$2:$B$93,0))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ROBU</t>
        </is>
      </c>
      <c r="D69" s="31" t="inlineStr">
        <is>
          <t>Macfos Ltd</t>
        </is>
      </c>
      <c r="E69" s="31" t="inlineStr">
        <is>
          <t>Technology</t>
        </is>
      </c>
      <c r="F69" s="31" t="inlineStr">
        <is>
          <t>E-Commerce - Platform - Utility</t>
        </is>
      </c>
      <c r="G69" s="31" t="inlineStr">
        <is>
          <t>smallcap</t>
        </is>
      </c>
      <c r="H69" s="32" t="n">
        <v>1190.19</v>
      </c>
      <c r="I69" s="32" t="n">
        <v>1149</v>
      </c>
      <c r="J69" s="32" t="n">
        <v>-0.9</v>
      </c>
      <c r="K69" s="32" t="n">
        <v>0</v>
      </c>
      <c r="L69" s="31" t="n">
        <v>71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71.01000000000001</v>
      </c>
      <c r="P69" s="32" t="n">
        <v>67.70999999999999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-4.43</v>
      </c>
      <c r="U69" s="32" t="n">
        <v>60.16</v>
      </c>
      <c r="V69" s="32" t="n">
        <v>67.59</v>
      </c>
      <c r="W69" s="32" t="n">
        <v>19.13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IF(B70=0,"",RANK(B70,$B$2:$B$93,0))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PREMIERENE</t>
        </is>
      </c>
      <c r="D70" s="31" t="inlineStr">
        <is>
          <t>Premier Energies Ltd</t>
        </is>
      </c>
      <c r="E70" s="31" t="inlineStr">
        <is>
          <t>Technology</t>
        </is>
      </c>
      <c r="F70" s="31" t="inlineStr">
        <is>
          <t>Capital Goods - Solar</t>
        </is>
      </c>
      <c r="G70" s="31" t="inlineStr">
        <is>
          <t>largecap</t>
        </is>
      </c>
      <c r="H70" s="32" t="n">
        <v>47456.09</v>
      </c>
      <c r="I70" s="32" t="n">
        <v>1045.4</v>
      </c>
      <c r="J70" s="32" t="n">
        <v>1.04</v>
      </c>
      <c r="K70" s="32" t="n">
        <v>0</v>
      </c>
      <c r="L70" s="31" t="n">
        <v>34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59.48</v>
      </c>
      <c r="P70" s="32" t="n">
        <v>17.49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-4.43</v>
      </c>
      <c r="U70" s="32" t="n">
        <v>2.39</v>
      </c>
      <c r="V70" s="32" t="n">
        <v>7.14</v>
      </c>
      <c r="W70" s="32" t="n">
        <v>8.27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18</t>
        </is>
      </c>
      <c r="CG70" s="31">
        <f>IF(CF70&gt;20,10,IF(CF70&gt;=10,5,2))</f>
        <v/>
      </c>
    </row>
    <row r="71">
      <c r="A71" s="31">
        <f>IF(B71=0,"",RANK(B71,$B$2:$B$93,0))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3" t="inlineStr">
        <is>
          <t>AKUMS</t>
        </is>
      </c>
      <c r="D71" s="33" t="inlineStr">
        <is>
          <t>Akums Drugs &amp; Pharmaceuticals Ltd</t>
        </is>
      </c>
      <c r="E71" s="31" t="inlineStr">
        <is>
          <t>healthcare</t>
        </is>
      </c>
      <c r="F71" s="31" t="inlineStr">
        <is>
          <t>Pharma - Formulators</t>
        </is>
      </c>
      <c r="G71" s="31" t="inlineStr">
        <is>
          <t>midcap</t>
        </is>
      </c>
      <c r="H71" s="32" t="n">
        <v>9757.639999999999</v>
      </c>
      <c r="I71" s="32" t="n">
        <v>619.95</v>
      </c>
      <c r="J71" s="32" t="n">
        <v>-0.47</v>
      </c>
      <c r="K71" s="32" t="n">
        <v>0</v>
      </c>
      <c r="L71" s="31" t="n">
        <v>40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71.76000000000001</v>
      </c>
      <c r="P71" s="32" t="n">
        <v>39.05</v>
      </c>
      <c r="Q71" s="32" t="inlineStr"/>
      <c r="R71" s="31" t="inlineStr">
        <is>
          <t>Earnings / Momentum Support</t>
        </is>
      </c>
      <c r="S71" s="31" t="inlineStr">
        <is>
          <t>Nifty Pharma</t>
        </is>
      </c>
      <c r="T71" s="32" t="n">
        <v>10.89</v>
      </c>
      <c r="U71" s="32" t="n">
        <v>8.84</v>
      </c>
      <c r="V71" s="32" t="n">
        <v>-1.85</v>
      </c>
      <c r="W71" s="32" t="n">
        <v>9.67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IF(B72=0,"",RANK(B72,$B$2:$B$93,0))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RPEL</t>
        </is>
      </c>
      <c r="D72" s="31" t="inlineStr">
        <is>
          <t>Raghav Productivity Enhancers Ltd</t>
        </is>
      </c>
      <c r="E72" s="31" t="inlineStr">
        <is>
          <t>building materials</t>
        </is>
      </c>
      <c r="F72" s="31" t="inlineStr">
        <is>
          <t>Steel Products</t>
        </is>
      </c>
      <c r="G72" s="31" t="inlineStr">
        <is>
          <t>midcap</t>
        </is>
      </c>
      <c r="H72" s="32" t="n">
        <v>5515.23</v>
      </c>
      <c r="I72" s="32" t="n">
        <v>1201</v>
      </c>
      <c r="J72" s="32" t="n">
        <v>1.22</v>
      </c>
      <c r="K72" s="32" t="n">
        <v>0</v>
      </c>
      <c r="L72" s="31" t="n">
        <v>89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77.06999999999999</v>
      </c>
      <c r="P72" s="32" t="n">
        <v>32.01</v>
      </c>
      <c r="Q72" s="32" t="inlineStr"/>
      <c r="R72" s="31" t="inlineStr">
        <is>
          <t>Earnings / Momentum Support</t>
        </is>
      </c>
      <c r="S72" s="31" t="inlineStr">
        <is>
          <t>Nifty Infra</t>
        </is>
      </c>
      <c r="T72" s="32" t="n">
        <v>2.95</v>
      </c>
      <c r="U72" s="32" t="n">
        <v>68.70999999999999</v>
      </c>
      <c r="V72" s="32" t="n">
        <v>63.88</v>
      </c>
      <c r="W72" s="32" t="n">
        <v>34.87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25</t>
        </is>
      </c>
      <c r="CG72" s="31">
        <f>IF(CF72&gt;20,10,IF(CF72&gt;=10,5,2))</f>
        <v/>
      </c>
    </row>
    <row r="73">
      <c r="A73" s="31">
        <f>IF(B73=0,"",RANK(B73,$B$2:$B$93,0))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MINDACORP</t>
        </is>
      </c>
      <c r="D73" s="31" t="inlineStr">
        <is>
          <t>Minda Corporation Ltd</t>
        </is>
      </c>
      <c r="E73" s="31" t="inlineStr">
        <is>
          <t>auto</t>
        </is>
      </c>
      <c r="F73" s="31" t="inlineStr">
        <is>
          <t>Auto Ancillaries - Diversified</t>
        </is>
      </c>
      <c r="G73" s="31" t="inlineStr">
        <is>
          <t>midcap</t>
        </is>
      </c>
      <c r="H73" s="32" t="n">
        <v>15840.21</v>
      </c>
      <c r="I73" s="32" t="n">
        <v>662.55</v>
      </c>
      <c r="J73" s="32" t="n">
        <v>3.98</v>
      </c>
      <c r="K73" s="32" t="n">
        <v>0</v>
      </c>
      <c r="L73" s="31" t="n">
        <v>46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64.18000000000001</v>
      </c>
      <c r="P73" s="32" t="n">
        <v>19.26</v>
      </c>
      <c r="Q73" s="32" t="inlineStr"/>
      <c r="R73" s="31" t="inlineStr">
        <is>
          <t>Earnings / Momentum Support</t>
        </is>
      </c>
      <c r="S73" s="31" t="inlineStr">
        <is>
          <t>Nifty Auto</t>
        </is>
      </c>
      <c r="T73" s="32" t="n">
        <v>12.72</v>
      </c>
      <c r="U73" s="32" t="n">
        <v>16.8</v>
      </c>
      <c r="V73" s="32" t="n">
        <v>3.62</v>
      </c>
      <c r="W73" s="32" t="n">
        <v>11.07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24</t>
        </is>
      </c>
      <c r="CG73" s="31">
        <f>IF(CF73&gt;20,10,IF(CF73&gt;=10,5,2))</f>
        <v/>
      </c>
    </row>
    <row r="74">
      <c r="A74" s="31">
        <f>IF(B74=0,"",RANK(B74,$B$2:$B$93,0))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ADVAIT</t>
        </is>
      </c>
      <c r="D74" s="31" t="inlineStr">
        <is>
          <t>Advait Energy Transitions Limited</t>
        </is>
      </c>
      <c r="E74" s="31" t="inlineStr">
        <is>
          <t>Industrials</t>
        </is>
      </c>
      <c r="F74" s="31" t="inlineStr">
        <is>
          <t>EPC</t>
        </is>
      </c>
      <c r="G74" s="31" t="inlineStr">
        <is>
          <t>smallcap</t>
        </is>
      </c>
      <c r="H74" s="32" t="n">
        <v>2577.02</v>
      </c>
      <c r="I74" s="32" t="n">
        <v>2354.95</v>
      </c>
      <c r="J74" s="32" t="n">
        <v>2.07</v>
      </c>
      <c r="K74" s="32" t="n">
        <v>0</v>
      </c>
      <c r="L74" s="31" t="n">
        <v>60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69.75</v>
      </c>
      <c r="P74" s="32" t="n">
        <v>30.31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-4.43</v>
      </c>
      <c r="U74" s="32" t="n">
        <v>13.54</v>
      </c>
      <c r="V74" s="32" t="n">
        <v>18.81</v>
      </c>
      <c r="W74" s="32" t="n">
        <v>15.59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IF(B75=0,"",RANK(B75,$B$2:$B$93,0))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CRAFTSMAN</t>
        </is>
      </c>
      <c r="D75" s="31" t="inlineStr">
        <is>
          <t>Craftsman Automation Ltd</t>
        </is>
      </c>
      <c r="E75" s="31" t="inlineStr">
        <is>
          <t>auto</t>
        </is>
      </c>
      <c r="F75" s="31" t="inlineStr">
        <is>
          <t>Auto &amp; Auto Ancl - CV</t>
        </is>
      </c>
      <c r="G75" s="31" t="inlineStr">
        <is>
          <t>largecap</t>
        </is>
      </c>
      <c r="H75" s="32" t="n">
        <v>22273.96</v>
      </c>
      <c r="I75" s="32" t="n">
        <v>9337</v>
      </c>
      <c r="J75" s="32" t="n">
        <v>4.7</v>
      </c>
      <c r="K75" s="32" t="n">
        <v>0</v>
      </c>
      <c r="L75" s="31" t="n">
        <v>70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64.23</v>
      </c>
      <c r="P75" s="32" t="n">
        <v>36.62</v>
      </c>
      <c r="Q75" s="32" t="inlineStr"/>
      <c r="R75" s="31" t="inlineStr">
        <is>
          <t>Earnings / Momentum Support</t>
        </is>
      </c>
      <c r="S75" s="31" t="inlineStr">
        <is>
          <t>Nifty Auto</t>
        </is>
      </c>
      <c r="T75" s="32" t="n">
        <v>12.72</v>
      </c>
      <c r="U75" s="32" t="n">
        <v>68.34999999999999</v>
      </c>
      <c r="V75" s="32" t="n">
        <v>49.36</v>
      </c>
      <c r="W75" s="32" t="n">
        <v>18.71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Less than 50% and Borrowings are increasing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21</t>
        </is>
      </c>
      <c r="CG75" s="31">
        <f>IF(CF75&gt;20,10,IF(CF75&gt;=10,5,2))</f>
        <v/>
      </c>
    </row>
    <row r="76">
      <c r="A76" s="31">
        <f>IF(B76=0,"",RANK(B76,$B$2:$B$93,0))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DIFFNKG</t>
        </is>
      </c>
      <c r="D76" s="31" t="inlineStr">
        <is>
          <t>Diffusion Engineers Ltd</t>
        </is>
      </c>
      <c r="E76" s="31" t="inlineStr">
        <is>
          <t>industrials</t>
        </is>
      </c>
      <c r="F76" s="31" t="inlineStr">
        <is>
          <t>Welding Equipments</t>
        </is>
      </c>
      <c r="G76" s="31" t="inlineStr">
        <is>
          <t>smallcap</t>
        </is>
      </c>
      <c r="H76" s="32" t="n">
        <v>1361.75</v>
      </c>
      <c r="I76" s="32" t="n">
        <v>363.85</v>
      </c>
      <c r="J76" s="32" t="n">
        <v>0.58</v>
      </c>
      <c r="K76" s="32" t="n">
        <v>0</v>
      </c>
      <c r="L76" s="31" t="n">
        <v>68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65.13</v>
      </c>
      <c r="P76" s="32" t="n">
        <v>15.95</v>
      </c>
      <c r="Q76" s="32" t="inlineStr"/>
      <c r="R76" s="31" t="inlineStr">
        <is>
          <t>Earnings / Momentum Support</t>
        </is>
      </c>
      <c r="S76" s="31" t="inlineStr">
        <is>
          <t>Nifty Infra</t>
        </is>
      </c>
      <c r="T76" s="32" t="n">
        <v>2.95</v>
      </c>
      <c r="U76" s="32" t="n">
        <v>20.52</v>
      </c>
      <c r="V76" s="32" t="n">
        <v>17.06</v>
      </c>
      <c r="W76" s="32" t="n">
        <v>18.1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19</t>
        </is>
      </c>
      <c r="CG76" s="31">
        <f>IF(CF76&gt;20,10,IF(CF76&gt;=10,5,2))</f>
        <v/>
      </c>
    </row>
    <row r="77">
      <c r="A77" s="31">
        <f>IF(B77=0,"",RANK(B77,$B$2:$B$93,0))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SILVERTUC</t>
        </is>
      </c>
      <c r="D77" s="33" t="inlineStr">
        <is>
          <t>Silver Touch Technologies Ltd</t>
        </is>
      </c>
      <c r="E77" s="31" t="inlineStr">
        <is>
          <t>i.t</t>
        </is>
      </c>
      <c r="F77" s="31" t="inlineStr">
        <is>
          <t>IT - Software</t>
        </is>
      </c>
      <c r="G77" s="31" t="inlineStr">
        <is>
          <t>smallcap</t>
        </is>
      </c>
      <c r="H77" s="32" t="n">
        <v>2642.21</v>
      </c>
      <c r="I77" s="32" t="n">
        <v>208.36</v>
      </c>
      <c r="J77" s="32" t="n">
        <v>4.82</v>
      </c>
      <c r="K77" s="32" t="n">
        <v>0</v>
      </c>
      <c r="L77" s="31" t="n">
        <v>59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41.54</v>
      </c>
      <c r="P77" s="32" t="n">
        <v>40.28</v>
      </c>
      <c r="Q77" s="32" t="inlineStr"/>
      <c r="R77" s="31" t="inlineStr">
        <is>
          <t>Earnings / Momentum Support</t>
        </is>
      </c>
      <c r="S77" s="31" t="inlineStr">
        <is>
          <t>Nifty IT</t>
        </is>
      </c>
      <c r="T77" s="32" t="n">
        <v>-27.75</v>
      </c>
      <c r="U77" s="32" t="n">
        <v>-74.8</v>
      </c>
      <c r="V77" s="32" t="n">
        <v>-65.12</v>
      </c>
      <c r="W77" s="32" t="n">
        <v>15.14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Below 45</t>
        </is>
      </c>
      <c r="BA77" s="31">
        <f>IF(AZ77="Between 50 to 75",10,IF(AZ77="Above 75",0,0))</f>
        <v/>
      </c>
      <c r="BB77" s="31" t="inlineStr">
        <is>
          <t>Stage 4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IF(B78=0,"",RANK(B78,$B$2:$B$93,0))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JNKINDIA</t>
        </is>
      </c>
      <c r="D78" s="31" t="inlineStr">
        <is>
          <t>JNK India Ltd</t>
        </is>
      </c>
      <c r="E78" s="31" t="inlineStr">
        <is>
          <t>realty</t>
        </is>
      </c>
      <c r="F78" s="31" t="inlineStr">
        <is>
          <t>Capital Goods - Engineering Heavy</t>
        </is>
      </c>
      <c r="G78" s="31" t="inlineStr">
        <is>
          <t>smallcap</t>
        </is>
      </c>
      <c r="H78" s="32" t="n">
        <v>2774.75</v>
      </c>
      <c r="I78" s="32" t="n">
        <v>495.9</v>
      </c>
      <c r="J78" s="32" t="n">
        <v>-1.62</v>
      </c>
      <c r="K78" s="32" t="n">
        <v>0</v>
      </c>
      <c r="L78" s="31" t="n">
        <v>92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77.36</v>
      </c>
      <c r="P78" s="32" t="n">
        <v>32.4</v>
      </c>
      <c r="Q78" s="32" t="inlineStr"/>
      <c r="R78" s="31" t="inlineStr">
        <is>
          <t>Earnings / Momentum Support</t>
        </is>
      </c>
      <c r="S78" s="31" t="inlineStr">
        <is>
          <t>Nifty Realty</t>
        </is>
      </c>
      <c r="T78" s="32" t="n">
        <v>-23.58</v>
      </c>
      <c r="U78" s="32" t="n">
        <v>39.11</v>
      </c>
      <c r="V78" s="32" t="n">
        <v>82.03</v>
      </c>
      <c r="W78" s="32" t="n">
        <v>38.41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33</t>
        </is>
      </c>
      <c r="CG78" s="31">
        <f>IF(CF78&gt;20,10,IF(CF78&gt;=10,5,2))</f>
        <v/>
      </c>
    </row>
    <row r="79">
      <c r="A79" s="31">
        <f>IF(B79=0,"",RANK(B79,$B$2:$B$93,0))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JAYBARMARU</t>
        </is>
      </c>
      <c r="D79" s="31" t="inlineStr">
        <is>
          <t>Jay Bharat Maruti Ltd</t>
        </is>
      </c>
      <c r="E79" s="31" t="inlineStr">
        <is>
          <t>auto</t>
        </is>
      </c>
      <c r="F79" s="31" t="inlineStr">
        <is>
          <t>Auto Ancillaries - Diversified</t>
        </is>
      </c>
      <c r="G79" s="31" t="inlineStr">
        <is>
          <t>smallcap</t>
        </is>
      </c>
      <c r="H79" s="32" t="n">
        <v>1722.47</v>
      </c>
      <c r="I79" s="32" t="n">
        <v>159.12</v>
      </c>
      <c r="J79" s="32" t="n">
        <v>10</v>
      </c>
      <c r="K79" s="32" t="n">
        <v>0</v>
      </c>
      <c r="L79" s="31" t="n">
        <v>85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70.29000000000001</v>
      </c>
      <c r="P79" s="32" t="n">
        <v>19.88</v>
      </c>
      <c r="Q79" s="32" t="inlineStr"/>
      <c r="R79" s="31" t="inlineStr">
        <is>
          <t>Earnings / Momentum Support</t>
        </is>
      </c>
      <c r="S79" s="31" t="inlineStr">
        <is>
          <t>Nifty Auto</t>
        </is>
      </c>
      <c r="T79" s="32" t="n">
        <v>12.72</v>
      </c>
      <c r="U79" s="32" t="n">
        <v>86.31999999999999</v>
      </c>
      <c r="V79" s="32" t="n">
        <v>65.3</v>
      </c>
      <c r="W79" s="32" t="n">
        <v>28.52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24</t>
        </is>
      </c>
      <c r="CG79" s="31">
        <f>IF(CF79&gt;20,10,IF(CF79&gt;=10,5,2))</f>
        <v/>
      </c>
    </row>
    <row r="80">
      <c r="A80" s="31">
        <f>IF(B80=0,"",RANK(B80,$B$2:$B$93,0))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BMW</t>
        </is>
      </c>
      <c r="D80" s="33" t="inlineStr">
        <is>
          <t>BMW Industries Ltd</t>
        </is>
      </c>
      <c r="E80" s="31" t="inlineStr">
        <is>
          <t>Basic Materials</t>
        </is>
      </c>
      <c r="F80" s="31" t="inlineStr">
        <is>
          <t>Steel Products</t>
        </is>
      </c>
      <c r="G80" s="31" t="inlineStr">
        <is>
          <t>smallcap</t>
        </is>
      </c>
      <c r="H80" s="32" t="n">
        <v>1419.17</v>
      </c>
      <c r="I80" s="32" t="n">
        <v>63.05</v>
      </c>
      <c r="J80" s="32" t="n">
        <v>3.89</v>
      </c>
      <c r="K80" s="32" t="n">
        <v>0</v>
      </c>
      <c r="L80" s="31" t="n">
        <v>81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72.93000000000001</v>
      </c>
      <c r="P80" s="32" t="n">
        <v>37.01</v>
      </c>
      <c r="Q80" s="32" t="inlineStr"/>
      <c r="R80" s="31" t="inlineStr">
        <is>
          <t>Earnings / Momentum Support</t>
        </is>
      </c>
      <c r="S80" s="31" t="inlineStr">
        <is>
          <t>Nifty Metal</t>
        </is>
      </c>
      <c r="T80" s="32" t="n">
        <v>38.84</v>
      </c>
      <c r="U80" s="32" t="n">
        <v>8.91</v>
      </c>
      <c r="V80" s="32" t="n">
        <v>-21.55</v>
      </c>
      <c r="W80" s="32" t="n">
        <v>24.88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Between 50% to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IF(B81=0,"",RANK(B81,$B$2:$B$93,0))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SUNSHIEL</t>
        </is>
      </c>
      <c r="D81" s="31" t="inlineStr">
        <is>
          <t>Sunshield Chemicals Ltd</t>
        </is>
      </c>
      <c r="E81" s="31" t="inlineStr">
        <is>
          <t>Basic Materials</t>
        </is>
      </c>
      <c r="F81" s="31" t="inlineStr">
        <is>
          <t>Speciality Chemicals</t>
        </is>
      </c>
      <c r="G81" s="31" t="inlineStr">
        <is>
          <t>smallcap</t>
        </is>
      </c>
      <c r="H81" s="32" t="n">
        <v>1109.91</v>
      </c>
      <c r="I81" s="32" t="n">
        <v>1262</v>
      </c>
      <c r="J81" s="32" t="n">
        <v>5.89</v>
      </c>
      <c r="K81" s="32" t="n">
        <v>0</v>
      </c>
      <c r="L81" s="31" t="n">
        <v>77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72.90000000000001</v>
      </c>
      <c r="P81" s="32" t="n">
        <v>26.56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-4.43</v>
      </c>
      <c r="U81" s="32" t="n">
        <v>56.05</v>
      </c>
      <c r="V81" s="32" t="n">
        <v>63.28</v>
      </c>
      <c r="W81" s="32" t="n">
        <v>22.93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IF(B82=0,"",RANK(B82,$B$2:$B$93,0))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YASHO</t>
        </is>
      </c>
      <c r="D82" s="31" t="inlineStr">
        <is>
          <t>Yasho Industries Ltd</t>
        </is>
      </c>
      <c r="E82" s="31" t="inlineStr">
        <is>
          <t>chemicals</t>
        </is>
      </c>
      <c r="F82" s="31" t="inlineStr">
        <is>
          <t>Speciality Chemicals</t>
        </is>
      </c>
      <c r="G82" s="31" t="inlineStr">
        <is>
          <t>smallcap</t>
        </is>
      </c>
      <c r="H82" s="32" t="n">
        <v>3359.59</v>
      </c>
      <c r="I82" s="32" t="n">
        <v>2786.4</v>
      </c>
      <c r="J82" s="32" t="n">
        <v>-2.93</v>
      </c>
      <c r="K82" s="32" t="n">
        <v>0</v>
      </c>
      <c r="L82" s="31" t="n">
        <v>94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83.59</v>
      </c>
      <c r="P82" s="32" t="n">
        <v>26.66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-4.43</v>
      </c>
      <c r="U82" s="32" t="n">
        <v>45.35</v>
      </c>
      <c r="V82" s="32" t="n">
        <v>52.09</v>
      </c>
      <c r="W82" s="32" t="n">
        <v>40.32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IF(B83=0,"",RANK(B83,$B$2:$B$93,0))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CHENNPETRO</t>
        </is>
      </c>
      <c r="D83" s="31" t="inlineStr">
        <is>
          <t>Chennai Petroleum Corporation Ltd</t>
        </is>
      </c>
      <c r="E83" s="31" t="inlineStr">
        <is>
          <t>energy</t>
        </is>
      </c>
      <c r="F83" s="31" t="inlineStr">
        <is>
          <t>Refineries</t>
        </is>
      </c>
      <c r="G83" s="31" t="inlineStr">
        <is>
          <t>midcap</t>
        </is>
      </c>
      <c r="H83" s="32" t="n">
        <v>18027.21</v>
      </c>
      <c r="I83" s="32" t="n">
        <v>1210.6</v>
      </c>
      <c r="J83" s="32" t="n">
        <v>6.41</v>
      </c>
      <c r="K83" s="32" t="n">
        <v>0</v>
      </c>
      <c r="L83" s="31" t="n">
        <v>67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60.58</v>
      </c>
      <c r="P83" s="32" t="n">
        <v>45.67</v>
      </c>
      <c r="Q83" s="32" t="inlineStr"/>
      <c r="R83" s="31" t="inlineStr">
        <is>
          <t>Earnings / Momentum Support</t>
        </is>
      </c>
      <c r="S83" s="31" t="inlineStr">
        <is>
          <t>Nifty Energy</t>
        </is>
      </c>
      <c r="T83" s="32" t="n">
        <v>9.800000000000001</v>
      </c>
      <c r="U83" s="32" t="n">
        <v>79.95</v>
      </c>
      <c r="V83" s="32" t="n">
        <v>63.88</v>
      </c>
      <c r="W83" s="32" t="n">
        <v>18.06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IF(B84=0,"",RANK(B84,$B$2:$B$93,0))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SOTL</t>
        </is>
      </c>
      <c r="D84" s="31" t="inlineStr">
        <is>
          <t>Savita Oil Technologies Ltd</t>
        </is>
      </c>
      <c r="E84" s="31" t="inlineStr">
        <is>
          <t>energy</t>
        </is>
      </c>
      <c r="F84" s="31" t="inlineStr">
        <is>
          <t>Petrochem - Others</t>
        </is>
      </c>
      <c r="G84" s="31" t="inlineStr">
        <is>
          <t>smallcap</t>
        </is>
      </c>
      <c r="H84" s="32" t="n">
        <v>3959.71</v>
      </c>
      <c r="I84" s="32" t="n">
        <v>577.55</v>
      </c>
      <c r="J84" s="32" t="n">
        <v>1.26</v>
      </c>
      <c r="K84" s="32" t="n">
        <v>0</v>
      </c>
      <c r="L84" s="31" t="n">
        <v>81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75.31999999999999</v>
      </c>
      <c r="P84" s="32" t="n">
        <v>31.21</v>
      </c>
      <c r="Q84" s="32" t="inlineStr"/>
      <c r="R84" s="31" t="inlineStr">
        <is>
          <t>Earnings / Momentum Support</t>
        </is>
      </c>
      <c r="S84" s="31" t="inlineStr">
        <is>
          <t>Nifty Energy</t>
        </is>
      </c>
      <c r="T84" s="32" t="n">
        <v>9.800000000000001</v>
      </c>
      <c r="U84" s="32" t="n">
        <v>36.77</v>
      </c>
      <c r="V84" s="32" t="n">
        <v>24.56</v>
      </c>
      <c r="W84" s="32" t="n">
        <v>25.01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Between 50% to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23</t>
        </is>
      </c>
      <c r="CG84" s="31">
        <f>IF(CF84&gt;20,10,IF(CF84&gt;=10,5,2))</f>
        <v/>
      </c>
    </row>
    <row r="85">
      <c r="A85" s="31">
        <f>IF(B85=0,"",RANK(B85,$B$2:$B$93,0))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SKYGOLD</t>
        </is>
      </c>
      <c r="D85" s="31" t="inlineStr">
        <is>
          <t>Sky Gold &amp; Diamonds Ltd</t>
        </is>
      </c>
      <c r="E85" s="31" t="inlineStr">
        <is>
          <t>consumer discretionary</t>
        </is>
      </c>
      <c r="F85" s="31" t="inlineStr">
        <is>
          <t>Diamond, Gems &amp; Jewellery</t>
        </is>
      </c>
      <c r="G85" s="31" t="inlineStr">
        <is>
          <t>midcap</t>
        </is>
      </c>
      <c r="H85" s="32" t="n">
        <v>8264.84</v>
      </c>
      <c r="I85" s="32" t="n">
        <v>533.65</v>
      </c>
      <c r="J85" s="32" t="n">
        <v>4.85</v>
      </c>
      <c r="K85" s="32" t="n">
        <v>0</v>
      </c>
      <c r="L85" s="31" t="n">
        <v>71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63.72</v>
      </c>
      <c r="P85" s="32" t="n">
        <v>38.71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-4.43</v>
      </c>
      <c r="U85" s="32" t="n">
        <v>32.11</v>
      </c>
      <c r="V85" s="32" t="n">
        <v>38.24</v>
      </c>
      <c r="W85" s="32" t="n">
        <v>19.11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22</t>
        </is>
      </c>
      <c r="CG85" s="31">
        <f>IF(CF85&gt;20,10,IF(CF85&gt;=10,5,2))</f>
        <v/>
      </c>
    </row>
    <row r="86">
      <c r="A86" s="31">
        <f>IF(B86=0,"",RANK(B86,$B$2:$B$93,0))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TBZ</t>
        </is>
      </c>
      <c r="D86" s="31" t="inlineStr">
        <is>
          <t>Tribhovandas Bhimji Zaveri Ltd</t>
        </is>
      </c>
      <c r="E86" s="31" t="inlineStr">
        <is>
          <t>consumer discretionary</t>
        </is>
      </c>
      <c r="F86" s="31" t="inlineStr">
        <is>
          <t>Diamond, Gems &amp; Jewellery</t>
        </is>
      </c>
      <c r="G86" s="31" t="inlineStr">
        <is>
          <t>smallcap</t>
        </is>
      </c>
      <c r="H86" s="32" t="n">
        <v>1252.93</v>
      </c>
      <c r="I86" s="32" t="n">
        <v>187.76</v>
      </c>
      <c r="J86" s="32" t="n">
        <v>2.17</v>
      </c>
      <c r="K86" s="32" t="n">
        <v>0</v>
      </c>
      <c r="L86" s="31" t="n">
        <v>38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62.11</v>
      </c>
      <c r="P86" s="32" t="n">
        <v>15.06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-4.43</v>
      </c>
      <c r="U86" s="32" t="n">
        <v>-3.34</v>
      </c>
      <c r="V86" s="32" t="n">
        <v>1.15</v>
      </c>
      <c r="W86" s="32" t="n">
        <v>9.08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 and Borrowings are increasing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21</t>
        </is>
      </c>
      <c r="CG86" s="31">
        <f>IF(CF86&gt;20,10,IF(CF86&gt;=10,5,2))</f>
        <v/>
      </c>
    </row>
    <row r="87">
      <c r="A87" s="31">
        <f>IF(B87=0,"",RANK(B87,$B$2:$B$93,0))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AEROENTER</t>
        </is>
      </c>
      <c r="D87" s="33" t="inlineStr">
        <is>
          <t>Aeroflex Enterprises Ltd</t>
        </is>
      </c>
      <c r="E87" s="31" t="inlineStr">
        <is>
          <t>metals &amp; mining</t>
        </is>
      </c>
      <c r="F87" s="31" t="inlineStr">
        <is>
          <t>Miscellaneous</t>
        </is>
      </c>
      <c r="G87" s="31" t="inlineStr">
        <is>
          <t>smallcap</t>
        </is>
      </c>
      <c r="H87" s="32" t="n">
        <v>1248.68</v>
      </c>
      <c r="I87" s="32" t="n">
        <v>110.42</v>
      </c>
      <c r="J87" s="32" t="n">
        <v>0.58</v>
      </c>
      <c r="K87" s="32" t="n">
        <v>0</v>
      </c>
      <c r="L87" s="31" t="n">
        <v>70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65.15000000000001</v>
      </c>
      <c r="P87" s="32" t="n">
        <v>34.67</v>
      </c>
      <c r="Q87" s="32" t="inlineStr"/>
      <c r="R87" s="31" t="inlineStr">
        <is>
          <t>Earnings / Momentum Support</t>
        </is>
      </c>
      <c r="S87" s="31" t="inlineStr">
        <is>
          <t>Nifty Metal</t>
        </is>
      </c>
      <c r="T87" s="32" t="n">
        <v>38.84</v>
      </c>
      <c r="U87" s="32" t="n">
        <v>20.75</v>
      </c>
      <c r="V87" s="32" t="n">
        <v>-13.03</v>
      </c>
      <c r="W87" s="32" t="n">
        <v>18.71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IF(B88=0,"",RANK(B88,$B$2:$B$93,0))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DIACABS</t>
        </is>
      </c>
      <c r="D88" s="31" t="inlineStr">
        <is>
          <t>Diamond Power Infrastructure Ltd</t>
        </is>
      </c>
      <c r="E88" s="31" t="inlineStr">
        <is>
          <t>industrials</t>
        </is>
      </c>
      <c r="F88" s="31" t="inlineStr">
        <is>
          <t>Cables - Power</t>
        </is>
      </c>
      <c r="G88" s="31" t="inlineStr">
        <is>
          <t>midcap</t>
        </is>
      </c>
      <c r="H88" s="32" t="n">
        <v>11347.79</v>
      </c>
      <c r="I88" s="32" t="n">
        <v>215.34</v>
      </c>
      <c r="J88" s="32" t="n">
        <v>6.65</v>
      </c>
      <c r="K88" s="32" t="n">
        <v>0</v>
      </c>
      <c r="L88" s="31" t="n">
        <v>86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75.14</v>
      </c>
      <c r="P88" s="32" t="n">
        <v>35.54</v>
      </c>
      <c r="Q88" s="32" t="inlineStr"/>
      <c r="R88" s="31" t="inlineStr">
        <is>
          <t>Earnings / Momentum Support</t>
        </is>
      </c>
      <c r="S88" s="31" t="inlineStr">
        <is>
          <t>Nifty Energy</t>
        </is>
      </c>
      <c r="T88" s="32" t="n">
        <v>9.800000000000001</v>
      </c>
      <c r="U88" s="32" t="n">
        <v>100.77</v>
      </c>
      <c r="V88" s="32" t="n">
        <v>82.84</v>
      </c>
      <c r="W88" s="32" t="n">
        <v>29.58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IF(B89=0,"",RANK(B89,$B$2:$B$93,0))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PANAMAPET</t>
        </is>
      </c>
      <c r="D89" s="33" t="inlineStr">
        <is>
          <t>Panama Petrochem Ltd</t>
        </is>
      </c>
      <c r="E89" s="31" t="inlineStr">
        <is>
          <t>energy</t>
        </is>
      </c>
      <c r="F89" s="31" t="inlineStr">
        <is>
          <t>Speciality Chemicals</t>
        </is>
      </c>
      <c r="G89" s="31" t="inlineStr">
        <is>
          <t>smallcap</t>
        </is>
      </c>
      <c r="H89" s="32" t="n">
        <v>2307.83</v>
      </c>
      <c r="I89" s="32" t="n">
        <v>381.5</v>
      </c>
      <c r="J89" s="32" t="n">
        <v>1.13</v>
      </c>
      <c r="K89" s="32" t="n">
        <v>0</v>
      </c>
      <c r="L89" s="31" t="n">
        <v>44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70.45999999999999</v>
      </c>
      <c r="P89" s="32" t="n">
        <v>22.79</v>
      </c>
      <c r="Q89" s="32" t="inlineStr"/>
      <c r="R89" s="31" t="inlineStr">
        <is>
          <t>Earnings / Momentum Support</t>
        </is>
      </c>
      <c r="S89" s="31" t="inlineStr">
        <is>
          <t>Nifty Energy</t>
        </is>
      </c>
      <c r="T89" s="32" t="n">
        <v>9.800000000000001</v>
      </c>
      <c r="U89" s="32" t="n">
        <v>4.86</v>
      </c>
      <c r="V89" s="32" t="n">
        <v>-4.5</v>
      </c>
      <c r="W89" s="32" t="n">
        <v>10.56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24</t>
        </is>
      </c>
      <c r="CG89" s="31">
        <f>IF(CF89&gt;20,10,IF(CF89&gt;=10,5,2))</f>
        <v/>
      </c>
    </row>
    <row r="90">
      <c r="A90" s="31">
        <f>IF(B90=0,"",RANK(B90,$B$2:$B$93,0))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PTCIL</t>
        </is>
      </c>
      <c r="D90" s="31" t="inlineStr">
        <is>
          <t>PTC Industries Ltd</t>
        </is>
      </c>
      <c r="E90" s="31" t="inlineStr">
        <is>
          <t>industrials</t>
        </is>
      </c>
      <c r="F90" s="31" t="inlineStr">
        <is>
          <t>Castings - Steel/Alloy</t>
        </is>
      </c>
      <c r="G90" s="31" t="inlineStr">
        <is>
          <t>largecap</t>
        </is>
      </c>
      <c r="H90" s="32" t="n">
        <v>27970.1</v>
      </c>
      <c r="I90" s="32" t="n">
        <v>18656</v>
      </c>
      <c r="J90" s="32" t="n">
        <v>0.29</v>
      </c>
      <c r="K90" s="32" t="n">
        <v>0</v>
      </c>
      <c r="L90" s="31" t="n">
        <v>27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60.75</v>
      </c>
      <c r="P90" s="32" t="n">
        <v>16.25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-4.43</v>
      </c>
      <c r="U90" s="32" t="n">
        <v>21.76</v>
      </c>
      <c r="V90" s="32" t="n">
        <v>27.41</v>
      </c>
      <c r="W90" s="32" t="n">
        <v>6.71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Negative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21</t>
        </is>
      </c>
      <c r="CG90" s="31">
        <f>IF(CF90&gt;20,10,IF(CF90&gt;=10,5,2))</f>
        <v/>
      </c>
    </row>
    <row r="91">
      <c r="A91" s="31">
        <f>IF(B91=0,"",RANK(B91,$B$2:$B$93,0))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MSTCLTD</t>
        </is>
      </c>
      <c r="D91" s="31" t="inlineStr">
        <is>
          <t>MSTC Ltd</t>
        </is>
      </c>
      <c r="E91" s="31" t="inlineStr">
        <is>
          <t>i.t</t>
        </is>
      </c>
      <c r="F91" s="31" t="inlineStr">
        <is>
          <t>E-Commerce - Platform - Utility</t>
        </is>
      </c>
      <c r="G91" s="31" t="inlineStr">
        <is>
          <t>smallcap</t>
        </is>
      </c>
      <c r="H91" s="32" t="n">
        <v>4433.44</v>
      </c>
      <c r="I91" s="32" t="n">
        <v>629.75</v>
      </c>
      <c r="J91" s="32" t="n">
        <v>10.76</v>
      </c>
      <c r="K91" s="32" t="n">
        <v>0</v>
      </c>
      <c r="L91" s="31" t="n">
        <v>45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66.08</v>
      </c>
      <c r="P91" s="32" t="n">
        <v>18.92</v>
      </c>
      <c r="Q91" s="32" t="inlineStr"/>
      <c r="R91" s="31" t="inlineStr">
        <is>
          <t>Earnings / Momentum Support</t>
        </is>
      </c>
      <c r="S91" s="31" t="inlineStr">
        <is>
          <t>Nifty IT</t>
        </is>
      </c>
      <c r="T91" s="32" t="n">
        <v>-27.75</v>
      </c>
      <c r="U91" s="32" t="n">
        <v>9.279999999999999</v>
      </c>
      <c r="V91" s="32" t="n">
        <v>51.25</v>
      </c>
      <c r="W91" s="32" t="n">
        <v>10.68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Negative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17</t>
        </is>
      </c>
      <c r="CG91" s="31">
        <f>IF(CF91&gt;20,10,IF(CF91&gt;=10,5,2))</f>
        <v/>
      </c>
    </row>
    <row r="92">
      <c r="A92" s="31">
        <f>IF(B92=0,"",RANK(B92,$B$2:$B$93,0))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3" t="inlineStr">
        <is>
          <t>LLOYDSME</t>
        </is>
      </c>
      <c r="D92" s="33" t="inlineStr">
        <is>
          <t>Lloyds Metals &amp; Energy Ltd</t>
        </is>
      </c>
      <c r="E92" s="31" t="inlineStr">
        <is>
          <t>Basic Materials</t>
        </is>
      </c>
      <c r="F92" s="31" t="inlineStr">
        <is>
          <t>Mining/Minerals - Iron Ore</t>
        </is>
      </c>
      <c r="G92" s="31" t="inlineStr">
        <is>
          <t>largecap</t>
        </is>
      </c>
      <c r="H92" s="32" t="n">
        <v>99494.78</v>
      </c>
      <c r="I92" s="32" t="n">
        <v>1767.9</v>
      </c>
      <c r="J92" s="32" t="n">
        <v>0.34</v>
      </c>
      <c r="K92" s="32" t="n">
        <v>0</v>
      </c>
      <c r="L92" s="31" t="n">
        <v>64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68.84999999999999</v>
      </c>
      <c r="P92" s="32" t="n">
        <v>40.46</v>
      </c>
      <c r="Q92" s="32" t="inlineStr"/>
      <c r="R92" s="31" t="inlineStr">
        <is>
          <t>Earnings / Momentum Support</t>
        </is>
      </c>
      <c r="S92" s="31" t="inlineStr">
        <is>
          <t>Nifty Metal</t>
        </is>
      </c>
      <c r="T92" s="32" t="n">
        <v>38.84</v>
      </c>
      <c r="U92" s="32" t="n">
        <v>18.49</v>
      </c>
      <c r="V92" s="32" t="n">
        <v>-14.65</v>
      </c>
      <c r="W92" s="32" t="n">
        <v>16.8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Less than 50% and Borrowings are increasing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More than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IF(B93=0,"",RANK(B93,$B$2:$B$93,0))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ANTELOPUS</t>
        </is>
      </c>
      <c r="D93" s="31" t="inlineStr">
        <is>
          <t>Antelopus Selan Energy Ltd</t>
        </is>
      </c>
      <c r="E93" s="31" t="inlineStr">
        <is>
          <t>unknown</t>
        </is>
      </c>
      <c r="F93" s="31" t="inlineStr">
        <is>
          <t>Oil Drilling &amp; Exploration</t>
        </is>
      </c>
      <c r="G93" s="31" t="inlineStr">
        <is>
          <t>smallcap</t>
        </is>
      </c>
      <c r="H93" s="32" t="n">
        <v>2794.53</v>
      </c>
      <c r="I93" s="32" t="n">
        <v>794.75</v>
      </c>
      <c r="J93" s="32" t="n">
        <v>-5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</sheetData>
  <autoFilter ref="A1:CG93"/>
  <conditionalFormatting sqref="B2:B9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3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3">
    <cfRule type="cellIs" priority="37" operator="equal" dxfId="3" stopIfTrue="1">
      <formula>"Underperforming"</formula>
    </cfRule>
  </conditionalFormatting>
  <conditionalFormatting sqref="N2:N93">
    <cfRule type="cellIs" priority="38" operator="equal" dxfId="3" stopIfTrue="1">
      <formula>-5</formula>
    </cfRule>
  </conditionalFormatting>
  <conditionalFormatting sqref="Q2:Q93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3" showDropDown="0" showInputMessage="0" showErrorMessage="0" allowBlank="1" type="list">
      <formula1>"Growing Industry,Stagnant Industry,Cyclical in an Upturn"</formula1>
    </dataValidation>
    <dataValidation sqref="Z2:Z9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3" showDropDown="0" showInputMessage="0" showErrorMessage="0" allowBlank="1" type="list">
      <formula1>"Yes,No"</formula1>
    </dataValidation>
    <dataValidation sqref="AD2:AD93" showDropDown="0" showInputMessage="0" showErrorMessage="0" allowBlank="1" type="list">
      <formula1>"Tailwind,Headwind"</formula1>
    </dataValidation>
    <dataValidation sqref="AF2:AF93" showDropDown="0" showInputMessage="0" showErrorMessage="0" allowBlank="1" type="list">
      <formula1>"Structural (10 Years Consistency),Shallow Cyclical (2 to 3 Years Growth),Cyclical"</formula1>
    </dataValidation>
    <dataValidation sqref="AH2:AH93" showDropDown="0" showInputMessage="0" showErrorMessage="0" allowBlank="1" type="list">
      <formula1>"Yes due to Product Mix change or Operating Leverage,Yes, these are peak margins,No"</formula1>
    </dataValidation>
    <dataValidation sqref="AJ2:AJ93" showDropDown="0" showInputMessage="0" showErrorMessage="0" allowBlank="1" type="list">
      <formula1>"Stable,Volatile"</formula1>
    </dataValidation>
    <dataValidation sqref="AL2:AL93" showDropDown="0" showInputMessage="0" showErrorMessage="0" allowBlank="1" type="list">
      <formula1>"Yes,No"</formula1>
    </dataValidation>
    <dataValidation sqref="AN2:AN93" showDropDown="0" showInputMessage="0" showErrorMessage="0" allowBlank="1" type="list">
      <formula1>"B2C,B2B,B2G"</formula1>
    </dataValidation>
    <dataValidation sqref="AP2:AP93" showDropDown="0" showInputMessage="0" showErrorMessage="0" allowBlank="1" type="list">
      <formula1>"Yes,No"</formula1>
    </dataValidation>
    <dataValidation sqref="AR2:AR93" showDropDown="0" showInputMessage="0" showErrorMessage="0" allowBlank="1" type="list">
      <formula1>"Fully Annuity,Higher Annuity, Lower One time,Higher One Time, Lower Annuity,Fully One Time"</formula1>
    </dataValidation>
    <dataValidation sqref="AT2:AT93" showDropDown="0" showInputMessage="0" showErrorMessage="0" allowBlank="1" type="list">
      <formula1>"Good,Allocated capital in Non-core Areas"</formula1>
    </dataValidation>
    <dataValidation sqref="AV2:AV93" showDropDown="0" showInputMessage="0" showErrorMessage="0" allowBlank="1" type="list">
      <formula1>"Yes for more than 2 years,Yes only for next 1 to 2 years,No"</formula1>
    </dataValidation>
    <dataValidation sqref="AX2:AX93" showDropDown="0" showInputMessage="0" showErrorMessage="0" allowBlank="1" type="list">
      <formula1>"Above 40,20 to 40,0 to 20"</formula1>
    </dataValidation>
    <dataValidation sqref="AZ2:AZ93" showDropDown="0" showInputMessage="0" showErrorMessage="0" allowBlank="1" type="list">
      <formula1>"Between 50 to 75,Above 75,Below 45"</formula1>
    </dataValidation>
    <dataValidation sqref="BB2:BB93" showDropDown="0" showInputMessage="0" showErrorMessage="0" allowBlank="1" type="list">
      <formula1>"Stage 1,Stage 2,Stage 3,Stage 4"</formula1>
    </dataValidation>
    <dataValidation sqref="BD2:BD93" showDropDown="0" showInputMessage="0" showErrorMessage="0" allowBlank="1" type="list">
      <formula1>"Positive Trend,Negative Trend"</formula1>
    </dataValidation>
    <dataValidation sqref="BF2:BF93" showDropDown="0" showInputMessage="0" showErrorMessage="0" allowBlank="1" type="list">
      <formula1>"Uptrend,Sideways,Downtrend"</formula1>
    </dataValidation>
    <dataValidation sqref="BH2:BH93" showDropDown="0" showInputMessage="0" showErrorMessage="0" allowBlank="1" type="list">
      <formula1>"Uptrend,Sideways,Downtrend"</formula1>
    </dataValidation>
    <dataValidation sqref="BJ2:BJ9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3" showDropDown="0" showInputMessage="0" showErrorMessage="0" allowBlank="1" type="list">
      <formula1>"Yes,No"</formula1>
    </dataValidation>
    <dataValidation sqref="BN2:BN93" showDropDown="0" showInputMessage="0" showErrorMessage="0" allowBlank="1" type="list">
      <formula1>"More than 20%,Between 12 to 20%,Less than 12%"</formula1>
    </dataValidation>
    <dataValidation sqref="BP2:BP93" showDropDown="0" showInputMessage="0" showErrorMessage="0" allowBlank="1" type="list">
      <formula1>"Yes,No"</formula1>
    </dataValidation>
    <dataValidation sqref="BR2:BR93" showDropDown="0" showInputMessage="0" showErrorMessage="0" allowBlank="1" type="list">
      <formula1>"Yes,No"</formula1>
    </dataValidation>
    <dataValidation sqref="BT2:BT93" showDropDown="0" showInputMessage="0" showErrorMessage="0" allowBlank="1" type="list">
      <formula1>"Above 2,Between 1.5 to 2,Less than 1.5"</formula1>
    </dataValidation>
    <dataValidation sqref="BV2:BV93" showDropDown="0" showInputMessage="0" showErrorMessage="0" allowBlank="1" type="list">
      <formula1>"Above 70%,Between 50% to 70%,Less than 50%,Less than 50% and Borrowings are increasing,Negative"</formula1>
    </dataValidation>
    <dataValidation sqref="BX2:BX93" showDropDown="0" showInputMessage="0" showErrorMessage="0" allowBlank="1" type="list">
      <formula1>"More than 1.2,Between 0.7 to 1.2,Less than 0.7"</formula1>
    </dataValidation>
    <dataValidation sqref="BZ2:BZ93" showDropDown="0" showInputMessage="0" showErrorMessage="0" allowBlank="1" type="list">
      <formula1>"Yes,No"</formula1>
    </dataValidation>
    <dataValidation sqref="CB2:CB93" showDropDown="0" showInputMessage="0" showErrorMessage="0" allowBlank="1" type="list">
      <formula1>"More than 15%,Less than 15%"</formula1>
    </dataValidation>
    <dataValidation sqref="CD2:CD9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IF(B2=0,"",RANK(B2,$B$2:$B$9,0))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2564.14</v>
      </c>
      <c r="I2" s="32" t="n">
        <v>232.11</v>
      </c>
      <c r="J2" s="32" t="n">
        <v>2.56</v>
      </c>
      <c r="K2" s="32" t="n">
        <v>0</v>
      </c>
      <c r="L2" s="31" t="n">
        <v>74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68.55</v>
      </c>
      <c r="P2" s="32" t="n">
        <v>45.82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2.32</v>
      </c>
      <c r="U2" s="32" t="n">
        <v>42.22</v>
      </c>
      <c r="V2" s="32" t="n">
        <v>39</v>
      </c>
      <c r="W2" s="32" t="n">
        <v>20.92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22</t>
        </is>
      </c>
      <c r="CC2" s="31">
        <f>IF(CB2&gt;20,10,IF(CB2&gt;=10,5,2))</f>
        <v/>
      </c>
    </row>
    <row r="3">
      <c r="A3" s="31">
        <f>IF(B3=0,"",RANK(B3,$B$2:$B$9,0))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 Services</t>
        </is>
      </c>
      <c r="F3" s="31" t="inlineStr">
        <is>
          <t>Finance &amp; Investments - MSME Lending</t>
        </is>
      </c>
      <c r="G3" s="31" t="inlineStr">
        <is>
          <t>smallcap</t>
        </is>
      </c>
      <c r="H3" s="32" t="n">
        <v>3971.16</v>
      </c>
      <c r="I3" s="32" t="n">
        <v>602.65</v>
      </c>
      <c r="J3" s="32" t="n">
        <v>-1.42</v>
      </c>
      <c r="K3" s="32" t="n">
        <v>0</v>
      </c>
      <c r="L3" s="31" t="n">
        <v>65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73.87</v>
      </c>
      <c r="P3" s="32" t="n">
        <v>50.96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3.29</v>
      </c>
      <c r="U3" s="32" t="n">
        <v>56.18</v>
      </c>
      <c r="V3" s="32" t="n">
        <v>51.2</v>
      </c>
      <c r="W3" s="32" t="n">
        <v>16.99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20</t>
        </is>
      </c>
      <c r="CC3" s="31">
        <f>IF(CB3&gt;20,10,IF(CB3&gt;=10,5,2))</f>
        <v/>
      </c>
    </row>
    <row r="4">
      <c r="A4" s="31">
        <f>IF(B4=0,"",RANK(B4,$B$2:$B$9,0))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MAHABANK</t>
        </is>
      </c>
      <c r="D4" s="31" t="inlineStr">
        <is>
          <t>Bank of Maharashtra</t>
        </is>
      </c>
      <c r="E4" s="31" t="inlineStr">
        <is>
          <t>bank</t>
        </is>
      </c>
      <c r="F4" s="31" t="inlineStr">
        <is>
          <t>Banks - PSU</t>
        </is>
      </c>
      <c r="G4" s="31" t="inlineStr">
        <is>
          <t>largecap</t>
        </is>
      </c>
      <c r="H4" s="32" t="n">
        <v>68547.14</v>
      </c>
      <c r="I4" s="32" t="n">
        <v>89.12</v>
      </c>
      <c r="J4" s="32" t="n">
        <v>2.08</v>
      </c>
      <c r="K4" s="32" t="n">
        <v>0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71.34</v>
      </c>
      <c r="P4" s="32" t="n">
        <v>43.49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2.32</v>
      </c>
      <c r="U4" s="32" t="n">
        <v>65.40000000000001</v>
      </c>
      <c r="V4" s="32" t="n">
        <v>61.65</v>
      </c>
      <c r="W4" s="32" t="n">
        <v>19.11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IF(B5=0,"",RANK(B5,$B$2:$B$9,0))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5289.78</v>
      </c>
      <c r="I5" s="32" t="n">
        <v>58.16</v>
      </c>
      <c r="J5" s="32" t="n">
        <v>-1.92</v>
      </c>
      <c r="K5" s="32" t="n">
        <v>0</v>
      </c>
      <c r="L5" s="31" t="n">
        <v>91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77.36</v>
      </c>
      <c r="P5" s="32" t="n">
        <v>35.42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2.32</v>
      </c>
      <c r="U5" s="32" t="n">
        <v>89.7</v>
      </c>
      <c r="V5" s="32" t="n">
        <v>85.40000000000001</v>
      </c>
      <c r="W5" s="32" t="n">
        <v>37.18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IF(B6=0,"",RANK(B6,$B$2:$B$9,0))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CGCL</t>
        </is>
      </c>
      <c r="D6" s="31" t="inlineStr">
        <is>
          <t>Capri Global Capital Ltd</t>
        </is>
      </c>
      <c r="E6" s="31" t="inlineStr">
        <is>
          <t>financials</t>
        </is>
      </c>
      <c r="F6" s="31" t="inlineStr">
        <is>
          <t>Finance &amp; Investments - Gold Loan</t>
        </is>
      </c>
      <c r="G6" s="31" t="inlineStr">
        <is>
          <t>largecap</t>
        </is>
      </c>
      <c r="H6" s="32" t="n">
        <v>20607.41</v>
      </c>
      <c r="I6" s="32" t="n">
        <v>214.18</v>
      </c>
      <c r="J6" s="32" t="n">
        <v>2.73</v>
      </c>
      <c r="K6" s="32" t="n">
        <v>0</v>
      </c>
      <c r="L6" s="31" t="n">
        <v>37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65.56999999999999</v>
      </c>
      <c r="P6" s="32" t="n">
        <v>18.43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2.32</v>
      </c>
      <c r="U6" s="32" t="n">
        <v>21.96</v>
      </c>
      <c r="V6" s="32" t="n">
        <v>19.19</v>
      </c>
      <c r="W6" s="32" t="n">
        <v>9.06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0 to 20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21</t>
        </is>
      </c>
      <c r="CC6" s="31">
        <f>IF(CB6&gt;20,10,IF(CB6&gt;=10,5,2))</f>
        <v/>
      </c>
    </row>
    <row r="7">
      <c r="A7" s="31">
        <f>IF(B7=0,"",RANK(B7,$B$2:$B$9,0))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ANGELONE</t>
        </is>
      </c>
      <c r="D7" s="31" t="inlineStr">
        <is>
          <t>Angel One Ltd</t>
        </is>
      </c>
      <c r="E7" s="31" t="inlineStr">
        <is>
          <t>financials</t>
        </is>
      </c>
      <c r="F7" s="31" t="inlineStr">
        <is>
          <t>Finance - Capital Markets - Brokers</t>
        </is>
      </c>
      <c r="G7" s="31" t="inlineStr">
        <is>
          <t>largecap</t>
        </is>
      </c>
      <c r="H7" s="32" t="n">
        <v>32177.3</v>
      </c>
      <c r="I7" s="32" t="n">
        <v>352.3</v>
      </c>
      <c r="J7" s="32" t="n">
        <v>3.77</v>
      </c>
      <c r="K7" s="32" t="n">
        <v>0</v>
      </c>
      <c r="L7" s="31" t="n">
        <v>70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64.84999999999999</v>
      </c>
      <c r="P7" s="32" t="n">
        <v>25.12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2.32</v>
      </c>
      <c r="U7" s="32" t="n">
        <v>17.95</v>
      </c>
      <c r="V7" s="32" t="n">
        <v>15.28</v>
      </c>
      <c r="W7" s="32" t="n">
        <v>18.76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19</t>
        </is>
      </c>
      <c r="CC7" s="31">
        <f>IF(CB7&gt;20,10,IF(CB7&gt;=10,5,2))</f>
        <v/>
      </c>
    </row>
    <row r="8">
      <c r="A8" s="31">
        <f>IF(B8=0,"",RANK(B8,$B$2:$B$9,0))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NAM-INDIA</t>
        </is>
      </c>
      <c r="D8" s="31" t="inlineStr">
        <is>
          <t>Nippon Life India Asset Management Ltd</t>
        </is>
      </c>
      <c r="E8" s="31" t="inlineStr">
        <is>
          <t>financials</t>
        </is>
      </c>
      <c r="F8" s="31" t="inlineStr">
        <is>
          <t>Finance - AMC</t>
        </is>
      </c>
      <c r="G8" s="31" t="inlineStr">
        <is>
          <t>largecap</t>
        </is>
      </c>
      <c r="H8" s="32" t="n">
        <v>72827.33</v>
      </c>
      <c r="I8" s="32" t="n">
        <v>1140.1</v>
      </c>
      <c r="J8" s="32" t="n">
        <v>4.68</v>
      </c>
      <c r="K8" s="32" t="n">
        <v>0</v>
      </c>
      <c r="L8" s="31" t="n">
        <v>61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64.63</v>
      </c>
      <c r="P8" s="32" t="n">
        <v>29.14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2.32</v>
      </c>
      <c r="U8" s="32" t="n">
        <v>51.49</v>
      </c>
      <c r="V8" s="32" t="n">
        <v>48.06</v>
      </c>
      <c r="W8" s="32" t="n">
        <v>15.86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18</t>
        </is>
      </c>
      <c r="CC8" s="31">
        <f>IF(CB8&gt;20,10,IF(CB8&gt;=10,5,2))</f>
        <v/>
      </c>
    </row>
    <row r="9">
      <c r="A9" s="31">
        <f>IF(B9=0,"",RANK(B9,$B$2:$B$9,0))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BSE</t>
        </is>
      </c>
      <c r="D9" s="31" t="inlineStr">
        <is>
          <t>BSE Ltd</t>
        </is>
      </c>
      <c r="E9" s="31" t="inlineStr">
        <is>
          <t>financials</t>
        </is>
      </c>
      <c r="F9" s="31" t="inlineStr">
        <is>
          <t>Exchanges</t>
        </is>
      </c>
      <c r="G9" s="31" t="inlineStr">
        <is>
          <t>largecap</t>
        </is>
      </c>
      <c r="H9" s="32" t="n">
        <v>168051.6</v>
      </c>
      <c r="I9" s="32" t="n">
        <v>4126</v>
      </c>
      <c r="J9" s="32" t="n">
        <v>2.1</v>
      </c>
      <c r="K9" s="32" t="n">
        <v>0</v>
      </c>
      <c r="L9" s="31" t="n">
        <v>72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69.98</v>
      </c>
      <c r="P9" s="32" t="n">
        <v>33.06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2.32</v>
      </c>
      <c r="U9" s="32" t="n">
        <v>49.05</v>
      </c>
      <c r="V9" s="32" t="n">
        <v>45.67</v>
      </c>
      <c r="W9" s="32" t="n">
        <v>19.33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18</t>
        </is>
      </c>
      <c r="CC9" s="31">
        <f>IF(CB9&gt;20,10,IF(CB9&gt;=10,5,2))</f>
        <v/>
      </c>
    </row>
  </sheetData>
  <autoFilter ref="A1:CC9"/>
  <conditionalFormatting sqref="B2:B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9">
    <cfRule type="cellIs" priority="35" operator="equal" dxfId="3" stopIfTrue="1">
      <formula>"Underperforming"</formula>
    </cfRule>
  </conditionalFormatting>
  <conditionalFormatting sqref="N2:N9">
    <cfRule type="cellIs" priority="36" operator="equal" dxfId="3" stopIfTrue="1">
      <formula>-5</formula>
    </cfRule>
  </conditionalFormatting>
  <conditionalFormatting sqref="Q2:Q9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9" showDropDown="0" showInputMessage="0" showErrorMessage="0" allowBlank="1" type="list">
      <formula1>"Growing Industry,Stagnant Industry,Cyclical in an Upturn"</formula1>
    </dataValidation>
    <dataValidation sqref="Z2:Z9" showDropDown="0" showInputMessage="0" showErrorMessage="0" allowBlank="1" type="list">
      <formula1>"Fragmented with Low ROE,Fragmented with High ROE,Highly Cyclical"</formula1>
    </dataValidation>
    <dataValidation sqref="AB2:AB9" showDropDown="0" showInputMessage="0" showErrorMessage="0" allowBlank="1" type="list">
      <formula1>"Yes,No"</formula1>
    </dataValidation>
    <dataValidation sqref="AD2:AD9" showDropDown="0" showInputMessage="0" showErrorMessage="0" allowBlank="1" type="list">
      <formula1>"Tailwind,Headwind"</formula1>
    </dataValidation>
    <dataValidation sqref="AF2:AF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9" showDropDown="0" showInputMessage="0" showErrorMessage="0" allowBlank="1" type="list">
      <formula1>"Yes,No"</formula1>
    </dataValidation>
    <dataValidation sqref="AJ2:AJ9" showDropDown="0" showInputMessage="0" showErrorMessage="0" allowBlank="1" type="list">
      <formula1>"Yes,No,Not Applicable"</formula1>
    </dataValidation>
    <dataValidation sqref="AL2:AL9" showDropDown="0" showInputMessage="0" showErrorMessage="0" allowBlank="1" type="list">
      <formula1>"Yes,No"</formula1>
    </dataValidation>
    <dataValidation sqref="AN2:AN9" showDropDown="0" showInputMessage="0" showErrorMessage="0" allowBlank="1" type="list">
      <formula1>"Yes,No"</formula1>
    </dataValidation>
    <dataValidation sqref="AP2:AP9" showDropDown="0" showInputMessage="0" showErrorMessage="0" allowBlank="1" type="list">
      <formula1>"Yes,No"</formula1>
    </dataValidation>
    <dataValidation sqref="AR2:AR9" showDropDown="0" showInputMessage="0" showErrorMessage="0" allowBlank="1" type="list">
      <formula1>"Yes,No"</formula1>
    </dataValidation>
    <dataValidation sqref="AT2:AT9" showDropDown="0" showInputMessage="0" showErrorMessage="0" allowBlank="1" type="list">
      <formula1>"No,Yes"</formula1>
    </dataValidation>
    <dataValidation sqref="AV2:AV9" showDropDown="0" showInputMessage="0" showErrorMessage="0" allowBlank="1" type="list">
      <formula1>"No,Yes"</formula1>
    </dataValidation>
    <dataValidation sqref="AX2:AX9" showDropDown="0" showInputMessage="0" showErrorMessage="0" allowBlank="1" type="list">
      <formula1>"No,Yes CEO Resignation,Yes CEO Retirement"</formula1>
    </dataValidation>
    <dataValidation sqref="AZ2:AZ9" showDropDown="0" showInputMessage="0" showErrorMessage="0" allowBlank="1" type="list">
      <formula1>"No,Yes"</formula1>
    </dataValidation>
    <dataValidation sqref="BB2:BB9" showDropDown="0" showInputMessage="0" showErrorMessage="0" allowBlank="1" type="list">
      <formula1>"No,Yes"</formula1>
    </dataValidation>
    <dataValidation sqref="BD2:BD9" showDropDown="0" showInputMessage="0" showErrorMessage="0" allowBlank="1" type="list">
      <formula1>"Yes,No"</formula1>
    </dataValidation>
    <dataValidation sqref="BF2:BF9" showDropDown="0" showInputMessage="0" showErrorMessage="0" allowBlank="1" type="list">
      <formula1>"Yes,No"</formula1>
    </dataValidation>
    <dataValidation sqref="BH2:BH9" showDropDown="0" showInputMessage="0" showErrorMessage="0" allowBlank="1" type="list">
      <formula1>"Yes,No"</formula1>
    </dataValidation>
    <dataValidation sqref="BJ2:BJ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9" showDropDown="0" showInputMessage="0" showErrorMessage="0" allowBlank="1" type="list">
      <formula1>"Above 40,20 to 40,0 to 20"</formula1>
    </dataValidation>
    <dataValidation sqref="BN2:BN9" showDropDown="0" showInputMessage="0" showErrorMessage="0" allowBlank="1" type="list">
      <formula1>"Between 50 to 75,Above 75,Below 45"</formula1>
    </dataValidation>
    <dataValidation sqref="BP2:BP9" showDropDown="0" showInputMessage="0" showErrorMessage="0" allowBlank="1" type="list">
      <formula1>"Stage 1,Stage 2,Stage 3,Stage 4"</formula1>
    </dataValidation>
    <dataValidation sqref="BR2:BR9" showDropDown="0" showInputMessage="0" showErrorMessage="0" allowBlank="1" type="list">
      <formula1>"Positive Trend,Negative Trend"</formula1>
    </dataValidation>
    <dataValidation sqref="BT2:BT9" showDropDown="0" showInputMessage="0" showErrorMessage="0" allowBlank="1" type="list">
      <formula1>"Uptrend,Sideways,Downtrend"</formula1>
    </dataValidation>
    <dataValidation sqref="BV2:BV9" showDropDown="0" showInputMessage="0" showErrorMessage="0" allowBlank="1" type="list">
      <formula1>"Uptrend,Sideways,Downtrend"</formula1>
    </dataValidation>
    <dataValidation sqref="BX2:BX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2026-06-15T16:08:12Z</dcterms:created>
  <dcterms:modified xmlns:dcterms="http://purl.org/dc/terms/" xmlns:xsi="http://www.w3.org/2001/XMLSchema-instance" xsi:type="dcterms:W3CDTF">2026-06-15T16:08:59Z</dcterms:modified>
</cp:coreProperties>
</file>