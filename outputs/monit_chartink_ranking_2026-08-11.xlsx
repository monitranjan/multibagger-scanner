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Universe'!$A$1:$J$435</definedName>
    <definedName name="_xlnm._FilterDatabase" localSheetId="3" hidden="1">'Confluence Overlap'!$A$1:$K$92</definedName>
    <definedName name="_xlnm._FilterDatabase" localSheetId="4" hidden="1">'Monit Non Financial'!$A$1:$CE$395</definedName>
    <definedName name="_xlnm._FilterDatabase" localSheetId="5" hidden="1">'Monit Banks NBFC'!$A$1:$CA$41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11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1" customWidth="1" min="3" max="3"/>
    <col width="37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582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82</v>
      </c>
      <c r="G6" s="19" t="n">
        <v>48761.7</v>
      </c>
      <c r="H6" s="18" t="inlineStr">
        <is>
          <t>Potential Leader</t>
        </is>
      </c>
      <c r="J6" s="18" t="inlineStr">
        <is>
          <t>power &amp; utilities</t>
        </is>
      </c>
      <c r="K6" s="16" t="n">
        <v>15</v>
      </c>
      <c r="L6" s="16" t="n">
        <v>6</v>
      </c>
      <c r="M6" s="20" t="inlineStr">
        <is>
          <t>150.0%</t>
        </is>
      </c>
    </row>
    <row r="7">
      <c r="A7" s="16" t="n">
        <v>2</v>
      </c>
      <c r="B7" s="17" t="n">
        <v>474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64</v>
      </c>
      <c r="G7" s="19" t="n">
        <v>2857.44</v>
      </c>
      <c r="H7" s="18" t="inlineStr">
        <is>
          <t>Potential Leader</t>
        </is>
      </c>
      <c r="J7" s="18" t="inlineStr">
        <is>
          <t>aerospace &amp; defence</t>
        </is>
      </c>
      <c r="K7" s="16" t="n">
        <v>56</v>
      </c>
      <c r="L7" s="16" t="n">
        <v>29</v>
      </c>
      <c r="M7" s="20" t="inlineStr">
        <is>
          <t>93.1%</t>
        </is>
      </c>
    </row>
    <row r="8">
      <c r="A8" s="16" t="n">
        <v>3</v>
      </c>
      <c r="B8" s="17" t="n">
        <v>468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63</v>
      </c>
      <c r="G8" s="19" t="n">
        <v>100162.27</v>
      </c>
      <c r="H8" s="18" t="inlineStr">
        <is>
          <t>Potential Leader</t>
        </is>
      </c>
      <c r="J8" s="18" t="inlineStr">
        <is>
          <t>metals &amp; mining</t>
        </is>
      </c>
      <c r="K8" s="16" t="n">
        <v>123</v>
      </c>
      <c r="L8" s="16" t="n">
        <v>76</v>
      </c>
      <c r="M8" s="20" t="inlineStr">
        <is>
          <t>61.8%</t>
        </is>
      </c>
    </row>
    <row r="9">
      <c r="A9" s="16" t="n">
        <v>4</v>
      </c>
      <c r="B9" s="17" t="n">
        <v>402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52</v>
      </c>
      <c r="G9" s="19" t="n">
        <v>5065.55</v>
      </c>
      <c r="H9" s="18" t="inlineStr">
        <is>
          <t>Potential Leader</t>
        </is>
      </c>
      <c r="J9" s="18" t="inlineStr">
        <is>
          <t>miscellaneous</t>
        </is>
      </c>
      <c r="K9" s="16" t="n">
        <v>67</v>
      </c>
      <c r="L9" s="16" t="n">
        <v>43</v>
      </c>
      <c r="M9" s="20" t="inlineStr">
        <is>
          <t>55.8%</t>
        </is>
      </c>
    </row>
    <row r="10">
      <c r="A10" s="16" t="n">
        <v>5</v>
      </c>
      <c r="B10" s="17" t="n">
        <v>396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51</v>
      </c>
      <c r="G10" s="19" t="n">
        <v>35325.58</v>
      </c>
      <c r="H10" s="18" t="inlineStr">
        <is>
          <t>Potential Leader</t>
        </is>
      </c>
      <c r="J10" s="18" t="inlineStr">
        <is>
          <t>industrials</t>
        </is>
      </c>
      <c r="K10" s="16" t="n">
        <v>280</v>
      </c>
      <c r="L10" s="16" t="n">
        <v>190</v>
      </c>
      <c r="M10" s="20" t="inlineStr">
        <is>
          <t>47.4%</t>
        </is>
      </c>
    </row>
    <row r="11">
      <c r="A11" s="16" t="n">
        <v>6</v>
      </c>
      <c r="B11" s="17" t="n">
        <v>366</v>
      </c>
      <c r="C11" s="17" t="inlineStr">
        <is>
          <t>SPECTRUM</t>
        </is>
      </c>
      <c r="D11" s="18" t="inlineStr">
        <is>
          <t>Spectrum Electrical Industries Ltd</t>
        </is>
      </c>
      <c r="E11" s="18" t="inlineStr">
        <is>
          <t>industrials</t>
        </is>
      </c>
      <c r="F11" s="16" t="n">
        <v>46</v>
      </c>
      <c r="G11" s="19" t="n">
        <v>3975.92</v>
      </c>
      <c r="H11" s="18" t="inlineStr">
        <is>
          <t>Potential Leader</t>
        </is>
      </c>
      <c r="J11" s="18" t="inlineStr">
        <is>
          <t>chemicals</t>
        </is>
      </c>
      <c r="K11" s="16" t="n">
        <v>169</v>
      </c>
      <c r="L11" s="16" t="n">
        <v>121</v>
      </c>
      <c r="M11" s="20" t="inlineStr">
        <is>
          <t>39.7%</t>
        </is>
      </c>
    </row>
    <row r="12">
      <c r="A12" s="16" t="n">
        <v>7</v>
      </c>
      <c r="B12" s="17" t="n">
        <v>336</v>
      </c>
      <c r="C12" s="17" t="inlineStr">
        <is>
          <t>VADILALIND</t>
        </is>
      </c>
      <c r="D12" s="18" t="inlineStr">
        <is>
          <t>Vadilal Industries Limited</t>
        </is>
      </c>
      <c r="E12" s="18" t="inlineStr">
        <is>
          <t>fmcg</t>
        </is>
      </c>
      <c r="F12" s="16" t="n">
        <v>41</v>
      </c>
      <c r="G12" s="19" t="n">
        <v>5304.62</v>
      </c>
      <c r="H12" s="18" t="inlineStr">
        <is>
          <t>Potential Leader</t>
        </is>
      </c>
      <c r="J12" s="18" t="inlineStr">
        <is>
          <t>building materials</t>
        </is>
      </c>
      <c r="K12" s="16" t="n">
        <v>75</v>
      </c>
      <c r="L12" s="16" t="n">
        <v>54</v>
      </c>
      <c r="M12" s="20" t="inlineStr">
        <is>
          <t>38.9%</t>
        </is>
      </c>
    </row>
    <row r="13">
      <c r="A13" s="16" t="n">
        <v>8</v>
      </c>
      <c r="B13" s="17" t="n">
        <v>330</v>
      </c>
      <c r="C13" s="17" t="inlineStr">
        <is>
          <t>FEDERALBNK</t>
        </is>
      </c>
      <c r="D13" s="18" t="inlineStr">
        <is>
          <t>The Federal Bank  Limited</t>
        </is>
      </c>
      <c r="E13" s="18" t="inlineStr">
        <is>
          <t>bank</t>
        </is>
      </c>
      <c r="F13" s="16" t="n">
        <v>40</v>
      </c>
      <c r="G13" s="19" t="n">
        <v>88442.17999999999</v>
      </c>
      <c r="H13" s="18" t="inlineStr">
        <is>
          <t>Potential Leader</t>
        </is>
      </c>
      <c r="J13" s="18" t="inlineStr">
        <is>
          <t>realty</t>
        </is>
      </c>
      <c r="K13" s="16" t="n">
        <v>65</v>
      </c>
      <c r="L13" s="16" t="n">
        <v>50</v>
      </c>
      <c r="M13" s="20" t="inlineStr">
        <is>
          <t>30.0%</t>
        </is>
      </c>
    </row>
    <row r="14">
      <c r="A14" s="16" t="n">
        <v>9</v>
      </c>
      <c r="B14" s="17" t="n">
        <v>318</v>
      </c>
      <c r="C14" s="17" t="inlineStr">
        <is>
          <t>HITECHCORP</t>
        </is>
      </c>
      <c r="D14" s="18" t="inlineStr">
        <is>
          <t>Hitech Corporation</t>
        </is>
      </c>
      <c r="E14" s="18" t="inlineStr">
        <is>
          <t>industrials</t>
        </is>
      </c>
      <c r="F14" s="16" t="n">
        <v>38</v>
      </c>
      <c r="G14" s="19" t="n">
        <v>554.78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157</v>
      </c>
      <c r="L14" s="16" t="n">
        <v>121</v>
      </c>
      <c r="M14" s="20" t="inlineStr">
        <is>
          <t>29.8%</t>
        </is>
      </c>
    </row>
    <row r="15">
      <c r="A15" s="16" t="n">
        <v>10</v>
      </c>
      <c r="B15" s="17" t="n">
        <v>288</v>
      </c>
      <c r="C15" s="17" t="inlineStr">
        <is>
          <t>SSWL</t>
        </is>
      </c>
      <c r="D15" s="18" t="inlineStr">
        <is>
          <t>Steel Strips Wheels Limited</t>
        </is>
      </c>
      <c r="E15" s="18" t="inlineStr">
        <is>
          <t>auto</t>
        </is>
      </c>
      <c r="F15" s="16" t="n">
        <v>33</v>
      </c>
      <c r="G15" s="19" t="n">
        <v>5054.92</v>
      </c>
      <c r="H15" s="18" t="inlineStr">
        <is>
          <t>Potential Leader</t>
        </is>
      </c>
      <c r="J15" s="18" t="inlineStr">
        <is>
          <t>fmcg</t>
        </is>
      </c>
      <c r="K15" s="16" t="n">
        <v>127</v>
      </c>
      <c r="L15" s="16" t="n">
        <v>98</v>
      </c>
      <c r="M15" s="20" t="inlineStr">
        <is>
          <t>29.6%</t>
        </is>
      </c>
    </row>
    <row r="16">
      <c r="A16" s="16" t="n">
        <v>11</v>
      </c>
      <c r="B16" s="17" t="n">
        <v>270</v>
      </c>
      <c r="C16" s="17" t="inlineStr">
        <is>
          <t>ADOR</t>
        </is>
      </c>
      <c r="D16" s="18" t="inlineStr">
        <is>
          <t>Ador Welding Ltd</t>
        </is>
      </c>
      <c r="E16" s="18" t="inlineStr">
        <is>
          <t>industrials</t>
        </is>
      </c>
      <c r="F16" s="16" t="n">
        <v>30</v>
      </c>
      <c r="G16" s="19" t="n">
        <v>2642.44</v>
      </c>
      <c r="H16" s="18" t="inlineStr">
        <is>
          <t>Potential Leader</t>
        </is>
      </c>
      <c r="J16" s="18" t="inlineStr">
        <is>
          <t>energy</t>
        </is>
      </c>
      <c r="K16" s="16" t="n">
        <v>57</v>
      </c>
      <c r="L16" s="16" t="n">
        <v>44</v>
      </c>
      <c r="M16" s="20" t="inlineStr">
        <is>
          <t>29.5%</t>
        </is>
      </c>
    </row>
    <row r="17">
      <c r="A17" s="16" t="n">
        <v>12</v>
      </c>
      <c r="B17" s="17" t="n">
        <v>270</v>
      </c>
      <c r="C17" s="17" t="inlineStr">
        <is>
          <t>CENTENKA</t>
        </is>
      </c>
      <c r="D17" s="18" t="inlineStr">
        <is>
          <t>Century Enka Limited</t>
        </is>
      </c>
      <c r="E17" s="18" t="inlineStr">
        <is>
          <t>textiles</t>
        </is>
      </c>
      <c r="F17" s="16" t="n">
        <v>30</v>
      </c>
      <c r="G17" s="19" t="n">
        <v>1333.87</v>
      </c>
      <c r="H17" s="18" t="inlineStr">
        <is>
          <t>Potential Leader</t>
        </is>
      </c>
      <c r="J17" s="18" t="inlineStr">
        <is>
          <t>healthcare</t>
        </is>
      </c>
      <c r="K17" s="16" t="n">
        <v>233</v>
      </c>
      <c r="L17" s="16" t="n">
        <v>184</v>
      </c>
      <c r="M17" s="20" t="inlineStr">
        <is>
          <t>26.6%</t>
        </is>
      </c>
    </row>
    <row r="18">
      <c r="A18" s="16" t="n">
        <v>13</v>
      </c>
      <c r="B18" s="17" t="n">
        <v>270</v>
      </c>
      <c r="C18" s="17" t="inlineStr">
        <is>
          <t>CYIENTDLM</t>
        </is>
      </c>
      <c r="D18" s="18" t="inlineStr">
        <is>
          <t>Cyient DLM Ltd</t>
        </is>
      </c>
      <c r="E18" s="18" t="inlineStr">
        <is>
          <t>consumer discretionary</t>
        </is>
      </c>
      <c r="F18" s="16" t="n">
        <v>30</v>
      </c>
      <c r="G18" s="19" t="n">
        <v>5489.36</v>
      </c>
      <c r="H18" s="18" t="inlineStr">
        <is>
          <t>Potential Leader</t>
        </is>
      </c>
      <c r="J18" s="18" t="inlineStr">
        <is>
          <t>auto</t>
        </is>
      </c>
      <c r="K18" s="16" t="n">
        <v>229</v>
      </c>
      <c r="L18" s="16" t="n">
        <v>185</v>
      </c>
      <c r="M18" s="20" t="inlineStr">
        <is>
          <t>23.8%</t>
        </is>
      </c>
    </row>
    <row r="19">
      <c r="A19" s="16" t="n">
        <v>14</v>
      </c>
      <c r="B19" s="17" t="n">
        <v>270</v>
      </c>
      <c r="C19" s="17" t="inlineStr">
        <is>
          <t>IRISDOREME</t>
        </is>
      </c>
      <c r="D19" s="18" t="inlineStr">
        <is>
          <t>Iris Clothings Ltd</t>
        </is>
      </c>
      <c r="E19" s="18" t="inlineStr">
        <is>
          <t>consumer discretionary</t>
        </is>
      </c>
      <c r="F19" s="16" t="n">
        <v>30</v>
      </c>
      <c r="G19" s="19" t="n">
        <v>1061.48</v>
      </c>
      <c r="H19" s="18" t="inlineStr">
        <is>
          <t>Potential Leader</t>
        </is>
      </c>
      <c r="J19" s="18" t="inlineStr">
        <is>
          <t>textiles</t>
        </is>
      </c>
      <c r="K19" s="16" t="n">
        <v>92</v>
      </c>
      <c r="L19" s="16" t="n">
        <v>76</v>
      </c>
      <c r="M19" s="20" t="inlineStr">
        <is>
          <t>21.1%</t>
        </is>
      </c>
    </row>
    <row r="20">
      <c r="A20" s="16" t="n">
        <v>15</v>
      </c>
      <c r="B20" s="17" t="n">
        <v>270</v>
      </c>
      <c r="C20" s="17" t="inlineStr">
        <is>
          <t>KAMDHENU</t>
        </is>
      </c>
      <c r="D20" s="18" t="inlineStr">
        <is>
          <t>Kamdhenu Limited</t>
        </is>
      </c>
      <c r="E20" s="18" t="inlineStr">
        <is>
          <t>metals &amp; mining</t>
        </is>
      </c>
      <c r="F20" s="16" t="n">
        <v>30</v>
      </c>
      <c r="G20" s="19" t="n">
        <v>991.95</v>
      </c>
      <c r="H20" s="18" t="inlineStr">
        <is>
          <t>Potential Leader</t>
        </is>
      </c>
      <c r="J20" s="18" t="inlineStr">
        <is>
          <t>i.t</t>
        </is>
      </c>
      <c r="K20" s="16" t="n">
        <v>121</v>
      </c>
      <c r="L20" s="16" t="n">
        <v>104</v>
      </c>
      <c r="M20" s="20" t="inlineStr">
        <is>
          <t>16.3%</t>
        </is>
      </c>
    </row>
    <row r="21">
      <c r="A21" s="16" t="n">
        <v>16</v>
      </c>
      <c r="B21" s="17" t="n">
        <v>270</v>
      </c>
      <c r="C21" s="17" t="inlineStr">
        <is>
          <t>RADICO</t>
        </is>
      </c>
      <c r="D21" s="18" t="inlineStr">
        <is>
          <t>Radico Khaitan Limited</t>
        </is>
      </c>
      <c r="E21" s="18" t="inlineStr">
        <is>
          <t>fmcg</t>
        </is>
      </c>
      <c r="F21" s="16" t="n">
        <v>30</v>
      </c>
      <c r="G21" s="19" t="n">
        <v>60938.76</v>
      </c>
      <c r="H21" s="18" t="inlineStr">
        <is>
          <t>Potential Leader</t>
        </is>
      </c>
    </row>
    <row r="22">
      <c r="A22" s="16" t="n">
        <v>17</v>
      </c>
      <c r="B22" s="17" t="n">
        <v>270</v>
      </c>
      <c r="C22" s="17" t="inlineStr">
        <is>
          <t>RPTECH</t>
        </is>
      </c>
      <c r="D22" s="18" t="inlineStr">
        <is>
          <t>Rashi Peripherals Ltd</t>
        </is>
      </c>
      <c r="E22" s="18" t="inlineStr">
        <is>
          <t>services</t>
        </is>
      </c>
      <c r="F22" s="16" t="n">
        <v>30</v>
      </c>
      <c r="G22" s="19" t="n">
        <v>5909.22</v>
      </c>
      <c r="H22" s="18" t="inlineStr">
        <is>
          <t>Potential Leader</t>
        </is>
      </c>
    </row>
    <row r="23">
      <c r="A23" s="16" t="n">
        <v>18</v>
      </c>
      <c r="B23" s="17" t="n">
        <v>270</v>
      </c>
      <c r="C23" s="17" t="inlineStr">
        <is>
          <t>TBZ</t>
        </is>
      </c>
      <c r="D23" s="18" t="inlineStr">
        <is>
          <t>Tribhovandas Bhimji Zaveri Limited</t>
        </is>
      </c>
      <c r="E23" s="18" t="inlineStr">
        <is>
          <t>consumer discretionary</t>
        </is>
      </c>
      <c r="F23" s="16" t="n">
        <v>30</v>
      </c>
      <c r="G23" s="19" t="n">
        <v>1842.1</v>
      </c>
      <c r="H23" s="18" t="inlineStr">
        <is>
          <t>Potential Leader</t>
        </is>
      </c>
    </row>
    <row r="24">
      <c r="A24" s="16" t="n">
        <v>19</v>
      </c>
      <c r="B24" s="17" t="n">
        <v>261</v>
      </c>
      <c r="C24" s="17" t="inlineStr">
        <is>
          <t>GABRIEL</t>
        </is>
      </c>
      <c r="D24" s="18" t="inlineStr">
        <is>
          <t>Gabriel India Limited</t>
        </is>
      </c>
      <c r="E24" s="18" t="inlineStr">
        <is>
          <t>auto</t>
        </is>
      </c>
      <c r="F24" s="16" t="n">
        <v>29</v>
      </c>
      <c r="G24" s="19" t="n">
        <v>26049.27</v>
      </c>
      <c r="H24" s="18" t="inlineStr">
        <is>
          <t>Potential Leader</t>
        </is>
      </c>
    </row>
    <row r="25">
      <c r="A25" s="16" t="n">
        <v>20</v>
      </c>
      <c r="B25" s="17" t="n">
        <v>261</v>
      </c>
      <c r="C25" s="17" t="inlineStr">
        <is>
          <t>KAPSTON</t>
        </is>
      </c>
      <c r="D25" s="18" t="inlineStr">
        <is>
          <t>Kapston Services Ltd</t>
        </is>
      </c>
      <c r="E25" s="18" t="inlineStr">
        <is>
          <t>miscellaneous</t>
        </is>
      </c>
      <c r="F25" s="16" t="n">
        <v>29</v>
      </c>
      <c r="G25" s="19" t="n">
        <v>1722.61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ETERNAL</t>
        </is>
      </c>
      <c r="B30" s="18" t="inlineStr">
        <is>
          <t>Eternal Ltd</t>
        </is>
      </c>
      <c r="C30" s="18" t="inlineStr">
        <is>
          <t>i.t</t>
        </is>
      </c>
      <c r="D30" s="16" t="n">
        <v>10</v>
      </c>
      <c r="E30" s="16" t="n">
        <v>1</v>
      </c>
      <c r="F30" s="19" t="n">
        <v>299402.13</v>
      </c>
      <c r="J30" s="17" t="inlineStr">
        <is>
          <t>SCPL</t>
        </is>
      </c>
      <c r="K30" s="18" t="inlineStr">
        <is>
          <t>fmcg</t>
        </is>
      </c>
      <c r="L30" s="19" t="n">
        <v>305</v>
      </c>
      <c r="M30" s="19" t="n">
        <v>662.92</v>
      </c>
      <c r="N30" s="16" t="n">
        <v>25</v>
      </c>
    </row>
    <row r="31">
      <c r="A31" s="17" t="inlineStr">
        <is>
          <t>VRLLOG</t>
        </is>
      </c>
      <c r="B31" s="18" t="inlineStr">
        <is>
          <t>Vrl Logistics Limited</t>
        </is>
      </c>
      <c r="C31" s="18" t="inlineStr">
        <is>
          <t>transportation</t>
        </is>
      </c>
      <c r="D31" s="16" t="n">
        <v>10</v>
      </c>
      <c r="E31" s="16" t="n">
        <v>2</v>
      </c>
      <c r="F31" s="19" t="n">
        <v>4983.95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2889.71</v>
      </c>
      <c r="N31" s="16" t="n">
        <v>18</v>
      </c>
    </row>
    <row r="32">
      <c r="A32" s="17" t="inlineStr">
        <is>
          <t>GLAXO</t>
        </is>
      </c>
      <c r="B32" s="18" t="inlineStr">
        <is>
          <t>Glaxosmithkline Pharmaceuticals Limited</t>
        </is>
      </c>
      <c r="C32" s="18" t="inlineStr">
        <is>
          <t>healthcare</t>
        </is>
      </c>
      <c r="D32" s="16" t="n">
        <v>10</v>
      </c>
      <c r="E32" s="16" t="n">
        <v>0</v>
      </c>
      <c r="F32" s="19" t="n">
        <v>44062.51</v>
      </c>
      <c r="J32" s="17" t="inlineStr">
        <is>
          <t>RPTECH</t>
        </is>
      </c>
      <c r="K32" s="18" t="inlineStr">
        <is>
          <t>services</t>
        </is>
      </c>
      <c r="L32" s="19" t="n">
        <v>295</v>
      </c>
      <c r="M32" s="19" t="n">
        <v>5909.22</v>
      </c>
      <c r="N32" s="16" t="n">
        <v>30</v>
      </c>
    </row>
    <row r="33">
      <c r="A33" s="17" t="inlineStr">
        <is>
          <t>PERSISTENT</t>
        </is>
      </c>
      <c r="B33" s="18" t="inlineStr">
        <is>
          <t>Persistent Systems Limited</t>
        </is>
      </c>
      <c r="C33" s="18" t="inlineStr">
        <is>
          <t>i.t</t>
        </is>
      </c>
      <c r="D33" s="16" t="n">
        <v>10</v>
      </c>
      <c r="E33" s="16" t="n">
        <v>1</v>
      </c>
      <c r="F33" s="19" t="n">
        <v>86352.35000000001</v>
      </c>
      <c r="J33" s="17" t="inlineStr">
        <is>
          <t>TINNARUBR</t>
        </is>
      </c>
      <c r="K33" s="18" t="inlineStr">
        <is>
          <t>fmcg</t>
        </is>
      </c>
      <c r="L33" s="19" t="n">
        <v>295</v>
      </c>
      <c r="M33" s="19" t="n">
        <v>2019.21</v>
      </c>
      <c r="N33" s="16" t="n">
        <v>28</v>
      </c>
    </row>
    <row r="34">
      <c r="A34" s="17" t="inlineStr">
        <is>
          <t>COFORGE</t>
        </is>
      </c>
      <c r="B34" s="18" t="inlineStr">
        <is>
          <t>Coforge (Niit Tech) Ltd</t>
        </is>
      </c>
      <c r="C34" s="18" t="inlineStr">
        <is>
          <t>i.t</t>
        </is>
      </c>
      <c r="D34" s="16" t="n">
        <v>10</v>
      </c>
      <c r="E34" s="16" t="n">
        <v>0</v>
      </c>
      <c r="F34" s="19" t="n">
        <v>80127.03999999999</v>
      </c>
      <c r="J34" s="17" t="inlineStr">
        <is>
          <t>KTKBANK</t>
        </is>
      </c>
      <c r="K34" s="18" t="inlineStr">
        <is>
          <t>bank</t>
        </is>
      </c>
      <c r="L34" s="19" t="n">
        <v>295</v>
      </c>
      <c r="M34" s="19" t="n">
        <v>11544.66</v>
      </c>
      <c r="N34" s="16" t="n">
        <v>24</v>
      </c>
    </row>
    <row r="35">
      <c r="A35" s="17" t="inlineStr">
        <is>
          <t>PFIZER</t>
        </is>
      </c>
      <c r="B35" s="18" t="inlineStr">
        <is>
          <t>Pfizer Limited</t>
        </is>
      </c>
      <c r="C35" s="18" t="inlineStr">
        <is>
          <t>healthcare</t>
        </is>
      </c>
      <c r="D35" s="16" t="n">
        <v>9</v>
      </c>
      <c r="E35" s="16" t="n">
        <v>1</v>
      </c>
      <c r="F35" s="19" t="n">
        <v>22313.91</v>
      </c>
      <c r="J35" s="17" t="inlineStr">
        <is>
          <t>SANGHVIMOV</t>
        </is>
      </c>
      <c r="K35" s="18" t="inlineStr">
        <is>
          <t>miscellaneous</t>
        </is>
      </c>
      <c r="L35" s="19" t="n">
        <v>295</v>
      </c>
      <c r="M35" s="19" t="n">
        <v>4427.5</v>
      </c>
      <c r="N35" s="16" t="n">
        <v>22</v>
      </c>
    </row>
    <row r="36">
      <c r="A36" s="17" t="inlineStr">
        <is>
          <t>INDIGOPNTS</t>
        </is>
      </c>
      <c r="B36" s="18" t="inlineStr">
        <is>
          <t>Indigo Paints Ltd</t>
        </is>
      </c>
      <c r="C36" s="18" t="inlineStr">
        <is>
          <t>building materials</t>
        </is>
      </c>
      <c r="D36" s="16" t="n">
        <v>9</v>
      </c>
      <c r="E36" s="16" t="n">
        <v>1</v>
      </c>
      <c r="F36" s="19" t="n">
        <v>5440.75</v>
      </c>
      <c r="J36" s="17" t="inlineStr">
        <is>
          <t>KANORICHEM</t>
        </is>
      </c>
      <c r="K36" s="18" t="inlineStr">
        <is>
          <t>chemicals</t>
        </is>
      </c>
      <c r="L36" s="19" t="n">
        <v>293</v>
      </c>
      <c r="M36" s="19" t="n">
        <v>673.45</v>
      </c>
      <c r="N36" s="16" t="n">
        <v>24</v>
      </c>
    </row>
    <row r="37">
      <c r="A37" s="17" t="inlineStr">
        <is>
          <t>KILITCH</t>
        </is>
      </c>
      <c r="B37" s="18" t="inlineStr">
        <is>
          <t>Kilitch Drugs (india) Limited</t>
        </is>
      </c>
      <c r="C37" s="18" t="inlineStr">
        <is>
          <t>healthcare</t>
        </is>
      </c>
      <c r="D37" s="16" t="n">
        <v>9</v>
      </c>
      <c r="E37" s="16" t="n">
        <v>1</v>
      </c>
      <c r="F37" s="19" t="n">
        <v>671.96</v>
      </c>
      <c r="J37" s="17" t="inlineStr">
        <is>
          <t>INDOBORAX</t>
        </is>
      </c>
      <c r="K37" s="18" t="inlineStr">
        <is>
          <t>chemicals</t>
        </is>
      </c>
      <c r="L37" s="19" t="n">
        <v>293</v>
      </c>
      <c r="M37" s="19" t="n">
        <v>1378.27</v>
      </c>
      <c r="N37" s="16" t="n">
        <v>17</v>
      </c>
    </row>
    <row r="38">
      <c r="A38" s="17" t="inlineStr">
        <is>
          <t>SMLMAH</t>
        </is>
      </c>
      <c r="B38" s="18" t="inlineStr">
        <is>
          <t>SML Mahindra Ltd</t>
        </is>
      </c>
      <c r="C38" s="18" t="inlineStr">
        <is>
          <t>auto</t>
        </is>
      </c>
      <c r="D38" s="16" t="n">
        <v>9</v>
      </c>
      <c r="E38" s="16" t="n">
        <v>0</v>
      </c>
      <c r="F38" s="19" t="n">
        <v>7564.33</v>
      </c>
      <c r="J38" s="17" t="inlineStr">
        <is>
          <t>BLUSPRING</t>
        </is>
      </c>
      <c r="K38" s="18" t="inlineStr">
        <is>
          <t>miscellaneous</t>
        </is>
      </c>
      <c r="L38" s="19" t="n">
        <v>293</v>
      </c>
      <c r="M38" s="19" t="n">
        <v>1679.12</v>
      </c>
      <c r="N38" s="16" t="n">
        <v>17</v>
      </c>
    </row>
    <row r="39">
      <c r="A39" s="17" t="inlineStr">
        <is>
          <t>BALKRISIND</t>
        </is>
      </c>
      <c r="B39" s="18" t="inlineStr">
        <is>
          <t>Balkrishna Industries Limited</t>
        </is>
      </c>
      <c r="C39" s="18" t="inlineStr">
        <is>
          <t>auto</t>
        </is>
      </c>
      <c r="D39" s="16" t="n">
        <v>9</v>
      </c>
      <c r="E39" s="16" t="n">
        <v>0</v>
      </c>
      <c r="F39" s="19" t="n">
        <v>48804.86</v>
      </c>
      <c r="J39" s="17" t="inlineStr">
        <is>
          <t>PIXTRANS</t>
        </is>
      </c>
      <c r="K39" s="18" t="inlineStr">
        <is>
          <t>fmcg</t>
        </is>
      </c>
      <c r="L39" s="19" t="n">
        <v>292</v>
      </c>
      <c r="M39" s="19" t="n">
        <v>2706.65</v>
      </c>
      <c r="N39" s="16" t="n">
        <v>18</v>
      </c>
    </row>
    <row r="40">
      <c r="A40" s="17" t="inlineStr">
        <is>
          <t>ANTHEM</t>
        </is>
      </c>
      <c r="B40" s="18" t="inlineStr">
        <is>
          <t>Anthem Biosciences Ltd</t>
        </is>
      </c>
      <c r="C40" s="18" t="inlineStr">
        <is>
          <t>healthcare</t>
        </is>
      </c>
      <c r="D40" s="16" t="n">
        <v>9</v>
      </c>
      <c r="E40" s="16" t="n">
        <v>0</v>
      </c>
      <c r="F40" s="19" t="n">
        <v>48056.72</v>
      </c>
      <c r="J40" s="17" t="inlineStr">
        <is>
          <t>MENONBE</t>
        </is>
      </c>
      <c r="K40" s="18" t="inlineStr">
        <is>
          <t>auto</t>
        </is>
      </c>
      <c r="L40" s="19" t="n">
        <v>290</v>
      </c>
      <c r="M40" s="19" t="n">
        <v>1381.67</v>
      </c>
      <c r="N40" s="16" t="n">
        <v>26</v>
      </c>
    </row>
    <row r="41">
      <c r="A41" s="17" t="inlineStr">
        <is>
          <t>KOLTEPATIL</t>
        </is>
      </c>
      <c r="B41" s="18" t="inlineStr">
        <is>
          <t>Kolte - Patil Developers Limited</t>
        </is>
      </c>
      <c r="C41" s="18" t="inlineStr">
        <is>
          <t>realty</t>
        </is>
      </c>
      <c r="D41" s="16" t="n">
        <v>8</v>
      </c>
      <c r="E41" s="16" t="n">
        <v>2</v>
      </c>
      <c r="F41" s="19" t="n">
        <v>4098.79</v>
      </c>
      <c r="J41" s="17" t="inlineStr">
        <is>
          <t>PGIL</t>
        </is>
      </c>
      <c r="K41" s="18" t="inlineStr">
        <is>
          <t>consumer discretionary</t>
        </is>
      </c>
      <c r="L41" s="19" t="n">
        <v>290</v>
      </c>
      <c r="M41" s="19" t="n">
        <v>11217.66</v>
      </c>
      <c r="N41" s="16" t="n">
        <v>25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116.19</v>
      </c>
      <c r="D47" s="27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2304.07</v>
      </c>
    </row>
    <row r="48">
      <c r="A48" s="16" t="n">
        <v>2</v>
      </c>
      <c r="B48" s="26" t="n">
        <v>99</v>
      </c>
      <c r="C48" s="27" t="n">
        <v>91.90000000000001</v>
      </c>
      <c r="D48" s="27" t="n">
        <v>287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35325.58</v>
      </c>
    </row>
    <row r="49">
      <c r="A49" s="16" t="n">
        <v>3</v>
      </c>
      <c r="B49" s="26" t="n">
        <v>99</v>
      </c>
      <c r="C49" s="27" t="n">
        <v>88.56</v>
      </c>
      <c r="D49" s="27" t="n">
        <v>258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32773.73</v>
      </c>
    </row>
    <row r="50">
      <c r="A50" s="16" t="n">
        <v>4</v>
      </c>
      <c r="B50" s="26" t="n">
        <v>98</v>
      </c>
      <c r="C50" s="27" t="n">
        <v>76.22</v>
      </c>
      <c r="D50" s="27" t="n">
        <v>260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13339.58</v>
      </c>
    </row>
    <row r="51">
      <c r="A51" s="16" t="n">
        <v>5</v>
      </c>
      <c r="B51" s="26" t="n">
        <v>98</v>
      </c>
      <c r="C51" s="27" t="n">
        <v>67.62</v>
      </c>
      <c r="D51" s="27" t="n">
        <v>263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13815.89</v>
      </c>
    </row>
    <row r="52">
      <c r="A52" s="16" t="n">
        <v>6</v>
      </c>
      <c r="B52" s="26" t="n">
        <v>98</v>
      </c>
      <c r="C52" s="27" t="n">
        <v>62.04</v>
      </c>
      <c r="D52" s="27" t="n">
        <v>260</v>
      </c>
      <c r="E52" s="17" t="inlineStr">
        <is>
          <t>YASHO</t>
        </is>
      </c>
      <c r="F52" s="18" t="inlineStr">
        <is>
          <t>Yasho Industries Ltd</t>
        </is>
      </c>
      <c r="G52" s="18" t="inlineStr">
        <is>
          <t>chemicals</t>
        </is>
      </c>
      <c r="H52" s="19" t="n">
        <v>5065.55</v>
      </c>
    </row>
    <row r="53">
      <c r="A53" s="16" t="n">
        <v>7</v>
      </c>
      <c r="B53" s="26" t="n">
        <v>98</v>
      </c>
      <c r="C53" s="27" t="n">
        <v>59.82</v>
      </c>
      <c r="D53" s="27" t="n">
        <v>270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3119.48</v>
      </c>
    </row>
    <row r="54">
      <c r="A54" s="16" t="n">
        <v>8</v>
      </c>
      <c r="B54" s="26" t="n">
        <v>98</v>
      </c>
      <c r="C54" s="27" t="n">
        <v>57.38</v>
      </c>
      <c r="D54" s="27" t="n">
        <v>283</v>
      </c>
      <c r="E54" s="17" t="inlineStr">
        <is>
          <t>ATHERENERG</t>
        </is>
      </c>
      <c r="F54" s="18" t="inlineStr">
        <is>
          <t>Ather Energy Ltd</t>
        </is>
      </c>
      <c r="G54" s="18" t="inlineStr">
        <is>
          <t>auto</t>
        </is>
      </c>
      <c r="H54" s="19" t="n">
        <v>57786.65</v>
      </c>
    </row>
    <row r="55">
      <c r="A55" s="16" t="n">
        <v>9</v>
      </c>
      <c r="B55" s="26" t="n">
        <v>97</v>
      </c>
      <c r="C55" s="27" t="n">
        <v>54.54</v>
      </c>
      <c r="D55" s="27" t="n">
        <v>285</v>
      </c>
      <c r="E55" s="17" t="inlineStr">
        <is>
          <t>HFCL</t>
        </is>
      </c>
      <c r="F55" s="18" t="inlineStr">
        <is>
          <t>HFCL Ltd</t>
        </is>
      </c>
      <c r="G55" s="18" t="inlineStr">
        <is>
          <t>telecom</t>
        </is>
      </c>
      <c r="H55" s="19" t="n">
        <v>32597.24</v>
      </c>
    </row>
    <row r="56">
      <c r="A56" s="16" t="n">
        <v>10</v>
      </c>
      <c r="B56" s="26" t="n">
        <v>97</v>
      </c>
      <c r="C56" s="27" t="n">
        <v>51.41</v>
      </c>
      <c r="D56" s="27" t="n">
        <v>247</v>
      </c>
      <c r="E56" s="17" t="inlineStr">
        <is>
          <t>INDSWFTLAB</t>
        </is>
      </c>
      <c r="F56" s="18" t="inlineStr">
        <is>
          <t>Ind-swift Laboratories Limited</t>
        </is>
      </c>
      <c r="G56" s="18" t="inlineStr">
        <is>
          <t>healthcare</t>
        </is>
      </c>
      <c r="H56" s="19" t="n">
        <v>2063.08</v>
      </c>
    </row>
    <row r="57">
      <c r="A57" s="16" t="n">
        <v>11</v>
      </c>
      <c r="B57" s="26" t="n">
        <v>97</v>
      </c>
      <c r="C57" s="27" t="n">
        <v>50.57</v>
      </c>
      <c r="D57" s="27" t="n">
        <v>253</v>
      </c>
      <c r="E57" s="17" t="inlineStr">
        <is>
          <t>DIACABS</t>
        </is>
      </c>
      <c r="F57" s="18" t="inlineStr">
        <is>
          <t>Diamond Power Infrastructure Ltd</t>
        </is>
      </c>
      <c r="G57" s="18" t="inlineStr">
        <is>
          <t>industrials</t>
        </is>
      </c>
      <c r="H57" s="19" t="n">
        <v>18997.31</v>
      </c>
    </row>
    <row r="58">
      <c r="A58" s="16" t="n">
        <v>12</v>
      </c>
      <c r="B58" s="26" t="n">
        <v>97</v>
      </c>
      <c r="C58" s="27" t="n">
        <v>50.04</v>
      </c>
      <c r="D58" s="27" t="n">
        <v>280</v>
      </c>
      <c r="E58" s="17" t="inlineStr">
        <is>
          <t>E2E</t>
        </is>
      </c>
      <c r="F58" s="18" t="inlineStr">
        <is>
          <t>E2E Networks Ltd</t>
        </is>
      </c>
      <c r="G58" s="18" t="inlineStr">
        <is>
          <t>i.t</t>
        </is>
      </c>
      <c r="H58" s="19" t="n">
        <v>12391.45</v>
      </c>
    </row>
    <row r="59">
      <c r="A59" s="16" t="n">
        <v>13</v>
      </c>
      <c r="B59" s="26" t="n">
        <v>96</v>
      </c>
      <c r="C59" s="27" t="n">
        <v>49.58</v>
      </c>
      <c r="D59" s="27" t="n">
        <v>285</v>
      </c>
      <c r="E59" s="17" t="inlineStr">
        <is>
          <t>BAFNAPH</t>
        </is>
      </c>
      <c r="F59" s="18" t="inlineStr">
        <is>
          <t>Bafna Pharmaceuticals Ltd</t>
        </is>
      </c>
      <c r="G59" s="18" t="inlineStr">
        <is>
          <t>healthcare</t>
        </is>
      </c>
      <c r="H59" s="19" t="n">
        <v>660.72</v>
      </c>
    </row>
    <row r="60">
      <c r="A60" s="16" t="n">
        <v>14</v>
      </c>
      <c r="B60" s="26" t="n">
        <v>96</v>
      </c>
      <c r="C60" s="27" t="n">
        <v>48.81</v>
      </c>
      <c r="D60" s="27" t="n">
        <v>277</v>
      </c>
      <c r="E60" s="17" t="inlineStr">
        <is>
          <t>KPL</t>
        </is>
      </c>
      <c r="F60" s="18" t="inlineStr">
        <is>
          <t>Kwality Pharmaceuticals Limited</t>
        </is>
      </c>
      <c r="G60" s="18" t="inlineStr">
        <is>
          <t>Healthcare</t>
        </is>
      </c>
      <c r="H60" s="19" t="n">
        <v>3432.86</v>
      </c>
    </row>
    <row r="61">
      <c r="A61" s="16" t="n">
        <v>15</v>
      </c>
      <c r="B61" s="26" t="n">
        <v>96</v>
      </c>
      <c r="C61" s="27" t="n">
        <v>48.35</v>
      </c>
      <c r="D61" s="27" t="n">
        <v>273</v>
      </c>
      <c r="E61" s="17" t="inlineStr">
        <is>
          <t>HITECHCORP</t>
        </is>
      </c>
      <c r="F61" s="18" t="inlineStr">
        <is>
          <t>Hitech Corporation</t>
        </is>
      </c>
      <c r="G61" s="18" t="inlineStr">
        <is>
          <t>industrials</t>
        </is>
      </c>
      <c r="H61" s="19" t="n">
        <v>554.78</v>
      </c>
    </row>
    <row r="62">
      <c r="A62" s="16" t="n">
        <v>16</v>
      </c>
      <c r="B62" s="26" t="n">
        <v>96</v>
      </c>
      <c r="C62" s="27" t="n">
        <v>44.58</v>
      </c>
      <c r="D62" s="27" t="n">
        <v>235</v>
      </c>
      <c r="E62" s="17" t="inlineStr">
        <is>
          <t>SVRL</t>
        </is>
      </c>
      <c r="F62" s="18" t="inlineStr">
        <is>
          <t>Shri Venkatesh Refineries Limited</t>
        </is>
      </c>
      <c r="G62" s="18" t="inlineStr">
        <is>
          <t>Consumer Defensive</t>
        </is>
      </c>
      <c r="H62" s="19" t="n">
        <v>1155.4</v>
      </c>
    </row>
    <row r="63">
      <c r="A63" s="16" t="n">
        <v>17</v>
      </c>
      <c r="B63" s="26" t="n">
        <v>96</v>
      </c>
      <c r="C63" s="27" t="n">
        <v>44.39</v>
      </c>
      <c r="D63" s="27" t="n">
        <v>273</v>
      </c>
      <c r="E63" s="17" t="inlineStr">
        <is>
          <t>SETL</t>
        </is>
      </c>
      <c r="F63" s="18" t="inlineStr">
        <is>
          <t>Standard Enginnering Technology Ltd</t>
        </is>
      </c>
      <c r="G63" s="18" t="inlineStr">
        <is>
          <t>industrials</t>
        </is>
      </c>
      <c r="H63" s="19" t="n">
        <v>5660.58</v>
      </c>
    </row>
    <row r="64">
      <c r="A64" s="16" t="n">
        <v>18</v>
      </c>
      <c r="B64" s="26" t="n">
        <v>95</v>
      </c>
      <c r="C64" s="27" t="n">
        <v>44.3</v>
      </c>
      <c r="D64" s="27" t="n">
        <v>280</v>
      </c>
      <c r="E64" s="17" t="inlineStr">
        <is>
          <t>UNIVCABLES</t>
        </is>
      </c>
      <c r="F64" s="18" t="inlineStr">
        <is>
          <t>Universal Cables Limited</t>
        </is>
      </c>
      <c r="G64" s="18" t="inlineStr">
        <is>
          <t>industrials</t>
        </is>
      </c>
      <c r="H64" s="19" t="n">
        <v>5875.32</v>
      </c>
    </row>
    <row r="65">
      <c r="A65" s="16" t="n">
        <v>19</v>
      </c>
      <c r="B65" s="26" t="n">
        <v>95</v>
      </c>
      <c r="C65" s="27" t="n">
        <v>43.22</v>
      </c>
      <c r="D65" s="27" t="n">
        <v>295</v>
      </c>
      <c r="E65" s="17" t="inlineStr">
        <is>
          <t>RPTECH</t>
        </is>
      </c>
      <c r="F65" s="18" t="inlineStr">
        <is>
          <t>Rashi Peripherals Ltd</t>
        </is>
      </c>
      <c r="G65" s="18" t="inlineStr">
        <is>
          <t>services</t>
        </is>
      </c>
      <c r="H65" s="19" t="n">
        <v>5909.22</v>
      </c>
    </row>
    <row r="66">
      <c r="A66" s="16" t="n">
        <v>20</v>
      </c>
      <c r="B66" s="26" t="n">
        <v>95</v>
      </c>
      <c r="C66" s="27" t="n">
        <v>42.9</v>
      </c>
      <c r="D66" s="27" t="n">
        <v>270</v>
      </c>
      <c r="E66" s="17" t="inlineStr">
        <is>
          <t>BLISSGVS</t>
        </is>
      </c>
      <c r="F66" s="18" t="inlineStr">
        <is>
          <t>Bliss Gvs Pharma Limited</t>
        </is>
      </c>
      <c r="G66" s="18" t="inlineStr">
        <is>
          <t>healthcare</t>
        </is>
      </c>
      <c r="H66" s="19" t="n">
        <v>5088.58</v>
      </c>
    </row>
    <row r="67">
      <c r="A67" s="16" t="n">
        <v>21</v>
      </c>
      <c r="B67" s="26" t="n">
        <v>95</v>
      </c>
      <c r="C67" s="27" t="n">
        <v>42.62</v>
      </c>
      <c r="D67" s="27" t="n">
        <v>278</v>
      </c>
      <c r="E67" s="17" t="inlineStr">
        <is>
          <t>NRL</t>
        </is>
      </c>
      <c r="F67" s="18" t="inlineStr">
        <is>
          <t>Nupur Recyclers Ltd</t>
        </is>
      </c>
      <c r="G67" s="18" t="inlineStr">
        <is>
          <t>services</t>
        </is>
      </c>
      <c r="H67" s="19" t="n">
        <v>794.4299999999999</v>
      </c>
    </row>
    <row r="68">
      <c r="A68" s="16" t="n">
        <v>22</v>
      </c>
      <c r="B68" s="26" t="n">
        <v>95</v>
      </c>
      <c r="C68" s="27" t="n">
        <v>41.66</v>
      </c>
      <c r="D68" s="27" t="n">
        <v>250</v>
      </c>
      <c r="E68" s="17" t="inlineStr">
        <is>
          <t>SKYGOLD</t>
        </is>
      </c>
      <c r="F68" s="18" t="inlineStr">
        <is>
          <t>Sky Gold Ltd</t>
        </is>
      </c>
      <c r="G68" s="18" t="inlineStr">
        <is>
          <t>consumer discretionary</t>
        </is>
      </c>
      <c r="H68" s="19" t="n">
        <v>12073.97</v>
      </c>
    </row>
    <row r="69">
      <c r="A69" s="16" t="n">
        <v>23</v>
      </c>
      <c r="B69" s="28" t="n">
        <v>94</v>
      </c>
      <c r="C69" s="27" t="n">
        <v>41.46</v>
      </c>
      <c r="D69" s="27" t="n">
        <v>255</v>
      </c>
      <c r="E69" s="17" t="inlineStr">
        <is>
          <t>KABRAEXTRU</t>
        </is>
      </c>
      <c r="F69" s="18" t="inlineStr">
        <is>
          <t>Kabra Extrusion Technik Limited</t>
        </is>
      </c>
      <c r="G69" s="18" t="inlineStr">
        <is>
          <t>industrials</t>
        </is>
      </c>
      <c r="H69" s="19" t="n">
        <v>1786.24</v>
      </c>
    </row>
    <row r="70">
      <c r="A70" s="16" t="n">
        <v>24</v>
      </c>
      <c r="B70" s="28" t="n">
        <v>94</v>
      </c>
      <c r="C70" s="27" t="n">
        <v>40.89</v>
      </c>
      <c r="D70" s="27" t="n">
        <v>258</v>
      </c>
      <c r="E70" s="17" t="inlineStr">
        <is>
          <t>TBZ</t>
        </is>
      </c>
      <c r="F70" s="18" t="inlineStr">
        <is>
          <t>Tribhovandas Bhimji Zaveri Limited</t>
        </is>
      </c>
      <c r="G70" s="18" t="inlineStr">
        <is>
          <t>consumer discretionary</t>
        </is>
      </c>
      <c r="H70" s="19" t="n">
        <v>1842.1</v>
      </c>
    </row>
    <row r="71">
      <c r="A71" s="16" t="n">
        <v>25</v>
      </c>
      <c r="B71" s="28" t="n">
        <v>94</v>
      </c>
      <c r="C71" s="27" t="n">
        <v>40.23</v>
      </c>
      <c r="D71" s="27" t="n">
        <v>248</v>
      </c>
      <c r="E71" s="17" t="inlineStr">
        <is>
          <t>UEL</t>
        </is>
      </c>
      <c r="F71" s="18" t="inlineStr">
        <is>
          <t>Ujaas Energy Ltd</t>
        </is>
      </c>
      <c r="G71" s="18" t="inlineStr">
        <is>
          <t>power &amp; utilities</t>
        </is>
      </c>
      <c r="H71" s="19" t="n">
        <v>3610.68</v>
      </c>
    </row>
    <row r="72">
      <c r="A72" s="16" t="n">
        <v>26</v>
      </c>
      <c r="B72" s="28" t="n">
        <v>94</v>
      </c>
      <c r="C72" s="27" t="n">
        <v>39.15</v>
      </c>
      <c r="D72" s="27" t="n">
        <v>270</v>
      </c>
      <c r="E72" s="17" t="inlineStr">
        <is>
          <t>RRKABEL</t>
        </is>
      </c>
      <c r="F72" s="18" t="inlineStr">
        <is>
          <t>R R Kabel Ltd</t>
        </is>
      </c>
      <c r="G72" s="18" t="inlineStr">
        <is>
          <t>industrials</t>
        </is>
      </c>
      <c r="H72" s="19" t="n">
        <v>31182.06</v>
      </c>
    </row>
    <row r="73">
      <c r="A73" s="16" t="n">
        <v>27</v>
      </c>
      <c r="B73" s="28" t="n">
        <v>94</v>
      </c>
      <c r="C73" s="27" t="n">
        <v>39.13</v>
      </c>
      <c r="D73" s="27" t="n">
        <v>290</v>
      </c>
      <c r="E73" s="17" t="inlineStr">
        <is>
          <t>MENONBE</t>
        </is>
      </c>
      <c r="F73" s="18" t="inlineStr">
        <is>
          <t>Menon Bearings Limited</t>
        </is>
      </c>
      <c r="G73" s="18" t="inlineStr">
        <is>
          <t>auto</t>
        </is>
      </c>
      <c r="H73" s="19" t="n">
        <v>1381.67</v>
      </c>
    </row>
    <row r="74">
      <c r="A74" s="16" t="n">
        <v>28</v>
      </c>
      <c r="B74" s="28" t="n">
        <v>93</v>
      </c>
      <c r="C74" s="27" t="n">
        <v>39.07</v>
      </c>
      <c r="D74" s="27" t="n">
        <v>305</v>
      </c>
      <c r="E74" s="17" t="inlineStr">
        <is>
          <t>SCPL</t>
        </is>
      </c>
      <c r="F74" s="18" t="inlineStr">
        <is>
          <t>Sheetal Cool Products Ltd</t>
        </is>
      </c>
      <c r="G74" s="18" t="inlineStr">
        <is>
          <t>fmcg</t>
        </is>
      </c>
      <c r="H74" s="19" t="n">
        <v>662.92</v>
      </c>
    </row>
    <row r="75">
      <c r="A75" s="16" t="n">
        <v>29</v>
      </c>
      <c r="B75" s="28" t="n">
        <v>93</v>
      </c>
      <c r="C75" s="27" t="n">
        <v>38.76</v>
      </c>
      <c r="D75" s="27" t="n">
        <v>268</v>
      </c>
      <c r="E75" s="17" t="inlineStr">
        <is>
          <t>SPECTRUM</t>
        </is>
      </c>
      <c r="F75" s="18" t="inlineStr">
        <is>
          <t>Spectrum Electrical Industries Ltd</t>
        </is>
      </c>
      <c r="G75" s="18" t="inlineStr">
        <is>
          <t>industrials</t>
        </is>
      </c>
      <c r="H75" s="19" t="n">
        <v>3975.92</v>
      </c>
    </row>
    <row r="76">
      <c r="A76" s="16" t="n">
        <v>30</v>
      </c>
      <c r="B76" s="28" t="n">
        <v>93</v>
      </c>
      <c r="C76" s="27" t="n">
        <v>37.72</v>
      </c>
      <c r="D76" s="27" t="n">
        <v>268</v>
      </c>
      <c r="E76" s="17" t="inlineStr">
        <is>
          <t>MODISONLTD</t>
        </is>
      </c>
      <c r="F76" s="18" t="inlineStr">
        <is>
          <t>Modison Ltd</t>
        </is>
      </c>
      <c r="G76" s="18" t="inlineStr">
        <is>
          <t>industrials</t>
        </is>
      </c>
      <c r="H76" s="19" t="n">
        <v>950.3</v>
      </c>
    </row>
    <row r="77">
      <c r="A77" s="16" t="n">
        <v>31</v>
      </c>
      <c r="B77" s="28" t="n">
        <v>93</v>
      </c>
      <c r="C77" s="27" t="n">
        <v>37.3</v>
      </c>
      <c r="D77" s="27" t="n">
        <v>263</v>
      </c>
      <c r="E77" s="17" t="inlineStr">
        <is>
          <t>RPEL</t>
        </is>
      </c>
      <c r="F77" s="18" t="inlineStr">
        <is>
          <t>Raghav Productivity Enhancers Ltd</t>
        </is>
      </c>
      <c r="G77" s="18" t="inlineStr">
        <is>
          <t>building materials</t>
        </is>
      </c>
      <c r="H77" s="19" t="n">
        <v>6033.23</v>
      </c>
    </row>
    <row r="78">
      <c r="A78" s="16" t="n">
        <v>32</v>
      </c>
      <c r="B78" s="28" t="n">
        <v>93</v>
      </c>
      <c r="C78" s="27" t="n">
        <v>37.3</v>
      </c>
      <c r="D78" s="27" t="n">
        <v>260</v>
      </c>
      <c r="E78" s="17" t="inlineStr">
        <is>
          <t>SAPL</t>
        </is>
      </c>
      <c r="F78" s="18" t="inlineStr">
        <is>
          <t>Sar Auto Products Limited</t>
        </is>
      </c>
      <c r="G78" s="18" t="inlineStr">
        <is>
          <t>Consumer Cyclical</t>
        </is>
      </c>
      <c r="H78" s="19" t="n">
        <v>1919.71</v>
      </c>
    </row>
    <row r="79">
      <c r="A79" s="16" t="n">
        <v>33</v>
      </c>
      <c r="B79" s="28" t="n">
        <v>92</v>
      </c>
      <c r="C79" s="27" t="n">
        <v>36.25</v>
      </c>
      <c r="D79" s="27" t="n">
        <v>248</v>
      </c>
      <c r="E79" s="17" t="inlineStr">
        <is>
          <t>PANAMAPET</t>
        </is>
      </c>
      <c r="F79" s="18" t="inlineStr">
        <is>
          <t>Panama Petrochem Limited</t>
        </is>
      </c>
      <c r="G79" s="18" t="inlineStr">
        <is>
          <t>energy</t>
        </is>
      </c>
      <c r="H79" s="19" t="n">
        <v>3199.2</v>
      </c>
    </row>
    <row r="80">
      <c r="A80" s="16" t="n">
        <v>34</v>
      </c>
      <c r="B80" s="28" t="n">
        <v>92</v>
      </c>
      <c r="C80" s="27" t="n">
        <v>36.18</v>
      </c>
      <c r="D80" s="27" t="n">
        <v>228</v>
      </c>
      <c r="E80" s="17" t="inlineStr">
        <is>
          <t>KAPSTON</t>
        </is>
      </c>
      <c r="F80" s="18" t="inlineStr">
        <is>
          <t>Kapston Services Ltd</t>
        </is>
      </c>
      <c r="G80" s="18" t="inlineStr">
        <is>
          <t>miscellaneous</t>
        </is>
      </c>
      <c r="H80" s="19" t="n">
        <v>1722.61</v>
      </c>
    </row>
    <row r="81">
      <c r="A81" s="16" t="n">
        <v>35</v>
      </c>
      <c r="B81" s="28" t="n">
        <v>92</v>
      </c>
      <c r="C81" s="27" t="n">
        <v>36.13</v>
      </c>
      <c r="D81" s="27" t="n">
        <v>0</v>
      </c>
      <c r="E81" s="17" t="inlineStr">
        <is>
          <t>UNIVASTU</t>
        </is>
      </c>
      <c r="F81" s="18" t="inlineStr">
        <is>
          <t>Univastu India Limited</t>
        </is>
      </c>
      <c r="G81" s="18" t="inlineStr">
        <is>
          <t>Industrials</t>
        </is>
      </c>
      <c r="H81" s="19" t="n">
        <v>499.57</v>
      </c>
    </row>
    <row r="82">
      <c r="A82" s="16" t="n">
        <v>36</v>
      </c>
      <c r="B82" s="28" t="n">
        <v>92</v>
      </c>
      <c r="C82" s="27" t="n">
        <v>35.04</v>
      </c>
      <c r="D82" s="27" t="n">
        <v>245</v>
      </c>
      <c r="E82" s="17" t="inlineStr">
        <is>
          <t>SOTL</t>
        </is>
      </c>
      <c r="F82" s="18" t="inlineStr">
        <is>
          <t>Savita Oil Technologies Limited</t>
        </is>
      </c>
      <c r="G82" s="18" t="inlineStr">
        <is>
          <t>energy</t>
        </is>
      </c>
      <c r="H82" s="19" t="n">
        <v>4737.52</v>
      </c>
    </row>
    <row r="83">
      <c r="A83" s="16" t="n">
        <v>37</v>
      </c>
      <c r="B83" s="28" t="n">
        <v>91</v>
      </c>
      <c r="C83" s="27" t="n">
        <v>34.83</v>
      </c>
      <c r="D83" s="27" t="n">
        <v>273</v>
      </c>
      <c r="E83" s="17" t="inlineStr">
        <is>
          <t>FILATEX</t>
        </is>
      </c>
      <c r="F83" s="18" t="inlineStr">
        <is>
          <t>Filatex India Limited</t>
        </is>
      </c>
      <c r="G83" s="18" t="inlineStr">
        <is>
          <t>textiles</t>
        </is>
      </c>
      <c r="H83" s="19" t="n">
        <v>3764.73</v>
      </c>
    </row>
    <row r="84">
      <c r="A84" s="16" t="n">
        <v>38</v>
      </c>
      <c r="B84" s="28" t="n">
        <v>91</v>
      </c>
      <c r="C84" s="27" t="n">
        <v>33.71</v>
      </c>
      <c r="D84" s="27" t="n">
        <v>253</v>
      </c>
      <c r="E84" s="17" t="inlineStr">
        <is>
          <t>KMEW</t>
        </is>
      </c>
      <c r="F84" s="18" t="inlineStr">
        <is>
          <t>Knowledge Marine &amp; Engineering Works Ltd</t>
        </is>
      </c>
      <c r="G84" s="18" t="inlineStr">
        <is>
          <t>transportation</t>
        </is>
      </c>
      <c r="H84" s="19" t="n">
        <v>6347.65</v>
      </c>
    </row>
    <row r="85">
      <c r="A85" s="16" t="n">
        <v>39</v>
      </c>
      <c r="B85" s="28" t="n">
        <v>91</v>
      </c>
      <c r="C85" s="27" t="n">
        <v>33.52</v>
      </c>
      <c r="D85" s="27" t="n">
        <v>262</v>
      </c>
      <c r="E85" s="17" t="inlineStr">
        <is>
          <t>SBCL</t>
        </is>
      </c>
      <c r="F85" s="18" t="inlineStr">
        <is>
          <t>Shivalik Bimetal Controls Ltd</t>
        </is>
      </c>
      <c r="G85" s="18" t="inlineStr">
        <is>
          <t>metals &amp; mining</t>
        </is>
      </c>
      <c r="H85" s="19" t="n">
        <v>6365.55</v>
      </c>
    </row>
    <row r="86">
      <c r="A86" s="16" t="n">
        <v>40</v>
      </c>
      <c r="B86" s="28" t="n">
        <v>91</v>
      </c>
      <c r="C86" s="27" t="n">
        <v>33.37</v>
      </c>
      <c r="D86" s="27" t="n">
        <v>298</v>
      </c>
      <c r="E86" s="17" t="inlineStr">
        <is>
          <t>VINDHYATEL</t>
        </is>
      </c>
      <c r="F86" s="18" t="inlineStr">
        <is>
          <t>Vindhya Telelinks Limited</t>
        </is>
      </c>
      <c r="G86" s="18" t="inlineStr">
        <is>
          <t>realty</t>
        </is>
      </c>
      <c r="H86" s="19" t="n">
        <v>2889.71</v>
      </c>
    </row>
    <row r="87">
      <c r="A87" s="16" t="n">
        <v>41</v>
      </c>
      <c r="B87" s="28" t="n">
        <v>91</v>
      </c>
      <c r="C87" s="27" t="n">
        <v>33.36</v>
      </c>
      <c r="D87" s="27" t="n">
        <v>265</v>
      </c>
      <c r="E87" s="17" t="inlineStr">
        <is>
          <t>KERNEX</t>
        </is>
      </c>
      <c r="F87" s="18" t="inlineStr">
        <is>
          <t>Kernex Microsystems (india) Limited</t>
        </is>
      </c>
      <c r="G87" s="18" t="inlineStr">
        <is>
          <t>consumer discretionary</t>
        </is>
      </c>
      <c r="H87" s="19" t="n">
        <v>3881.8</v>
      </c>
    </row>
    <row r="88">
      <c r="A88" s="16" t="n">
        <v>42</v>
      </c>
      <c r="B88" s="28" t="n">
        <v>90</v>
      </c>
      <c r="C88" s="27" t="n">
        <v>33.33</v>
      </c>
      <c r="D88" s="27" t="n">
        <v>255</v>
      </c>
      <c r="E88" s="17" t="inlineStr">
        <is>
          <t>IBULLSLTD</t>
        </is>
      </c>
      <c r="F88" s="18" t="inlineStr">
        <is>
          <t>IBULLSLTD</t>
        </is>
      </c>
      <c r="G88" s="18" t="inlineStr">
        <is>
          <t>Real Estate</t>
        </is>
      </c>
      <c r="H88" s="19" t="n">
        <v>6292.54</v>
      </c>
    </row>
    <row r="89">
      <c r="A89" s="16" t="n">
        <v>43</v>
      </c>
      <c r="B89" s="28" t="n">
        <v>90</v>
      </c>
      <c r="C89" s="27" t="n">
        <v>33.05</v>
      </c>
      <c r="D89" s="27" t="n">
        <v>278</v>
      </c>
      <c r="E89" s="17" t="inlineStr">
        <is>
          <t>SANSERA</t>
        </is>
      </c>
      <c r="F89" s="18" t="inlineStr">
        <is>
          <t>Sansera Engineering Ltd</t>
        </is>
      </c>
      <c r="G89" s="18" t="inlineStr">
        <is>
          <t>auto</t>
        </is>
      </c>
      <c r="H89" s="19" t="n">
        <v>23790.74</v>
      </c>
    </row>
    <row r="90">
      <c r="A90" s="16" t="n">
        <v>44</v>
      </c>
      <c r="B90" s="28" t="n">
        <v>90</v>
      </c>
      <c r="C90" s="27" t="n">
        <v>32.88</v>
      </c>
      <c r="D90" s="27" t="n">
        <v>210</v>
      </c>
      <c r="E90" s="17" t="inlineStr">
        <is>
          <t>AEGISLOG</t>
        </is>
      </c>
      <c r="F90" s="18" t="inlineStr">
        <is>
          <t>AEGISLOG</t>
        </is>
      </c>
      <c r="G90" s="18" t="inlineStr">
        <is>
          <t>Energy</t>
        </is>
      </c>
      <c r="H90" s="19" t="n">
        <v>45545.76</v>
      </c>
    </row>
    <row r="91">
      <c r="A91" s="16" t="n">
        <v>45</v>
      </c>
      <c r="B91" s="28" t="n">
        <v>90</v>
      </c>
      <c r="C91" s="27" t="n">
        <v>32.83</v>
      </c>
      <c r="D91" s="27" t="n">
        <v>282</v>
      </c>
      <c r="E91" s="17" t="inlineStr">
        <is>
          <t>SAKAR</t>
        </is>
      </c>
      <c r="F91" s="18" t="inlineStr">
        <is>
          <t>Sakar Healthcare Ltd</t>
        </is>
      </c>
      <c r="G91" s="18" t="inlineStr">
        <is>
          <t>healthcare</t>
        </is>
      </c>
      <c r="H91" s="19" t="n">
        <v>2013.17</v>
      </c>
    </row>
    <row r="92">
      <c r="A92" s="16" t="n">
        <v>46</v>
      </c>
      <c r="B92" s="28" t="n">
        <v>90</v>
      </c>
      <c r="C92" s="27" t="n">
        <v>32.83</v>
      </c>
      <c r="D92" s="27" t="n">
        <v>273</v>
      </c>
      <c r="E92" s="17" t="inlineStr">
        <is>
          <t>BHARATSE</t>
        </is>
      </c>
      <c r="F92" s="18" t="inlineStr">
        <is>
          <t>Bharat Seats Ltd</t>
        </is>
      </c>
      <c r="G92" s="18" t="inlineStr">
        <is>
          <t>auto</t>
        </is>
      </c>
      <c r="H92" s="19" t="n">
        <v>1488.67</v>
      </c>
    </row>
    <row r="9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INDSWFTLAB</t>
        </is>
      </c>
      <c r="B2" s="30" t="inlineStr">
        <is>
          <t>Ind-swift Laboratories Limited</t>
        </is>
      </c>
      <c r="C2" s="30" t="inlineStr">
        <is>
          <t>healthcare</t>
        </is>
      </c>
      <c r="D2" s="30" t="inlineStr">
        <is>
          <t>pharmaceuticals - indian - bulk drugs &amp; formln</t>
        </is>
      </c>
      <c r="E2" s="30" t="inlineStr">
        <is>
          <t>smallcap</t>
        </is>
      </c>
      <c r="F2" s="30" t="n">
        <v>2063.08</v>
      </c>
      <c r="G2" s="30" t="n">
        <v>284.68</v>
      </c>
      <c r="H2" s="30" t="n">
        <v>20</v>
      </c>
      <c r="I2" s="30" t="n">
        <v>9123251</v>
      </c>
      <c r="J2" s="30" t="inlineStr">
        <is>
          <t>532305</t>
        </is>
      </c>
    </row>
    <row r="3">
      <c r="A3" s="30" t="inlineStr">
        <is>
          <t>LUMAXTECH</t>
        </is>
      </c>
      <c r="B3" s="30" t="inlineStr">
        <is>
          <t>Lumax Auto Technologies Limited</t>
        </is>
      </c>
      <c r="C3" s="30" t="inlineStr">
        <is>
          <t>auto</t>
        </is>
      </c>
      <c r="D3" s="30" t="inlineStr">
        <is>
          <t>auto ancillaries</t>
        </is>
      </c>
      <c r="E3" s="30" t="inlineStr">
        <is>
          <t>midcap</t>
        </is>
      </c>
      <c r="F3" s="30" t="n">
        <v>11847.17</v>
      </c>
      <c r="G3" s="30" t="n">
        <v>2076.3</v>
      </c>
      <c r="H3" s="30" t="n">
        <v>19.45</v>
      </c>
      <c r="I3" s="30" t="n">
        <v>5661267</v>
      </c>
      <c r="J3" s="30" t="inlineStr">
        <is>
          <t>532796</t>
        </is>
      </c>
    </row>
    <row r="4">
      <c r="A4" s="30" t="inlineStr">
        <is>
          <t>TCPLPACK</t>
        </is>
      </c>
      <c r="B4" s="30" t="inlineStr">
        <is>
          <t>TCPL Packaging Ltd</t>
        </is>
      </c>
      <c r="C4" s="30" t="inlineStr">
        <is>
          <t>industrials</t>
        </is>
      </c>
      <c r="D4" s="30" t="inlineStr">
        <is>
          <t>packaging</t>
        </is>
      </c>
      <c r="E4" s="30" t="inlineStr">
        <is>
          <t>smallcap</t>
        </is>
      </c>
      <c r="F4" s="30" t="n">
        <v>3003.09</v>
      </c>
      <c r="G4" s="30" t="n">
        <v>3820</v>
      </c>
      <c r="H4" s="30" t="n">
        <v>15.75</v>
      </c>
      <c r="I4" s="30" t="n">
        <v>68998</v>
      </c>
      <c r="J4" s="30" t="inlineStr">
        <is>
          <t>523301</t>
        </is>
      </c>
    </row>
    <row r="5">
      <c r="A5" s="30" t="inlineStr">
        <is>
          <t>CHENNPETRO</t>
        </is>
      </c>
      <c r="B5" s="30" t="inlineStr">
        <is>
          <t>Chennai Petroleum Corporation Limited</t>
        </is>
      </c>
      <c r="C5" s="30" t="inlineStr">
        <is>
          <t>energy</t>
        </is>
      </c>
      <c r="D5" s="30" t="inlineStr">
        <is>
          <t>refineries</t>
        </is>
      </c>
      <c r="E5" s="30" t="inlineStr">
        <is>
          <t>midcap</t>
        </is>
      </c>
      <c r="F5" s="30" t="n">
        <v>18466.5</v>
      </c>
      <c r="G5" s="30" t="n">
        <v>1426.1</v>
      </c>
      <c r="H5" s="30" t="n">
        <v>15</v>
      </c>
      <c r="I5" s="30" t="n">
        <v>17236108</v>
      </c>
      <c r="J5" s="30" t="inlineStr">
        <is>
          <t>500110</t>
        </is>
      </c>
    </row>
    <row r="6">
      <c r="A6" s="30" t="inlineStr">
        <is>
          <t>ROLEXRINGS</t>
        </is>
      </c>
      <c r="B6" s="30" t="inlineStr">
        <is>
          <t>Rolex Rings Ltd</t>
        </is>
      </c>
      <c r="C6" s="30" t="inlineStr">
        <is>
          <t>auto</t>
        </is>
      </c>
      <c r="D6" s="30" t="inlineStr">
        <is>
          <t>auto ancillaries</t>
        </is>
      </c>
      <c r="E6" s="30" t="inlineStr">
        <is>
          <t>smallcap</t>
        </is>
      </c>
      <c r="F6" s="30" t="n">
        <v>4228.24</v>
      </c>
      <c r="G6" s="30" t="n">
        <v>177.29</v>
      </c>
      <c r="H6" s="30" t="n">
        <v>14.19</v>
      </c>
      <c r="I6" s="30" t="n">
        <v>56026330</v>
      </c>
      <c r="J6" s="30" t="inlineStr">
        <is>
          <t>543325</t>
        </is>
      </c>
    </row>
    <row r="7">
      <c r="A7" s="30" t="inlineStr">
        <is>
          <t>FINCABLES</t>
        </is>
      </c>
      <c r="B7" s="30" t="inlineStr">
        <is>
          <t>Finolex Cables Limited</t>
        </is>
      </c>
      <c r="C7" s="30" t="inlineStr">
        <is>
          <t>industrials</t>
        </is>
      </c>
      <c r="D7" s="30" t="inlineStr">
        <is>
          <t>cables - power</t>
        </is>
      </c>
      <c r="E7" s="30" t="inlineStr">
        <is>
          <t>midcap</t>
        </is>
      </c>
      <c r="F7" s="30" t="n">
        <v>16181.75</v>
      </c>
      <c r="G7" s="30" t="n">
        <v>1207.85</v>
      </c>
      <c r="H7" s="30" t="n">
        <v>14.16</v>
      </c>
      <c r="I7" s="30" t="n">
        <v>8840419</v>
      </c>
      <c r="J7" s="30" t="inlineStr">
        <is>
          <t>500144</t>
        </is>
      </c>
    </row>
    <row r="8">
      <c r="A8" s="30" t="inlineStr">
        <is>
          <t>UNICHEMLAB</t>
        </is>
      </c>
      <c r="B8" s="30" t="inlineStr">
        <is>
          <t>Unichem Laboratories Limited</t>
        </is>
      </c>
      <c r="C8" s="30" t="inlineStr">
        <is>
          <t>healthcare</t>
        </is>
      </c>
      <c r="D8" s="30" t="inlineStr">
        <is>
          <t>pharmaceuticals - indian - bulk drugs &amp; formln</t>
        </is>
      </c>
      <c r="E8" s="30" t="inlineStr">
        <is>
          <t>smallcap</t>
        </is>
      </c>
      <c r="F8" s="30" t="n">
        <v>3570.63</v>
      </c>
      <c r="G8" s="30" t="n">
        <v>573.8</v>
      </c>
      <c r="H8" s="30" t="n">
        <v>13.14</v>
      </c>
      <c r="I8" s="30" t="n">
        <v>3187763</v>
      </c>
      <c r="J8" s="30" t="inlineStr">
        <is>
          <t>506690</t>
        </is>
      </c>
    </row>
    <row r="9">
      <c r="A9" s="30" t="inlineStr">
        <is>
          <t>WINDLAS</t>
        </is>
      </c>
      <c r="B9" s="30" t="inlineStr">
        <is>
          <t>Windlas Biotech Ltd</t>
        </is>
      </c>
      <c r="C9" s="30" t="inlineStr">
        <is>
          <t>healthcare</t>
        </is>
      </c>
      <c r="D9" s="30" t="inlineStr">
        <is>
          <t>pharmaceuticals - indian - formulations</t>
        </is>
      </c>
      <c r="E9" s="30" t="inlineStr">
        <is>
          <t>smallcap</t>
        </is>
      </c>
      <c r="F9" s="30" t="n">
        <v>1732.72</v>
      </c>
      <c r="G9" s="30" t="n">
        <v>943.1</v>
      </c>
      <c r="H9" s="30" t="n">
        <v>12.32</v>
      </c>
      <c r="I9" s="30" t="n">
        <v>2342310</v>
      </c>
      <c r="J9" s="30" t="inlineStr">
        <is>
          <t>543329</t>
        </is>
      </c>
    </row>
    <row r="10">
      <c r="A10" s="30" t="inlineStr">
        <is>
          <t>KOLTEPATIL</t>
        </is>
      </c>
      <c r="B10" s="30" t="inlineStr">
        <is>
          <t>Kolte - Patil Developers Limited</t>
        </is>
      </c>
      <c r="C10" s="30" t="inlineStr">
        <is>
          <t>realty</t>
        </is>
      </c>
      <c r="D10" s="30" t="inlineStr">
        <is>
          <t>construction</t>
        </is>
      </c>
      <c r="E10" s="30" t="inlineStr">
        <is>
          <t>smallcap</t>
        </is>
      </c>
      <c r="F10" s="30" t="n">
        <v>4098.79</v>
      </c>
      <c r="G10" s="30" t="n">
        <v>516.6</v>
      </c>
      <c r="H10" s="30" t="n">
        <v>11.77</v>
      </c>
      <c r="I10" s="30" t="n">
        <v>12115889</v>
      </c>
      <c r="J10" s="30" t="inlineStr">
        <is>
          <t>532924</t>
        </is>
      </c>
    </row>
    <row r="11">
      <c r="A11" s="30" t="inlineStr">
        <is>
          <t>MRPL</t>
        </is>
      </c>
      <c r="B11" s="30" t="inlineStr">
        <is>
          <t>Mangalore Refinery And Petrochemicals Limited</t>
        </is>
      </c>
      <c r="C11" s="30" t="inlineStr">
        <is>
          <t>energy</t>
        </is>
      </c>
      <c r="D11" s="30" t="inlineStr">
        <is>
          <t>refineries</t>
        </is>
      </c>
      <c r="E11" s="30" t="inlineStr">
        <is>
          <t>largecap</t>
        </is>
      </c>
      <c r="F11" s="30" t="n">
        <v>28560.35</v>
      </c>
      <c r="G11" s="30" t="n">
        <v>181.14</v>
      </c>
      <c r="H11" s="30" t="n">
        <v>11.16</v>
      </c>
      <c r="I11" s="30" t="n">
        <v>57521318</v>
      </c>
      <c r="J11" s="30" t="inlineStr">
        <is>
          <t>500109</t>
        </is>
      </c>
    </row>
    <row r="12">
      <c r="A12" s="30" t="inlineStr">
        <is>
          <t>MATRIMONY</t>
        </is>
      </c>
      <c r="B12" s="30" t="inlineStr">
        <is>
          <t>Matrimony.com Ltd</t>
        </is>
      </c>
      <c r="C12" s="30" t="inlineStr">
        <is>
          <t>miscellaneous</t>
        </is>
      </c>
      <c r="D12" s="30" t="inlineStr">
        <is>
          <t>miscellaneous</t>
        </is>
      </c>
      <c r="E12" s="30" t="inlineStr">
        <is>
          <t>smallcap</t>
        </is>
      </c>
      <c r="F12" s="30" t="n">
        <v>993.05</v>
      </c>
      <c r="G12" s="30" t="n">
        <v>530</v>
      </c>
      <c r="H12" s="30" t="n">
        <v>10.34</v>
      </c>
      <c r="I12" s="30" t="n">
        <v>1199074</v>
      </c>
      <c r="J12" s="30" t="inlineStr">
        <is>
          <t>540704</t>
        </is>
      </c>
    </row>
    <row r="13">
      <c r="A13" s="30" t="inlineStr">
        <is>
          <t>GLAND</t>
        </is>
      </c>
      <c r="B13" s="30" t="inlineStr">
        <is>
          <t>Gland Pharma Ltd</t>
        </is>
      </c>
      <c r="C13" s="30" t="inlineStr">
        <is>
          <t>healthcare</t>
        </is>
      </c>
      <c r="D13" s="30" t="inlineStr">
        <is>
          <t>pharmaceuticals - indian - formulations</t>
        </is>
      </c>
      <c r="E13" s="30" t="inlineStr">
        <is>
          <t>largecap</t>
        </is>
      </c>
      <c r="F13" s="30" t="n">
        <v>43999.7</v>
      </c>
      <c r="G13" s="30" t="n">
        <v>2924.4</v>
      </c>
      <c r="H13" s="30" t="n">
        <v>9.640000000000001</v>
      </c>
      <c r="I13" s="30" t="n">
        <v>8760097</v>
      </c>
      <c r="J13" s="30" t="inlineStr">
        <is>
          <t>543245</t>
        </is>
      </c>
    </row>
    <row r="14">
      <c r="A14" s="30" t="inlineStr">
        <is>
          <t>ENTERO</t>
        </is>
      </c>
      <c r="B14" s="30" t="inlineStr">
        <is>
          <t>Entero Healthcare Solutions Ltd</t>
        </is>
      </c>
      <c r="C14" s="30" t="inlineStr">
        <is>
          <t>healthcare</t>
        </is>
      </c>
      <c r="D14" s="30" t="inlineStr">
        <is>
          <t>trading</t>
        </is>
      </c>
      <c r="E14" s="30" t="inlineStr">
        <is>
          <t>midcap</t>
        </is>
      </c>
      <c r="F14" s="30" t="n">
        <v>5723.72</v>
      </c>
      <c r="G14" s="30" t="n">
        <v>1427.2</v>
      </c>
      <c r="H14" s="30" t="n">
        <v>8.52</v>
      </c>
      <c r="I14" s="30" t="n">
        <v>613776</v>
      </c>
      <c r="J14" s="30" t="inlineStr">
        <is>
          <t>544122</t>
        </is>
      </c>
    </row>
    <row r="15">
      <c r="A15" s="30" t="inlineStr">
        <is>
          <t>ARE&amp;M</t>
        </is>
      </c>
      <c r="B15" s="30" t="inlineStr">
        <is>
          <t>Amara Raja Energy &amp; Mobility Ltd</t>
        </is>
      </c>
      <c r="C15" s="30" t="inlineStr">
        <is>
          <t>auto</t>
        </is>
      </c>
      <c r="D15" s="30" t="inlineStr">
        <is>
          <t>auto ancillaries</t>
        </is>
      </c>
      <c r="E15" s="30" t="inlineStr">
        <is>
          <t>midcap</t>
        </is>
      </c>
      <c r="F15" s="30" t="n">
        <v>16430.19</v>
      </c>
      <c r="G15" s="30" t="n">
        <v>970.25</v>
      </c>
      <c r="H15" s="30" t="n">
        <v>8.08</v>
      </c>
      <c r="I15" s="30" t="n">
        <v>8417269</v>
      </c>
      <c r="J15" s="30" t="inlineStr">
        <is>
          <t>500008</t>
        </is>
      </c>
    </row>
    <row r="16">
      <c r="A16" s="30" t="inlineStr">
        <is>
          <t>NILKAMAL</t>
        </is>
      </c>
      <c r="B16" s="30" t="inlineStr">
        <is>
          <t>Nilkamal Limited</t>
        </is>
      </c>
      <c r="C16" s="30" t="inlineStr">
        <is>
          <t>plastic products</t>
        </is>
      </c>
      <c r="D16" s="30" t="inlineStr">
        <is>
          <t>plastics products</t>
        </is>
      </c>
      <c r="E16" s="30" t="inlineStr">
        <is>
          <t>smallcap</t>
        </is>
      </c>
      <c r="F16" s="30" t="n">
        <v>2583.54</v>
      </c>
      <c r="G16" s="30" t="n">
        <v>1868.6</v>
      </c>
      <c r="H16" s="30" t="n">
        <v>7.93</v>
      </c>
      <c r="I16" s="30" t="n">
        <v>140018</v>
      </c>
      <c r="J16" s="30" t="inlineStr">
        <is>
          <t>523385</t>
        </is>
      </c>
    </row>
    <row r="17">
      <c r="A17" s="30" t="inlineStr">
        <is>
          <t>SUNDRMFAST</t>
        </is>
      </c>
      <c r="B17" s="30" t="inlineStr">
        <is>
          <t>Sundram Fasteners Limited</t>
        </is>
      </c>
      <c r="C17" s="30" t="inlineStr">
        <is>
          <t>auto</t>
        </is>
      </c>
      <c r="D17" s="30" t="inlineStr">
        <is>
          <t>auto ancillaries</t>
        </is>
      </c>
      <c r="E17" s="30" t="inlineStr">
        <is>
          <t>largecap</t>
        </is>
      </c>
      <c r="F17" s="30" t="n">
        <v>23561.69</v>
      </c>
      <c r="G17" s="30" t="n">
        <v>1210.05</v>
      </c>
      <c r="H17" s="30" t="n">
        <v>7.91</v>
      </c>
      <c r="I17" s="30" t="n">
        <v>1057528</v>
      </c>
      <c r="J17" s="30" t="inlineStr">
        <is>
          <t>500403</t>
        </is>
      </c>
    </row>
    <row r="18">
      <c r="A18" s="30" t="inlineStr">
        <is>
          <t>LIKHITHA</t>
        </is>
      </c>
      <c r="B18" s="30" t="inlineStr">
        <is>
          <t>Likhitha Infrastructure Ltd</t>
        </is>
      </c>
      <c r="C18" s="30" t="inlineStr">
        <is>
          <t>realty</t>
        </is>
      </c>
      <c r="D18" s="30" t="inlineStr">
        <is>
          <t>construction</t>
        </is>
      </c>
      <c r="E18" s="30" t="inlineStr">
        <is>
          <t>smallcap</t>
        </is>
      </c>
      <c r="F18" s="30" t="n">
        <v>893.98</v>
      </c>
      <c r="G18" s="30" t="n">
        <v>243.59</v>
      </c>
      <c r="H18" s="30" t="n">
        <v>7.49</v>
      </c>
      <c r="I18" s="30" t="n">
        <v>118149</v>
      </c>
      <c r="J18" s="30" t="inlineStr">
        <is>
          <t>543240</t>
        </is>
      </c>
    </row>
    <row r="19">
      <c r="A19" s="30" t="inlineStr">
        <is>
          <t>AARTIPHARM</t>
        </is>
      </c>
      <c r="B19" s="30" t="inlineStr">
        <is>
          <t>Aarti Pharmalabs Ltd</t>
        </is>
      </c>
      <c r="C19" s="30" t="inlineStr">
        <is>
          <t>healthcare</t>
        </is>
      </c>
      <c r="D19" s="30" t="inlineStr">
        <is>
          <t>pharmaceuticals - indian - bulk drugs &amp; formln</t>
        </is>
      </c>
      <c r="E19" s="30" t="inlineStr">
        <is>
          <t>midcap</t>
        </is>
      </c>
      <c r="F19" s="30" t="n">
        <v>7462.95</v>
      </c>
      <c r="G19" s="30" t="n">
        <v>883.7</v>
      </c>
      <c r="H19" s="30" t="n">
        <v>7.38</v>
      </c>
      <c r="I19" s="30" t="n">
        <v>14873286</v>
      </c>
      <c r="J19" s="30" t="inlineStr">
        <is>
          <t>543748</t>
        </is>
      </c>
    </row>
    <row r="20">
      <c r="A20" s="30" t="inlineStr">
        <is>
          <t>VRLLOG</t>
        </is>
      </c>
      <c r="B20" s="30" t="inlineStr">
        <is>
          <t>Vrl Logistics Limited</t>
        </is>
      </c>
      <c r="C20" s="30" t="inlineStr">
        <is>
          <t>transportation</t>
        </is>
      </c>
      <c r="D20" s="30" t="inlineStr">
        <is>
          <t>miscellaneous</t>
        </is>
      </c>
      <c r="E20" s="30" t="inlineStr">
        <is>
          <t>smallcap</t>
        </is>
      </c>
      <c r="F20" s="30" t="n">
        <v>4983.95</v>
      </c>
      <c r="G20" s="30" t="n">
        <v>305.25</v>
      </c>
      <c r="H20" s="30" t="n">
        <v>7.14</v>
      </c>
      <c r="I20" s="30" t="n">
        <v>1925689</v>
      </c>
      <c r="J20" s="30" t="inlineStr">
        <is>
          <t>539118</t>
        </is>
      </c>
    </row>
    <row r="21">
      <c r="A21" s="30" t="inlineStr">
        <is>
          <t>FAZE3Q</t>
        </is>
      </c>
      <c r="B21" s="30" t="inlineStr">
        <is>
          <t>Faze Three Ltd</t>
        </is>
      </c>
      <c r="C21" s="30" t="inlineStr">
        <is>
          <t>textiles</t>
        </is>
      </c>
      <c r="D21" s="30" t="inlineStr">
        <is>
          <t>textiles - processing</t>
        </is>
      </c>
      <c r="E21" s="30" t="inlineStr">
        <is>
          <t>smallcap</t>
        </is>
      </c>
      <c r="F21" s="30" t="n">
        <v>1387.64</v>
      </c>
      <c r="G21" s="30" t="n">
        <v>610</v>
      </c>
      <c r="H21" s="30" t="n">
        <v>6.91</v>
      </c>
      <c r="I21" s="30" t="n">
        <v>157079</v>
      </c>
      <c r="J21" s="30" t="inlineStr">
        <is>
          <t>530079</t>
        </is>
      </c>
    </row>
    <row r="22">
      <c r="A22" s="30" t="inlineStr">
        <is>
          <t>INNOVACAP</t>
        </is>
      </c>
      <c r="B22" s="30" t="inlineStr">
        <is>
          <t>Innova Captab Ltd</t>
        </is>
      </c>
      <c r="C22" s="30" t="inlineStr">
        <is>
          <t>healthcare</t>
        </is>
      </c>
      <c r="D22" s="30" t="inlineStr">
        <is>
          <t>pharmaceuticals - indian - bulk drugs &amp; formln</t>
        </is>
      </c>
      <c r="E22" s="30" t="inlineStr">
        <is>
          <t>midcap</t>
        </is>
      </c>
      <c r="F22" s="30" t="n">
        <v>5528.5</v>
      </c>
      <c r="G22" s="30" t="n">
        <v>1029</v>
      </c>
      <c r="H22" s="30" t="n">
        <v>6.51</v>
      </c>
      <c r="I22" s="30" t="n">
        <v>167481</v>
      </c>
      <c r="J22" s="30" t="inlineStr">
        <is>
          <t>544067</t>
        </is>
      </c>
    </row>
    <row r="23">
      <c r="A23" s="30" t="inlineStr">
        <is>
          <t>ZYDUSLIFE</t>
        </is>
      </c>
      <c r="B23" s="30" t="inlineStr">
        <is>
          <t>Zydus Lifesciences Ltd</t>
        </is>
      </c>
      <c r="C23" s="30" t="inlineStr">
        <is>
          <t>healthcare</t>
        </is>
      </c>
      <c r="D23" s="30" t="inlineStr">
        <is>
          <t>pharmaceuticals - indian - bulk drugs &amp; formln</t>
        </is>
      </c>
      <c r="E23" s="30" t="inlineStr">
        <is>
          <t>largecap</t>
        </is>
      </c>
      <c r="F23" s="30" t="n">
        <v>111620.68</v>
      </c>
      <c r="G23" s="30" t="n">
        <v>1191</v>
      </c>
      <c r="H23" s="30" t="n">
        <v>6.43</v>
      </c>
      <c r="I23" s="30" t="n">
        <v>16331145</v>
      </c>
      <c r="J23" s="30" t="inlineStr">
        <is>
          <t>532321</t>
        </is>
      </c>
    </row>
    <row r="24">
      <c r="A24" s="30" t="inlineStr">
        <is>
          <t>POLICYBZR</t>
        </is>
      </c>
      <c r="B24" s="30" t="inlineStr">
        <is>
          <t>PB Fintech Ltd</t>
        </is>
      </c>
      <c r="C24" s="30" t="inlineStr">
        <is>
          <t>i.t</t>
        </is>
      </c>
      <c r="D24" s="30" t="inlineStr">
        <is>
          <t>miscellaneous</t>
        </is>
      </c>
      <c r="E24" s="30" t="inlineStr">
        <is>
          <t>largecap</t>
        </is>
      </c>
      <c r="F24" s="30" t="n">
        <v>75419.25999999999</v>
      </c>
      <c r="G24" s="30" t="n">
        <v>1733</v>
      </c>
      <c r="H24" s="30" t="n">
        <v>6.32</v>
      </c>
      <c r="I24" s="30" t="n">
        <v>6207238</v>
      </c>
      <c r="J24" s="30" t="inlineStr">
        <is>
          <t>543390</t>
        </is>
      </c>
    </row>
    <row r="25">
      <c r="A25" s="30" t="inlineStr">
        <is>
          <t>LUMAXIND</t>
        </is>
      </c>
      <c r="B25" s="30" t="inlineStr">
        <is>
          <t>Lumax Industries Limited</t>
        </is>
      </c>
      <c r="C25" s="30" t="inlineStr">
        <is>
          <t>auto</t>
        </is>
      </c>
      <c r="D25" s="30" t="inlineStr">
        <is>
          <t>auto ancillaries</t>
        </is>
      </c>
      <c r="E25" s="30" t="inlineStr">
        <is>
          <t>midcap</t>
        </is>
      </c>
      <c r="F25" s="30" t="n">
        <v>5286.61</v>
      </c>
      <c r="G25" s="30" t="n">
        <v>6000</v>
      </c>
      <c r="H25" s="30" t="n">
        <v>6.09</v>
      </c>
      <c r="I25" s="30" t="n">
        <v>99574</v>
      </c>
      <c r="J25" s="30" t="inlineStr">
        <is>
          <t>517206</t>
        </is>
      </c>
    </row>
    <row r="26">
      <c r="A26" s="30" t="inlineStr">
        <is>
          <t>NAUKRI</t>
        </is>
      </c>
      <c r="B26" s="30" t="inlineStr">
        <is>
          <t>Info Edge (india) Limited</t>
        </is>
      </c>
      <c r="C26" s="30" t="inlineStr">
        <is>
          <t>i.t</t>
        </is>
      </c>
      <c r="D26" s="30" t="inlineStr">
        <is>
          <t>miscellaneous</t>
        </is>
      </c>
      <c r="E26" s="30" t="inlineStr">
        <is>
          <t>largecap</t>
        </is>
      </c>
      <c r="F26" s="30" t="n">
        <v>83127.52</v>
      </c>
      <c r="G26" s="30" t="n">
        <v>1360</v>
      </c>
      <c r="H26" s="30" t="n">
        <v>6.08</v>
      </c>
      <c r="I26" s="30" t="n">
        <v>19850886</v>
      </c>
      <c r="J26" s="30" t="inlineStr">
        <is>
          <t>532777</t>
        </is>
      </c>
    </row>
    <row r="27">
      <c r="A27" s="30" t="inlineStr">
        <is>
          <t>KANPRPLA</t>
        </is>
      </c>
      <c r="B27" s="30" t="inlineStr">
        <is>
          <t>Kanpur Plastipack Ltd</t>
        </is>
      </c>
      <c r="C27" s="30" t="inlineStr">
        <is>
          <t>industrials</t>
        </is>
      </c>
      <c r="D27" s="30" t="inlineStr">
        <is>
          <t>packaging</t>
        </is>
      </c>
      <c r="E27" s="30" t="inlineStr">
        <is>
          <t>smallcap</t>
        </is>
      </c>
      <c r="F27" s="30" t="n">
        <v>502.75</v>
      </c>
      <c r="G27" s="30" t="n">
        <v>217.84</v>
      </c>
      <c r="H27" s="30" t="n">
        <v>6.07</v>
      </c>
      <c r="I27" s="30" t="n">
        <v>24902</v>
      </c>
      <c r="J27" s="30" t="inlineStr">
        <is>
          <t>507779</t>
        </is>
      </c>
    </row>
    <row r="28">
      <c r="A28" s="30" t="inlineStr">
        <is>
          <t>ZENTEC</t>
        </is>
      </c>
      <c r="B28" s="30" t="inlineStr">
        <is>
          <t>Zen Technologies Limited</t>
        </is>
      </c>
      <c r="C28" s="30" t="inlineStr">
        <is>
          <t>aerospace &amp; defence</t>
        </is>
      </c>
      <c r="D28" s="30" t="inlineStr">
        <is>
          <t>miscellaneous</t>
        </is>
      </c>
      <c r="E28" s="30" t="inlineStr">
        <is>
          <t>midcap</t>
        </is>
      </c>
      <c r="F28" s="30" t="n">
        <v>15529.94</v>
      </c>
      <c r="G28" s="30" t="n">
        <v>1819.8</v>
      </c>
      <c r="H28" s="30" t="n">
        <v>5.8</v>
      </c>
      <c r="I28" s="30" t="n">
        <v>859519</v>
      </c>
      <c r="J28" s="30" t="inlineStr">
        <is>
          <t>533339</t>
        </is>
      </c>
    </row>
    <row r="29">
      <c r="A29" s="30" t="inlineStr">
        <is>
          <t>SAKAR</t>
        </is>
      </c>
      <c r="B29" s="30" t="inlineStr">
        <is>
          <t>Sakar Healthcare Ltd</t>
        </is>
      </c>
      <c r="C29" s="30" t="inlineStr">
        <is>
          <t>healthcare</t>
        </is>
      </c>
      <c r="D29" s="30" t="inlineStr">
        <is>
          <t>pharmaceuticals - indian - bulk drugs &amp; formln</t>
        </is>
      </c>
      <c r="E29" s="30" t="inlineStr">
        <is>
          <t>smallcap</t>
        </is>
      </c>
      <c r="F29" s="30" t="n">
        <v>2013.17</v>
      </c>
      <c r="G29" s="30" t="n">
        <v>953.75</v>
      </c>
      <c r="H29" s="30" t="n">
        <v>5.41</v>
      </c>
      <c r="I29" s="30" t="n">
        <v>288900</v>
      </c>
      <c r="J29" s="30" t="inlineStr">
        <is>
          <t>538377</t>
        </is>
      </c>
    </row>
    <row r="30">
      <c r="A30" s="30" t="inlineStr">
        <is>
          <t>AFSL</t>
        </is>
      </c>
      <c r="B30" s="30" t="inlineStr">
        <is>
          <t>Abans Financial Services Ltd</t>
        </is>
      </c>
      <c r="C30" s="30" t="inlineStr">
        <is>
          <t>financials</t>
        </is>
      </c>
      <c r="D30" s="30" t="inlineStr">
        <is>
          <t>finance &amp; investments</t>
        </is>
      </c>
      <c r="E30" s="30" t="inlineStr">
        <is>
          <t>smallcap</t>
        </is>
      </c>
      <c r="F30" s="30" t="n">
        <v>1023.1</v>
      </c>
      <c r="G30" s="30" t="n">
        <v>212.04</v>
      </c>
      <c r="H30" s="30" t="n">
        <v>5.37</v>
      </c>
      <c r="I30" s="30" t="n">
        <v>220184</v>
      </c>
      <c r="J30" s="30" t="inlineStr">
        <is>
          <t>543712</t>
        </is>
      </c>
    </row>
    <row r="31">
      <c r="A31" s="30" t="inlineStr">
        <is>
          <t>SPECIALITY</t>
        </is>
      </c>
      <c r="B31" s="30" t="inlineStr">
        <is>
          <t>Speciality Restaurants Limited</t>
        </is>
      </c>
      <c r="C31" s="30" t="inlineStr">
        <is>
          <t>services</t>
        </is>
      </c>
      <c r="D31" s="30" t="inlineStr">
        <is>
          <t>hotels</t>
        </is>
      </c>
      <c r="E31" s="30" t="inlineStr">
        <is>
          <t>smallcap</t>
        </is>
      </c>
      <c r="F31" s="30" t="n">
        <v>724.26</v>
      </c>
      <c r="G31" s="30" t="n">
        <v>158.2</v>
      </c>
      <c r="H31" s="30" t="n">
        <v>5.36</v>
      </c>
      <c r="I31" s="30" t="n">
        <v>653635</v>
      </c>
      <c r="J31" s="30" t="inlineStr">
        <is>
          <t>534425</t>
        </is>
      </c>
    </row>
    <row r="32">
      <c r="A32" s="30" t="inlineStr">
        <is>
          <t>CUPID</t>
        </is>
      </c>
      <c r="B32" s="30" t="inlineStr">
        <is>
          <t>Cupid Limited</t>
        </is>
      </c>
      <c r="C32" s="30" t="inlineStr">
        <is>
          <t>fmcg</t>
        </is>
      </c>
      <c r="D32" s="30" t="inlineStr">
        <is>
          <t>personal care - indian</t>
        </is>
      </c>
      <c r="E32" s="30" t="inlineStr">
        <is>
          <t>largecap</t>
        </is>
      </c>
      <c r="F32" s="30" t="n">
        <v>35325.58</v>
      </c>
      <c r="G32" s="30" t="n">
        <v>276.65</v>
      </c>
      <c r="H32" s="30" t="n">
        <v>5.31</v>
      </c>
      <c r="I32" s="30" t="n">
        <v>37869272</v>
      </c>
      <c r="J32" s="30" t="inlineStr">
        <is>
          <t>530843</t>
        </is>
      </c>
    </row>
    <row r="33">
      <c r="A33" s="30" t="inlineStr">
        <is>
          <t>GANDHITUBE</t>
        </is>
      </c>
      <c r="B33" s="30" t="inlineStr">
        <is>
          <t>Gandhi Special Tubes Limited</t>
        </is>
      </c>
      <c r="C33" s="30" t="inlineStr">
        <is>
          <t>metals &amp; mining</t>
        </is>
      </c>
      <c r="D33" s="30" t="inlineStr">
        <is>
          <t>steel - medium / small</t>
        </is>
      </c>
      <c r="E33" s="30" t="inlineStr">
        <is>
          <t>smallcap</t>
        </is>
      </c>
      <c r="F33" s="30" t="n">
        <v>1071.93</v>
      </c>
      <c r="G33" s="30" t="n">
        <v>928</v>
      </c>
      <c r="H33" s="30" t="n">
        <v>5.2</v>
      </c>
      <c r="I33" s="30" t="n">
        <v>58650</v>
      </c>
      <c r="J33" s="30" t="inlineStr">
        <is>
          <t>513108</t>
        </is>
      </c>
    </row>
    <row r="34">
      <c r="A34" s="30" t="inlineStr">
        <is>
          <t>POLYMED</t>
        </is>
      </c>
      <c r="B34" s="30" t="inlineStr">
        <is>
          <t>Poly Medicure Limited</t>
        </is>
      </c>
      <c r="C34" s="30" t="inlineStr">
        <is>
          <t>healthcare</t>
        </is>
      </c>
      <c r="D34" s="30" t="inlineStr">
        <is>
          <t>healthcare</t>
        </is>
      </c>
      <c r="E34" s="30" t="inlineStr">
        <is>
          <t>midcap</t>
        </is>
      </c>
      <c r="F34" s="30" t="n">
        <v>17964.96</v>
      </c>
      <c r="G34" s="30" t="n">
        <v>1863.9</v>
      </c>
      <c r="H34" s="30" t="n">
        <v>5.16</v>
      </c>
      <c r="I34" s="30" t="n">
        <v>1023997</v>
      </c>
      <c r="J34" s="30" t="inlineStr">
        <is>
          <t>531768</t>
        </is>
      </c>
    </row>
    <row r="35">
      <c r="A35" s="30" t="inlineStr">
        <is>
          <t>CHEMBONDCH</t>
        </is>
      </c>
      <c r="B35" s="30" t="inlineStr">
        <is>
          <t>Chembond Chemicals Ltd</t>
        </is>
      </c>
      <c r="C35" s="30" t="inlineStr">
        <is>
          <t>chemicals</t>
        </is>
      </c>
      <c r="D35" s="30" t="inlineStr">
        <is>
          <t>chemicals</t>
        </is>
      </c>
      <c r="E35" s="30" t="inlineStr">
        <is>
          <t>smallcap</t>
        </is>
      </c>
      <c r="F35" s="30" t="n">
        <v>670.5</v>
      </c>
      <c r="G35" s="30" t="n">
        <v>261.75</v>
      </c>
      <c r="H35" s="30" t="n">
        <v>5</v>
      </c>
      <c r="I35" s="30" t="n">
        <v>30864</v>
      </c>
      <c r="J35" s="30" t="inlineStr">
        <is>
          <t>544450</t>
        </is>
      </c>
    </row>
    <row r="36">
      <c r="A36" s="30" t="inlineStr">
        <is>
          <t>BIRLACABLE</t>
        </is>
      </c>
      <c r="B36" s="30" t="inlineStr">
        <is>
          <t>Birla Cable Limited</t>
        </is>
      </c>
      <c r="C36" s="30" t="inlineStr">
        <is>
          <t>industrials</t>
        </is>
      </c>
      <c r="D36" s="30" t="inlineStr">
        <is>
          <t>cables - telephone</t>
        </is>
      </c>
      <c r="E36" s="30" t="inlineStr">
        <is>
          <t>smallcap</t>
        </is>
      </c>
      <c r="F36" s="30" t="n">
        <v>800.76</v>
      </c>
      <c r="G36" s="30" t="n">
        <v>280.26</v>
      </c>
      <c r="H36" s="30" t="n">
        <v>5</v>
      </c>
      <c r="I36" s="30" t="n">
        <v>220910</v>
      </c>
      <c r="J36" s="30" t="inlineStr">
        <is>
          <t>500060</t>
        </is>
      </c>
    </row>
    <row r="37">
      <c r="A37" s="30" t="inlineStr">
        <is>
          <t>SICALLOG</t>
        </is>
      </c>
      <c r="B37" s="30" t="inlineStr">
        <is>
          <t>Sical Logistics Ltd</t>
        </is>
      </c>
      <c r="C37" s="30" t="inlineStr">
        <is>
          <t>transportation</t>
        </is>
      </c>
      <c r="D37" s="30" t="inlineStr">
        <is>
          <t>miscellaneous</t>
        </is>
      </c>
      <c r="E37" s="30" t="inlineStr">
        <is>
          <t>smallcap</t>
        </is>
      </c>
      <c r="F37" s="30" t="n">
        <v>814.36</v>
      </c>
      <c r="G37" s="30" t="n">
        <v>107.17</v>
      </c>
      <c r="H37" s="30" t="n">
        <v>5</v>
      </c>
      <c r="I37" s="30" t="n">
        <v>29378</v>
      </c>
      <c r="J37" s="30" t="inlineStr">
        <is>
          <t>520086</t>
        </is>
      </c>
    </row>
    <row r="38">
      <c r="A38" s="30" t="inlineStr">
        <is>
          <t>MANAKSTEEL</t>
        </is>
      </c>
      <c r="B38" s="30" t="inlineStr">
        <is>
          <t>Manaksia Steels Limited</t>
        </is>
      </c>
      <c r="C38" s="30" t="inlineStr">
        <is>
          <t>metals &amp; mining</t>
        </is>
      </c>
      <c r="D38" s="30" t="inlineStr">
        <is>
          <t>steel - medium / small</t>
        </is>
      </c>
      <c r="E38" s="30" t="inlineStr">
        <is>
          <t>smallcap</t>
        </is>
      </c>
      <c r="F38" s="30" t="n">
        <v>528.73</v>
      </c>
      <c r="G38" s="30" t="n">
        <v>84.70999999999999</v>
      </c>
      <c r="H38" s="30" t="n">
        <v>5</v>
      </c>
      <c r="I38" s="30" t="n">
        <v>48488</v>
      </c>
      <c r="J38" s="30" t="inlineStr">
        <is>
          <t>539044</t>
        </is>
      </c>
    </row>
    <row r="39">
      <c r="A39" s="30" t="inlineStr">
        <is>
          <t>PANACHE</t>
        </is>
      </c>
      <c r="B39" s="30" t="inlineStr">
        <is>
          <t>Panache Digilife Ltd</t>
        </is>
      </c>
      <c r="C39" s="30" t="inlineStr">
        <is>
          <t>i.t</t>
        </is>
      </c>
      <c r="D39" s="30" t="inlineStr">
        <is>
          <t>computers - hardware</t>
        </is>
      </c>
      <c r="E39" s="30" t="inlineStr">
        <is>
          <t>smallcap</t>
        </is>
      </c>
      <c r="F39" s="30" t="n">
        <v>770.99</v>
      </c>
      <c r="G39" s="30" t="n">
        <v>505.5</v>
      </c>
      <c r="H39" s="30" t="n">
        <v>5</v>
      </c>
      <c r="I39" s="30" t="n">
        <v>49967</v>
      </c>
      <c r="J39" s="30" t="inlineStr">
        <is>
          <t>538424</t>
        </is>
      </c>
    </row>
    <row r="40">
      <c r="A40" s="30" t="inlineStr">
        <is>
          <t>KRN</t>
        </is>
      </c>
      <c r="B40" s="30" t="inlineStr">
        <is>
          <t>KRN Heat Exchanger and Refrigeration Ltd</t>
        </is>
      </c>
      <c r="C40" s="30" t="inlineStr">
        <is>
          <t>industrials</t>
        </is>
      </c>
      <c r="D40" s="30" t="inlineStr">
        <is>
          <t>engineering</t>
        </is>
      </c>
      <c r="E40" s="30" t="inlineStr">
        <is>
          <t>midcap</t>
        </is>
      </c>
      <c r="F40" s="30" t="n">
        <v>8027.83</v>
      </c>
      <c r="G40" s="30" t="n">
        <v>1287.7</v>
      </c>
      <c r="H40" s="30" t="n">
        <v>5</v>
      </c>
      <c r="I40" s="30" t="n">
        <v>205351</v>
      </c>
      <c r="J40" s="30" t="inlineStr">
        <is>
          <t>544263</t>
        </is>
      </c>
    </row>
    <row r="41">
      <c r="A41" s="30" t="inlineStr">
        <is>
          <t>QPOWER</t>
        </is>
      </c>
      <c r="B41" s="30" t="inlineStr">
        <is>
          <t>Quality Power Electrical Equipments Ltd</t>
        </is>
      </c>
      <c r="C41" s="30" t="inlineStr">
        <is>
          <t>industrials</t>
        </is>
      </c>
      <c r="D41" s="30" t="inlineStr">
        <is>
          <t>electric equipment</t>
        </is>
      </c>
      <c r="E41" s="30" t="inlineStr">
        <is>
          <t>midcap</t>
        </is>
      </c>
      <c r="F41" s="30" t="n">
        <v>9140.73</v>
      </c>
      <c r="G41" s="30" t="n">
        <v>1239.3</v>
      </c>
      <c r="H41" s="30" t="n">
        <v>5</v>
      </c>
      <c r="I41" s="30" t="n">
        <v>101112</v>
      </c>
      <c r="J41" s="30" t="inlineStr">
        <is>
          <t>544367</t>
        </is>
      </c>
    </row>
    <row r="42">
      <c r="A42" s="30" t="inlineStr">
        <is>
          <t>MODISONLTD</t>
        </is>
      </c>
      <c r="B42" s="30" t="inlineStr">
        <is>
          <t>Modison Ltd</t>
        </is>
      </c>
      <c r="C42" s="30" t="inlineStr">
        <is>
          <t>industrials</t>
        </is>
      </c>
      <c r="D42" s="30" t="inlineStr">
        <is>
          <t>electric equipment</t>
        </is>
      </c>
      <c r="E42" s="30" t="inlineStr">
        <is>
          <t>smallcap</t>
        </is>
      </c>
      <c r="F42" s="30" t="n">
        <v>950.3</v>
      </c>
      <c r="G42" s="30" t="n">
        <v>307.45</v>
      </c>
      <c r="H42" s="30" t="n">
        <v>4.99</v>
      </c>
      <c r="I42" s="30" t="n">
        <v>70326</v>
      </c>
      <c r="J42" s="30" t="inlineStr">
        <is>
          <t>506261</t>
        </is>
      </c>
    </row>
    <row r="43">
      <c r="A43" s="30" t="inlineStr">
        <is>
          <t>STYLEBAAZA</t>
        </is>
      </c>
      <c r="B43" s="30" t="inlineStr">
        <is>
          <t>Baazar Style Retail Ltd</t>
        </is>
      </c>
      <c r="C43" s="30" t="inlineStr">
        <is>
          <t>consumer discretionary</t>
        </is>
      </c>
      <c r="D43" s="30" t="inlineStr">
        <is>
          <t>trading</t>
        </is>
      </c>
      <c r="E43" s="30" t="inlineStr">
        <is>
          <t>smallcap</t>
        </is>
      </c>
      <c r="F43" s="30" t="n">
        <v>2562.49</v>
      </c>
      <c r="G43" s="30" t="n">
        <v>353.45</v>
      </c>
      <c r="H43" s="30" t="n">
        <v>4.99</v>
      </c>
      <c r="I43" s="30" t="n">
        <v>1709664</v>
      </c>
      <c r="J43" s="30" t="inlineStr">
        <is>
          <t>544243</t>
        </is>
      </c>
    </row>
    <row r="44">
      <c r="A44" s="30" t="inlineStr">
        <is>
          <t>MCX</t>
        </is>
      </c>
      <c r="B44" s="30" t="inlineStr">
        <is>
          <t>Multi Commodity Exchange Of India Limited</t>
        </is>
      </c>
      <c r="C44" s="30" t="inlineStr">
        <is>
          <t>financials</t>
        </is>
      </c>
      <c r="D44" s="30" t="inlineStr">
        <is>
          <t>miscellaneous</t>
        </is>
      </c>
      <c r="E44" s="30" t="inlineStr">
        <is>
          <t>largecap</t>
        </is>
      </c>
      <c r="F44" s="30" t="n">
        <v>70359.89999999999</v>
      </c>
      <c r="G44" s="30" t="n">
        <v>2895</v>
      </c>
      <c r="H44" s="30" t="n">
        <v>4.92</v>
      </c>
      <c r="I44" s="30" t="n">
        <v>12290707</v>
      </c>
      <c r="J44" s="30" t="inlineStr">
        <is>
          <t>534091</t>
        </is>
      </c>
    </row>
    <row r="45">
      <c r="A45" s="30" t="inlineStr">
        <is>
          <t>BLUSPRING</t>
        </is>
      </c>
      <c r="B45" s="30" t="inlineStr">
        <is>
          <t>Bluspring Enterprises Ltd</t>
        </is>
      </c>
      <c r="C45" s="30" t="inlineStr">
        <is>
          <t>miscellaneous</t>
        </is>
      </c>
      <c r="D45" s="30" t="inlineStr">
        <is>
          <t>diversified - large</t>
        </is>
      </c>
      <c r="E45" s="30" t="inlineStr">
        <is>
          <t>smallcap</t>
        </is>
      </c>
      <c r="F45" s="30" t="n">
        <v>1679.12</v>
      </c>
      <c r="G45" s="30" t="n">
        <v>117.85</v>
      </c>
      <c r="H45" s="30" t="n">
        <v>4.89</v>
      </c>
      <c r="I45" s="30" t="n">
        <v>348322</v>
      </c>
      <c r="J45" s="30" t="inlineStr">
        <is>
          <t>544414</t>
        </is>
      </c>
    </row>
    <row r="46">
      <c r="A46" s="30" t="inlineStr">
        <is>
          <t>SANATHAN</t>
        </is>
      </c>
      <c r="B46" s="30" t="inlineStr">
        <is>
          <t>Sanathan Textiles Ltd</t>
        </is>
      </c>
      <c r="C46" s="30" t="inlineStr">
        <is>
          <t>textiles</t>
        </is>
      </c>
      <c r="D46" s="30" t="inlineStr">
        <is>
          <t>textiles - cotton/blended</t>
        </is>
      </c>
      <c r="E46" s="30" t="inlineStr">
        <is>
          <t>smallcap</t>
        </is>
      </c>
      <c r="F46" s="30" t="n">
        <v>4067.43</v>
      </c>
      <c r="G46" s="30" t="n">
        <v>505</v>
      </c>
      <c r="H46" s="30" t="n">
        <v>4.79</v>
      </c>
      <c r="I46" s="30" t="n">
        <v>256946</v>
      </c>
      <c r="J46" s="30" t="inlineStr">
        <is>
          <t>544314</t>
        </is>
      </c>
    </row>
    <row r="47">
      <c r="A47" s="30" t="inlineStr">
        <is>
          <t>SREEL</t>
        </is>
      </c>
      <c r="B47" s="30" t="inlineStr">
        <is>
          <t>Sreeleathers Limited</t>
        </is>
      </c>
      <c r="C47" s="30" t="inlineStr">
        <is>
          <t>consumer discretionary</t>
        </is>
      </c>
      <c r="D47" s="30" t="inlineStr">
        <is>
          <t>trading</t>
        </is>
      </c>
      <c r="E47" s="30" t="inlineStr">
        <is>
          <t>smallcap</t>
        </is>
      </c>
      <c r="F47" s="30" t="n">
        <v>512.24</v>
      </c>
      <c r="G47" s="30" t="n">
        <v>231.8</v>
      </c>
      <c r="H47" s="30" t="n">
        <v>4.78</v>
      </c>
      <c r="I47" s="30" t="n">
        <v>64048</v>
      </c>
      <c r="J47" s="30" t="inlineStr">
        <is>
          <t>535601</t>
        </is>
      </c>
    </row>
    <row r="48">
      <c r="A48" s="30" t="inlineStr">
        <is>
          <t>SETL</t>
        </is>
      </c>
      <c r="B48" s="30" t="inlineStr">
        <is>
          <t>Standard Enginnering Technology Ltd</t>
        </is>
      </c>
      <c r="C48" s="30" t="inlineStr">
        <is>
          <t>industrials</t>
        </is>
      </c>
      <c r="D48" s="30" t="inlineStr">
        <is>
          <t>engineering</t>
        </is>
      </c>
      <c r="E48" s="30" t="inlineStr">
        <is>
          <t>midcap</t>
        </is>
      </c>
      <c r="F48" s="30" t="n">
        <v>5660.58</v>
      </c>
      <c r="G48" s="30" t="n">
        <v>297.3</v>
      </c>
      <c r="H48" s="30" t="n">
        <v>4.78</v>
      </c>
      <c r="I48" s="30" t="n">
        <v>2175257</v>
      </c>
      <c r="J48" s="30" t="inlineStr">
        <is>
          <t>544333</t>
        </is>
      </c>
    </row>
    <row r="49">
      <c r="A49" s="30" t="inlineStr">
        <is>
          <t>SADHNANIQ</t>
        </is>
      </c>
      <c r="B49" s="30" t="inlineStr">
        <is>
          <t>Sadhana Nitro Chem Ltd</t>
        </is>
      </c>
      <c r="C49" s="30" t="inlineStr">
        <is>
          <t>chemicals</t>
        </is>
      </c>
      <c r="D49" s="30" t="inlineStr">
        <is>
          <t>chemicals</t>
        </is>
      </c>
      <c r="E49" s="30" t="inlineStr">
        <is>
          <t>smallcap</t>
        </is>
      </c>
      <c r="F49" s="30" t="n">
        <v>939.8099999999999</v>
      </c>
      <c r="G49" s="30" t="n">
        <v>3.32</v>
      </c>
      <c r="H49" s="30" t="n">
        <v>4.73</v>
      </c>
      <c r="I49" s="30" t="n">
        <v>8427224</v>
      </c>
      <c r="J49" s="30" t="inlineStr">
        <is>
          <t>506642</t>
        </is>
      </c>
    </row>
    <row r="50">
      <c r="A50" s="30" t="inlineStr">
        <is>
          <t>CARBORUNIV</t>
        </is>
      </c>
      <c r="B50" s="30" t="inlineStr">
        <is>
          <t>Carborundum Universal Limited</t>
        </is>
      </c>
      <c r="C50" s="30" t="inlineStr">
        <is>
          <t>industrials</t>
        </is>
      </c>
      <c r="D50" s="30" t="inlineStr">
        <is>
          <t>abrasives and grinding wheels</t>
        </is>
      </c>
      <c r="E50" s="30" t="inlineStr">
        <is>
          <t>largecap</t>
        </is>
      </c>
      <c r="F50" s="30" t="n">
        <v>21354.32</v>
      </c>
      <c r="G50" s="30" t="n">
        <v>1173.8</v>
      </c>
      <c r="H50" s="30" t="n">
        <v>4.71</v>
      </c>
      <c r="I50" s="30" t="n">
        <v>356443</v>
      </c>
      <c r="J50" s="30" t="inlineStr">
        <is>
          <t>513375</t>
        </is>
      </c>
    </row>
    <row r="51">
      <c r="A51" s="30" t="inlineStr">
        <is>
          <t>DOLPHIN</t>
        </is>
      </c>
      <c r="B51" s="30" t="inlineStr">
        <is>
          <t>Dolphin Offshore Enterprises (India) Ltd</t>
        </is>
      </c>
      <c r="C51" s="30" t="inlineStr">
        <is>
          <t>energy</t>
        </is>
      </c>
      <c r="D51" s="30" t="inlineStr">
        <is>
          <t>oil drilling / allied services</t>
        </is>
      </c>
      <c r="E51" s="30" t="inlineStr">
        <is>
          <t>smallcap</t>
        </is>
      </c>
      <c r="F51" s="30" t="n">
        <v>1670.19</v>
      </c>
      <c r="G51" s="30" t="n">
        <v>437.1</v>
      </c>
      <c r="H51" s="30" t="n">
        <v>4.69</v>
      </c>
      <c r="I51" s="30" t="n">
        <v>64918</v>
      </c>
      <c r="J51" s="30" t="inlineStr">
        <is>
          <t>522261</t>
        </is>
      </c>
    </row>
    <row r="52">
      <c r="A52" s="30" t="inlineStr">
        <is>
          <t>KANORICHEM</t>
        </is>
      </c>
      <c r="B52" s="30" t="inlineStr">
        <is>
          <t>Kanoria Chemicals &amp; Industries Limited</t>
        </is>
      </c>
      <c r="C52" s="30" t="inlineStr">
        <is>
          <t>chemicals</t>
        </is>
      </c>
      <c r="D52" s="30" t="inlineStr">
        <is>
          <t>chemicals</t>
        </is>
      </c>
      <c r="E52" s="30" t="inlineStr">
        <is>
          <t>smallcap</t>
        </is>
      </c>
      <c r="F52" s="30" t="n">
        <v>673.45</v>
      </c>
      <c r="G52" s="30" t="n">
        <v>161.25</v>
      </c>
      <c r="H52" s="30" t="n">
        <v>4.62</v>
      </c>
      <c r="I52" s="30" t="n">
        <v>94350</v>
      </c>
      <c r="J52" s="30" t="inlineStr">
        <is>
          <t>506525</t>
        </is>
      </c>
    </row>
    <row r="53">
      <c r="A53" s="30" t="inlineStr">
        <is>
          <t>ANTHEM</t>
        </is>
      </c>
      <c r="B53" s="30" t="inlineStr">
        <is>
          <t>Anthem Biosciences Ltd</t>
        </is>
      </c>
      <c r="C53" s="30" t="inlineStr">
        <is>
          <t>healthcare</t>
        </is>
      </c>
      <c r="D53" s="30" t="inlineStr">
        <is>
          <t>pharmaceuticals - indian - bulk drugs &amp; formln</t>
        </is>
      </c>
      <c r="E53" s="30" t="inlineStr">
        <is>
          <t>largecap</t>
        </is>
      </c>
      <c r="F53" s="30" t="n">
        <v>48056.72</v>
      </c>
      <c r="G53" s="30" t="n">
        <v>891.65</v>
      </c>
      <c r="H53" s="30" t="n">
        <v>4.53</v>
      </c>
      <c r="I53" s="30" t="n">
        <v>1605598</v>
      </c>
      <c r="J53" s="30" t="inlineStr">
        <is>
          <t>544449</t>
        </is>
      </c>
    </row>
    <row r="54">
      <c r="A54" s="30" t="inlineStr">
        <is>
          <t>THYROCARE</t>
        </is>
      </c>
      <c r="B54" s="30" t="inlineStr">
        <is>
          <t>Thyrocare Technologies Limited</t>
        </is>
      </c>
      <c r="C54" s="30" t="inlineStr">
        <is>
          <t>healthcare</t>
        </is>
      </c>
      <c r="D54" s="30" t="inlineStr">
        <is>
          <t>healthcare</t>
        </is>
      </c>
      <c r="E54" s="30" t="inlineStr">
        <is>
          <t>midcap</t>
        </is>
      </c>
      <c r="F54" s="30" t="n">
        <v>9901.67</v>
      </c>
      <c r="G54" s="30" t="n">
        <v>649.35</v>
      </c>
      <c r="H54" s="30" t="n">
        <v>4.38</v>
      </c>
      <c r="I54" s="30" t="n">
        <v>616069</v>
      </c>
      <c r="J54" s="30" t="inlineStr">
        <is>
          <t>539871</t>
        </is>
      </c>
    </row>
    <row r="55">
      <c r="A55" s="30" t="inlineStr">
        <is>
          <t>DYCL</t>
        </is>
      </c>
      <c r="B55" s="30" t="inlineStr">
        <is>
          <t>Dynamic Cables Ltd</t>
        </is>
      </c>
      <c r="C55" s="30" t="inlineStr">
        <is>
          <t>industrials</t>
        </is>
      </c>
      <c r="D55" s="30" t="inlineStr">
        <is>
          <t>cables - power</t>
        </is>
      </c>
      <c r="E55" s="30" t="inlineStr">
        <is>
          <t>smallcap</t>
        </is>
      </c>
      <c r="F55" s="30" t="n">
        <v>2049.07</v>
      </c>
      <c r="G55" s="30" t="n">
        <v>441.2</v>
      </c>
      <c r="H55" s="30" t="n">
        <v>4.34</v>
      </c>
      <c r="I55" s="30" t="n">
        <v>860071</v>
      </c>
      <c r="J55" s="30" t="inlineStr">
        <is>
          <t>540795</t>
        </is>
      </c>
    </row>
    <row r="56">
      <c r="A56" s="30" t="inlineStr">
        <is>
          <t>POLYPLEX</t>
        </is>
      </c>
      <c r="B56" s="30" t="inlineStr">
        <is>
          <t>Polyplex Corporation Limited</t>
        </is>
      </c>
      <c r="C56" s="30" t="inlineStr">
        <is>
          <t>industrials</t>
        </is>
      </c>
      <c r="D56" s="30" t="inlineStr">
        <is>
          <t>packaging</t>
        </is>
      </c>
      <c r="E56" s="30" t="inlineStr">
        <is>
          <t>smallcap</t>
        </is>
      </c>
      <c r="F56" s="30" t="n">
        <v>3703.37</v>
      </c>
      <c r="G56" s="30" t="n">
        <v>1229.6</v>
      </c>
      <c r="H56" s="30" t="n">
        <v>4.23</v>
      </c>
      <c r="I56" s="30" t="n">
        <v>461853</v>
      </c>
      <c r="J56" s="30" t="inlineStr">
        <is>
          <t>524051</t>
        </is>
      </c>
    </row>
    <row r="57">
      <c r="A57" s="30" t="inlineStr">
        <is>
          <t>AKUMS</t>
        </is>
      </c>
      <c r="B57" s="30" t="inlineStr">
        <is>
          <t>Akums Drugs &amp; Pharmaceuticals Ltd</t>
        </is>
      </c>
      <c r="C57" s="30" t="inlineStr">
        <is>
          <t>healthcare</t>
        </is>
      </c>
      <c r="D57" s="30" t="inlineStr">
        <is>
          <t>pharmaceuticals - indian - bulk drugs &amp; formln</t>
        </is>
      </c>
      <c r="E57" s="30" t="inlineStr">
        <is>
          <t>midcap</t>
        </is>
      </c>
      <c r="F57" s="30" t="n">
        <v>11491.34</v>
      </c>
      <c r="G57" s="30" t="n">
        <v>760.95</v>
      </c>
      <c r="H57" s="30" t="n">
        <v>4.23</v>
      </c>
      <c r="I57" s="30" t="n">
        <v>1147819</v>
      </c>
      <c r="J57" s="30" t="inlineStr">
        <is>
          <t>544222</t>
        </is>
      </c>
    </row>
    <row r="58">
      <c r="A58" s="30" t="inlineStr">
        <is>
          <t>E2E</t>
        </is>
      </c>
      <c r="B58" s="30" t="inlineStr">
        <is>
          <t>E2E Networks Ltd</t>
        </is>
      </c>
      <c r="C58" s="30" t="inlineStr">
        <is>
          <t>i.t</t>
        </is>
      </c>
      <c r="D58" s="30" t="inlineStr">
        <is>
          <t>computers - software - medium / small</t>
        </is>
      </c>
      <c r="E58" s="30" t="inlineStr">
        <is>
          <t>midcap</t>
        </is>
      </c>
      <c r="F58" s="30" t="n">
        <v>12391.45</v>
      </c>
      <c r="G58" s="30" t="n">
        <v>627.4</v>
      </c>
      <c r="H58" s="30" t="n">
        <v>4.08</v>
      </c>
      <c r="I58" s="30" t="n">
        <v>863194</v>
      </c>
      <c r="J58" s="30" t="inlineStr">
        <is>
          <t>535080</t>
        </is>
      </c>
    </row>
    <row r="59">
      <c r="A59" s="30" t="inlineStr">
        <is>
          <t>ATHERENERG</t>
        </is>
      </c>
      <c r="B59" s="30" t="inlineStr">
        <is>
          <t>Ather Energy Ltd</t>
        </is>
      </c>
      <c r="C59" s="30" t="inlineStr">
        <is>
          <t>auto</t>
        </is>
      </c>
      <c r="D59" s="30" t="inlineStr">
        <is>
          <t>automobiles - scooters and 3 - wheelers</t>
        </is>
      </c>
      <c r="E59" s="30" t="inlineStr">
        <is>
          <t>largecap</t>
        </is>
      </c>
      <c r="F59" s="30" t="n">
        <v>57786.65</v>
      </c>
      <c r="G59" s="30" t="n">
        <v>1525.4</v>
      </c>
      <c r="H59" s="30" t="n">
        <v>4.04</v>
      </c>
      <c r="I59" s="30" t="n">
        <v>4867021</v>
      </c>
      <c r="J59" s="30" t="inlineStr">
        <is>
          <t>544397</t>
        </is>
      </c>
    </row>
    <row r="60">
      <c r="A60" s="30" t="inlineStr">
        <is>
          <t>AARTIDRUGS</t>
        </is>
      </c>
      <c r="B60" s="30" t="inlineStr">
        <is>
          <t>Aarti Drugs Limited</t>
        </is>
      </c>
      <c r="C60" s="30" t="inlineStr">
        <is>
          <t>healthcare</t>
        </is>
      </c>
      <c r="D60" s="30" t="inlineStr">
        <is>
          <t>pharmaceuticals - indian - bulk drugs</t>
        </is>
      </c>
      <c r="E60" s="30" t="inlineStr">
        <is>
          <t>smallcap</t>
        </is>
      </c>
      <c r="F60" s="30" t="n">
        <v>3856.61</v>
      </c>
      <c r="G60" s="30" t="n">
        <v>439.2</v>
      </c>
      <c r="H60" s="30" t="n">
        <v>3.94</v>
      </c>
      <c r="I60" s="30" t="n">
        <v>1384949</v>
      </c>
      <c r="J60" s="30" t="inlineStr">
        <is>
          <t>524348</t>
        </is>
      </c>
    </row>
    <row r="61">
      <c r="A61" s="30" t="inlineStr">
        <is>
          <t>BOSCHLTD</t>
        </is>
      </c>
      <c r="B61" s="30" t="inlineStr">
        <is>
          <t>Bosch Limited</t>
        </is>
      </c>
      <c r="C61" s="30" t="inlineStr">
        <is>
          <t>auto</t>
        </is>
      </c>
      <c r="D61" s="30" t="inlineStr">
        <is>
          <t>auto ancillaries</t>
        </is>
      </c>
      <c r="E61" s="30" t="inlineStr">
        <is>
          <t>largecap</t>
        </is>
      </c>
      <c r="F61" s="30" t="n">
        <v>128322.78</v>
      </c>
      <c r="G61" s="30" t="n">
        <v>45185</v>
      </c>
      <c r="H61" s="30" t="n">
        <v>3.86</v>
      </c>
      <c r="I61" s="30" t="n">
        <v>300806</v>
      </c>
      <c r="J61" s="30" t="inlineStr">
        <is>
          <t>500530</t>
        </is>
      </c>
    </row>
    <row r="62">
      <c r="A62" s="30" t="inlineStr">
        <is>
          <t>ORBTEXP</t>
        </is>
      </c>
      <c r="B62" s="30" t="inlineStr">
        <is>
          <t>Orbit Exports Limited</t>
        </is>
      </c>
      <c r="C62" s="30" t="inlineStr">
        <is>
          <t>textiles</t>
        </is>
      </c>
      <c r="D62" s="30" t="inlineStr">
        <is>
          <t>textiles - processing</t>
        </is>
      </c>
      <c r="E62" s="30" t="inlineStr">
        <is>
          <t>smallcap</t>
        </is>
      </c>
      <c r="F62" s="30" t="n">
        <v>703.47</v>
      </c>
      <c r="G62" s="30" t="n">
        <v>275.5</v>
      </c>
      <c r="H62" s="30" t="n">
        <v>3.83</v>
      </c>
      <c r="I62" s="30" t="n">
        <v>57888</v>
      </c>
      <c r="J62" s="30" t="inlineStr">
        <is>
          <t>512626</t>
        </is>
      </c>
    </row>
    <row r="63">
      <c r="A63" s="30" t="inlineStr">
        <is>
          <t>OIL</t>
        </is>
      </c>
      <c r="B63" s="30" t="inlineStr">
        <is>
          <t>Oil India Limited</t>
        </is>
      </c>
      <c r="C63" s="30" t="inlineStr">
        <is>
          <t>energy</t>
        </is>
      </c>
      <c r="D63" s="30" t="inlineStr">
        <is>
          <t>oil drilling / allied services</t>
        </is>
      </c>
      <c r="E63" s="30" t="inlineStr">
        <is>
          <t>largecap</t>
        </is>
      </c>
      <c r="F63" s="30" t="n">
        <v>73685.33</v>
      </c>
      <c r="G63" s="30" t="n">
        <v>470.35</v>
      </c>
      <c r="H63" s="30" t="n">
        <v>3.83</v>
      </c>
      <c r="I63" s="30" t="n">
        <v>21946689</v>
      </c>
      <c r="J63" s="30" t="inlineStr">
        <is>
          <t>533106</t>
        </is>
      </c>
    </row>
    <row r="64">
      <c r="A64" s="30" t="inlineStr">
        <is>
          <t>GEECEE</t>
        </is>
      </c>
      <c r="B64" s="30" t="inlineStr">
        <is>
          <t>Geecee Ventures Limited</t>
        </is>
      </c>
      <c r="C64" s="30" t="inlineStr">
        <is>
          <t>financials</t>
        </is>
      </c>
      <c r="D64" s="30" t="inlineStr">
        <is>
          <t>finance &amp; investments</t>
        </is>
      </c>
      <c r="E64" s="30" t="inlineStr">
        <is>
          <t>smallcap</t>
        </is>
      </c>
      <c r="F64" s="30" t="n">
        <v>777.71</v>
      </c>
      <c r="G64" s="30" t="n">
        <v>386</v>
      </c>
      <c r="H64" s="30" t="n">
        <v>3.79</v>
      </c>
      <c r="I64" s="30" t="n">
        <v>9476</v>
      </c>
      <c r="J64" s="30" t="inlineStr">
        <is>
          <t>532764</t>
        </is>
      </c>
    </row>
    <row r="65">
      <c r="A65" s="30" t="inlineStr">
        <is>
          <t>SENORES</t>
        </is>
      </c>
      <c r="B65" s="30" t="inlineStr">
        <is>
          <t>Senores Pharmaceuticals Ltd</t>
        </is>
      </c>
      <c r="C65" s="30" t="inlineStr">
        <is>
          <t>healthcare</t>
        </is>
      </c>
      <c r="D65" s="30" t="inlineStr">
        <is>
          <t>pharmaceuticals - indian - formulations</t>
        </is>
      </c>
      <c r="E65" s="30" t="inlineStr">
        <is>
          <t>midcap</t>
        </is>
      </c>
      <c r="F65" s="30" t="n">
        <v>6549.74</v>
      </c>
      <c r="G65" s="30" t="n">
        <v>1475.7</v>
      </c>
      <c r="H65" s="30" t="n">
        <v>3.76</v>
      </c>
      <c r="I65" s="30" t="n">
        <v>417444</v>
      </c>
      <c r="J65" s="30" t="inlineStr">
        <is>
          <t>544319</t>
        </is>
      </c>
    </row>
    <row r="66">
      <c r="A66" s="30" t="inlineStr">
        <is>
          <t>KRYSTAL</t>
        </is>
      </c>
      <c r="B66" s="30" t="inlineStr">
        <is>
          <t>Krystal Integrated Services Ltd</t>
        </is>
      </c>
      <c r="C66" s="30" t="inlineStr">
        <is>
          <t>miscellaneous</t>
        </is>
      </c>
      <c r="D66" s="30" t="inlineStr">
        <is>
          <t>miscellaneous</t>
        </is>
      </c>
      <c r="E66" s="30" t="inlineStr">
        <is>
          <t>smallcap</t>
        </is>
      </c>
      <c r="F66" s="30" t="n">
        <v>841.88</v>
      </c>
      <c r="G66" s="30" t="n">
        <v>625</v>
      </c>
      <c r="H66" s="30" t="n">
        <v>3.73</v>
      </c>
      <c r="I66" s="30" t="n">
        <v>251309</v>
      </c>
      <c r="J66" s="30" t="inlineStr">
        <is>
          <t>544149</t>
        </is>
      </c>
    </row>
    <row r="67">
      <c r="A67" s="30" t="inlineStr">
        <is>
          <t>TI</t>
        </is>
      </c>
      <c r="B67" s="30" t="inlineStr">
        <is>
          <t>Tilaknagar Industries Limited</t>
        </is>
      </c>
      <c r="C67" s="30" t="inlineStr">
        <is>
          <t>fmcg</t>
        </is>
      </c>
      <c r="D67" s="30" t="inlineStr">
        <is>
          <t>breweries &amp; distilleries</t>
        </is>
      </c>
      <c r="E67" s="30" t="inlineStr">
        <is>
          <t>midcap</t>
        </is>
      </c>
      <c r="F67" s="30" t="n">
        <v>12452.89</v>
      </c>
      <c r="G67" s="30" t="n">
        <v>520.75</v>
      </c>
      <c r="H67" s="30" t="n">
        <v>3.49</v>
      </c>
      <c r="I67" s="30" t="n">
        <v>1907275</v>
      </c>
      <c r="J67" s="30" t="inlineStr">
        <is>
          <t>507205</t>
        </is>
      </c>
    </row>
    <row r="68">
      <c r="A68" s="30" t="inlineStr">
        <is>
          <t>KAJARIACER</t>
        </is>
      </c>
      <c r="B68" s="30" t="inlineStr">
        <is>
          <t>Kajaria Ceramics Limited</t>
        </is>
      </c>
      <c r="C68" s="30" t="inlineStr">
        <is>
          <t>building materials</t>
        </is>
      </c>
      <c r="D68" s="30" t="inlineStr">
        <is>
          <t>ceramics - tiles / sanitaryware</t>
        </is>
      </c>
      <c r="E68" s="30" t="inlineStr">
        <is>
          <t>midcap</t>
        </is>
      </c>
      <c r="F68" s="30" t="n">
        <v>18868.99</v>
      </c>
      <c r="G68" s="30" t="n">
        <v>1225.6</v>
      </c>
      <c r="H68" s="30" t="n">
        <v>3.45</v>
      </c>
      <c r="I68" s="30" t="n">
        <v>467681</v>
      </c>
      <c r="J68" s="30" t="inlineStr">
        <is>
          <t>500233</t>
        </is>
      </c>
    </row>
    <row r="69">
      <c r="A69" s="30" t="inlineStr">
        <is>
          <t>DEEPINDS</t>
        </is>
      </c>
      <c r="B69" s="30" t="inlineStr">
        <is>
          <t>Deep Industries Ltd</t>
        </is>
      </c>
      <c r="C69" s="30" t="inlineStr">
        <is>
          <t>energy</t>
        </is>
      </c>
      <c r="D69" s="30" t="inlineStr">
        <is>
          <t>oil drilling / allied services</t>
        </is>
      </c>
      <c r="E69" s="30" t="inlineStr">
        <is>
          <t>smallcap</t>
        </is>
      </c>
      <c r="F69" s="30" t="n">
        <v>4146.88</v>
      </c>
      <c r="G69" s="30" t="n">
        <v>670.05</v>
      </c>
      <c r="H69" s="30" t="n">
        <v>3.41</v>
      </c>
      <c r="I69" s="30" t="n">
        <v>803877</v>
      </c>
      <c r="J69" s="30" t="inlineStr">
        <is>
          <t>543288</t>
        </is>
      </c>
    </row>
    <row r="70">
      <c r="A70" s="30" t="inlineStr">
        <is>
          <t>DIVISLAB</t>
        </is>
      </c>
      <c r="B70" s="30" t="inlineStr">
        <is>
          <t>Divi's Laboratories Limited</t>
        </is>
      </c>
      <c r="C70" s="30" t="inlineStr">
        <is>
          <t>healthcare</t>
        </is>
      </c>
      <c r="D70" s="30" t="inlineStr">
        <is>
          <t>pharmaceuticals - indian - bulk drugs</t>
        </is>
      </c>
      <c r="E70" s="30" t="inlineStr">
        <is>
          <t>largecap</t>
        </is>
      </c>
      <c r="F70" s="30" t="n">
        <v>220338.92</v>
      </c>
      <c r="G70" s="30" t="n">
        <v>8578.5</v>
      </c>
      <c r="H70" s="30" t="n">
        <v>3.36</v>
      </c>
      <c r="I70" s="30" t="n">
        <v>1203514</v>
      </c>
      <c r="J70" s="30" t="inlineStr">
        <is>
          <t>532488</t>
        </is>
      </c>
    </row>
    <row r="71">
      <c r="A71" s="30" t="inlineStr">
        <is>
          <t>KERNEX</t>
        </is>
      </c>
      <c r="B71" s="30" t="inlineStr">
        <is>
          <t>Kernex Microsystems (india) Limited</t>
        </is>
      </c>
      <c r="C71" s="30" t="inlineStr">
        <is>
          <t>consumer discretionary</t>
        </is>
      </c>
      <c r="D71" s="30" t="inlineStr">
        <is>
          <t>electronics - components</t>
        </is>
      </c>
      <c r="E71" s="30" t="inlineStr">
        <is>
          <t>smallcap</t>
        </is>
      </c>
      <c r="F71" s="30" t="n">
        <v>3881.8</v>
      </c>
      <c r="G71" s="30" t="n">
        <v>2387.3</v>
      </c>
      <c r="H71" s="30" t="n">
        <v>3.34</v>
      </c>
      <c r="I71" s="30" t="n">
        <v>227825</v>
      </c>
      <c r="J71" s="30" t="inlineStr">
        <is>
          <t>532686</t>
        </is>
      </c>
    </row>
    <row r="72">
      <c r="A72" s="30" t="inlineStr">
        <is>
          <t>NEULANDLAB</t>
        </is>
      </c>
      <c r="B72" s="30" t="inlineStr">
        <is>
          <t>Neuland Laboratories Limited</t>
        </is>
      </c>
      <c r="C72" s="30" t="inlineStr">
        <is>
          <t>healthcare</t>
        </is>
      </c>
      <c r="D72" s="30" t="inlineStr">
        <is>
          <t>pharmaceuticals - indian - bulk drugs</t>
        </is>
      </c>
      <c r="E72" s="30" t="inlineStr">
        <is>
          <t>largecap</t>
        </is>
      </c>
      <c r="F72" s="30" t="n">
        <v>28502.88</v>
      </c>
      <c r="G72" s="30" t="n">
        <v>22955</v>
      </c>
      <c r="H72" s="30" t="n">
        <v>3.33</v>
      </c>
      <c r="I72" s="30" t="n">
        <v>105020</v>
      </c>
      <c r="J72" s="30" t="inlineStr">
        <is>
          <t>524558</t>
        </is>
      </c>
    </row>
    <row r="73">
      <c r="A73" s="30" t="inlineStr">
        <is>
          <t>JSWDULUX</t>
        </is>
      </c>
      <c r="B73" s="30" t="inlineStr">
        <is>
          <t>JSW Dulux Ltd</t>
        </is>
      </c>
      <c r="C73" s="30" t="inlineStr">
        <is>
          <t>building materials</t>
        </is>
      </c>
      <c r="D73" s="30" t="inlineStr">
        <is>
          <t>paints / varnishes</t>
        </is>
      </c>
      <c r="E73" s="30" t="inlineStr">
        <is>
          <t>midcap</t>
        </is>
      </c>
      <c r="F73" s="30" t="n">
        <v>13913.93</v>
      </c>
      <c r="G73" s="30" t="n">
        <v>3157</v>
      </c>
      <c r="H73" s="30" t="n">
        <v>3.33</v>
      </c>
      <c r="I73" s="30" t="n">
        <v>62690</v>
      </c>
      <c r="J73" s="30" t="inlineStr">
        <is>
          <t>500710</t>
        </is>
      </c>
    </row>
    <row r="74">
      <c r="A74" s="30" t="inlineStr">
        <is>
          <t>HCG</t>
        </is>
      </c>
      <c r="B74" s="30" t="inlineStr">
        <is>
          <t>Healthcare Global Enterprises Limited</t>
        </is>
      </c>
      <c r="C74" s="30" t="inlineStr">
        <is>
          <t>healthcare</t>
        </is>
      </c>
      <c r="D74" s="30" t="inlineStr">
        <is>
          <t>healthcare</t>
        </is>
      </c>
      <c r="E74" s="30" t="inlineStr">
        <is>
          <t>midcap</t>
        </is>
      </c>
      <c r="F74" s="30" t="n">
        <v>10684.81</v>
      </c>
      <c r="G74" s="30" t="n">
        <v>738.95</v>
      </c>
      <c r="H74" s="30" t="n">
        <v>3.26</v>
      </c>
      <c r="I74" s="30" t="n">
        <v>545536</v>
      </c>
      <c r="J74" s="30" t="inlineStr">
        <is>
          <t>539787</t>
        </is>
      </c>
    </row>
    <row r="75">
      <c r="A75" s="30" t="inlineStr">
        <is>
          <t>KKCL</t>
        </is>
      </c>
      <c r="B75" s="30" t="inlineStr">
        <is>
          <t>Kewal Kiran Clothing Limited</t>
        </is>
      </c>
      <c r="C75" s="30" t="inlineStr">
        <is>
          <t>consumer discretionary</t>
        </is>
      </c>
      <c r="D75" s="30" t="inlineStr">
        <is>
          <t>textiles - products</t>
        </is>
      </c>
      <c r="E75" s="30" t="inlineStr">
        <is>
          <t>smallcap</t>
        </is>
      </c>
      <c r="F75" s="30" t="n">
        <v>3182.94</v>
      </c>
      <c r="G75" s="30" t="n">
        <v>533.25</v>
      </c>
      <c r="H75" s="30" t="n">
        <v>3.24</v>
      </c>
      <c r="I75" s="30" t="n">
        <v>84171</v>
      </c>
      <c r="J75" s="30" t="inlineStr">
        <is>
          <t>532732</t>
        </is>
      </c>
    </row>
    <row r="76">
      <c r="A76" s="30" t="inlineStr">
        <is>
          <t>TDPOWERSYS</t>
        </is>
      </c>
      <c r="B76" s="30" t="inlineStr">
        <is>
          <t>Td Power Systems Limited</t>
        </is>
      </c>
      <c r="C76" s="30" t="inlineStr">
        <is>
          <t>industrials</t>
        </is>
      </c>
      <c r="D76" s="30" t="inlineStr">
        <is>
          <t>electric equipment</t>
        </is>
      </c>
      <c r="E76" s="30" t="inlineStr">
        <is>
          <t>midcap</t>
        </is>
      </c>
      <c r="F76" s="30" t="n">
        <v>19316.08</v>
      </c>
      <c r="G76" s="30" t="n">
        <v>1275.6</v>
      </c>
      <c r="H76" s="30" t="n">
        <v>3.17</v>
      </c>
      <c r="I76" s="30" t="n">
        <v>1262968</v>
      </c>
      <c r="J76" s="30" t="inlineStr">
        <is>
          <t>533553</t>
        </is>
      </c>
    </row>
    <row r="77">
      <c r="A77" s="30" t="inlineStr">
        <is>
          <t>BLISSGVS</t>
        </is>
      </c>
      <c r="B77" s="30" t="inlineStr">
        <is>
          <t>Bliss Gvs Pharma Limited</t>
        </is>
      </c>
      <c r="C77" s="30" t="inlineStr">
        <is>
          <t>healthcare</t>
        </is>
      </c>
      <c r="D77" s="30" t="inlineStr">
        <is>
          <t>pharmaceuticals - indian - formulations</t>
        </is>
      </c>
      <c r="E77" s="30" t="inlineStr">
        <is>
          <t>midcap</t>
        </is>
      </c>
      <c r="F77" s="30" t="n">
        <v>5088.58</v>
      </c>
      <c r="G77" s="30" t="n">
        <v>495</v>
      </c>
      <c r="H77" s="30" t="n">
        <v>3.17</v>
      </c>
      <c r="I77" s="30" t="n">
        <v>368326</v>
      </c>
      <c r="J77" s="30" t="inlineStr">
        <is>
          <t>506197</t>
        </is>
      </c>
    </row>
    <row r="78">
      <c r="A78" s="30" t="inlineStr">
        <is>
          <t>PANAMAPET</t>
        </is>
      </c>
      <c r="B78" s="30" t="inlineStr">
        <is>
          <t>Panama Petrochem Limited</t>
        </is>
      </c>
      <c r="C78" s="30" t="inlineStr">
        <is>
          <t>energy</t>
        </is>
      </c>
      <c r="D78" s="30" t="inlineStr">
        <is>
          <t>petrochemicals</t>
        </is>
      </c>
      <c r="E78" s="30" t="inlineStr">
        <is>
          <t>smallcap</t>
        </is>
      </c>
      <c r="F78" s="30" t="n">
        <v>3199.2</v>
      </c>
      <c r="G78" s="30" t="n">
        <v>545.5</v>
      </c>
      <c r="H78" s="30" t="n">
        <v>3.15</v>
      </c>
      <c r="I78" s="30" t="n">
        <v>443464</v>
      </c>
      <c r="J78" s="30" t="inlineStr">
        <is>
          <t>524820</t>
        </is>
      </c>
    </row>
    <row r="79">
      <c r="A79" s="30" t="inlineStr">
        <is>
          <t>HUHTAMAKI</t>
        </is>
      </c>
      <c r="B79" s="30" t="inlineStr">
        <is>
          <t>Huhtamaki India Ltd</t>
        </is>
      </c>
      <c r="C79" s="30" t="inlineStr">
        <is>
          <t>industrials</t>
        </is>
      </c>
      <c r="D79" s="30" t="inlineStr">
        <is>
          <t>packaging</t>
        </is>
      </c>
      <c r="E79" s="30" t="inlineStr">
        <is>
          <t>smallcap</t>
        </is>
      </c>
      <c r="F79" s="30" t="n">
        <v>2150.11</v>
      </c>
      <c r="G79" s="30" t="n">
        <v>293.65</v>
      </c>
      <c r="H79" s="30" t="n">
        <v>3.14</v>
      </c>
      <c r="I79" s="30" t="n">
        <v>414857</v>
      </c>
      <c r="J79" s="30" t="inlineStr">
        <is>
          <t>509820</t>
        </is>
      </c>
    </row>
    <row r="80">
      <c r="A80" s="30" t="inlineStr">
        <is>
          <t>ARVIND</t>
        </is>
      </c>
      <c r="B80" s="30" t="inlineStr">
        <is>
          <t>Arvind Limited</t>
        </is>
      </c>
      <c r="C80" s="30" t="inlineStr">
        <is>
          <t>textiles</t>
        </is>
      </c>
      <c r="D80" s="30" t="inlineStr">
        <is>
          <t>textiles - cotton/blended</t>
        </is>
      </c>
      <c r="E80" s="30" t="inlineStr">
        <is>
          <t>midcap</t>
        </is>
      </c>
      <c r="F80" s="30" t="n">
        <v>14434.72</v>
      </c>
      <c r="G80" s="30" t="n">
        <v>567.65</v>
      </c>
      <c r="H80" s="30" t="n">
        <v>3.09</v>
      </c>
      <c r="I80" s="30" t="n">
        <v>1045064</v>
      </c>
      <c r="J80" s="30" t="inlineStr">
        <is>
          <t>500101</t>
        </is>
      </c>
    </row>
    <row r="81">
      <c r="A81" s="30" t="inlineStr">
        <is>
          <t>PLASTIBLEN</t>
        </is>
      </c>
      <c r="B81" s="30" t="inlineStr">
        <is>
          <t>Plastiblends India Limited</t>
        </is>
      </c>
      <c r="C81" s="30" t="inlineStr">
        <is>
          <t>chemicals</t>
        </is>
      </c>
      <c r="D81" s="30" t="inlineStr">
        <is>
          <t>chemicals</t>
        </is>
      </c>
      <c r="E81" s="30" t="inlineStr">
        <is>
          <t>smallcap</t>
        </is>
      </c>
      <c r="F81" s="30" t="n">
        <v>515.73</v>
      </c>
      <c r="G81" s="30" t="n">
        <v>204.51</v>
      </c>
      <c r="H81" s="30" t="n">
        <v>3.06</v>
      </c>
      <c r="I81" s="30" t="n">
        <v>188088</v>
      </c>
      <c r="J81" s="30" t="inlineStr">
        <is>
          <t>523648</t>
        </is>
      </c>
    </row>
    <row r="82">
      <c r="A82" s="30" t="inlineStr">
        <is>
          <t>EBGNG</t>
        </is>
      </c>
      <c r="B82" s="30" t="inlineStr">
        <is>
          <t>GNG Electronics Ltd</t>
        </is>
      </c>
      <c r="C82" s="30" t="inlineStr">
        <is>
          <t>services</t>
        </is>
      </c>
      <c r="D82" s="30" t="inlineStr">
        <is>
          <t>trading</t>
        </is>
      </c>
      <c r="E82" s="30" t="inlineStr">
        <is>
          <t>midcap</t>
        </is>
      </c>
      <c r="F82" s="30" t="n">
        <v>6335.05</v>
      </c>
      <c r="G82" s="30" t="n">
        <v>572.55</v>
      </c>
      <c r="H82" s="30" t="n">
        <v>3.04</v>
      </c>
      <c r="I82" s="30" t="n">
        <v>777784</v>
      </c>
      <c r="J82" s="30" t="inlineStr">
        <is>
          <t>544455</t>
        </is>
      </c>
    </row>
    <row r="83">
      <c r="A83" s="30" t="inlineStr">
        <is>
          <t>SUVEN</t>
        </is>
      </c>
      <c r="B83" s="30" t="inlineStr">
        <is>
          <t>Suven Life Sciences Limited</t>
        </is>
      </c>
      <c r="C83" s="30" t="inlineStr">
        <is>
          <t>healthcare</t>
        </is>
      </c>
      <c r="D83" s="30" t="inlineStr">
        <is>
          <t>miscellaneous</t>
        </is>
      </c>
      <c r="E83" s="30" t="inlineStr">
        <is>
          <t>smallcap</t>
        </is>
      </c>
      <c r="F83" s="30" t="n">
        <v>642.54</v>
      </c>
      <c r="G83" s="30" t="n">
        <v>342.5</v>
      </c>
      <c r="H83" s="30" t="n">
        <v>2.98</v>
      </c>
      <c r="I83" s="30" t="n">
        <v>788335</v>
      </c>
      <c r="J83" s="30" t="inlineStr">
        <is>
          <t>530239</t>
        </is>
      </c>
    </row>
    <row r="84">
      <c r="A84" s="30" t="inlineStr">
        <is>
          <t>GANDHAR</t>
        </is>
      </c>
      <c r="B84" s="30" t="inlineStr">
        <is>
          <t>Gandhar Oil Refinery (India) Ltd</t>
        </is>
      </c>
      <c r="C84" s="30" t="inlineStr">
        <is>
          <t>energy</t>
        </is>
      </c>
      <c r="D84" s="30" t="inlineStr">
        <is>
          <t>refineries</t>
        </is>
      </c>
      <c r="E84" s="30" t="inlineStr">
        <is>
          <t>smallcap</t>
        </is>
      </c>
      <c r="F84" s="30" t="n">
        <v>2317.98</v>
      </c>
      <c r="G84" s="30" t="n">
        <v>243.41</v>
      </c>
      <c r="H84" s="30" t="n">
        <v>2.78</v>
      </c>
      <c r="I84" s="30" t="n">
        <v>1899845</v>
      </c>
      <c r="J84" s="30" t="inlineStr">
        <is>
          <t>544029</t>
        </is>
      </c>
    </row>
    <row r="85">
      <c r="A85" s="30" t="inlineStr">
        <is>
          <t>MARKSANS</t>
        </is>
      </c>
      <c r="B85" s="30" t="inlineStr">
        <is>
          <t>Marksans Pharma Limited</t>
        </is>
      </c>
      <c r="C85" s="30" t="inlineStr">
        <is>
          <t>healthcare</t>
        </is>
      </c>
      <c r="D85" s="30" t="inlineStr">
        <is>
          <t>pharmaceuticals - indian - formulations</t>
        </is>
      </c>
      <c r="E85" s="30" t="inlineStr">
        <is>
          <t>midcap</t>
        </is>
      </c>
      <c r="F85" s="30" t="n">
        <v>12301.13</v>
      </c>
      <c r="G85" s="30" t="n">
        <v>278.95</v>
      </c>
      <c r="H85" s="30" t="n">
        <v>2.76</v>
      </c>
      <c r="I85" s="30" t="n">
        <v>1435871</v>
      </c>
      <c r="J85" s="30" t="inlineStr">
        <is>
          <t>524404</t>
        </is>
      </c>
    </row>
    <row r="86">
      <c r="A86" s="30" t="inlineStr">
        <is>
          <t>SHAILY</t>
        </is>
      </c>
      <c r="B86" s="30" t="inlineStr">
        <is>
          <t>Shaily Engineering Plastics Ltd</t>
        </is>
      </c>
      <c r="C86" s="30" t="inlineStr">
        <is>
          <t>plastic products</t>
        </is>
      </c>
      <c r="D86" s="30" t="inlineStr">
        <is>
          <t>plastics products</t>
        </is>
      </c>
      <c r="E86" s="30" t="inlineStr">
        <is>
          <t>midcap</t>
        </is>
      </c>
      <c r="F86" s="30" t="n">
        <v>15488.44</v>
      </c>
      <c r="G86" s="30" t="n">
        <v>3457.9</v>
      </c>
      <c r="H86" s="30" t="n">
        <v>2.69</v>
      </c>
      <c r="I86" s="30" t="n">
        <v>712478</v>
      </c>
      <c r="J86" s="30" t="inlineStr">
        <is>
          <t>501423</t>
        </is>
      </c>
    </row>
    <row r="87">
      <c r="A87" s="30" t="inlineStr">
        <is>
          <t>RBA</t>
        </is>
      </c>
      <c r="B87" s="30" t="inlineStr">
        <is>
          <t>Restaurant Brands Asia Ltd</t>
        </is>
      </c>
      <c r="C87" s="30" t="inlineStr">
        <is>
          <t>consumer discretionary</t>
        </is>
      </c>
      <c r="D87" s="30" t="inlineStr">
        <is>
          <t>hotels</t>
        </is>
      </c>
      <c r="E87" s="30" t="inlineStr">
        <is>
          <t>midcap</t>
        </is>
      </c>
      <c r="F87" s="30" t="n">
        <v>6421.84</v>
      </c>
      <c r="G87" s="30" t="n">
        <v>92.65000000000001</v>
      </c>
      <c r="H87" s="30" t="n">
        <v>2.68</v>
      </c>
      <c r="I87" s="30" t="n">
        <v>12420460</v>
      </c>
      <c r="J87" s="30" t="inlineStr">
        <is>
          <t>543248</t>
        </is>
      </c>
    </row>
    <row r="88">
      <c r="A88" s="30" t="inlineStr">
        <is>
          <t>VIJAYA</t>
        </is>
      </c>
      <c r="B88" s="30" t="inlineStr">
        <is>
          <t>Vijaya Diagnostic Centre Ltd</t>
        </is>
      </c>
      <c r="C88" s="30" t="inlineStr">
        <is>
          <t>healthcare</t>
        </is>
      </c>
      <c r="D88" s="30" t="inlineStr">
        <is>
          <t>healthcare</t>
        </is>
      </c>
      <c r="E88" s="30" t="inlineStr">
        <is>
          <t>midcap</t>
        </is>
      </c>
      <c r="F88" s="30" t="n">
        <v>14329.4</v>
      </c>
      <c r="G88" s="30" t="n">
        <v>1428.2</v>
      </c>
      <c r="H88" s="30" t="n">
        <v>2.56</v>
      </c>
      <c r="I88" s="30" t="n">
        <v>179501</v>
      </c>
      <c r="J88" s="30" t="inlineStr">
        <is>
          <t>543350</t>
        </is>
      </c>
    </row>
    <row r="89">
      <c r="A89" s="30" t="inlineStr">
        <is>
          <t>CYIENTDLM</t>
        </is>
      </c>
      <c r="B89" s="30" t="inlineStr">
        <is>
          <t>Cyient DLM Ltd</t>
        </is>
      </c>
      <c r="C89" s="30" t="inlineStr">
        <is>
          <t>consumer discretionary</t>
        </is>
      </c>
      <c r="D89" s="30" t="inlineStr">
        <is>
          <t>electronics - components</t>
        </is>
      </c>
      <c r="E89" s="30" t="inlineStr">
        <is>
          <t>midcap</t>
        </is>
      </c>
      <c r="F89" s="30" t="n">
        <v>5489.36</v>
      </c>
      <c r="G89" s="30" t="n">
        <v>709</v>
      </c>
      <c r="H89" s="30" t="n">
        <v>2.53</v>
      </c>
      <c r="I89" s="30" t="n">
        <v>708485</v>
      </c>
      <c r="J89" s="30" t="inlineStr">
        <is>
          <t>543933</t>
        </is>
      </c>
    </row>
    <row r="90">
      <c r="A90" s="30" t="inlineStr">
        <is>
          <t>ETERNAL</t>
        </is>
      </c>
      <c r="B90" s="30" t="inlineStr">
        <is>
          <t>Eternal Ltd</t>
        </is>
      </c>
      <c r="C90" s="30" t="inlineStr">
        <is>
          <t>i.t</t>
        </is>
      </c>
      <c r="D90" s="30" t="inlineStr">
        <is>
          <t>miscellaneous</t>
        </is>
      </c>
      <c r="E90" s="30" t="inlineStr">
        <is>
          <t>largecap</t>
        </is>
      </c>
      <c r="F90" s="30" t="n">
        <v>299402.13</v>
      </c>
      <c r="G90" s="30" t="n">
        <v>318</v>
      </c>
      <c r="H90" s="30" t="n">
        <v>2.5</v>
      </c>
      <c r="I90" s="30" t="n">
        <v>60889911</v>
      </c>
      <c r="J90" s="30" t="inlineStr">
        <is>
          <t>543320</t>
        </is>
      </c>
    </row>
    <row r="91">
      <c r="A91" s="30" t="inlineStr">
        <is>
          <t>YASHO</t>
        </is>
      </c>
      <c r="B91" s="30" t="inlineStr">
        <is>
          <t>Yasho Industries Ltd</t>
        </is>
      </c>
      <c r="C91" s="30" t="inlineStr">
        <is>
          <t>chemicals</t>
        </is>
      </c>
      <c r="D91" s="30" t="inlineStr">
        <is>
          <t>chemicals</t>
        </is>
      </c>
      <c r="E91" s="30" t="inlineStr">
        <is>
          <t>midcap</t>
        </is>
      </c>
      <c r="F91" s="30" t="n">
        <v>5065.55</v>
      </c>
      <c r="G91" s="30" t="n">
        <v>4306.4</v>
      </c>
      <c r="H91" s="30" t="n">
        <v>2.5</v>
      </c>
      <c r="I91" s="30" t="n">
        <v>43670</v>
      </c>
      <c r="J91" s="30" t="inlineStr">
        <is>
          <t>541167</t>
        </is>
      </c>
    </row>
    <row r="92">
      <c r="A92" s="30" t="inlineStr">
        <is>
          <t>SIEMENS</t>
        </is>
      </c>
      <c r="B92" s="30" t="inlineStr">
        <is>
          <t>Siemens Limited</t>
        </is>
      </c>
      <c r="C92" s="30" t="inlineStr">
        <is>
          <t>industrials</t>
        </is>
      </c>
      <c r="D92" s="30" t="inlineStr">
        <is>
          <t>electric equipment</t>
        </is>
      </c>
      <c r="E92" s="30" t="inlineStr">
        <is>
          <t>largecap</t>
        </is>
      </c>
      <c r="F92" s="30" t="n">
        <v>139396.25</v>
      </c>
      <c r="G92" s="30" t="n">
        <v>4011</v>
      </c>
      <c r="H92" s="30" t="n">
        <v>2.47</v>
      </c>
      <c r="I92" s="30" t="n">
        <v>2518576</v>
      </c>
      <c r="J92" s="30" t="inlineStr">
        <is>
          <t>500550</t>
        </is>
      </c>
    </row>
    <row r="93">
      <c r="A93" s="30" t="inlineStr">
        <is>
          <t>KPIL</t>
        </is>
      </c>
      <c r="B93" s="30" t="inlineStr">
        <is>
          <t>Kalpataru Projects International Ltd</t>
        </is>
      </c>
      <c r="C93" s="30" t="inlineStr">
        <is>
          <t>realty</t>
        </is>
      </c>
      <c r="D93" s="30" t="inlineStr">
        <is>
          <t>transmisson line towers / equipment</t>
        </is>
      </c>
      <c r="E93" s="30" t="inlineStr">
        <is>
          <t>largecap</t>
        </is>
      </c>
      <c r="F93" s="30" t="n">
        <v>22463.42</v>
      </c>
      <c r="G93" s="30" t="n">
        <v>1347.7</v>
      </c>
      <c r="H93" s="30" t="n">
        <v>2.46</v>
      </c>
      <c r="I93" s="30" t="n">
        <v>355391</v>
      </c>
      <c r="J93" s="30" t="inlineStr">
        <is>
          <t>522287</t>
        </is>
      </c>
    </row>
    <row r="94">
      <c r="A94" s="30" t="inlineStr">
        <is>
          <t>GABRIEL</t>
        </is>
      </c>
      <c r="B94" s="30" t="inlineStr">
        <is>
          <t>Gabriel India Limited</t>
        </is>
      </c>
      <c r="C94" s="30" t="inlineStr">
        <is>
          <t>auto</t>
        </is>
      </c>
      <c r="D94" s="30" t="inlineStr">
        <is>
          <t>auto ancillaries</t>
        </is>
      </c>
      <c r="E94" s="30" t="inlineStr">
        <is>
          <t>largecap</t>
        </is>
      </c>
      <c r="F94" s="30" t="n">
        <v>26049.27</v>
      </c>
      <c r="G94" s="30" t="n">
        <v>1505.5</v>
      </c>
      <c r="H94" s="30" t="n">
        <v>2.43</v>
      </c>
      <c r="I94" s="30" t="n">
        <v>280027</v>
      </c>
      <c r="J94" s="30" t="inlineStr">
        <is>
          <t>505714</t>
        </is>
      </c>
    </row>
    <row r="95">
      <c r="A95" s="30" t="inlineStr">
        <is>
          <t>LANDMARK</t>
        </is>
      </c>
      <c r="B95" s="30" t="inlineStr">
        <is>
          <t>Landmark Cars Ltd</t>
        </is>
      </c>
      <c r="C95" s="30" t="inlineStr">
        <is>
          <t>consumer discretionary</t>
        </is>
      </c>
      <c r="D95" s="30" t="inlineStr">
        <is>
          <t>trading</t>
        </is>
      </c>
      <c r="E95" s="30" t="inlineStr">
        <is>
          <t>smallcap</t>
        </is>
      </c>
      <c r="F95" s="30" t="n">
        <v>2327.63</v>
      </c>
      <c r="G95" s="30" t="n">
        <v>575</v>
      </c>
      <c r="H95" s="30" t="n">
        <v>2.43</v>
      </c>
      <c r="I95" s="30" t="n">
        <v>581898</v>
      </c>
      <c r="J95" s="30" t="inlineStr">
        <is>
          <t>543714</t>
        </is>
      </c>
    </row>
    <row r="96">
      <c r="A96" s="30" t="inlineStr">
        <is>
          <t>SIS</t>
        </is>
      </c>
      <c r="B96" s="30" t="inlineStr">
        <is>
          <t>Security &amp; Intelligence Services India</t>
        </is>
      </c>
      <c r="C96" s="30" t="inlineStr">
        <is>
          <t>miscellaneous</t>
        </is>
      </c>
      <c r="D96" s="30" t="inlineStr">
        <is>
          <t>miscellaneous</t>
        </is>
      </c>
      <c r="E96" s="30" t="inlineStr">
        <is>
          <t>midcap</t>
        </is>
      </c>
      <c r="F96" s="30" t="n">
        <v>6038.49</v>
      </c>
      <c r="G96" s="30" t="n">
        <v>437.55</v>
      </c>
      <c r="H96" s="30" t="n">
        <v>2.39</v>
      </c>
      <c r="I96" s="30" t="n">
        <v>116692</v>
      </c>
      <c r="J96" s="30" t="inlineStr">
        <is>
          <t>540673</t>
        </is>
      </c>
    </row>
    <row r="97">
      <c r="A97" s="30" t="inlineStr">
        <is>
          <t>RACLGEAR</t>
        </is>
      </c>
      <c r="B97" s="30" t="inlineStr">
        <is>
          <t>RACL Geartech Ltd</t>
        </is>
      </c>
      <c r="C97" s="30" t="inlineStr">
        <is>
          <t>auto</t>
        </is>
      </c>
      <c r="D97" s="30" t="inlineStr">
        <is>
          <t>auto ancillaries</t>
        </is>
      </c>
      <c r="E97" s="30" t="inlineStr">
        <is>
          <t>smallcap</t>
        </is>
      </c>
      <c r="F97" s="30" t="n">
        <v>1635.71</v>
      </c>
      <c r="G97" s="30" t="n">
        <v>1419.8</v>
      </c>
      <c r="H97" s="30" t="n">
        <v>2.32</v>
      </c>
      <c r="I97" s="30" t="n">
        <v>73482</v>
      </c>
      <c r="J97" s="30" t="inlineStr">
        <is>
          <t>520073</t>
        </is>
      </c>
    </row>
    <row r="98">
      <c r="A98" s="30" t="inlineStr">
        <is>
          <t>ESABINDIA</t>
        </is>
      </c>
      <c r="B98" s="30" t="inlineStr">
        <is>
          <t>Esab India Limited</t>
        </is>
      </c>
      <c r="C98" s="30" t="inlineStr">
        <is>
          <t>industrials</t>
        </is>
      </c>
      <c r="D98" s="30" t="inlineStr">
        <is>
          <t>electrodes - welding equipment</t>
        </is>
      </c>
      <c r="E98" s="30" t="inlineStr">
        <is>
          <t>midcap</t>
        </is>
      </c>
      <c r="F98" s="30" t="n">
        <v>8844.83</v>
      </c>
      <c r="G98" s="30" t="n">
        <v>5879</v>
      </c>
      <c r="H98" s="30" t="n">
        <v>2.31</v>
      </c>
      <c r="I98" s="30" t="n">
        <v>7919</v>
      </c>
      <c r="J98" s="30" t="inlineStr">
        <is>
          <t>500133</t>
        </is>
      </c>
    </row>
    <row r="99">
      <c r="A99" s="30" t="inlineStr">
        <is>
          <t>AETHER</t>
        </is>
      </c>
      <c r="B99" s="30" t="inlineStr">
        <is>
          <t>Aether Industries Ltd</t>
        </is>
      </c>
      <c r="C99" s="30" t="inlineStr">
        <is>
          <t>chemicals</t>
        </is>
      </c>
      <c r="D99" s="30" t="inlineStr">
        <is>
          <t>chemicals</t>
        </is>
      </c>
      <c r="E99" s="30" t="inlineStr">
        <is>
          <t>largecap</t>
        </is>
      </c>
      <c r="F99" s="30" t="n">
        <v>21200.83</v>
      </c>
      <c r="G99" s="30" t="n">
        <v>1634.2</v>
      </c>
      <c r="H99" s="30" t="n">
        <v>2.3</v>
      </c>
      <c r="I99" s="30" t="n">
        <v>214948</v>
      </c>
      <c r="J99" s="30" t="inlineStr">
        <is>
          <t>543534</t>
        </is>
      </c>
    </row>
    <row r="100">
      <c r="A100" s="30" t="inlineStr">
        <is>
          <t>PRIMO</t>
        </is>
      </c>
      <c r="B100" s="30" t="inlineStr">
        <is>
          <t>Primo Chemicals Ltd</t>
        </is>
      </c>
      <c r="C100" s="30" t="inlineStr">
        <is>
          <t>chemicals</t>
        </is>
      </c>
      <c r="D100" s="30" t="inlineStr">
        <is>
          <t>chlor alkali / soda ash</t>
        </is>
      </c>
      <c r="E100" s="30" t="inlineStr">
        <is>
          <t>smallcap</t>
        </is>
      </c>
      <c r="F100" s="30" t="n">
        <v>580.65</v>
      </c>
      <c r="G100" s="30" t="n">
        <v>24.5</v>
      </c>
      <c r="H100" s="30" t="n">
        <v>2.25</v>
      </c>
      <c r="I100" s="30" t="n">
        <v>125187</v>
      </c>
      <c r="J100" s="30" t="inlineStr">
        <is>
          <t>506852</t>
        </is>
      </c>
    </row>
    <row r="101">
      <c r="A101" s="30" t="inlineStr">
        <is>
          <t>TBOTEK</t>
        </is>
      </c>
      <c r="B101" s="30" t="inlineStr">
        <is>
          <t>TBO Tek Ltd</t>
        </is>
      </c>
      <c r="C101" s="30" t="inlineStr">
        <is>
          <t>i.t</t>
        </is>
      </c>
      <c r="D101" s="30" t="inlineStr">
        <is>
          <t>travel agencies</t>
        </is>
      </c>
      <c r="E101" s="30" t="inlineStr">
        <is>
          <t>midcap</t>
        </is>
      </c>
      <c r="F101" s="30" t="n">
        <v>17395.76</v>
      </c>
      <c r="G101" s="30" t="n">
        <v>1637.2</v>
      </c>
      <c r="H101" s="30" t="n">
        <v>2.2</v>
      </c>
      <c r="I101" s="30" t="n">
        <v>119077</v>
      </c>
      <c r="J101" s="30" t="inlineStr">
        <is>
          <t>544174</t>
        </is>
      </c>
    </row>
    <row r="102">
      <c r="A102" s="30" t="inlineStr">
        <is>
          <t>EMIL</t>
        </is>
      </c>
      <c r="B102" s="30" t="inlineStr">
        <is>
          <t>Electronics Mart India Ltd</t>
        </is>
      </c>
      <c r="C102" s="30" t="inlineStr">
        <is>
          <t>consumer discretionary</t>
        </is>
      </c>
      <c r="D102" s="30" t="inlineStr">
        <is>
          <t>trading</t>
        </is>
      </c>
      <c r="E102" s="30" t="inlineStr">
        <is>
          <t>midcap</t>
        </is>
      </c>
      <c r="F102" s="30" t="n">
        <v>6955.1</v>
      </c>
      <c r="G102" s="30" t="n">
        <v>184.75</v>
      </c>
      <c r="H102" s="30" t="n">
        <v>2.2</v>
      </c>
      <c r="I102" s="30" t="n">
        <v>44142568</v>
      </c>
      <c r="J102" s="30" t="inlineStr">
        <is>
          <t>543626</t>
        </is>
      </c>
    </row>
    <row r="103">
      <c r="A103" s="30" t="inlineStr">
        <is>
          <t>POONAWALLA</t>
        </is>
      </c>
      <c r="B103" s="30" t="inlineStr">
        <is>
          <t>Poonawalla Fincorp Ltd</t>
        </is>
      </c>
      <c r="C103" s="30" t="inlineStr">
        <is>
          <t>financials</t>
        </is>
      </c>
      <c r="D103" s="30" t="inlineStr">
        <is>
          <t>finance &amp; investments</t>
        </is>
      </c>
      <c r="E103" s="30" t="inlineStr">
        <is>
          <t>largecap</t>
        </is>
      </c>
      <c r="F103" s="30" t="n">
        <v>41973.37</v>
      </c>
      <c r="G103" s="30" t="n">
        <v>487.2</v>
      </c>
      <c r="H103" s="30" t="n">
        <v>2.2</v>
      </c>
      <c r="I103" s="30" t="n">
        <v>1133797</v>
      </c>
      <c r="J103" s="30" t="inlineStr">
        <is>
          <t>524000</t>
        </is>
      </c>
    </row>
    <row r="104">
      <c r="A104" s="30" t="inlineStr">
        <is>
          <t>TBZ</t>
        </is>
      </c>
      <c r="B104" s="30" t="inlineStr">
        <is>
          <t>Tribhovandas Bhimji Zaveri Limited</t>
        </is>
      </c>
      <c r="C104" s="30" t="inlineStr">
        <is>
          <t>consumer discretionary</t>
        </is>
      </c>
      <c r="D104" s="30" t="inlineStr">
        <is>
          <t>diamond cutting / jewellery</t>
        </is>
      </c>
      <c r="E104" s="30" t="inlineStr">
        <is>
          <t>smallcap</t>
        </is>
      </c>
      <c r="F104" s="30" t="n">
        <v>1842.1</v>
      </c>
      <c r="G104" s="30" t="n">
        <v>282.05</v>
      </c>
      <c r="H104" s="30" t="n">
        <v>2.17</v>
      </c>
      <c r="I104" s="30" t="n">
        <v>1576487</v>
      </c>
      <c r="J104" s="30" t="inlineStr">
        <is>
          <t>534369</t>
        </is>
      </c>
    </row>
    <row r="105">
      <c r="A105" s="30" t="inlineStr">
        <is>
          <t>VERANDA</t>
        </is>
      </c>
      <c r="B105" s="30" t="inlineStr">
        <is>
          <t>Veranda Learning Solutions Ltd</t>
        </is>
      </c>
      <c r="C105" s="30" t="inlineStr">
        <is>
          <t>services</t>
        </is>
      </c>
      <c r="D105" s="30" t="inlineStr">
        <is>
          <t>miscellaneous</t>
        </is>
      </c>
      <c r="E105" s="30" t="inlineStr">
        <is>
          <t>smallcap</t>
        </is>
      </c>
      <c r="F105" s="30" t="n">
        <v>2376.23</v>
      </c>
      <c r="G105" s="30" t="n">
        <v>252</v>
      </c>
      <c r="H105" s="30" t="n">
        <v>2.15</v>
      </c>
      <c r="I105" s="30" t="n">
        <v>203463</v>
      </c>
      <c r="J105" s="30" t="inlineStr">
        <is>
          <t>543514</t>
        </is>
      </c>
    </row>
    <row r="106">
      <c r="A106" s="30" t="inlineStr">
        <is>
          <t>RKFORGE</t>
        </is>
      </c>
      <c r="B106" s="30" t="inlineStr">
        <is>
          <t>Ramkrishna Forgings Limited</t>
        </is>
      </c>
      <c r="C106" s="30" t="inlineStr">
        <is>
          <t>industrials</t>
        </is>
      </c>
      <c r="D106" s="30" t="inlineStr">
        <is>
          <t>castings &amp; forgings</t>
        </is>
      </c>
      <c r="E106" s="30" t="inlineStr">
        <is>
          <t>midcap</t>
        </is>
      </c>
      <c r="F106" s="30" t="n">
        <v>13411.36</v>
      </c>
      <c r="G106" s="30" t="n">
        <v>751.35</v>
      </c>
      <c r="H106" s="30" t="n">
        <v>2.06</v>
      </c>
      <c r="I106" s="30" t="n">
        <v>1655288</v>
      </c>
      <c r="J106" s="30" t="inlineStr">
        <is>
          <t>532527</t>
        </is>
      </c>
    </row>
    <row r="107">
      <c r="A107" s="30" t="inlineStr">
        <is>
          <t>RRKABEL</t>
        </is>
      </c>
      <c r="B107" s="30" t="inlineStr">
        <is>
          <t>R R Kabel Ltd</t>
        </is>
      </c>
      <c r="C107" s="30" t="inlineStr">
        <is>
          <t>industrials</t>
        </is>
      </c>
      <c r="D107" s="30" t="inlineStr">
        <is>
          <t>cables - power</t>
        </is>
      </c>
      <c r="E107" s="30" t="inlineStr">
        <is>
          <t>largecap</t>
        </is>
      </c>
      <c r="F107" s="30" t="n">
        <v>31182.06</v>
      </c>
      <c r="G107" s="30" t="n">
        <v>2812.8</v>
      </c>
      <c r="H107" s="30" t="n">
        <v>2.03</v>
      </c>
      <c r="I107" s="30" t="n">
        <v>311904</v>
      </c>
      <c r="J107" s="30" t="inlineStr">
        <is>
          <t>543981</t>
        </is>
      </c>
    </row>
    <row r="108">
      <c r="A108" s="30" t="inlineStr">
        <is>
          <t>CONCOR</t>
        </is>
      </c>
      <c r="B108" s="30" t="inlineStr">
        <is>
          <t>Container Corporation Of India Limited</t>
        </is>
      </c>
      <c r="C108" s="30" t="inlineStr">
        <is>
          <t>transportation</t>
        </is>
      </c>
      <c r="D108" s="30" t="inlineStr">
        <is>
          <t>miscellaneous</t>
        </is>
      </c>
      <c r="E108" s="30" t="inlineStr">
        <is>
          <t>largecap</t>
        </is>
      </c>
      <c r="F108" s="30" t="n">
        <v>38225.6</v>
      </c>
      <c r="G108" s="30" t="n">
        <v>512</v>
      </c>
      <c r="H108" s="30" t="n">
        <v>2.01</v>
      </c>
      <c r="I108" s="30" t="n">
        <v>2190142</v>
      </c>
      <c r="J108" s="30" t="inlineStr">
        <is>
          <t>531344</t>
        </is>
      </c>
    </row>
    <row r="109">
      <c r="A109" s="30" t="inlineStr">
        <is>
          <t>LOKESHMACH</t>
        </is>
      </c>
      <c r="B109" s="30" t="inlineStr">
        <is>
          <t>Lokesh Machines Limited</t>
        </is>
      </c>
      <c r="C109" s="30" t="inlineStr">
        <is>
          <t>industrials</t>
        </is>
      </c>
      <c r="D109" s="30" t="inlineStr">
        <is>
          <t>engineering</t>
        </is>
      </c>
      <c r="E109" s="30" t="inlineStr">
        <is>
          <t>smallcap</t>
        </is>
      </c>
      <c r="F109" s="30" t="n">
        <v>765.61</v>
      </c>
      <c r="G109" s="30" t="n">
        <v>351.25</v>
      </c>
      <c r="H109" s="30" t="n">
        <v>1.99</v>
      </c>
      <c r="I109" s="30" t="n">
        <v>20368</v>
      </c>
      <c r="J109" s="30" t="inlineStr">
        <is>
          <t>532740</t>
        </is>
      </c>
    </row>
    <row r="110">
      <c r="A110" s="30" t="inlineStr">
        <is>
          <t>VARROC</t>
        </is>
      </c>
      <c r="B110" s="30" t="inlineStr">
        <is>
          <t>Varroc Engineering Ltd</t>
        </is>
      </c>
      <c r="C110" s="30" t="inlineStr">
        <is>
          <t>auto</t>
        </is>
      </c>
      <c r="D110" s="30" t="inlineStr">
        <is>
          <t>auto ancillaries</t>
        </is>
      </c>
      <c r="E110" s="30" t="inlineStr">
        <is>
          <t>midcap</t>
        </is>
      </c>
      <c r="F110" s="30" t="n">
        <v>12619.39</v>
      </c>
      <c r="G110" s="30" t="n">
        <v>842.15</v>
      </c>
      <c r="H110" s="30" t="n">
        <v>1.96</v>
      </c>
      <c r="I110" s="30" t="n">
        <v>823462</v>
      </c>
      <c r="J110" s="30" t="inlineStr">
        <is>
          <t>541578</t>
        </is>
      </c>
    </row>
    <row r="111">
      <c r="A111" s="30" t="inlineStr">
        <is>
          <t>FIEMIND</t>
        </is>
      </c>
      <c r="B111" s="30" t="inlineStr">
        <is>
          <t>Fiem Industries Limited</t>
        </is>
      </c>
      <c r="C111" s="30" t="inlineStr">
        <is>
          <t>auto</t>
        </is>
      </c>
      <c r="D111" s="30" t="inlineStr">
        <is>
          <t>auto ancillaries</t>
        </is>
      </c>
      <c r="E111" s="30" t="inlineStr">
        <is>
          <t>midcap</t>
        </is>
      </c>
      <c r="F111" s="30" t="n">
        <v>6683.35</v>
      </c>
      <c r="G111" s="30" t="n">
        <v>2589</v>
      </c>
      <c r="H111" s="30" t="n">
        <v>1.96</v>
      </c>
      <c r="I111" s="30" t="n">
        <v>95859</v>
      </c>
      <c r="J111" s="30" t="inlineStr">
        <is>
          <t>532768</t>
        </is>
      </c>
    </row>
    <row r="112">
      <c r="A112" s="30" t="inlineStr">
        <is>
          <t>DIVGIITTS</t>
        </is>
      </c>
      <c r="B112" s="30" t="inlineStr">
        <is>
          <t>Divgi Torqtransfer Systems Ltd</t>
        </is>
      </c>
      <c r="C112" s="30" t="inlineStr">
        <is>
          <t>auto</t>
        </is>
      </c>
      <c r="D112" s="30" t="inlineStr">
        <is>
          <t>auto ancillaries</t>
        </is>
      </c>
      <c r="E112" s="30" t="inlineStr">
        <is>
          <t>smallcap</t>
        </is>
      </c>
      <c r="F112" s="30" t="n">
        <v>3230.17</v>
      </c>
      <c r="G112" s="30" t="n">
        <v>1076.4</v>
      </c>
      <c r="H112" s="30" t="n">
        <v>1.91</v>
      </c>
      <c r="I112" s="30" t="n">
        <v>157986</v>
      </c>
      <c r="J112" s="30" t="inlineStr">
        <is>
          <t>543812</t>
        </is>
      </c>
    </row>
    <row r="113">
      <c r="A113" s="30" t="inlineStr">
        <is>
          <t>TTKHLTCARE</t>
        </is>
      </c>
      <c r="B113" s="30" t="inlineStr">
        <is>
          <t>Ttk Healthcare Limited</t>
        </is>
      </c>
      <c r="C113" s="30" t="inlineStr">
        <is>
          <t>miscellaneous</t>
        </is>
      </c>
      <c r="D113" s="30" t="inlineStr">
        <is>
          <t>diversified - medium / small</t>
        </is>
      </c>
      <c r="E113" s="30" t="inlineStr">
        <is>
          <t>smallcap</t>
        </is>
      </c>
      <c r="F113" s="30" t="n">
        <v>1496.4</v>
      </c>
      <c r="G113" s="30" t="n">
        <v>1078.9</v>
      </c>
      <c r="H113" s="30" t="n">
        <v>1.88</v>
      </c>
      <c r="I113" s="30" t="n">
        <v>22615</v>
      </c>
      <c r="J113" s="30" t="inlineStr">
        <is>
          <t>507747</t>
        </is>
      </c>
    </row>
    <row r="114">
      <c r="A114" s="30" t="inlineStr">
        <is>
          <t>WSTCSTPAPR</t>
        </is>
      </c>
      <c r="B114" s="30" t="inlineStr">
        <is>
          <t>West Coast Paper Mills Limited</t>
        </is>
      </c>
      <c r="C114" s="30" t="inlineStr">
        <is>
          <t>building materials</t>
        </is>
      </c>
      <c r="D114" s="30" t="inlineStr">
        <is>
          <t>paper</t>
        </is>
      </c>
      <c r="E114" s="30" t="inlineStr">
        <is>
          <t>smallcap</t>
        </is>
      </c>
      <c r="F114" s="30" t="n">
        <v>3872.12</v>
      </c>
      <c r="G114" s="30" t="n">
        <v>597.1</v>
      </c>
      <c r="H114" s="30" t="n">
        <v>1.85</v>
      </c>
      <c r="I114" s="30" t="n">
        <v>127374</v>
      </c>
      <c r="J114" s="30" t="inlineStr">
        <is>
          <t>500444</t>
        </is>
      </c>
    </row>
    <row r="115">
      <c r="A115" s="30" t="inlineStr">
        <is>
          <t>APARINDS</t>
        </is>
      </c>
      <c r="B115" s="30" t="inlineStr">
        <is>
          <t>Apar Industries Limited</t>
        </is>
      </c>
      <c r="C115" s="30" t="inlineStr">
        <is>
          <t>industrials</t>
        </is>
      </c>
      <c r="D115" s="30" t="inlineStr">
        <is>
          <t>electric equipment</t>
        </is>
      </c>
      <c r="E115" s="30" t="inlineStr">
        <is>
          <t>largecap</t>
        </is>
      </c>
      <c r="F115" s="30" t="n">
        <v>66078.58</v>
      </c>
      <c r="G115" s="30" t="n">
        <v>16748</v>
      </c>
      <c r="H115" s="30" t="n">
        <v>1.82</v>
      </c>
      <c r="I115" s="30" t="n">
        <v>168416</v>
      </c>
      <c r="J115" s="30" t="inlineStr">
        <is>
          <t>532259</t>
        </is>
      </c>
    </row>
    <row r="116">
      <c r="A116" s="30" t="inlineStr">
        <is>
          <t>AEROENTER</t>
        </is>
      </c>
      <c r="B116" s="30" t="inlineStr">
        <is>
          <t>Aeroflex Enterprises Ltd</t>
        </is>
      </c>
      <c r="C116" s="30" t="inlineStr">
        <is>
          <t>metals &amp; mining</t>
        </is>
      </c>
      <c r="D116" s="30" t="inlineStr">
        <is>
          <t>steel - medium / small</t>
        </is>
      </c>
      <c r="E116" s="30" t="inlineStr">
        <is>
          <t>smallcap</t>
        </is>
      </c>
      <c r="F116" s="30" t="n">
        <v>1438.43</v>
      </c>
      <c r="G116" s="30" t="n">
        <v>129.41</v>
      </c>
      <c r="H116" s="30" t="n">
        <v>1.81</v>
      </c>
      <c r="I116" s="30" t="n">
        <v>385998</v>
      </c>
      <c r="J116" s="30" t="inlineStr">
        <is>
          <t>511076</t>
        </is>
      </c>
    </row>
    <row r="117">
      <c r="A117" s="30" t="inlineStr">
        <is>
          <t>FINEORG</t>
        </is>
      </c>
      <c r="B117" s="30" t="inlineStr">
        <is>
          <t>Fine Organic Industries Ltd</t>
        </is>
      </c>
      <c r="C117" s="30" t="inlineStr">
        <is>
          <t>chemicals</t>
        </is>
      </c>
      <c r="D117" s="30" t="inlineStr">
        <is>
          <t>chemicals</t>
        </is>
      </c>
      <c r="E117" s="30" t="inlineStr">
        <is>
          <t>midcap</t>
        </is>
      </c>
      <c r="F117" s="30" t="n">
        <v>15415.22</v>
      </c>
      <c r="G117" s="30" t="n">
        <v>5118</v>
      </c>
      <c r="H117" s="30" t="n">
        <v>1.79</v>
      </c>
      <c r="I117" s="30" t="n">
        <v>232633</v>
      </c>
      <c r="J117" s="30" t="inlineStr">
        <is>
          <t>541557</t>
        </is>
      </c>
    </row>
    <row r="118">
      <c r="A118" s="30" t="inlineStr">
        <is>
          <t>ABBOTINDIA</t>
        </is>
      </c>
      <c r="B118" s="30" t="inlineStr">
        <is>
          <t>Abbott India Limited</t>
        </is>
      </c>
      <c r="C118" s="30" t="inlineStr">
        <is>
          <t>healthcare</t>
        </is>
      </c>
      <c r="D118" s="30" t="inlineStr">
        <is>
          <t>pharmaceuticals - multinational</t>
        </is>
      </c>
      <c r="E118" s="30" t="inlineStr">
        <is>
          <t>largecap</t>
        </is>
      </c>
      <c r="F118" s="30" t="n">
        <v>58509.95</v>
      </c>
      <c r="G118" s="30" t="n">
        <v>28020</v>
      </c>
      <c r="H118" s="30" t="n">
        <v>1.76</v>
      </c>
      <c r="I118" s="30" t="n">
        <v>8477</v>
      </c>
      <c r="J118" s="30" t="inlineStr">
        <is>
          <t>500488</t>
        </is>
      </c>
    </row>
    <row r="119">
      <c r="A119" s="30" t="inlineStr">
        <is>
          <t>IRISDOREME</t>
        </is>
      </c>
      <c r="B119" s="30" t="inlineStr">
        <is>
          <t>Iris Clothings Ltd</t>
        </is>
      </c>
      <c r="C119" s="30" t="inlineStr">
        <is>
          <t>consumer discretionary</t>
        </is>
      </c>
      <c r="D119" s="30" t="inlineStr">
        <is>
          <t>textiles - products</t>
        </is>
      </c>
      <c r="E119" s="30" t="inlineStr">
        <is>
          <t>smallcap</t>
        </is>
      </c>
      <c r="F119" s="30" t="n">
        <v>1061.48</v>
      </c>
      <c r="G119" s="30" t="n">
        <v>56.75</v>
      </c>
      <c r="H119" s="30" t="n">
        <v>1.76</v>
      </c>
      <c r="I119" s="30" t="n">
        <v>2461416</v>
      </c>
      <c r="J119" s="30" t="inlineStr">
        <is>
          <t>535123</t>
        </is>
      </c>
    </row>
    <row r="120">
      <c r="A120" s="30" t="inlineStr">
        <is>
          <t>MANINDS</t>
        </is>
      </c>
      <c r="B120" s="30" t="inlineStr">
        <is>
          <t>Man Industries (india) Limited</t>
        </is>
      </c>
      <c r="C120" s="30" t="inlineStr">
        <is>
          <t>metals &amp; mining</t>
        </is>
      </c>
      <c r="D120" s="30" t="inlineStr">
        <is>
          <t>steel - medium / small</t>
        </is>
      </c>
      <c r="E120" s="30" t="inlineStr">
        <is>
          <t>smallcap</t>
        </is>
      </c>
      <c r="F120" s="30" t="n">
        <v>4121.78</v>
      </c>
      <c r="G120" s="30" t="n">
        <v>559.1</v>
      </c>
      <c r="H120" s="30" t="n">
        <v>1.75</v>
      </c>
      <c r="I120" s="30" t="n">
        <v>225310</v>
      </c>
      <c r="J120" s="30" t="inlineStr">
        <is>
          <t>513269</t>
        </is>
      </c>
    </row>
    <row r="121">
      <c r="A121" s="30" t="inlineStr">
        <is>
          <t>UNITDSPR</t>
        </is>
      </c>
      <c r="B121" s="30" t="inlineStr">
        <is>
          <t>United Spirits Ltd</t>
        </is>
      </c>
      <c r="C121" s="30" t="inlineStr">
        <is>
          <t>fmcg</t>
        </is>
      </c>
      <c r="D121" s="30" t="inlineStr">
        <is>
          <t>breweries &amp; distilleries</t>
        </is>
      </c>
      <c r="E121" s="30" t="inlineStr">
        <is>
          <t>largecap</t>
        </is>
      </c>
      <c r="F121" s="30" t="n">
        <v>110702.8</v>
      </c>
      <c r="G121" s="30" t="n">
        <v>1548.7</v>
      </c>
      <c r="H121" s="30" t="n">
        <v>1.75</v>
      </c>
      <c r="I121" s="30" t="n">
        <v>1067662</v>
      </c>
      <c r="J121" s="30" t="inlineStr">
        <is>
          <t>532432</t>
        </is>
      </c>
    </row>
    <row r="122">
      <c r="A122" s="30" t="inlineStr">
        <is>
          <t>KINGFA</t>
        </is>
      </c>
      <c r="B122" s="30" t="inlineStr">
        <is>
          <t>Kingfa Science &amp; Technology (india) Limited</t>
        </is>
      </c>
      <c r="C122" s="30" t="inlineStr">
        <is>
          <t>plastic products</t>
        </is>
      </c>
      <c r="D122" s="30" t="inlineStr">
        <is>
          <t>plastics products</t>
        </is>
      </c>
      <c r="E122" s="30" t="inlineStr">
        <is>
          <t>midcap</t>
        </is>
      </c>
      <c r="F122" s="30" t="n">
        <v>7619.26</v>
      </c>
      <c r="G122" s="30" t="n">
        <v>5720</v>
      </c>
      <c r="H122" s="30" t="n">
        <v>1.73</v>
      </c>
      <c r="I122" s="30" t="n">
        <v>13171</v>
      </c>
      <c r="J122" s="30" t="inlineStr">
        <is>
          <t>524019</t>
        </is>
      </c>
    </row>
    <row r="123">
      <c r="A123" s="30" t="inlineStr">
        <is>
          <t>3IINFOLTD</t>
        </is>
      </c>
      <c r="B123" s="30" t="inlineStr">
        <is>
          <t>3i Infotech Ltd</t>
        </is>
      </c>
      <c r="C123" s="30" t="inlineStr">
        <is>
          <t>i.t</t>
        </is>
      </c>
      <c r="D123" s="30" t="inlineStr">
        <is>
          <t>computers - software - medium / small</t>
        </is>
      </c>
      <c r="E123" s="30" t="inlineStr">
        <is>
          <t>smallcap</t>
        </is>
      </c>
      <c r="F123" s="30" t="n">
        <v>562.6900000000001</v>
      </c>
      <c r="G123" s="30" t="n">
        <v>27.6</v>
      </c>
      <c r="H123" s="30" t="n">
        <v>1.73</v>
      </c>
      <c r="I123" s="30" t="n">
        <v>1500601</v>
      </c>
      <c r="J123" s="30" t="inlineStr">
        <is>
          <t>532628</t>
        </is>
      </c>
    </row>
    <row r="124">
      <c r="A124" s="30" t="inlineStr">
        <is>
          <t>SILVERTUC</t>
        </is>
      </c>
      <c r="B124" s="30" t="inlineStr">
        <is>
          <t>Silver Touch Technologies Ltd</t>
        </is>
      </c>
      <c r="C124" s="30" t="inlineStr">
        <is>
          <t>i.t</t>
        </is>
      </c>
      <c r="D124" s="30" t="inlineStr">
        <is>
          <t>computers - software - medium / small</t>
        </is>
      </c>
      <c r="E124" s="30" t="inlineStr">
        <is>
          <t>smallcap</t>
        </is>
      </c>
      <c r="F124" s="30" t="n">
        <v>2576.53</v>
      </c>
      <c r="G124" s="30" t="n">
        <v>206.52</v>
      </c>
      <c r="H124" s="30" t="n">
        <v>1.64</v>
      </c>
      <c r="I124" s="30" t="n">
        <v>511433</v>
      </c>
      <c r="J124" s="30" t="inlineStr">
        <is>
          <t>535031</t>
        </is>
      </c>
    </row>
    <row r="125">
      <c r="A125" s="30" t="inlineStr">
        <is>
          <t>ALKYLAMINE</t>
        </is>
      </c>
      <c r="B125" s="30" t="inlineStr">
        <is>
          <t>Alkyl Amines Chemicals Limited</t>
        </is>
      </c>
      <c r="C125" s="30" t="inlineStr">
        <is>
          <t>chemicals</t>
        </is>
      </c>
      <c r="D125" s="30" t="inlineStr">
        <is>
          <t>chemicals</t>
        </is>
      </c>
      <c r="E125" s="30" t="inlineStr">
        <is>
          <t>midcap</t>
        </is>
      </c>
      <c r="F125" s="30" t="n">
        <v>9801.65</v>
      </c>
      <c r="G125" s="30" t="n">
        <v>1947.4</v>
      </c>
      <c r="H125" s="30" t="n">
        <v>1.62</v>
      </c>
      <c r="I125" s="30" t="n">
        <v>135162</v>
      </c>
      <c r="J125" s="30" t="inlineStr">
        <is>
          <t>506767</t>
        </is>
      </c>
    </row>
    <row r="126">
      <c r="A126" s="30" t="inlineStr">
        <is>
          <t>MMTC</t>
        </is>
      </c>
      <c r="B126" s="30" t="inlineStr">
        <is>
          <t>Mmtc Limited</t>
        </is>
      </c>
      <c r="C126" s="30" t="inlineStr">
        <is>
          <t>services</t>
        </is>
      </c>
      <c r="D126" s="30" t="inlineStr">
        <is>
          <t>trading</t>
        </is>
      </c>
      <c r="E126" s="30" t="inlineStr">
        <is>
          <t>midcap</t>
        </is>
      </c>
      <c r="F126" s="30" t="n">
        <v>9592.5</v>
      </c>
      <c r="G126" s="30" t="n">
        <v>64.98</v>
      </c>
      <c r="H126" s="30" t="n">
        <v>1.61</v>
      </c>
      <c r="I126" s="30" t="n">
        <v>1727441</v>
      </c>
      <c r="J126" s="30" t="inlineStr">
        <is>
          <t>513377</t>
        </is>
      </c>
    </row>
    <row r="127">
      <c r="A127" s="30" t="inlineStr">
        <is>
          <t>KRISHANA</t>
        </is>
      </c>
      <c r="B127" s="30" t="inlineStr">
        <is>
          <t>Krishana Phoschem Ltd</t>
        </is>
      </c>
      <c r="C127" s="30" t="inlineStr">
        <is>
          <t>chemicals</t>
        </is>
      </c>
      <c r="D127" s="30" t="inlineStr">
        <is>
          <t>fertilizers</t>
        </is>
      </c>
      <c r="E127" s="30" t="inlineStr">
        <is>
          <t>smallcap</t>
        </is>
      </c>
      <c r="F127" s="30" t="n">
        <v>1134.78</v>
      </c>
      <c r="G127" s="30" t="n">
        <v>186.45</v>
      </c>
      <c r="H127" s="30" t="n">
        <v>1.59</v>
      </c>
      <c r="I127" s="30" t="n">
        <v>567817</v>
      </c>
      <c r="J127" s="30" t="inlineStr">
        <is>
          <t>538405</t>
        </is>
      </c>
    </row>
    <row r="128">
      <c r="A128" s="30" t="inlineStr">
        <is>
          <t>GULFOILLUB</t>
        </is>
      </c>
      <c r="B128" s="30" t="inlineStr">
        <is>
          <t>Gulf Oil Lubricants India Limited</t>
        </is>
      </c>
      <c r="C128" s="30" t="inlineStr">
        <is>
          <t>chemicals</t>
        </is>
      </c>
      <c r="D128" s="30" t="inlineStr">
        <is>
          <t>chemicals</t>
        </is>
      </c>
      <c r="E128" s="30" t="inlineStr">
        <is>
          <t>midcap</t>
        </is>
      </c>
      <c r="F128" s="30" t="n">
        <v>5830.11</v>
      </c>
      <c r="G128" s="30" t="n">
        <v>1196</v>
      </c>
      <c r="H128" s="30" t="n">
        <v>1.58</v>
      </c>
      <c r="I128" s="30" t="n">
        <v>62351</v>
      </c>
      <c r="J128" s="30" t="inlineStr">
        <is>
          <t>538567</t>
        </is>
      </c>
    </row>
    <row r="129">
      <c r="A129" s="30" t="inlineStr">
        <is>
          <t>MAHASTEEL</t>
        </is>
      </c>
      <c r="B129" s="30" t="inlineStr">
        <is>
          <t>Mahamaya Steel Industries Limited</t>
        </is>
      </c>
      <c r="C129" s="30" t="inlineStr">
        <is>
          <t>metals &amp; mining</t>
        </is>
      </c>
      <c r="D129" s="30" t="inlineStr">
        <is>
          <t>steel - medium / small</t>
        </is>
      </c>
      <c r="E129" s="30" t="inlineStr">
        <is>
          <t>smallcap</t>
        </is>
      </c>
      <c r="F129" s="30" t="n">
        <v>1678.61</v>
      </c>
      <c r="G129" s="30" t="n">
        <v>1037.5</v>
      </c>
      <c r="H129" s="30" t="n">
        <v>1.58</v>
      </c>
      <c r="I129" s="30" t="n">
        <v>9645</v>
      </c>
      <c r="J129" s="30" t="inlineStr">
        <is>
          <t>513554</t>
        </is>
      </c>
    </row>
    <row r="130">
      <c r="A130" s="30" t="inlineStr">
        <is>
          <t>DDEVPLSTIK</t>
        </is>
      </c>
      <c r="B130" s="30" t="inlineStr">
        <is>
          <t>DDev Plastiks Industries Ltd</t>
        </is>
      </c>
      <c r="C130" s="30" t="inlineStr">
        <is>
          <t>chemicals</t>
        </is>
      </c>
      <c r="D130" s="30" t="inlineStr">
        <is>
          <t>chemicals</t>
        </is>
      </c>
      <c r="E130" s="30" t="inlineStr">
        <is>
          <t>smallcap</t>
        </is>
      </c>
      <c r="F130" s="30" t="n">
        <v>2957.36</v>
      </c>
      <c r="G130" s="30" t="n">
        <v>290.3</v>
      </c>
      <c r="H130" s="30" t="n">
        <v>1.57</v>
      </c>
      <c r="I130" s="30" t="n">
        <v>864665</v>
      </c>
      <c r="J130" s="30" t="inlineStr">
        <is>
          <t>543547</t>
        </is>
      </c>
    </row>
    <row r="131">
      <c r="A131" s="30" t="inlineStr">
        <is>
          <t>RANEHOLDIN</t>
        </is>
      </c>
      <c r="B131" s="30" t="inlineStr">
        <is>
          <t>Rane Holdings Limited</t>
        </is>
      </c>
      <c r="C131" s="30" t="inlineStr">
        <is>
          <t>financials</t>
        </is>
      </c>
      <c r="D131" s="30" t="inlineStr">
        <is>
          <t>finance &amp; investments</t>
        </is>
      </c>
      <c r="E131" s="30" t="inlineStr">
        <is>
          <t>smallcap</t>
        </is>
      </c>
      <c r="F131" s="30" t="n">
        <v>2497.05</v>
      </c>
      <c r="G131" s="30" t="n">
        <v>1776.2</v>
      </c>
      <c r="H131" s="30" t="n">
        <v>1.56</v>
      </c>
      <c r="I131" s="30" t="n">
        <v>10635</v>
      </c>
      <c r="J131" s="30" t="inlineStr">
        <is>
          <t>505800</t>
        </is>
      </c>
    </row>
    <row r="132">
      <c r="A132" s="30" t="inlineStr">
        <is>
          <t>IMFA</t>
        </is>
      </c>
      <c r="B132" s="30" t="inlineStr">
        <is>
          <t>Indian Metals &amp; Ferro Alloys Limited</t>
        </is>
      </c>
      <c r="C132" s="30" t="inlineStr">
        <is>
          <t>metals &amp; mining</t>
        </is>
      </c>
      <c r="D132" s="30" t="inlineStr">
        <is>
          <t>mining / minerals / metals</t>
        </is>
      </c>
      <c r="E132" s="30" t="inlineStr">
        <is>
          <t>midcap</t>
        </is>
      </c>
      <c r="F132" s="30" t="n">
        <v>7873.52</v>
      </c>
      <c r="G132" s="30" t="n">
        <v>1481.6</v>
      </c>
      <c r="H132" s="30" t="n">
        <v>1.53</v>
      </c>
      <c r="I132" s="30" t="n">
        <v>179807</v>
      </c>
      <c r="J132" s="30" t="inlineStr">
        <is>
          <t>533047</t>
        </is>
      </c>
    </row>
    <row r="133">
      <c r="A133" s="30" t="inlineStr">
        <is>
          <t>SHILPAMED</t>
        </is>
      </c>
      <c r="B133" s="30" t="inlineStr">
        <is>
          <t>Shilpa Medicare Limited</t>
        </is>
      </c>
      <c r="C133" s="30" t="inlineStr">
        <is>
          <t>healthcare</t>
        </is>
      </c>
      <c r="D133" s="30" t="inlineStr">
        <is>
          <t>pharmaceuticals - indian - formulations</t>
        </is>
      </c>
      <c r="E133" s="30" t="inlineStr">
        <is>
          <t>midcap</t>
        </is>
      </c>
      <c r="F133" s="30" t="n">
        <v>15794.21</v>
      </c>
      <c r="G133" s="30" t="n">
        <v>819.7</v>
      </c>
      <c r="H133" s="30" t="n">
        <v>1.5</v>
      </c>
      <c r="I133" s="30" t="n">
        <v>2415553</v>
      </c>
      <c r="J133" s="30" t="inlineStr">
        <is>
          <t>530549</t>
        </is>
      </c>
    </row>
    <row r="134">
      <c r="A134" s="30" t="inlineStr">
        <is>
          <t>UFBL</t>
        </is>
      </c>
      <c r="B134" s="30" t="inlineStr">
        <is>
          <t>United Foodbrands Ltd</t>
        </is>
      </c>
      <c r="C134" s="30" t="inlineStr">
        <is>
          <t>consumer discretionary</t>
        </is>
      </c>
      <c r="D134" s="30" t="inlineStr">
        <is>
          <t>hotels</t>
        </is>
      </c>
      <c r="E134" s="30" t="inlineStr">
        <is>
          <t>smallcap</t>
        </is>
      </c>
      <c r="F134" s="30" t="n">
        <v>3119.48</v>
      </c>
      <c r="G134" s="30" t="n">
        <v>810</v>
      </c>
      <c r="H134" s="30" t="n">
        <v>1.49</v>
      </c>
      <c r="I134" s="30" t="n">
        <v>110749</v>
      </c>
      <c r="J134" s="30" t="inlineStr">
        <is>
          <t>543283</t>
        </is>
      </c>
    </row>
    <row r="135">
      <c r="A135" s="30" t="inlineStr">
        <is>
          <t>TINNARUBR</t>
        </is>
      </c>
      <c r="B135" s="30" t="inlineStr">
        <is>
          <t>Tinna Rubber &amp; Infrastructure Ltd</t>
        </is>
      </c>
      <c r="C135" s="30" t="inlineStr">
        <is>
          <t>fmcg</t>
        </is>
      </c>
      <c r="D135" s="30" t="inlineStr">
        <is>
          <t>miscellaneous</t>
        </is>
      </c>
      <c r="E135" s="30" t="inlineStr">
        <is>
          <t>smallcap</t>
        </is>
      </c>
      <c r="F135" s="30" t="n">
        <v>2019.21</v>
      </c>
      <c r="G135" s="30" t="n">
        <v>1137</v>
      </c>
      <c r="H135" s="30" t="n">
        <v>1.45</v>
      </c>
      <c r="I135" s="30" t="n">
        <v>54852</v>
      </c>
      <c r="J135" s="30" t="inlineStr">
        <is>
          <t>530475</t>
        </is>
      </c>
    </row>
    <row r="136">
      <c r="A136" s="30" t="inlineStr">
        <is>
          <t>RBZJEWEL</t>
        </is>
      </c>
      <c r="B136" s="30" t="inlineStr">
        <is>
          <t>RBZ Jewellers Ltd</t>
        </is>
      </c>
      <c r="C136" s="30" t="inlineStr">
        <is>
          <t>consumer discretionary</t>
        </is>
      </c>
      <c r="D136" s="30" t="inlineStr">
        <is>
          <t>diamond cutting / jewellery</t>
        </is>
      </c>
      <c r="E136" s="30" t="inlineStr">
        <is>
          <t>smallcap</t>
        </is>
      </c>
      <c r="F136" s="30" t="n">
        <v>609.08</v>
      </c>
      <c r="G136" s="30" t="n">
        <v>154.46</v>
      </c>
      <c r="H136" s="30" t="n">
        <v>1.44</v>
      </c>
      <c r="I136" s="30" t="n">
        <v>88252</v>
      </c>
      <c r="J136" s="30" t="inlineStr">
        <is>
          <t>544060</t>
        </is>
      </c>
    </row>
    <row r="137">
      <c r="A137" s="30" t="inlineStr">
        <is>
          <t>PVRINOX</t>
        </is>
      </c>
      <c r="B137" s="30" t="inlineStr">
        <is>
          <t>PVR Inox Ltd</t>
        </is>
      </c>
      <c r="C137" s="30" t="inlineStr">
        <is>
          <t>media</t>
        </is>
      </c>
      <c r="D137" s="30" t="inlineStr">
        <is>
          <t>entertainment / electronic media software</t>
        </is>
      </c>
      <c r="E137" s="30" t="inlineStr">
        <is>
          <t>midcap</t>
        </is>
      </c>
      <c r="F137" s="30" t="n">
        <v>11234.08</v>
      </c>
      <c r="G137" s="30" t="n">
        <v>1160.5</v>
      </c>
      <c r="H137" s="30" t="n">
        <v>1.44</v>
      </c>
      <c r="I137" s="30" t="n">
        <v>311344</v>
      </c>
      <c r="J137" s="30" t="inlineStr">
        <is>
          <t>532689</t>
        </is>
      </c>
    </row>
    <row r="138">
      <c r="A138" s="30" t="inlineStr">
        <is>
          <t>NATIONALUM</t>
        </is>
      </c>
      <c r="B138" s="30" t="inlineStr">
        <is>
          <t>National Aluminium Company Limited</t>
        </is>
      </c>
      <c r="C138" s="30" t="inlineStr">
        <is>
          <t>metals &amp; mining</t>
        </is>
      </c>
      <c r="D138" s="30" t="inlineStr">
        <is>
          <t>aluminium and aluminium products</t>
        </is>
      </c>
      <c r="E138" s="30" t="inlineStr">
        <is>
          <t>largecap</t>
        </is>
      </c>
      <c r="F138" s="30" t="n">
        <v>70287.89999999999</v>
      </c>
      <c r="G138" s="30" t="n">
        <v>388</v>
      </c>
      <c r="H138" s="30" t="n">
        <v>1.38</v>
      </c>
      <c r="I138" s="30" t="n">
        <v>16051646</v>
      </c>
      <c r="J138" s="30" t="inlineStr">
        <is>
          <t>532234</t>
        </is>
      </c>
    </row>
    <row r="139">
      <c r="A139" s="30" t="inlineStr">
        <is>
          <t>SKYGOLD</t>
        </is>
      </c>
      <c r="B139" s="30" t="inlineStr">
        <is>
          <t>Sky Gold Ltd</t>
        </is>
      </c>
      <c r="C139" s="30" t="inlineStr">
        <is>
          <t>consumer discretionary</t>
        </is>
      </c>
      <c r="D139" s="30" t="inlineStr">
        <is>
          <t>diamond cutting / jewellery</t>
        </is>
      </c>
      <c r="E139" s="30" t="inlineStr">
        <is>
          <t>midcap</t>
        </is>
      </c>
      <c r="F139" s="30" t="n">
        <v>12073.97</v>
      </c>
      <c r="G139" s="30" t="n">
        <v>790.05</v>
      </c>
      <c r="H139" s="30" t="n">
        <v>1.34</v>
      </c>
      <c r="I139" s="30" t="n">
        <v>1562876</v>
      </c>
      <c r="J139" s="30" t="inlineStr">
        <is>
          <t>541967</t>
        </is>
      </c>
    </row>
    <row r="140">
      <c r="A140" s="30" t="inlineStr">
        <is>
          <t>MAXESTATES</t>
        </is>
      </c>
      <c r="B140" s="30" t="inlineStr">
        <is>
          <t>Max Estates Ltd</t>
        </is>
      </c>
      <c r="C140" s="30" t="inlineStr">
        <is>
          <t>realty</t>
        </is>
      </c>
      <c r="D140" s="30" t="inlineStr">
        <is>
          <t>construction</t>
        </is>
      </c>
      <c r="E140" s="30" t="inlineStr">
        <is>
          <t>midcap</t>
        </is>
      </c>
      <c r="F140" s="30" t="n">
        <v>6890.59</v>
      </c>
      <c r="G140" s="30" t="n">
        <v>427</v>
      </c>
      <c r="H140" s="30" t="n">
        <v>1.32</v>
      </c>
      <c r="I140" s="30" t="n">
        <v>66539</v>
      </c>
      <c r="J140" s="30" t="inlineStr">
        <is>
          <t>544008</t>
        </is>
      </c>
    </row>
    <row r="141">
      <c r="A141" s="30" t="inlineStr">
        <is>
          <t>SOTL</t>
        </is>
      </c>
      <c r="B141" s="30" t="inlineStr">
        <is>
          <t>Savita Oil Technologies Limited</t>
        </is>
      </c>
      <c r="C141" s="30" t="inlineStr">
        <is>
          <t>energy</t>
        </is>
      </c>
      <c r="D141" s="30" t="inlineStr">
        <is>
          <t>petrochemicals</t>
        </is>
      </c>
      <c r="E141" s="30" t="inlineStr">
        <is>
          <t>smallcap</t>
        </is>
      </c>
      <c r="F141" s="30" t="n">
        <v>4737.52</v>
      </c>
      <c r="G141" s="30" t="n">
        <v>700.05</v>
      </c>
      <c r="H141" s="30" t="n">
        <v>1.31</v>
      </c>
      <c r="I141" s="30" t="n">
        <v>381189</v>
      </c>
      <c r="J141" s="30" t="inlineStr">
        <is>
          <t>524667</t>
        </is>
      </c>
    </row>
    <row r="142">
      <c r="A142" s="30" t="inlineStr">
        <is>
          <t>SJS</t>
        </is>
      </c>
      <c r="B142" s="30" t="inlineStr">
        <is>
          <t>S J S Enterprises Ltd</t>
        </is>
      </c>
      <c r="C142" s="30" t="inlineStr">
        <is>
          <t>auto</t>
        </is>
      </c>
      <c r="D142" s="30" t="inlineStr">
        <is>
          <t>plastics products</t>
        </is>
      </c>
      <c r="E142" s="30" t="inlineStr">
        <is>
          <t>midcap</t>
        </is>
      </c>
      <c r="F142" s="30" t="n">
        <v>7591.62</v>
      </c>
      <c r="G142" s="30" t="n">
        <v>2402.8</v>
      </c>
      <c r="H142" s="30" t="n">
        <v>1.3</v>
      </c>
      <c r="I142" s="30" t="n">
        <v>294658</v>
      </c>
      <c r="J142" s="30" t="inlineStr">
        <is>
          <t>543387</t>
        </is>
      </c>
    </row>
    <row r="143">
      <c r="A143" s="30" t="inlineStr">
        <is>
          <t>PARAS</t>
        </is>
      </c>
      <c r="B143" s="30" t="inlineStr">
        <is>
          <t>Paras Defence and Space Technologies Ltd</t>
        </is>
      </c>
      <c r="C143" s="30" t="inlineStr">
        <is>
          <t>aerospace &amp; defence</t>
        </is>
      </c>
      <c r="D143" s="30" t="inlineStr">
        <is>
          <t>engineering</t>
        </is>
      </c>
      <c r="E143" s="30" t="inlineStr">
        <is>
          <t>midcap</t>
        </is>
      </c>
      <c r="F143" s="30" t="n">
        <v>10214.44</v>
      </c>
      <c r="G143" s="30" t="n">
        <v>1284</v>
      </c>
      <c r="H143" s="30" t="n">
        <v>1.3</v>
      </c>
      <c r="I143" s="30" t="n">
        <v>540285</v>
      </c>
      <c r="J143" s="30" t="inlineStr">
        <is>
          <t>543367</t>
        </is>
      </c>
    </row>
    <row r="144">
      <c r="A144" s="30" t="inlineStr">
        <is>
          <t>SAILIFE</t>
        </is>
      </c>
      <c r="B144" s="30" t="inlineStr">
        <is>
          <t>Sai Life Sciences Ltd</t>
        </is>
      </c>
      <c r="C144" s="30" t="inlineStr">
        <is>
          <t>healthcare</t>
        </is>
      </c>
      <c r="D144" s="30" t="inlineStr">
        <is>
          <t>pharmaceuticals - indian - bulk drugs &amp; formln</t>
        </is>
      </c>
      <c r="E144" s="30" t="inlineStr">
        <is>
          <t>largecap</t>
        </is>
      </c>
      <c r="F144" s="30" t="n">
        <v>30276.23</v>
      </c>
      <c r="G144" s="30" t="n">
        <v>1444.4</v>
      </c>
      <c r="H144" s="30" t="n">
        <v>1.28</v>
      </c>
      <c r="I144" s="30" t="n">
        <v>717828</v>
      </c>
      <c r="J144" s="30" t="inlineStr">
        <is>
          <t>544306</t>
        </is>
      </c>
    </row>
    <row r="145">
      <c r="A145" s="30" t="inlineStr">
        <is>
          <t>ARMANFIN</t>
        </is>
      </c>
      <c r="B145" s="30" t="inlineStr">
        <is>
          <t>Arman Financial Services Limited</t>
        </is>
      </c>
      <c r="C145" s="30" t="inlineStr">
        <is>
          <t>financials</t>
        </is>
      </c>
      <c r="D145" s="30" t="inlineStr">
        <is>
          <t>finance &amp; investments</t>
        </is>
      </c>
      <c r="E145" s="30" t="inlineStr">
        <is>
          <t>smallcap</t>
        </is>
      </c>
      <c r="F145" s="30" t="n">
        <v>2086.55</v>
      </c>
      <c r="G145" s="30" t="n">
        <v>2009</v>
      </c>
      <c r="H145" s="30" t="n">
        <v>1.24</v>
      </c>
      <c r="I145" s="30" t="n">
        <v>39677</v>
      </c>
      <c r="J145" s="30" t="inlineStr">
        <is>
          <t>531179</t>
        </is>
      </c>
    </row>
    <row r="146">
      <c r="A146" s="30" t="inlineStr">
        <is>
          <t>ANANDRATHI</t>
        </is>
      </c>
      <c r="B146" s="30" t="inlineStr">
        <is>
          <t>Anand Rathi Wealth Ltd</t>
        </is>
      </c>
      <c r="C146" s="30" t="inlineStr">
        <is>
          <t>financials</t>
        </is>
      </c>
      <c r="D146" s="30" t="inlineStr">
        <is>
          <t>finance &amp; investments</t>
        </is>
      </c>
      <c r="E146" s="30" t="inlineStr">
        <is>
          <t>largecap</t>
        </is>
      </c>
      <c r="F146" s="30" t="n">
        <v>35391.7</v>
      </c>
      <c r="G146" s="30" t="n">
        <v>2158</v>
      </c>
      <c r="H146" s="30" t="n">
        <v>1.24</v>
      </c>
      <c r="I146" s="30" t="n">
        <v>248922</v>
      </c>
      <c r="J146" s="30" t="inlineStr">
        <is>
          <t>543415</t>
        </is>
      </c>
    </row>
    <row r="147">
      <c r="A147" s="30" t="inlineStr">
        <is>
          <t>PICCADIL</t>
        </is>
      </c>
      <c r="B147" s="30" t="inlineStr">
        <is>
          <t>Piccadily Agro Industries Ltd</t>
        </is>
      </c>
      <c r="C147" s="30" t="inlineStr">
        <is>
          <t>fmcg</t>
        </is>
      </c>
      <c r="D147" s="30" t="inlineStr">
        <is>
          <t>breweries &amp; distilleries</t>
        </is>
      </c>
      <c r="E147" s="30" t="inlineStr">
        <is>
          <t>midcap</t>
        </is>
      </c>
      <c r="F147" s="30" t="n">
        <v>7578.23</v>
      </c>
      <c r="G147" s="30" t="n">
        <v>778.25</v>
      </c>
      <c r="H147" s="30" t="n">
        <v>1.23</v>
      </c>
      <c r="I147" s="30" t="n">
        <v>772512</v>
      </c>
      <c r="J147" s="30" t="inlineStr">
        <is>
          <t>530305</t>
        </is>
      </c>
    </row>
    <row r="148">
      <c r="A148" s="30" t="inlineStr">
        <is>
          <t>EMAMIPAP</t>
        </is>
      </c>
      <c r="B148" s="30" t="inlineStr">
        <is>
          <t>Emami Paper Mills Ltd</t>
        </is>
      </c>
      <c r="C148" s="30" t="inlineStr">
        <is>
          <t>building materials</t>
        </is>
      </c>
      <c r="D148" s="30" t="inlineStr">
        <is>
          <t>paper</t>
        </is>
      </c>
      <c r="E148" s="30" t="inlineStr">
        <is>
          <t>smallcap</t>
        </is>
      </c>
      <c r="F148" s="30" t="n">
        <v>672.63</v>
      </c>
      <c r="G148" s="30" t="n">
        <v>112.5</v>
      </c>
      <c r="H148" s="30" t="n">
        <v>1.19</v>
      </c>
      <c r="I148" s="30" t="n">
        <v>24697</v>
      </c>
      <c r="J148" s="30" t="inlineStr">
        <is>
          <t>533208</t>
        </is>
      </c>
    </row>
    <row r="149">
      <c r="A149" s="30" t="inlineStr">
        <is>
          <t>SUBEXLTD</t>
        </is>
      </c>
      <c r="B149" s="30" t="inlineStr">
        <is>
          <t>Subex Ltd</t>
        </is>
      </c>
      <c r="C149" s="30" t="inlineStr">
        <is>
          <t>i.t</t>
        </is>
      </c>
      <c r="D149" s="30" t="inlineStr">
        <is>
          <t>computers - software - medium / small</t>
        </is>
      </c>
      <c r="E149" s="30" t="inlineStr">
        <is>
          <t>smallcap</t>
        </is>
      </c>
      <c r="F149" s="30" t="n">
        <v>780.62</v>
      </c>
      <c r="G149" s="30" t="n">
        <v>14.05</v>
      </c>
      <c r="H149" s="30" t="n">
        <v>1.15</v>
      </c>
      <c r="I149" s="30" t="n">
        <v>623284</v>
      </c>
      <c r="J149" s="30" t="inlineStr">
        <is>
          <t>532348</t>
        </is>
      </c>
    </row>
    <row r="150">
      <c r="A150" s="30" t="inlineStr">
        <is>
          <t>PERSISTENT</t>
        </is>
      </c>
      <c r="B150" s="30" t="inlineStr">
        <is>
          <t>Persistent Systems Limited</t>
        </is>
      </c>
      <c r="C150" s="30" t="inlineStr">
        <is>
          <t>i.t</t>
        </is>
      </c>
      <c r="D150" s="30" t="inlineStr">
        <is>
          <t>computers - software - large</t>
        </is>
      </c>
      <c r="E150" s="30" t="inlineStr">
        <is>
          <t>largecap</t>
        </is>
      </c>
      <c r="F150" s="30" t="n">
        <v>86352.35000000001</v>
      </c>
      <c r="G150" s="30" t="n">
        <v>5536</v>
      </c>
      <c r="H150" s="30" t="n">
        <v>1.13</v>
      </c>
      <c r="I150" s="30" t="n">
        <v>670374</v>
      </c>
      <c r="J150" s="30" t="inlineStr">
        <is>
          <t>533179</t>
        </is>
      </c>
    </row>
    <row r="151">
      <c r="A151" s="30" t="inlineStr">
        <is>
          <t>FCL</t>
        </is>
      </c>
      <c r="B151" s="30" t="inlineStr">
        <is>
          <t>Fineotex Chemical Limited</t>
        </is>
      </c>
      <c r="C151" s="30" t="inlineStr">
        <is>
          <t>chemicals</t>
        </is>
      </c>
      <c r="D151" s="30" t="inlineStr">
        <is>
          <t>chemicals</t>
        </is>
      </c>
      <c r="E151" s="30" t="inlineStr">
        <is>
          <t>smallcap</t>
        </is>
      </c>
      <c r="F151" s="30" t="n">
        <v>4950.29</v>
      </c>
      <c r="G151" s="30" t="n">
        <v>42.99</v>
      </c>
      <c r="H151" s="30" t="n">
        <v>1.13</v>
      </c>
      <c r="I151" s="30" t="n">
        <v>9101326</v>
      </c>
      <c r="J151" s="30" t="inlineStr">
        <is>
          <t>533333</t>
        </is>
      </c>
    </row>
    <row r="152">
      <c r="A152" s="30" t="inlineStr">
        <is>
          <t>GLENMARK</t>
        </is>
      </c>
      <c r="B152" s="30" t="inlineStr">
        <is>
          <t>Glenmark Pharmaceuticals Limited</t>
        </is>
      </c>
      <c r="C152" s="30" t="inlineStr">
        <is>
          <t>healthcare</t>
        </is>
      </c>
      <c r="D152" s="30" t="inlineStr">
        <is>
          <t>pharmaceuticals - indian - bulk drugs &amp; formln</t>
        </is>
      </c>
      <c r="E152" s="30" t="inlineStr">
        <is>
          <t>largecap</t>
        </is>
      </c>
      <c r="F152" s="30" t="n">
        <v>63531.87</v>
      </c>
      <c r="G152" s="30" t="n">
        <v>2276</v>
      </c>
      <c r="H152" s="30" t="n">
        <v>1.1</v>
      </c>
      <c r="I152" s="30" t="n">
        <v>560626</v>
      </c>
      <c r="J152" s="30" t="inlineStr">
        <is>
          <t>532296</t>
        </is>
      </c>
    </row>
    <row r="153">
      <c r="A153" s="30" t="inlineStr">
        <is>
          <t>GRAPHITE</t>
        </is>
      </c>
      <c r="B153" s="30" t="inlineStr">
        <is>
          <t>Graphite India Limited</t>
        </is>
      </c>
      <c r="C153" s="30" t="inlineStr">
        <is>
          <t>industrials</t>
        </is>
      </c>
      <c r="D153" s="30" t="inlineStr">
        <is>
          <t>electrodes - graphites</t>
        </is>
      </c>
      <c r="E153" s="30" t="inlineStr">
        <is>
          <t>midcap</t>
        </is>
      </c>
      <c r="F153" s="30" t="n">
        <v>14123.7</v>
      </c>
      <c r="G153" s="30" t="n">
        <v>730.85</v>
      </c>
      <c r="H153" s="30" t="n">
        <v>1.1</v>
      </c>
      <c r="I153" s="30" t="n">
        <v>1179294</v>
      </c>
      <c r="J153" s="30" t="inlineStr">
        <is>
          <t>509488</t>
        </is>
      </c>
    </row>
    <row r="154">
      <c r="A154" s="30" t="inlineStr">
        <is>
          <t>SANGHVIMOV</t>
        </is>
      </c>
      <c r="B154" s="30" t="inlineStr">
        <is>
          <t>Sanghvi Movers Limited</t>
        </is>
      </c>
      <c r="C154" s="30" t="inlineStr">
        <is>
          <t>miscellaneous</t>
        </is>
      </c>
      <c r="D154" s="30" t="inlineStr">
        <is>
          <t>miscellaneous</t>
        </is>
      </c>
      <c r="E154" s="30" t="inlineStr">
        <is>
          <t>smallcap</t>
        </is>
      </c>
      <c r="F154" s="30" t="n">
        <v>4427.5</v>
      </c>
      <c r="G154" s="30" t="n">
        <v>516.95</v>
      </c>
      <c r="H154" s="30" t="n">
        <v>1.09</v>
      </c>
      <c r="I154" s="30" t="n">
        <v>496024</v>
      </c>
      <c r="J154" s="30" t="inlineStr">
        <is>
          <t>530073</t>
        </is>
      </c>
    </row>
    <row r="155">
      <c r="A155" s="30" t="inlineStr">
        <is>
          <t>THELEELA</t>
        </is>
      </c>
      <c r="B155" s="30" t="inlineStr">
        <is>
          <t>Leela Palaces Hotels &amp; Resorts Ltd</t>
        </is>
      </c>
      <c r="C155" s="30" t="inlineStr">
        <is>
          <t>services</t>
        </is>
      </c>
      <c r="D155" s="30" t="inlineStr">
        <is>
          <t>hotels</t>
        </is>
      </c>
      <c r="E155" s="30" t="inlineStr">
        <is>
          <t>midcap</t>
        </is>
      </c>
      <c r="F155" s="30" t="n">
        <v>16931.66</v>
      </c>
      <c r="G155" s="30" t="n">
        <v>512.25</v>
      </c>
      <c r="H155" s="30" t="n">
        <v>1.04</v>
      </c>
      <c r="I155" s="30" t="n">
        <v>268993</v>
      </c>
      <c r="J155" s="30" t="inlineStr">
        <is>
          <t>544408</t>
        </is>
      </c>
    </row>
    <row r="156">
      <c r="A156" s="30" t="inlineStr">
        <is>
          <t>RISHABH</t>
        </is>
      </c>
      <c r="B156" s="30" t="inlineStr">
        <is>
          <t>Rishabh Instruments Ltd</t>
        </is>
      </c>
      <c r="C156" s="30" t="inlineStr">
        <is>
          <t>industrials</t>
        </is>
      </c>
      <c r="D156" s="30" t="inlineStr">
        <is>
          <t>electric equipment</t>
        </is>
      </c>
      <c r="E156" s="30" t="inlineStr">
        <is>
          <t>smallcap</t>
        </is>
      </c>
      <c r="F156" s="30" t="n">
        <v>2589.91</v>
      </c>
      <c r="G156" s="30" t="n">
        <v>678.85</v>
      </c>
      <c r="H156" s="30" t="n">
        <v>1.03</v>
      </c>
      <c r="I156" s="30" t="n">
        <v>267950</v>
      </c>
      <c r="J156" s="30" t="inlineStr">
        <is>
          <t>543977</t>
        </is>
      </c>
    </row>
    <row r="157">
      <c r="A157" s="30" t="inlineStr">
        <is>
          <t>ARROWGREEN</t>
        </is>
      </c>
      <c r="B157" s="30" t="inlineStr">
        <is>
          <t>Arrow Greentech Limited</t>
        </is>
      </c>
      <c r="C157" s="30" t="inlineStr">
        <is>
          <t>plastic products</t>
        </is>
      </c>
      <c r="D157" s="30" t="inlineStr">
        <is>
          <t>plastics products</t>
        </is>
      </c>
      <c r="E157" s="30" t="inlineStr">
        <is>
          <t>smallcap</t>
        </is>
      </c>
      <c r="F157" s="30" t="n">
        <v>1165.24</v>
      </c>
      <c r="G157" s="30" t="n">
        <v>780</v>
      </c>
      <c r="H157" s="30" t="n">
        <v>1</v>
      </c>
      <c r="I157" s="30" t="n">
        <v>11312</v>
      </c>
      <c r="J157" s="30" t="inlineStr">
        <is>
          <t>516064</t>
        </is>
      </c>
    </row>
    <row r="158">
      <c r="A158" s="30" t="inlineStr">
        <is>
          <t>BLSE</t>
        </is>
      </c>
      <c r="B158" s="30" t="inlineStr">
        <is>
          <t>BLS E-Services Ltd</t>
        </is>
      </c>
      <c r="C158" s="30" t="inlineStr">
        <is>
          <t>i.t</t>
        </is>
      </c>
      <c r="D158" s="30" t="inlineStr">
        <is>
          <t>computers - software - medium / small</t>
        </is>
      </c>
      <c r="E158" s="30" t="inlineStr">
        <is>
          <t>smallcap</t>
        </is>
      </c>
      <c r="F158" s="30" t="n">
        <v>2857.44</v>
      </c>
      <c r="G158" s="30" t="n">
        <v>317.65</v>
      </c>
      <c r="H158" s="30" t="n">
        <v>1</v>
      </c>
      <c r="I158" s="30" t="n">
        <v>275655</v>
      </c>
      <c r="J158" s="30" t="inlineStr">
        <is>
          <t>544107</t>
        </is>
      </c>
    </row>
    <row r="159">
      <c r="A159" s="30" t="inlineStr">
        <is>
          <t>SHRIPISTON</t>
        </is>
      </c>
      <c r="B159" s="30" t="inlineStr">
        <is>
          <t>Shriram Pistons &amp; Rings Limited</t>
        </is>
      </c>
      <c r="C159" s="30" t="inlineStr">
        <is>
          <t>auto</t>
        </is>
      </c>
      <c r="D159" s="30" t="inlineStr">
        <is>
          <t>auto ancillaries</t>
        </is>
      </c>
      <c r="E159" s="30" t="inlineStr">
        <is>
          <t>midcap</t>
        </is>
      </c>
      <c r="F159" s="30" t="n">
        <v>19428.62</v>
      </c>
      <c r="G159" s="30" t="n">
        <v>4454</v>
      </c>
      <c r="H159" s="30" t="n">
        <v>0.98</v>
      </c>
      <c r="I159" s="30" t="n">
        <v>48153</v>
      </c>
      <c r="J159" s="30" t="n"/>
    </row>
    <row r="160">
      <c r="A160" s="30" t="inlineStr">
        <is>
          <t>SEAMECLTD</t>
        </is>
      </c>
      <c r="B160" s="30" t="inlineStr">
        <is>
          <t>Seamec Limited</t>
        </is>
      </c>
      <c r="C160" s="30" t="inlineStr">
        <is>
          <t>miscellaneous</t>
        </is>
      </c>
      <c r="D160" s="30" t="inlineStr">
        <is>
          <t>miscellaneous</t>
        </is>
      </c>
      <c r="E160" s="30" t="inlineStr">
        <is>
          <t>smallcap</t>
        </is>
      </c>
      <c r="F160" s="30" t="n">
        <v>3899.69</v>
      </c>
      <c r="G160" s="30" t="n">
        <v>1548.9</v>
      </c>
      <c r="H160" s="30" t="n">
        <v>0.98</v>
      </c>
      <c r="I160" s="30" t="n">
        <v>31387</v>
      </c>
      <c r="J160" s="30" t="inlineStr">
        <is>
          <t>526807</t>
        </is>
      </c>
    </row>
    <row r="161">
      <c r="A161" s="30" t="inlineStr">
        <is>
          <t>AARTIIND</t>
        </is>
      </c>
      <c r="B161" s="30" t="inlineStr">
        <is>
          <t>Aarti Industries Limited</t>
        </is>
      </c>
      <c r="C161" s="30" t="inlineStr">
        <is>
          <t>chemicals</t>
        </is>
      </c>
      <c r="D161" s="30" t="inlineStr">
        <is>
          <t>chemicals</t>
        </is>
      </c>
      <c r="E161" s="30" t="inlineStr">
        <is>
          <t>midcap</t>
        </is>
      </c>
      <c r="F161" s="30" t="n">
        <v>18156.28</v>
      </c>
      <c r="G161" s="30" t="n">
        <v>505.3</v>
      </c>
      <c r="H161" s="30" t="n">
        <v>0.95</v>
      </c>
      <c r="I161" s="30" t="n">
        <v>1309459</v>
      </c>
      <c r="J161" s="30" t="inlineStr">
        <is>
          <t>524208</t>
        </is>
      </c>
    </row>
    <row r="162">
      <c r="A162" s="30" t="inlineStr">
        <is>
          <t>BEML</t>
        </is>
      </c>
      <c r="B162" s="30" t="inlineStr">
        <is>
          <t>Beml Limited</t>
        </is>
      </c>
      <c r="C162" s="30" t="inlineStr">
        <is>
          <t>aerospace &amp; defence</t>
        </is>
      </c>
      <c r="D162" s="30" t="inlineStr">
        <is>
          <t>engineering</t>
        </is>
      </c>
      <c r="E162" s="30" t="inlineStr">
        <is>
          <t>midcap</t>
        </is>
      </c>
      <c r="F162" s="30" t="n">
        <v>15694.98</v>
      </c>
      <c r="G162" s="30" t="n">
        <v>1902.3</v>
      </c>
      <c r="H162" s="30" t="n">
        <v>0.95</v>
      </c>
      <c r="I162" s="30" t="n">
        <v>628419</v>
      </c>
      <c r="J162" s="30" t="inlineStr">
        <is>
          <t>500048</t>
        </is>
      </c>
    </row>
    <row r="163">
      <c r="A163" s="30" t="inlineStr">
        <is>
          <t>KMEW</t>
        </is>
      </c>
      <c r="B163" s="30" t="inlineStr">
        <is>
          <t>Knowledge Marine &amp; Engineering Works Ltd</t>
        </is>
      </c>
      <c r="C163" s="30" t="inlineStr">
        <is>
          <t>transportation</t>
        </is>
      </c>
      <c r="D163" s="30" t="inlineStr">
        <is>
          <t>miscellaneous</t>
        </is>
      </c>
      <c r="E163" s="30" t="inlineStr">
        <is>
          <t>midcap</t>
        </is>
      </c>
      <c r="F163" s="30" t="n">
        <v>6347.65</v>
      </c>
      <c r="G163" s="30" t="n">
        <v>2621.1</v>
      </c>
      <c r="H163" s="30" t="n">
        <v>0.9399999999999999</v>
      </c>
      <c r="I163" s="30" t="n">
        <v>58904</v>
      </c>
      <c r="J163" s="30" t="inlineStr">
        <is>
          <t>543273</t>
        </is>
      </c>
    </row>
    <row r="164">
      <c r="A164" s="30" t="inlineStr">
        <is>
          <t>UFLEX</t>
        </is>
      </c>
      <c r="B164" s="30" t="inlineStr">
        <is>
          <t>Uflex Limited</t>
        </is>
      </c>
      <c r="C164" s="30" t="inlineStr">
        <is>
          <t>industrials</t>
        </is>
      </c>
      <c r="D164" s="30" t="inlineStr">
        <is>
          <t>packaging</t>
        </is>
      </c>
      <c r="E164" s="30" t="inlineStr">
        <is>
          <t>smallcap</t>
        </is>
      </c>
      <c r="F164" s="30" t="n">
        <v>3556.05</v>
      </c>
      <c r="G164" s="30" t="n">
        <v>497.05</v>
      </c>
      <c r="H164" s="30" t="n">
        <v>0.93</v>
      </c>
      <c r="I164" s="30" t="n">
        <v>101966</v>
      </c>
      <c r="J164" s="30" t="inlineStr">
        <is>
          <t>500148</t>
        </is>
      </c>
    </row>
    <row r="165">
      <c r="A165" s="30" t="inlineStr">
        <is>
          <t>AYMSYNTEX</t>
        </is>
      </c>
      <c r="B165" s="30" t="inlineStr">
        <is>
          <t>Aym Syntex Limited</t>
        </is>
      </c>
      <c r="C165" s="30" t="inlineStr">
        <is>
          <t>textiles</t>
        </is>
      </c>
      <c r="D165" s="30" t="inlineStr">
        <is>
          <t>textiles - processing</t>
        </is>
      </c>
      <c r="E165" s="30" t="inlineStr">
        <is>
          <t>smallcap</t>
        </is>
      </c>
      <c r="F165" s="30" t="n">
        <v>1507.12</v>
      </c>
      <c r="G165" s="30" t="n">
        <v>258.95</v>
      </c>
      <c r="H165" s="30" t="n">
        <v>0.92</v>
      </c>
      <c r="I165" s="30" t="n">
        <v>74206</v>
      </c>
      <c r="J165" s="30" t="inlineStr">
        <is>
          <t>508933</t>
        </is>
      </c>
    </row>
    <row r="166">
      <c r="A166" s="30" t="inlineStr">
        <is>
          <t>KARURVYSYA</t>
        </is>
      </c>
      <c r="B166" s="30" t="inlineStr">
        <is>
          <t>Karur Vysya Bank Limited</t>
        </is>
      </c>
      <c r="C166" s="30" t="inlineStr">
        <is>
          <t>bank</t>
        </is>
      </c>
      <c r="D166" s="30" t="inlineStr">
        <is>
          <t>banks - private sector</t>
        </is>
      </c>
      <c r="E166" s="30" t="inlineStr">
        <is>
          <t>largecap</t>
        </is>
      </c>
      <c r="F166" s="30" t="n">
        <v>32016.07</v>
      </c>
      <c r="G166" s="30" t="n">
        <v>334.2</v>
      </c>
      <c r="H166" s="30" t="n">
        <v>0.91</v>
      </c>
      <c r="I166" s="30" t="n">
        <v>1149593</v>
      </c>
      <c r="J166" s="30" t="inlineStr">
        <is>
          <t>590003</t>
        </is>
      </c>
    </row>
    <row r="167">
      <c r="A167" s="30" t="inlineStr">
        <is>
          <t>INDOBORAX</t>
        </is>
      </c>
      <c r="B167" s="30" t="inlineStr">
        <is>
          <t>Indo Borax &amp; Chemicals Ltd</t>
        </is>
      </c>
      <c r="C167" s="30" t="inlineStr">
        <is>
          <t>chemicals</t>
        </is>
      </c>
      <c r="D167" s="30" t="inlineStr">
        <is>
          <t>chemicals</t>
        </is>
      </c>
      <c r="E167" s="30" t="inlineStr">
        <is>
          <t>smallcap</t>
        </is>
      </c>
      <c r="F167" s="30" t="n">
        <v>1378.27</v>
      </c>
      <c r="G167" s="30" t="n">
        <v>433.4</v>
      </c>
      <c r="H167" s="30" t="n">
        <v>0.91</v>
      </c>
      <c r="I167" s="30" t="n">
        <v>258978</v>
      </c>
      <c r="J167" s="30" t="inlineStr">
        <is>
          <t>524342</t>
        </is>
      </c>
    </row>
    <row r="168">
      <c r="A168" s="30" t="inlineStr">
        <is>
          <t>APLLTD</t>
        </is>
      </c>
      <c r="B168" s="30" t="inlineStr">
        <is>
          <t>Alembic Pharmaceuticals Limited</t>
        </is>
      </c>
      <c r="C168" s="30" t="inlineStr">
        <is>
          <t>healthcare</t>
        </is>
      </c>
      <c r="D168" s="30" t="inlineStr">
        <is>
          <t>pharmaceuticals - indian - bulk drugs &amp; formln</t>
        </is>
      </c>
      <c r="E168" s="30" t="inlineStr">
        <is>
          <t>midcap</t>
        </is>
      </c>
      <c r="F168" s="30" t="n">
        <v>16341.28</v>
      </c>
      <c r="G168" s="30" t="n">
        <v>838.95</v>
      </c>
      <c r="H168" s="30" t="n">
        <v>0.91</v>
      </c>
      <c r="I168" s="30" t="n">
        <v>217637</v>
      </c>
      <c r="J168" s="30" t="inlineStr">
        <is>
          <t>533573</t>
        </is>
      </c>
    </row>
    <row r="169">
      <c r="A169" s="30" t="inlineStr">
        <is>
          <t>UEL</t>
        </is>
      </c>
      <c r="B169" s="30" t="inlineStr">
        <is>
          <t>Ujaas Energy Ltd</t>
        </is>
      </c>
      <c r="C169" s="30" t="inlineStr">
        <is>
          <t>power &amp; utilities</t>
        </is>
      </c>
      <c r="D169" s="30" t="inlineStr">
        <is>
          <t>power generation and supply</t>
        </is>
      </c>
      <c r="E169" s="30" t="inlineStr">
        <is>
          <t>smallcap</t>
        </is>
      </c>
      <c r="F169" s="30" t="n">
        <v>3610.68</v>
      </c>
      <c r="G169" s="30" t="n">
        <v>273.12</v>
      </c>
      <c r="H169" s="30" t="n">
        <v>0.91</v>
      </c>
      <c r="I169" s="30" t="n">
        <v>135937</v>
      </c>
      <c r="J169" s="30" t="inlineStr">
        <is>
          <t>533644</t>
        </is>
      </c>
    </row>
    <row r="170">
      <c r="A170" s="30" t="inlineStr">
        <is>
          <t>MPHASIS</t>
        </is>
      </c>
      <c r="B170" s="30" t="inlineStr">
        <is>
          <t>Mphasis Limited</t>
        </is>
      </c>
      <c r="C170" s="30" t="inlineStr">
        <is>
          <t>i.t</t>
        </is>
      </c>
      <c r="D170" s="30" t="inlineStr">
        <is>
          <t>computers - software - large</t>
        </is>
      </c>
      <c r="E170" s="30" t="inlineStr">
        <is>
          <t>largecap</t>
        </is>
      </c>
      <c r="F170" s="30" t="n">
        <v>47870.98</v>
      </c>
      <c r="G170" s="30" t="n">
        <v>2530</v>
      </c>
      <c r="H170" s="30" t="n">
        <v>0.88</v>
      </c>
      <c r="I170" s="30" t="n">
        <v>1067649</v>
      </c>
      <c r="J170" s="30" t="inlineStr">
        <is>
          <t>526299</t>
        </is>
      </c>
    </row>
    <row r="171">
      <c r="A171" s="30" t="inlineStr">
        <is>
          <t>LTF</t>
        </is>
      </c>
      <c r="B171" s="30" t="inlineStr">
        <is>
          <t>L&amp;T Finance Ltd</t>
        </is>
      </c>
      <c r="C171" s="30" t="inlineStr">
        <is>
          <t>financials</t>
        </is>
      </c>
      <c r="D171" s="30" t="inlineStr">
        <is>
          <t>finance &amp; investments</t>
        </is>
      </c>
      <c r="E171" s="30" t="inlineStr">
        <is>
          <t>largecap</t>
        </is>
      </c>
      <c r="F171" s="30" t="n">
        <v>78384.75999999999</v>
      </c>
      <c r="G171" s="30" t="n">
        <v>315.4</v>
      </c>
      <c r="H171" s="30" t="n">
        <v>0.82</v>
      </c>
      <c r="I171" s="30" t="n">
        <v>4687188</v>
      </c>
      <c r="J171" s="30" t="inlineStr">
        <is>
          <t>533519</t>
        </is>
      </c>
    </row>
    <row r="172">
      <c r="A172" s="30" t="inlineStr">
        <is>
          <t>GNFC</t>
        </is>
      </c>
      <c r="B172" s="30" t="inlineStr">
        <is>
          <t>Gujarat Narmada Valley Fertilizers And Chemicals Limited</t>
        </is>
      </c>
      <c r="C172" s="30" t="inlineStr">
        <is>
          <t>chemicals</t>
        </is>
      </c>
      <c r="D172" s="30" t="inlineStr">
        <is>
          <t>chemicals</t>
        </is>
      </c>
      <c r="E172" s="30" t="inlineStr">
        <is>
          <t>midcap</t>
        </is>
      </c>
      <c r="F172" s="30" t="n">
        <v>7995.04</v>
      </c>
      <c r="G172" s="30" t="n">
        <v>548.4</v>
      </c>
      <c r="H172" s="30" t="n">
        <v>0.79</v>
      </c>
      <c r="I172" s="30" t="n">
        <v>347450</v>
      </c>
      <c r="J172" s="30" t="inlineStr">
        <is>
          <t>500670</t>
        </is>
      </c>
    </row>
    <row r="173">
      <c r="A173" s="30" t="inlineStr">
        <is>
          <t>PRICOLLTD</t>
        </is>
      </c>
      <c r="B173" s="30" t="inlineStr">
        <is>
          <t>Pricol Ltd.</t>
        </is>
      </c>
      <c r="C173" s="30" t="inlineStr">
        <is>
          <t>auto</t>
        </is>
      </c>
      <c r="D173" s="30" t="inlineStr">
        <is>
          <t>auto ancillaries</t>
        </is>
      </c>
      <c r="E173" s="30" t="inlineStr">
        <is>
          <t>midcap</t>
        </is>
      </c>
      <c r="F173" s="30" t="n">
        <v>8931.48</v>
      </c>
      <c r="G173" s="30" t="n">
        <v>738.6</v>
      </c>
      <c r="H173" s="30" t="n">
        <v>0.79</v>
      </c>
      <c r="I173" s="30" t="n">
        <v>386743</v>
      </c>
      <c r="J173" s="30" t="inlineStr">
        <is>
          <t>540293</t>
        </is>
      </c>
    </row>
    <row r="174">
      <c r="A174" s="30" t="inlineStr">
        <is>
          <t>ALIVUS</t>
        </is>
      </c>
      <c r="B174" s="30" t="inlineStr">
        <is>
          <t>Alivus Life Sciences Ltd</t>
        </is>
      </c>
      <c r="C174" s="30" t="inlineStr">
        <is>
          <t>healthcare</t>
        </is>
      </c>
      <c r="D174" s="30" t="inlineStr">
        <is>
          <t>pharmaceuticals - indian - bulk drugs &amp; formln</t>
        </is>
      </c>
      <c r="E174" s="30" t="inlineStr">
        <is>
          <t>midcap</t>
        </is>
      </c>
      <c r="F174" s="30" t="n">
        <v>16870.11</v>
      </c>
      <c r="G174" s="30" t="n">
        <v>1385.2</v>
      </c>
      <c r="H174" s="30" t="n">
        <v>0.78</v>
      </c>
      <c r="I174" s="30" t="n">
        <v>188900</v>
      </c>
      <c r="J174" s="30" t="inlineStr">
        <is>
          <t>543322</t>
        </is>
      </c>
    </row>
    <row r="175">
      <c r="A175" s="30" t="inlineStr">
        <is>
          <t>PARACABLES</t>
        </is>
      </c>
      <c r="B175" s="30" t="inlineStr">
        <is>
          <t>Paramount Communications Limited</t>
        </is>
      </c>
      <c r="C175" s="30" t="inlineStr">
        <is>
          <t>industrials</t>
        </is>
      </c>
      <c r="D175" s="30" t="inlineStr">
        <is>
          <t>cables - power</t>
        </is>
      </c>
      <c r="E175" s="30" t="inlineStr">
        <is>
          <t>smallcap</t>
        </is>
      </c>
      <c r="F175" s="30" t="n">
        <v>2204.4</v>
      </c>
      <c r="G175" s="30" t="n">
        <v>67.89</v>
      </c>
      <c r="H175" s="30" t="n">
        <v>0.77</v>
      </c>
      <c r="I175" s="30" t="n">
        <v>1069561</v>
      </c>
      <c r="J175" s="30" t="inlineStr">
        <is>
          <t>530555</t>
        </is>
      </c>
    </row>
    <row r="176">
      <c r="A176" s="30" t="inlineStr">
        <is>
          <t>MOTHERSON</t>
        </is>
      </c>
      <c r="B176" s="30" t="inlineStr">
        <is>
          <t>Samvardhana Motherson International Ltd</t>
        </is>
      </c>
      <c r="C176" s="30" t="inlineStr">
        <is>
          <t>auto</t>
        </is>
      </c>
      <c r="D176" s="30" t="inlineStr">
        <is>
          <t>auto ancillaries</t>
        </is>
      </c>
      <c r="E176" s="30" t="inlineStr">
        <is>
          <t>largecap</t>
        </is>
      </c>
      <c r="F176" s="30" t="n">
        <v>177304.08</v>
      </c>
      <c r="G176" s="30" t="n">
        <v>169.26</v>
      </c>
      <c r="H176" s="30" t="n">
        <v>0.76</v>
      </c>
      <c r="I176" s="30" t="n">
        <v>33922277</v>
      </c>
      <c r="J176" s="30" t="inlineStr">
        <is>
          <t>517334</t>
        </is>
      </c>
    </row>
    <row r="177">
      <c r="A177" s="30" t="inlineStr">
        <is>
          <t>AVALON</t>
        </is>
      </c>
      <c r="B177" s="30" t="inlineStr">
        <is>
          <t>Avalon Technologies Ltd</t>
        </is>
      </c>
      <c r="C177" s="30" t="inlineStr">
        <is>
          <t>consumer discretionary</t>
        </is>
      </c>
      <c r="D177" s="30" t="inlineStr">
        <is>
          <t>electronics - components</t>
        </is>
      </c>
      <c r="E177" s="30" t="inlineStr">
        <is>
          <t>midcap</t>
        </is>
      </c>
      <c r="F177" s="30" t="n">
        <v>12852.58</v>
      </c>
      <c r="G177" s="30" t="n">
        <v>1938.3</v>
      </c>
      <c r="H177" s="30" t="n">
        <v>0.76</v>
      </c>
      <c r="I177" s="30" t="n">
        <v>212948</v>
      </c>
      <c r="J177" s="30" t="inlineStr">
        <is>
          <t>543896</t>
        </is>
      </c>
    </row>
    <row r="178">
      <c r="A178" s="30" t="inlineStr">
        <is>
          <t>TITAN</t>
        </is>
      </c>
      <c r="B178" s="30" t="inlineStr">
        <is>
          <t>Titan Company Limited</t>
        </is>
      </c>
      <c r="C178" s="30" t="inlineStr">
        <is>
          <t>consumer discretionary</t>
        </is>
      </c>
      <c r="D178" s="30" t="inlineStr">
        <is>
          <t>diamond cutting / jewellery</t>
        </is>
      </c>
      <c r="E178" s="30" t="inlineStr">
        <is>
          <t>largecap</t>
        </is>
      </c>
      <c r="F178" s="30" t="n">
        <v>451883.16</v>
      </c>
      <c r="G178" s="30" t="n">
        <v>5128</v>
      </c>
      <c r="H178" s="30" t="n">
        <v>0.75</v>
      </c>
      <c r="I178" s="30" t="n">
        <v>3277829</v>
      </c>
      <c r="J178" s="30" t="inlineStr">
        <is>
          <t>500114</t>
        </is>
      </c>
    </row>
    <row r="179">
      <c r="A179" s="30" t="inlineStr">
        <is>
          <t>UNIONBANK</t>
        </is>
      </c>
      <c r="B179" s="30" t="inlineStr">
        <is>
          <t>Union Bank Of India Ltd</t>
        </is>
      </c>
      <c r="C179" s="30" t="inlineStr">
        <is>
          <t>bank</t>
        </is>
      </c>
      <c r="D179" s="30" t="inlineStr">
        <is>
          <t>banks - public sector</t>
        </is>
      </c>
      <c r="E179" s="30" t="inlineStr">
        <is>
          <t>largecap</t>
        </is>
      </c>
      <c r="F179" s="30" t="n">
        <v>138275.13</v>
      </c>
      <c r="G179" s="30" t="n">
        <v>182.5</v>
      </c>
      <c r="H179" s="30" t="n">
        <v>0.75</v>
      </c>
      <c r="I179" s="30" t="n">
        <v>29338706</v>
      </c>
      <c r="J179" s="30" t="inlineStr">
        <is>
          <t>532477</t>
        </is>
      </c>
    </row>
    <row r="180">
      <c r="A180" s="30" t="inlineStr">
        <is>
          <t>KIRLOSBROS</t>
        </is>
      </c>
      <c r="B180" s="30" t="inlineStr">
        <is>
          <t>Kirloskar Brothers Limited</t>
        </is>
      </c>
      <c r="C180" s="30" t="inlineStr">
        <is>
          <t>industrials</t>
        </is>
      </c>
      <c r="D180" s="30" t="inlineStr">
        <is>
          <t>pumps</t>
        </is>
      </c>
      <c r="E180" s="30" t="inlineStr">
        <is>
          <t>midcap</t>
        </is>
      </c>
      <c r="F180" s="30" t="n">
        <v>15418.04</v>
      </c>
      <c r="G180" s="30" t="n">
        <v>1955.9</v>
      </c>
      <c r="H180" s="30" t="n">
        <v>0.74</v>
      </c>
      <c r="I180" s="30" t="n">
        <v>63639</v>
      </c>
      <c r="J180" s="30" t="inlineStr">
        <is>
          <t>500241</t>
        </is>
      </c>
    </row>
    <row r="181">
      <c r="A181" s="30" t="inlineStr">
        <is>
          <t>BIL</t>
        </is>
      </c>
      <c r="B181" s="30" t="inlineStr">
        <is>
          <t>Bhartiya International Limited</t>
        </is>
      </c>
      <c r="C181" s="30" t="inlineStr">
        <is>
          <t>consumer discretionary</t>
        </is>
      </c>
      <c r="D181" s="30" t="inlineStr">
        <is>
          <t>leather / leather products</t>
        </is>
      </c>
      <c r="E181" s="30" t="inlineStr">
        <is>
          <t>smallcap</t>
        </is>
      </c>
      <c r="F181" s="30" t="n">
        <v>1109.24</v>
      </c>
      <c r="G181" s="30" t="n">
        <v>833</v>
      </c>
      <c r="H181" s="30" t="n">
        <v>0.71</v>
      </c>
      <c r="I181" s="30" t="n">
        <v>3250</v>
      </c>
      <c r="J181" s="30" t="inlineStr">
        <is>
          <t>526666</t>
        </is>
      </c>
    </row>
    <row r="182">
      <c r="A182" s="30" t="inlineStr">
        <is>
          <t>GRANULES</t>
        </is>
      </c>
      <c r="B182" s="30" t="inlineStr">
        <is>
          <t>Granules India Limited</t>
        </is>
      </c>
      <c r="C182" s="30" t="inlineStr">
        <is>
          <t>healthcare</t>
        </is>
      </c>
      <c r="D182" s="30" t="inlineStr">
        <is>
          <t>pharmaceuticals - indian - bulk drugs &amp; formln</t>
        </is>
      </c>
      <c r="E182" s="30" t="inlineStr">
        <is>
          <t>largecap</t>
        </is>
      </c>
      <c r="F182" s="30" t="n">
        <v>21190.35</v>
      </c>
      <c r="G182" s="30" t="n">
        <v>861</v>
      </c>
      <c r="H182" s="30" t="n">
        <v>0.68</v>
      </c>
      <c r="I182" s="30" t="n">
        <v>377281</v>
      </c>
      <c r="J182" s="30" t="inlineStr">
        <is>
          <t>532482</t>
        </is>
      </c>
    </row>
    <row r="183">
      <c r="A183" s="30" t="inlineStr">
        <is>
          <t>PRUDENT</t>
        </is>
      </c>
      <c r="B183" s="30" t="inlineStr">
        <is>
          <t>Prudent Corporate Advisory Services Ltd</t>
        </is>
      </c>
      <c r="C183" s="30" t="inlineStr">
        <is>
          <t>financials</t>
        </is>
      </c>
      <c r="D183" s="30" t="inlineStr">
        <is>
          <t>finance &amp; investments</t>
        </is>
      </c>
      <c r="E183" s="30" t="inlineStr">
        <is>
          <t>midcap</t>
        </is>
      </c>
      <c r="F183" s="30" t="n">
        <v>13994.22</v>
      </c>
      <c r="G183" s="30" t="n">
        <v>3401.4</v>
      </c>
      <c r="H183" s="30" t="n">
        <v>0.64</v>
      </c>
      <c r="I183" s="30" t="n">
        <v>71894</v>
      </c>
      <c r="J183" s="30" t="inlineStr">
        <is>
          <t>543527</t>
        </is>
      </c>
    </row>
    <row r="184">
      <c r="A184" s="30" t="inlineStr">
        <is>
          <t>MBAPL</t>
        </is>
      </c>
      <c r="B184" s="30" t="inlineStr">
        <is>
          <t>Madhya Bharat Agro Products Ltd</t>
        </is>
      </c>
      <c r="C184" s="30" t="inlineStr">
        <is>
          <t>chemicals</t>
        </is>
      </c>
      <c r="D184" s="30" t="inlineStr">
        <is>
          <t>fertilizers</t>
        </is>
      </c>
      <c r="E184" s="30" t="inlineStr">
        <is>
          <t>smallcap</t>
        </is>
      </c>
      <c r="F184" s="30" t="n">
        <v>1440.94</v>
      </c>
      <c r="G184" s="30" t="n">
        <v>165.49</v>
      </c>
      <c r="H184" s="30" t="n">
        <v>0.64</v>
      </c>
      <c r="I184" s="30" t="n">
        <v>1522875</v>
      </c>
      <c r="J184" s="30" t="inlineStr">
        <is>
          <t>538370</t>
        </is>
      </c>
    </row>
    <row r="185">
      <c r="A185" s="30" t="inlineStr">
        <is>
          <t>ENDURANCE</t>
        </is>
      </c>
      <c r="B185" s="30" t="inlineStr">
        <is>
          <t>Endurance Technologies Limited</t>
        </is>
      </c>
      <c r="C185" s="30" t="inlineStr">
        <is>
          <t>auto</t>
        </is>
      </c>
      <c r="D185" s="30" t="inlineStr">
        <is>
          <t>auto ancillaries</t>
        </is>
      </c>
      <c r="E185" s="30" t="inlineStr">
        <is>
          <t>largecap</t>
        </is>
      </c>
      <c r="F185" s="30" t="n">
        <v>41762.8</v>
      </c>
      <c r="G185" s="30" t="n">
        <v>2987.8</v>
      </c>
      <c r="H185" s="30" t="n">
        <v>0.63</v>
      </c>
      <c r="I185" s="30" t="n">
        <v>216602</v>
      </c>
      <c r="J185" s="30" t="inlineStr">
        <is>
          <t>540153</t>
        </is>
      </c>
    </row>
    <row r="186">
      <c r="A186" s="30" t="inlineStr">
        <is>
          <t>HINDOILEXP</t>
        </is>
      </c>
      <c r="B186" s="30" t="inlineStr">
        <is>
          <t>Hindustan Oil Exploration Company Limited</t>
        </is>
      </c>
      <c r="C186" s="30" t="inlineStr">
        <is>
          <t>energy</t>
        </is>
      </c>
      <c r="D186" s="30" t="inlineStr">
        <is>
          <t>oil drilling / allied services</t>
        </is>
      </c>
      <c r="E186" s="30" t="inlineStr">
        <is>
          <t>smallcap</t>
        </is>
      </c>
      <c r="F186" s="30" t="n">
        <v>2166.67</v>
      </c>
      <c r="G186" s="30" t="n">
        <v>164.85</v>
      </c>
      <c r="H186" s="30" t="n">
        <v>0.62</v>
      </c>
      <c r="I186" s="30" t="n">
        <v>563383</v>
      </c>
      <c r="J186" s="30" t="inlineStr">
        <is>
          <t>500186</t>
        </is>
      </c>
    </row>
    <row r="187">
      <c r="A187" s="30" t="inlineStr">
        <is>
          <t>SPAL</t>
        </is>
      </c>
      <c r="B187" s="30" t="inlineStr">
        <is>
          <t>S. P. Apparels Limited</t>
        </is>
      </c>
      <c r="C187" s="30" t="inlineStr">
        <is>
          <t>consumer discretionary</t>
        </is>
      </c>
      <c r="D187" s="30" t="inlineStr">
        <is>
          <t>textiles - products</t>
        </is>
      </c>
      <c r="E187" s="30" t="inlineStr">
        <is>
          <t>smallcap</t>
        </is>
      </c>
      <c r="F187" s="30" t="n">
        <v>2684.71</v>
      </c>
      <c r="G187" s="30" t="n">
        <v>1074.5</v>
      </c>
      <c r="H187" s="30" t="n">
        <v>0.61</v>
      </c>
      <c r="I187" s="30" t="n">
        <v>70346</v>
      </c>
      <c r="J187" s="30" t="inlineStr">
        <is>
          <t>540048</t>
        </is>
      </c>
    </row>
    <row r="188">
      <c r="A188" s="30" t="inlineStr">
        <is>
          <t>PAYTM</t>
        </is>
      </c>
      <c r="B188" s="30" t="inlineStr">
        <is>
          <t>One 97 Communications Ltd</t>
        </is>
      </c>
      <c r="C188" s="30" t="inlineStr">
        <is>
          <t>i.t</t>
        </is>
      </c>
      <c r="D188" s="30" t="inlineStr">
        <is>
          <t>miscellaneous</t>
        </is>
      </c>
      <c r="E188" s="30" t="inlineStr">
        <is>
          <t>largecap</t>
        </is>
      </c>
      <c r="F188" s="30" t="n">
        <v>101435.79</v>
      </c>
      <c r="G188" s="30" t="n">
        <v>1593.7</v>
      </c>
      <c r="H188" s="30" t="n">
        <v>0.61</v>
      </c>
      <c r="I188" s="30" t="n">
        <v>16788510</v>
      </c>
      <c r="J188" s="30" t="inlineStr">
        <is>
          <t>543396</t>
        </is>
      </c>
    </row>
    <row r="189">
      <c r="A189" s="30" t="inlineStr">
        <is>
          <t>AUROPHARMA</t>
        </is>
      </c>
      <c r="B189" s="30" t="inlineStr">
        <is>
          <t>Aurobindo Pharma Limited</t>
        </is>
      </c>
      <c r="C189" s="30" t="inlineStr">
        <is>
          <t>healthcare</t>
        </is>
      </c>
      <c r="D189" s="30" t="inlineStr">
        <is>
          <t>pharmaceuticals - indian - bulk drugs &amp; formln</t>
        </is>
      </c>
      <c r="E189" s="30" t="inlineStr">
        <is>
          <t>largecap</t>
        </is>
      </c>
      <c r="F189" s="30" t="n">
        <v>94822.28</v>
      </c>
      <c r="G189" s="30" t="n">
        <v>1658</v>
      </c>
      <c r="H189" s="30" t="n">
        <v>0.61</v>
      </c>
      <c r="I189" s="30" t="n">
        <v>831376</v>
      </c>
      <c r="J189" s="30" t="inlineStr">
        <is>
          <t>524804</t>
        </is>
      </c>
    </row>
    <row r="190">
      <c r="A190" s="30" t="inlineStr">
        <is>
          <t>SENCO</t>
        </is>
      </c>
      <c r="B190" s="30" t="inlineStr">
        <is>
          <t>Senco Gold Ltd</t>
        </is>
      </c>
      <c r="C190" s="30" t="inlineStr">
        <is>
          <t>consumer discretionary</t>
        </is>
      </c>
      <c r="D190" s="30" t="inlineStr">
        <is>
          <t>diamond cutting / jewellery</t>
        </is>
      </c>
      <c r="E190" s="30" t="inlineStr">
        <is>
          <t>midcap</t>
        </is>
      </c>
      <c r="F190" s="30" t="n">
        <v>6534.7</v>
      </c>
      <c r="G190" s="30" t="n">
        <v>401.25</v>
      </c>
      <c r="H190" s="30" t="n">
        <v>0.6</v>
      </c>
      <c r="I190" s="30" t="n">
        <v>1263839</v>
      </c>
      <c r="J190" s="30" t="inlineStr">
        <is>
          <t>543936</t>
        </is>
      </c>
    </row>
    <row r="191">
      <c r="A191" s="30" t="inlineStr">
        <is>
          <t>ORIENTELEC</t>
        </is>
      </c>
      <c r="B191" s="30" t="inlineStr">
        <is>
          <t>Orient Electric Ltd</t>
        </is>
      </c>
      <c r="C191" s="30" t="inlineStr">
        <is>
          <t>consumer discretionary</t>
        </is>
      </c>
      <c r="D191" s="30" t="inlineStr">
        <is>
          <t>domestic appliances</t>
        </is>
      </c>
      <c r="E191" s="30" t="inlineStr">
        <is>
          <t>smallcap</t>
        </is>
      </c>
      <c r="F191" s="30" t="n">
        <v>4048.62</v>
      </c>
      <c r="G191" s="30" t="n">
        <v>190.88</v>
      </c>
      <c r="H191" s="30" t="n">
        <v>0.6</v>
      </c>
      <c r="I191" s="30" t="n">
        <v>285838</v>
      </c>
      <c r="J191" s="30" t="inlineStr">
        <is>
          <t>541301</t>
        </is>
      </c>
    </row>
    <row r="192">
      <c r="A192" s="30" t="inlineStr">
        <is>
          <t>HFCL</t>
        </is>
      </c>
      <c r="B192" s="30" t="inlineStr">
        <is>
          <t>HFCL Ltd</t>
        </is>
      </c>
      <c r="C192" s="30" t="inlineStr">
        <is>
          <t>telecom</t>
        </is>
      </c>
      <c r="D192" s="30" t="inlineStr">
        <is>
          <t>cables - telephone</t>
        </is>
      </c>
      <c r="E192" s="30" t="inlineStr">
        <is>
          <t>largecap</t>
        </is>
      </c>
      <c r="F192" s="30" t="n">
        <v>32597.24</v>
      </c>
      <c r="G192" s="30" t="n">
        <v>214.24</v>
      </c>
      <c r="H192" s="30" t="n">
        <v>0.6</v>
      </c>
      <c r="I192" s="30" t="n">
        <v>15006611</v>
      </c>
      <c r="J192" s="30" t="inlineStr">
        <is>
          <t>500183</t>
        </is>
      </c>
    </row>
    <row r="193">
      <c r="A193" s="30" t="inlineStr">
        <is>
          <t>TATVA</t>
        </is>
      </c>
      <c r="B193" s="30" t="inlineStr">
        <is>
          <t>Tatva Chintan Pharma Chem Ltd</t>
        </is>
      </c>
      <c r="C193" s="30" t="inlineStr">
        <is>
          <t>chemicals</t>
        </is>
      </c>
      <c r="D193" s="30" t="inlineStr">
        <is>
          <t>chemicals</t>
        </is>
      </c>
      <c r="E193" s="30" t="inlineStr">
        <is>
          <t>smallcap</t>
        </is>
      </c>
      <c r="F193" s="30" t="n">
        <v>4153.49</v>
      </c>
      <c r="G193" s="30" t="n">
        <v>1785.5</v>
      </c>
      <c r="H193" s="30" t="n">
        <v>0.5600000000000001</v>
      </c>
      <c r="I193" s="30" t="n">
        <v>39485</v>
      </c>
      <c r="J193" s="30" t="inlineStr">
        <is>
          <t>543321</t>
        </is>
      </c>
    </row>
    <row r="194">
      <c r="A194" s="30" t="inlineStr">
        <is>
          <t>UJJIVANSFB</t>
        </is>
      </c>
      <c r="B194" s="30" t="inlineStr">
        <is>
          <t>Ujjivan Small Finance Bank Ltd</t>
        </is>
      </c>
      <c r="C194" s="30" t="inlineStr">
        <is>
          <t>bank</t>
        </is>
      </c>
      <c r="D194" s="30" t="inlineStr">
        <is>
          <t>banks - private sector</t>
        </is>
      </c>
      <c r="E194" s="30" t="inlineStr">
        <is>
          <t>midcap</t>
        </is>
      </c>
      <c r="F194" s="30" t="n">
        <v>13570.1</v>
      </c>
      <c r="G194" s="30" t="n">
        <v>70.14</v>
      </c>
      <c r="H194" s="30" t="n">
        <v>0.54</v>
      </c>
      <c r="I194" s="30" t="n">
        <v>9889163</v>
      </c>
      <c r="J194" s="30" t="inlineStr">
        <is>
          <t>542904</t>
        </is>
      </c>
    </row>
    <row r="195">
      <c r="A195" s="30" t="inlineStr">
        <is>
          <t>BAJAJFINSV</t>
        </is>
      </c>
      <c r="B195" s="30" t="inlineStr">
        <is>
          <t>Bajaj Finserv Limited</t>
        </is>
      </c>
      <c r="C195" s="30" t="inlineStr">
        <is>
          <t>financials</t>
        </is>
      </c>
      <c r="D195" s="30" t="inlineStr">
        <is>
          <t>finance &amp; investments</t>
        </is>
      </c>
      <c r="E195" s="30" t="inlineStr">
        <is>
          <t>largecap</t>
        </is>
      </c>
      <c r="F195" s="30" t="n">
        <v>323519.17</v>
      </c>
      <c r="G195" s="30" t="n">
        <v>2032</v>
      </c>
      <c r="H195" s="30" t="n">
        <v>0.53</v>
      </c>
      <c r="I195" s="30" t="n">
        <v>2083132</v>
      </c>
      <c r="J195" s="30" t="inlineStr">
        <is>
          <t>532978</t>
        </is>
      </c>
    </row>
    <row r="196">
      <c r="A196" s="30" t="inlineStr">
        <is>
          <t>COFORGE</t>
        </is>
      </c>
      <c r="B196" s="30" t="inlineStr">
        <is>
          <t>Coforge (Niit Tech) Ltd</t>
        </is>
      </c>
      <c r="C196" s="30" t="inlineStr">
        <is>
          <t>i.t</t>
        </is>
      </c>
      <c r="D196" s="30" t="inlineStr">
        <is>
          <t>computers - software - large</t>
        </is>
      </c>
      <c r="E196" s="30" t="inlineStr">
        <is>
          <t>largecap</t>
        </is>
      </c>
      <c r="F196" s="30" t="n">
        <v>80127.03999999999</v>
      </c>
      <c r="G196" s="30" t="n">
        <v>1819</v>
      </c>
      <c r="H196" s="30" t="n">
        <v>0.5</v>
      </c>
      <c r="I196" s="30" t="n">
        <v>3352464</v>
      </c>
      <c r="J196" s="30" t="inlineStr">
        <is>
          <t>532541</t>
        </is>
      </c>
    </row>
    <row r="197">
      <c r="A197" s="30" t="inlineStr">
        <is>
          <t>ASHOKLEY</t>
        </is>
      </c>
      <c r="B197" s="30" t="inlineStr">
        <is>
          <t>Ashok Leyland Limited</t>
        </is>
      </c>
      <c r="C197" s="30" t="inlineStr">
        <is>
          <t>auto</t>
        </is>
      </c>
      <c r="D197" s="30" t="inlineStr">
        <is>
          <t>automobiles - lcvs / hcvs</t>
        </is>
      </c>
      <c r="E197" s="30" t="inlineStr">
        <is>
          <t>largecap</t>
        </is>
      </c>
      <c r="F197" s="30" t="n">
        <v>102205.07</v>
      </c>
      <c r="G197" s="30" t="n">
        <v>174.83</v>
      </c>
      <c r="H197" s="30" t="n">
        <v>0.48</v>
      </c>
      <c r="I197" s="30" t="n">
        <v>32413326</v>
      </c>
      <c r="J197" s="30" t="inlineStr">
        <is>
          <t>500477</t>
        </is>
      </c>
    </row>
    <row r="198">
      <c r="A198" s="30" t="inlineStr">
        <is>
          <t>ASIANENE</t>
        </is>
      </c>
      <c r="B198" s="30" t="inlineStr">
        <is>
          <t>Asian Energy Services Ltd</t>
        </is>
      </c>
      <c r="C198" s="30" t="inlineStr">
        <is>
          <t>energy</t>
        </is>
      </c>
      <c r="D198" s="30" t="inlineStr">
        <is>
          <t>oil drilling / allied services</t>
        </is>
      </c>
      <c r="E198" s="30" t="inlineStr">
        <is>
          <t>smallcap</t>
        </is>
      </c>
      <c r="F198" s="30" t="n">
        <v>1958.32</v>
      </c>
      <c r="G198" s="30" t="n">
        <v>404.6</v>
      </c>
      <c r="H198" s="30" t="n">
        <v>0.47</v>
      </c>
      <c r="I198" s="30" t="n">
        <v>198268</v>
      </c>
      <c r="J198" s="30" t="inlineStr">
        <is>
          <t>530355</t>
        </is>
      </c>
    </row>
    <row r="199">
      <c r="A199" s="30" t="inlineStr">
        <is>
          <t>PNB</t>
        </is>
      </c>
      <c r="B199" s="30" t="inlineStr">
        <is>
          <t>Punjab National Bank Ltd</t>
        </is>
      </c>
      <c r="C199" s="30" t="inlineStr">
        <is>
          <t>bank</t>
        </is>
      </c>
      <c r="D199" s="30" t="inlineStr">
        <is>
          <t>banks - public sector</t>
        </is>
      </c>
      <c r="E199" s="30" t="inlineStr">
        <is>
          <t>largecap</t>
        </is>
      </c>
      <c r="F199" s="30" t="n">
        <v>130444.91</v>
      </c>
      <c r="G199" s="30" t="n">
        <v>114.03</v>
      </c>
      <c r="H199" s="30" t="n">
        <v>0.47</v>
      </c>
      <c r="I199" s="30" t="n">
        <v>28410023</v>
      </c>
      <c r="J199" s="30" t="inlineStr">
        <is>
          <t>532461</t>
        </is>
      </c>
    </row>
    <row r="200">
      <c r="A200" s="30" t="inlineStr">
        <is>
          <t>BELRISE</t>
        </is>
      </c>
      <c r="B200" s="30" t="inlineStr">
        <is>
          <t>Belrise Industries Ltd</t>
        </is>
      </c>
      <c r="C200" s="30" t="inlineStr">
        <is>
          <t>auto</t>
        </is>
      </c>
      <c r="D200" s="30" t="inlineStr">
        <is>
          <t>auto ancillaries</t>
        </is>
      </c>
      <c r="E200" s="30" t="inlineStr">
        <is>
          <t>largecap</t>
        </is>
      </c>
      <c r="F200" s="30" t="n">
        <v>24446.7</v>
      </c>
      <c r="G200" s="30" t="n">
        <v>253.97</v>
      </c>
      <c r="H200" s="30" t="n">
        <v>0.47</v>
      </c>
      <c r="I200" s="30" t="n">
        <v>2949047</v>
      </c>
      <c r="J200" s="30" t="n"/>
    </row>
    <row r="201">
      <c r="A201" s="30" t="inlineStr">
        <is>
          <t>3MINDIA</t>
        </is>
      </c>
      <c r="B201" s="30" t="inlineStr">
        <is>
          <t>3m India Limited</t>
        </is>
      </c>
      <c r="C201" s="30" t="inlineStr">
        <is>
          <t>miscellaneous</t>
        </is>
      </c>
      <c r="D201" s="30" t="inlineStr">
        <is>
          <t>diversified - large</t>
        </is>
      </c>
      <c r="E201" s="30" t="inlineStr">
        <is>
          <t>largecap</t>
        </is>
      </c>
      <c r="F201" s="30" t="n">
        <v>40441.6</v>
      </c>
      <c r="G201" s="30" t="n">
        <v>36065</v>
      </c>
      <c r="H201" s="30" t="n">
        <v>0.46</v>
      </c>
      <c r="I201" s="30" t="n">
        <v>3128</v>
      </c>
      <c r="J201" s="30" t="inlineStr">
        <is>
          <t>523395</t>
        </is>
      </c>
    </row>
    <row r="202">
      <c r="A202" s="30" t="inlineStr">
        <is>
          <t>BHAGCHEM</t>
        </is>
      </c>
      <c r="B202" s="30" t="inlineStr">
        <is>
          <t>Bhagiradha Chemicals &amp; Industries Ltd</t>
        </is>
      </c>
      <c r="C202" s="30" t="inlineStr">
        <is>
          <t>chemicals</t>
        </is>
      </c>
      <c r="D202" s="30" t="inlineStr">
        <is>
          <t>pesticides / agrochemicals - indian</t>
        </is>
      </c>
      <c r="E202" s="30" t="inlineStr">
        <is>
          <t>smallcap</t>
        </is>
      </c>
      <c r="F202" s="30" t="n">
        <v>3700.11</v>
      </c>
      <c r="G202" s="30" t="n">
        <v>286.6</v>
      </c>
      <c r="H202" s="30" t="n">
        <v>0.44</v>
      </c>
      <c r="I202" s="30" t="n">
        <v>175498</v>
      </c>
      <c r="J202" s="30" t="inlineStr">
        <is>
          <t>531719</t>
        </is>
      </c>
    </row>
    <row r="203">
      <c r="A203" s="30" t="inlineStr">
        <is>
          <t>SUPRAJIT</t>
        </is>
      </c>
      <c r="B203" s="30" t="inlineStr">
        <is>
          <t>Suprajit Engineering Limited</t>
        </is>
      </c>
      <c r="C203" s="30" t="inlineStr">
        <is>
          <t>auto</t>
        </is>
      </c>
      <c r="D203" s="30" t="inlineStr">
        <is>
          <t>auto ancillaries</t>
        </is>
      </c>
      <c r="E203" s="30" t="inlineStr">
        <is>
          <t>midcap</t>
        </is>
      </c>
      <c r="F203" s="30" t="n">
        <v>7259.78</v>
      </c>
      <c r="G203" s="30" t="n">
        <v>531.5</v>
      </c>
      <c r="H203" s="30" t="n">
        <v>0.43</v>
      </c>
      <c r="I203" s="30" t="n">
        <v>114685</v>
      </c>
      <c r="J203" s="30" t="inlineStr">
        <is>
          <t>532509</t>
        </is>
      </c>
    </row>
    <row r="204">
      <c r="A204" s="30" t="inlineStr">
        <is>
          <t>PFIZER</t>
        </is>
      </c>
      <c r="B204" s="30" t="inlineStr">
        <is>
          <t>Pfizer Limited</t>
        </is>
      </c>
      <c r="C204" s="30" t="inlineStr">
        <is>
          <t>healthcare</t>
        </is>
      </c>
      <c r="D204" s="30" t="inlineStr">
        <is>
          <t>pharmaceuticals - multinational</t>
        </is>
      </c>
      <c r="E204" s="30" t="inlineStr">
        <is>
          <t>largecap</t>
        </is>
      </c>
      <c r="F204" s="30" t="n">
        <v>22313.91</v>
      </c>
      <c r="G204" s="30" t="n">
        <v>4898.5</v>
      </c>
      <c r="H204" s="30" t="n">
        <v>0.43</v>
      </c>
      <c r="I204" s="30" t="n">
        <v>30222</v>
      </c>
      <c r="J204" s="30" t="inlineStr">
        <is>
          <t>500680</t>
        </is>
      </c>
    </row>
    <row r="205">
      <c r="A205" s="30" t="inlineStr">
        <is>
          <t>DIACABS</t>
        </is>
      </c>
      <c r="B205" s="30" t="inlineStr">
        <is>
          <t>Diamond Power Infrastructure Ltd</t>
        </is>
      </c>
      <c r="C205" s="30" t="inlineStr">
        <is>
          <t>industrials</t>
        </is>
      </c>
      <c r="D205" s="30" t="inlineStr">
        <is>
          <t>cables - power</t>
        </is>
      </c>
      <c r="E205" s="30" t="inlineStr">
        <is>
          <t>midcap</t>
        </is>
      </c>
      <c r="F205" s="30" t="n">
        <v>18997.31</v>
      </c>
      <c r="G205" s="30" t="n">
        <v>362</v>
      </c>
      <c r="H205" s="30" t="n">
        <v>0.42</v>
      </c>
      <c r="I205" s="30" t="n">
        <v>1119222</v>
      </c>
      <c r="J205" s="30" t="inlineStr">
        <is>
          <t>522163</t>
        </is>
      </c>
    </row>
    <row r="206">
      <c r="A206" s="30" t="inlineStr">
        <is>
          <t>KILITCH</t>
        </is>
      </c>
      <c r="B206" s="30" t="inlineStr">
        <is>
          <t>Kilitch Drugs (india) Limited</t>
        </is>
      </c>
      <c r="C206" s="30" t="inlineStr">
        <is>
          <t>healthcare</t>
        </is>
      </c>
      <c r="D206" s="30" t="inlineStr">
        <is>
          <t>pharmaceuticals - indian - formulations</t>
        </is>
      </c>
      <c r="E206" s="30" t="inlineStr">
        <is>
          <t>smallcap</t>
        </is>
      </c>
      <c r="F206" s="30" t="n">
        <v>671.96</v>
      </c>
      <c r="G206" s="30" t="n">
        <v>192.99</v>
      </c>
      <c r="H206" s="30" t="n">
        <v>0.41</v>
      </c>
      <c r="I206" s="30" t="n">
        <v>18242</v>
      </c>
      <c r="J206" s="30" t="inlineStr">
        <is>
          <t>524500</t>
        </is>
      </c>
    </row>
    <row r="207">
      <c r="A207" s="30" t="inlineStr">
        <is>
          <t>REDINGTON</t>
        </is>
      </c>
      <c r="B207" s="30" t="inlineStr">
        <is>
          <t>Redington (india) Limited</t>
        </is>
      </c>
      <c r="C207" s="30" t="inlineStr">
        <is>
          <t>services</t>
        </is>
      </c>
      <c r="D207" s="30" t="inlineStr">
        <is>
          <t>trading</t>
        </is>
      </c>
      <c r="E207" s="30" t="inlineStr">
        <is>
          <t>largecap</t>
        </is>
      </c>
      <c r="F207" s="30" t="n">
        <v>27612.27</v>
      </c>
      <c r="G207" s="30" t="n">
        <v>354.55</v>
      </c>
      <c r="H207" s="30" t="n">
        <v>0.38</v>
      </c>
      <c r="I207" s="30" t="n">
        <v>3999369</v>
      </c>
      <c r="J207" s="30" t="inlineStr">
        <is>
          <t>532805</t>
        </is>
      </c>
    </row>
    <row r="208">
      <c r="A208" s="30" t="inlineStr">
        <is>
          <t>BAJAJ-AUTO</t>
        </is>
      </c>
      <c r="B208" s="30" t="inlineStr">
        <is>
          <t>Bajaj Auto Limited</t>
        </is>
      </c>
      <c r="C208" s="30" t="inlineStr">
        <is>
          <t>auto</t>
        </is>
      </c>
      <c r="D208" s="30" t="inlineStr">
        <is>
          <t>automobiles - scooters and 3 - wheelers</t>
        </is>
      </c>
      <c r="E208" s="30" t="inlineStr">
        <is>
          <t>largecap</t>
        </is>
      </c>
      <c r="F208" s="30" t="n">
        <v>326369.63</v>
      </c>
      <c r="G208" s="30" t="n">
        <v>11717</v>
      </c>
      <c r="H208" s="30" t="n">
        <v>0.34</v>
      </c>
      <c r="I208" s="30" t="n">
        <v>522039</v>
      </c>
      <c r="J208" s="30" t="inlineStr">
        <is>
          <t>532977</t>
        </is>
      </c>
    </row>
    <row r="209">
      <c r="A209" s="30" t="inlineStr">
        <is>
          <t>COSMOFIRST</t>
        </is>
      </c>
      <c r="B209" s="30" t="inlineStr">
        <is>
          <t>Cosmo First Ltd</t>
        </is>
      </c>
      <c r="C209" s="30" t="inlineStr">
        <is>
          <t>industrials</t>
        </is>
      </c>
      <c r="D209" s="30" t="inlineStr">
        <is>
          <t>packaging</t>
        </is>
      </c>
      <c r="E209" s="30" t="inlineStr">
        <is>
          <t>smallcap</t>
        </is>
      </c>
      <c r="F209" s="30" t="n">
        <v>2433.74</v>
      </c>
      <c r="G209" s="30" t="n">
        <v>930.3</v>
      </c>
      <c r="H209" s="30" t="n">
        <v>0.34</v>
      </c>
      <c r="I209" s="30" t="n">
        <v>130167</v>
      </c>
      <c r="J209" s="30" t="inlineStr">
        <is>
          <t>508814</t>
        </is>
      </c>
    </row>
    <row r="210">
      <c r="A210" s="30" t="inlineStr">
        <is>
          <t>TFCILTD</t>
        </is>
      </c>
      <c r="B210" s="30" t="inlineStr">
        <is>
          <t>Tourism Finance Corporation Of India Limited</t>
        </is>
      </c>
      <c r="C210" s="30" t="inlineStr">
        <is>
          <t>financials</t>
        </is>
      </c>
      <c r="D210" s="30" t="inlineStr">
        <is>
          <t>finance - term-lending institutions</t>
        </is>
      </c>
      <c r="E210" s="30" t="inlineStr">
        <is>
          <t>midcap</t>
        </is>
      </c>
      <c r="F210" s="30" t="n">
        <v>5334.42</v>
      </c>
      <c r="G210" s="30" t="n">
        <v>115.6</v>
      </c>
      <c r="H210" s="30" t="n">
        <v>0.33</v>
      </c>
      <c r="I210" s="30" t="n">
        <v>11603923</v>
      </c>
      <c r="J210" s="30" t="inlineStr">
        <is>
          <t>526650</t>
        </is>
      </c>
    </row>
    <row r="211">
      <c r="A211" s="30" t="inlineStr">
        <is>
          <t>GOCLCORP</t>
        </is>
      </c>
      <c r="B211" s="30" t="inlineStr">
        <is>
          <t>Gocl Corporation Limited</t>
        </is>
      </c>
      <c r="C211" s="30" t="inlineStr">
        <is>
          <t>miscellaneous</t>
        </is>
      </c>
      <c r="D211" s="30" t="inlineStr">
        <is>
          <t>diversified - medium / small</t>
        </is>
      </c>
      <c r="E211" s="30" t="inlineStr">
        <is>
          <t>smallcap</t>
        </is>
      </c>
      <c r="F211" s="30" t="n">
        <v>2122.69</v>
      </c>
      <c r="G211" s="30" t="n">
        <v>429.55</v>
      </c>
      <c r="H211" s="30" t="n">
        <v>0.32</v>
      </c>
      <c r="I211" s="30" t="n">
        <v>74155</v>
      </c>
      <c r="J211" s="30" t="inlineStr">
        <is>
          <t>506480</t>
        </is>
      </c>
    </row>
    <row r="212">
      <c r="A212" s="30" t="inlineStr">
        <is>
          <t>KALYANKJIL</t>
        </is>
      </c>
      <c r="B212" s="30" t="inlineStr">
        <is>
          <t>Kalyan Jewellers India Ltd</t>
        </is>
      </c>
      <c r="C212" s="30" t="inlineStr">
        <is>
          <t>consumer discretionary</t>
        </is>
      </c>
      <c r="D212" s="30" t="inlineStr">
        <is>
          <t>diamond cutting / jewellery</t>
        </is>
      </c>
      <c r="E212" s="30" t="inlineStr">
        <is>
          <t>largecap</t>
        </is>
      </c>
      <c r="F212" s="30" t="n">
        <v>61990.23</v>
      </c>
      <c r="G212" s="30" t="n">
        <v>602.2</v>
      </c>
      <c r="H212" s="30" t="n">
        <v>0.32</v>
      </c>
      <c r="I212" s="30" t="n">
        <v>19484633</v>
      </c>
      <c r="J212" s="30" t="inlineStr">
        <is>
          <t>543278</t>
        </is>
      </c>
    </row>
    <row r="213">
      <c r="A213" s="30" t="inlineStr">
        <is>
          <t>EICHERMOT</t>
        </is>
      </c>
      <c r="B213" s="30" t="inlineStr">
        <is>
          <t>Eicher Motors Limited</t>
        </is>
      </c>
      <c r="C213" s="30" t="inlineStr">
        <is>
          <t>auto</t>
        </is>
      </c>
      <c r="D213" s="30" t="inlineStr">
        <is>
          <t>automobiles - motorcycles / mopeds</t>
        </is>
      </c>
      <c r="E213" s="30" t="inlineStr">
        <is>
          <t>largecap</t>
        </is>
      </c>
      <c r="F213" s="30" t="n">
        <v>218911.78</v>
      </c>
      <c r="G213" s="30" t="n">
        <v>8000</v>
      </c>
      <c r="H213" s="30" t="n">
        <v>0.31</v>
      </c>
      <c r="I213" s="30" t="n">
        <v>1180402</v>
      </c>
      <c r="J213" s="30" t="inlineStr">
        <is>
          <t>505200</t>
        </is>
      </c>
    </row>
    <row r="214">
      <c r="A214" s="30" t="inlineStr">
        <is>
          <t>AUBANK</t>
        </is>
      </c>
      <c r="B214" s="30" t="inlineStr">
        <is>
          <t>AU Small Finance Bank Ltd</t>
        </is>
      </c>
      <c r="C214" s="30" t="inlineStr">
        <is>
          <t>bank</t>
        </is>
      </c>
      <c r="D214" s="30" t="inlineStr">
        <is>
          <t>banks - private sector</t>
        </is>
      </c>
      <c r="E214" s="30" t="inlineStr">
        <is>
          <t>largecap</t>
        </is>
      </c>
      <c r="F214" s="30" t="n">
        <v>79990.21000000001</v>
      </c>
      <c r="G214" s="30" t="n">
        <v>1070.9</v>
      </c>
      <c r="H214" s="30" t="n">
        <v>0.27</v>
      </c>
      <c r="I214" s="30" t="n">
        <v>3720891</v>
      </c>
      <c r="J214" s="30" t="inlineStr">
        <is>
          <t>540611</t>
        </is>
      </c>
    </row>
    <row r="215">
      <c r="A215" s="30" t="inlineStr">
        <is>
          <t>PPLPHARMA</t>
        </is>
      </c>
      <c r="B215" s="30" t="inlineStr">
        <is>
          <t>Piramal Pharma Ltd</t>
        </is>
      </c>
      <c r="C215" s="30" t="inlineStr">
        <is>
          <t>healthcare</t>
        </is>
      </c>
      <c r="D215" s="30" t="inlineStr">
        <is>
          <t>pharmaceuticals - indian - bulk drugs &amp; formln</t>
        </is>
      </c>
      <c r="E215" s="30" t="inlineStr">
        <is>
          <t>largecap</t>
        </is>
      </c>
      <c r="F215" s="30" t="n">
        <v>28438.93</v>
      </c>
      <c r="G215" s="30" t="n">
        <v>214.19</v>
      </c>
      <c r="H215" s="30" t="n">
        <v>0.27</v>
      </c>
      <c r="I215" s="30" t="n">
        <v>3675808</v>
      </c>
      <c r="J215" s="30" t="inlineStr">
        <is>
          <t>543635</t>
        </is>
      </c>
    </row>
    <row r="216">
      <c r="A216" s="30" t="inlineStr">
        <is>
          <t>NAZARA</t>
        </is>
      </c>
      <c r="B216" s="30" t="inlineStr">
        <is>
          <t>Nazara Technologies Ltd</t>
        </is>
      </c>
      <c r="C216" s="30" t="inlineStr">
        <is>
          <t>i.t</t>
        </is>
      </c>
      <c r="D216" s="30" t="inlineStr">
        <is>
          <t>telecommunications - service provider</t>
        </is>
      </c>
      <c r="E216" s="30" t="inlineStr">
        <is>
          <t>midcap</t>
        </is>
      </c>
      <c r="F216" s="30" t="n">
        <v>13132.99</v>
      </c>
      <c r="G216" s="30" t="n">
        <v>355.4</v>
      </c>
      <c r="H216" s="30" t="n">
        <v>0.25</v>
      </c>
      <c r="I216" s="30" t="n">
        <v>690825</v>
      </c>
      <c r="J216" s="30" t="inlineStr">
        <is>
          <t>543280</t>
        </is>
      </c>
    </row>
    <row r="217">
      <c r="A217" s="30" t="inlineStr">
        <is>
          <t>PGIL</t>
        </is>
      </c>
      <c r="B217" s="30" t="inlineStr">
        <is>
          <t>Pearl Global Industries Limited</t>
        </is>
      </c>
      <c r="C217" s="30" t="inlineStr">
        <is>
          <t>consumer discretionary</t>
        </is>
      </c>
      <c r="D217" s="30" t="inlineStr">
        <is>
          <t>textiles - products</t>
        </is>
      </c>
      <c r="E217" s="30" t="inlineStr">
        <is>
          <t>midcap</t>
        </is>
      </c>
      <c r="F217" s="30" t="n">
        <v>11217.66</v>
      </c>
      <c r="G217" s="30" t="n">
        <v>2434.9</v>
      </c>
      <c r="H217" s="30" t="n">
        <v>0.25</v>
      </c>
      <c r="I217" s="30" t="n">
        <v>108038</v>
      </c>
      <c r="J217" s="30" t="inlineStr">
        <is>
          <t>532808</t>
        </is>
      </c>
    </row>
    <row r="218">
      <c r="A218" s="30" t="inlineStr">
        <is>
          <t>CAPLIPOINT</t>
        </is>
      </c>
      <c r="B218" s="30" t="inlineStr">
        <is>
          <t>Caplin Point Laboratories Limited</t>
        </is>
      </c>
      <c r="C218" s="30" t="inlineStr">
        <is>
          <t>healthcare</t>
        </is>
      </c>
      <c r="D218" s="30" t="inlineStr">
        <is>
          <t>pharmaceuticals - indian - formulations</t>
        </is>
      </c>
      <c r="E218" s="30" t="inlineStr">
        <is>
          <t>midcap</t>
        </is>
      </c>
      <c r="F218" s="30" t="n">
        <v>19943.95</v>
      </c>
      <c r="G218" s="30" t="n">
        <v>2629.6</v>
      </c>
      <c r="H218" s="30" t="n">
        <v>0.22</v>
      </c>
      <c r="I218" s="30" t="n">
        <v>94009</v>
      </c>
      <c r="J218" s="30" t="inlineStr">
        <is>
          <t>524742</t>
        </is>
      </c>
    </row>
    <row r="219">
      <c r="A219" s="30" t="inlineStr">
        <is>
          <t>LAURUSLABS</t>
        </is>
      </c>
      <c r="B219" s="30" t="inlineStr">
        <is>
          <t>Laurus Labs Limited</t>
        </is>
      </c>
      <c r="C219" s="30" t="inlineStr">
        <is>
          <t>healthcare</t>
        </is>
      </c>
      <c r="D219" s="30" t="inlineStr">
        <is>
          <t>pharmaceuticals - indian - bulk drugs &amp; formln</t>
        </is>
      </c>
      <c r="E219" s="30" t="inlineStr">
        <is>
          <t>largecap</t>
        </is>
      </c>
      <c r="F219" s="30" t="n">
        <v>100162.27</v>
      </c>
      <c r="G219" s="30" t="n">
        <v>1858</v>
      </c>
      <c r="H219" s="30" t="n">
        <v>0.22</v>
      </c>
      <c r="I219" s="30" t="n">
        <v>2985295</v>
      </c>
      <c r="J219" s="30" t="inlineStr">
        <is>
          <t>540222</t>
        </is>
      </c>
    </row>
    <row r="220">
      <c r="A220" s="30" t="inlineStr">
        <is>
          <t>TIMETECHNO</t>
        </is>
      </c>
      <c r="B220" s="30" t="inlineStr">
        <is>
          <t>Time Technoplast Limited</t>
        </is>
      </c>
      <c r="C220" s="30" t="inlineStr">
        <is>
          <t>plastic products</t>
        </is>
      </c>
      <c r="D220" s="30" t="inlineStr">
        <is>
          <t>plastics products</t>
        </is>
      </c>
      <c r="E220" s="30" t="inlineStr">
        <is>
          <t>midcap</t>
        </is>
      </c>
      <c r="F220" s="30" t="n">
        <v>10212.82</v>
      </c>
      <c r="G220" s="30" t="n">
        <v>207.28</v>
      </c>
      <c r="H220" s="30" t="n">
        <v>0.19</v>
      </c>
      <c r="I220" s="30" t="n">
        <v>3667255</v>
      </c>
      <c r="J220" s="30" t="inlineStr">
        <is>
          <t>532856</t>
        </is>
      </c>
    </row>
    <row r="221">
      <c r="A221" s="30" t="inlineStr">
        <is>
          <t>EMCURE</t>
        </is>
      </c>
      <c r="B221" s="30" t="inlineStr">
        <is>
          <t>Emcure Pharmaceuticals Ltd</t>
        </is>
      </c>
      <c r="C221" s="30" t="inlineStr">
        <is>
          <t>healthcare</t>
        </is>
      </c>
      <c r="D221" s="30" t="inlineStr">
        <is>
          <t>pharmaceuticals - indian - bulk drugs &amp; formln</t>
        </is>
      </c>
      <c r="E221" s="30" t="inlineStr">
        <is>
          <t>largecap</t>
        </is>
      </c>
      <c r="F221" s="30" t="n">
        <v>37844.98</v>
      </c>
      <c r="G221" s="30" t="n">
        <v>1998.7</v>
      </c>
      <c r="H221" s="30" t="n">
        <v>0.18</v>
      </c>
      <c r="I221" s="30" t="n">
        <v>97625</v>
      </c>
      <c r="J221" s="30" t="inlineStr">
        <is>
          <t>544210</t>
        </is>
      </c>
    </row>
    <row r="222">
      <c r="A222" s="30" t="inlineStr">
        <is>
          <t>TECHM</t>
        </is>
      </c>
      <c r="B222" s="30" t="inlineStr">
        <is>
          <t>Tech Mahindra Limited</t>
        </is>
      </c>
      <c r="C222" s="30" t="inlineStr">
        <is>
          <t>i.t</t>
        </is>
      </c>
      <c r="D222" s="30" t="inlineStr">
        <is>
          <t>computers - software - large</t>
        </is>
      </c>
      <c r="E222" s="30" t="inlineStr">
        <is>
          <t>largecap</t>
        </is>
      </c>
      <c r="F222" s="30" t="n">
        <v>160729.51</v>
      </c>
      <c r="G222" s="30" t="n">
        <v>1643</v>
      </c>
      <c r="H222" s="30" t="n">
        <v>0.18</v>
      </c>
      <c r="I222" s="30" t="n">
        <v>3730751</v>
      </c>
      <c r="J222" s="30" t="inlineStr">
        <is>
          <t>532755</t>
        </is>
      </c>
    </row>
    <row r="223">
      <c r="A223" s="30" t="inlineStr">
        <is>
          <t>CRAFTSMAN</t>
        </is>
      </c>
      <c r="B223" s="30" t="inlineStr">
        <is>
          <t>Craftsman Automation Ltd</t>
        </is>
      </c>
      <c r="C223" s="30" t="inlineStr">
        <is>
          <t>auto</t>
        </is>
      </c>
      <c r="D223" s="30" t="inlineStr">
        <is>
          <t>auto ancillaries</t>
        </is>
      </c>
      <c r="E223" s="30" t="inlineStr">
        <is>
          <t>largecap</t>
        </is>
      </c>
      <c r="F223" s="30" t="n">
        <v>26893.3</v>
      </c>
      <c r="G223" s="30" t="n">
        <v>10300</v>
      </c>
      <c r="H223" s="30" t="n">
        <v>0.17</v>
      </c>
      <c r="I223" s="30" t="n">
        <v>10648</v>
      </c>
      <c r="J223" s="30" t="inlineStr">
        <is>
          <t>543276</t>
        </is>
      </c>
    </row>
    <row r="224">
      <c r="A224" s="30" t="inlineStr">
        <is>
          <t>GIPCL</t>
        </is>
      </c>
      <c r="B224" s="30" t="inlineStr">
        <is>
          <t>Gujarat Industries Power Company Limited</t>
        </is>
      </c>
      <c r="C224" s="30" t="inlineStr">
        <is>
          <t>power &amp; utilities</t>
        </is>
      </c>
      <c r="D224" s="30" t="inlineStr">
        <is>
          <t>power generation and supply</t>
        </is>
      </c>
      <c r="E224" s="30" t="inlineStr">
        <is>
          <t>smallcap</t>
        </is>
      </c>
      <c r="F224" s="30" t="n">
        <v>2556.87</v>
      </c>
      <c r="G224" s="30" t="n">
        <v>165</v>
      </c>
      <c r="H224" s="30" t="n">
        <v>0.16</v>
      </c>
      <c r="I224" s="30" t="n">
        <v>421354</v>
      </c>
      <c r="J224" s="30" t="inlineStr">
        <is>
          <t>517300</t>
        </is>
      </c>
    </row>
    <row r="225">
      <c r="A225" s="30" t="inlineStr">
        <is>
          <t>ONEPOINT</t>
        </is>
      </c>
      <c r="B225" s="30" t="inlineStr">
        <is>
          <t>One Point One Solutions Ltd</t>
        </is>
      </c>
      <c r="C225" s="30" t="inlineStr">
        <is>
          <t>i.t</t>
        </is>
      </c>
      <c r="D225" s="30" t="inlineStr">
        <is>
          <t>computers - software - medium / small</t>
        </is>
      </c>
      <c r="E225" s="30" t="inlineStr">
        <is>
          <t>smallcap</t>
        </is>
      </c>
      <c r="F225" s="30" t="n">
        <v>1546.33</v>
      </c>
      <c r="G225" s="30" t="n">
        <v>58.9</v>
      </c>
      <c r="H225" s="30" t="n">
        <v>0.15</v>
      </c>
      <c r="I225" s="30" t="n">
        <v>724537</v>
      </c>
      <c r="J225" s="30" t="inlineStr">
        <is>
          <t>535039</t>
        </is>
      </c>
    </row>
    <row r="226">
      <c r="A226" s="30" t="inlineStr">
        <is>
          <t>KAMDHENU</t>
        </is>
      </c>
      <c r="B226" s="30" t="inlineStr">
        <is>
          <t>Kamdhenu Limited</t>
        </is>
      </c>
      <c r="C226" s="30" t="inlineStr">
        <is>
          <t>metals &amp; mining</t>
        </is>
      </c>
      <c r="D226" s="30" t="inlineStr">
        <is>
          <t>steel - medium / small</t>
        </is>
      </c>
      <c r="E226" s="30" t="inlineStr">
        <is>
          <t>smallcap</t>
        </is>
      </c>
      <c r="F226" s="30" t="n">
        <v>991.95</v>
      </c>
      <c r="G226" s="30" t="n">
        <v>35.24</v>
      </c>
      <c r="H226" s="30" t="n">
        <v>0.14</v>
      </c>
      <c r="I226" s="30" t="n">
        <v>374865</v>
      </c>
      <c r="J226" s="30" t="inlineStr">
        <is>
          <t>532741</t>
        </is>
      </c>
    </row>
    <row r="227">
      <c r="A227" s="30" t="inlineStr">
        <is>
          <t>BASF</t>
        </is>
      </c>
      <c r="B227" s="30" t="inlineStr">
        <is>
          <t>Basf India Limited</t>
        </is>
      </c>
      <c r="C227" s="30" t="inlineStr">
        <is>
          <t>chemicals</t>
        </is>
      </c>
      <c r="D227" s="30" t="inlineStr">
        <is>
          <t>chemicals</t>
        </is>
      </c>
      <c r="E227" s="30" t="inlineStr">
        <is>
          <t>midcap</t>
        </is>
      </c>
      <c r="F227" s="30" t="n">
        <v>17451.04</v>
      </c>
      <c r="G227" s="30" t="n">
        <v>4036</v>
      </c>
      <c r="H227" s="30" t="n">
        <v>0.11</v>
      </c>
      <c r="I227" s="30" t="n">
        <v>23357</v>
      </c>
      <c r="J227" s="30" t="inlineStr">
        <is>
          <t>500042</t>
        </is>
      </c>
    </row>
    <row r="228">
      <c r="A228" s="30" t="inlineStr">
        <is>
          <t>KOTHARIPET</t>
        </is>
      </c>
      <c r="B228" s="30" t="inlineStr">
        <is>
          <t>Kothari Petrochemicals Limited</t>
        </is>
      </c>
      <c r="C228" s="30" t="inlineStr">
        <is>
          <t>energy</t>
        </is>
      </c>
      <c r="D228" s="30" t="inlineStr">
        <is>
          <t>petrochemicals</t>
        </is>
      </c>
      <c r="E228" s="30" t="inlineStr">
        <is>
          <t>smallcap</t>
        </is>
      </c>
      <c r="F228" s="30" t="n">
        <v>856.27</v>
      </c>
      <c r="G228" s="30" t="n">
        <v>145.65</v>
      </c>
      <c r="H228" s="30" t="n">
        <v>0.1</v>
      </c>
      <c r="I228" s="30" t="n">
        <v>83988</v>
      </c>
      <c r="J228" s="30" t="inlineStr">
        <is>
          <t>532096</t>
        </is>
      </c>
    </row>
    <row r="229">
      <c r="A229" s="30" t="inlineStr">
        <is>
          <t>HEROMOTOCO</t>
        </is>
      </c>
      <c r="B229" s="30" t="inlineStr">
        <is>
          <t>Hero Motocorp Limited</t>
        </is>
      </c>
      <c r="C229" s="30" t="inlineStr">
        <is>
          <t>auto</t>
        </is>
      </c>
      <c r="D229" s="30" t="inlineStr">
        <is>
          <t>automobiles - motorcycles / mopeds</t>
        </is>
      </c>
      <c r="E229" s="30" t="inlineStr">
        <is>
          <t>largecap</t>
        </is>
      </c>
      <c r="F229" s="30" t="n">
        <v>117254.46</v>
      </c>
      <c r="G229" s="30" t="n">
        <v>5865.5</v>
      </c>
      <c r="H229" s="30" t="n">
        <v>0.09</v>
      </c>
      <c r="I229" s="30" t="n">
        <v>1581225</v>
      </c>
      <c r="J229" s="30" t="inlineStr">
        <is>
          <t>500182</t>
        </is>
      </c>
    </row>
    <row r="230">
      <c r="A230" s="30" t="inlineStr">
        <is>
          <t>TNPL</t>
        </is>
      </c>
      <c r="B230" s="30" t="inlineStr">
        <is>
          <t>Tamil Nadu Newsprint &amp; Papers Limited</t>
        </is>
      </c>
      <c r="C230" s="30" t="inlineStr">
        <is>
          <t>building materials</t>
        </is>
      </c>
      <c r="D230" s="30" t="inlineStr">
        <is>
          <t>paper</t>
        </is>
      </c>
      <c r="E230" s="30" t="inlineStr">
        <is>
          <t>smallcap</t>
        </is>
      </c>
      <c r="F230" s="30" t="n">
        <v>1065.01</v>
      </c>
      <c r="G230" s="30" t="n">
        <v>154.02</v>
      </c>
      <c r="H230" s="30" t="n">
        <v>0.09</v>
      </c>
      <c r="I230" s="30" t="n">
        <v>207979</v>
      </c>
      <c r="J230" s="30" t="inlineStr">
        <is>
          <t>531426</t>
        </is>
      </c>
    </row>
    <row r="231">
      <c r="A231" s="30" t="inlineStr">
        <is>
          <t>QUESS</t>
        </is>
      </c>
      <c r="B231" s="30" t="inlineStr">
        <is>
          <t>Quess Corp Limited</t>
        </is>
      </c>
      <c r="C231" s="30" t="inlineStr">
        <is>
          <t>miscellaneous</t>
        </is>
      </c>
      <c r="D231" s="30" t="inlineStr">
        <is>
          <t>diversified - large</t>
        </is>
      </c>
      <c r="E231" s="30" t="inlineStr">
        <is>
          <t>smallcap</t>
        </is>
      </c>
      <c r="F231" s="30" t="n">
        <v>4835.53</v>
      </c>
      <c r="G231" s="30" t="n">
        <v>324</v>
      </c>
      <c r="H231" s="30" t="n">
        <v>0.08</v>
      </c>
      <c r="I231" s="30" t="n">
        <v>530160</v>
      </c>
      <c r="J231" s="30" t="inlineStr">
        <is>
          <t>539978</t>
        </is>
      </c>
    </row>
    <row r="232">
      <c r="A232" s="30" t="inlineStr">
        <is>
          <t>KDDL</t>
        </is>
      </c>
      <c r="B232" s="30" t="inlineStr">
        <is>
          <t>Kddl Limited</t>
        </is>
      </c>
      <c r="C232" s="30" t="inlineStr">
        <is>
          <t>consumer discretionary</t>
        </is>
      </c>
      <c r="D232" s="30" t="inlineStr">
        <is>
          <t>miscellaneous</t>
        </is>
      </c>
      <c r="E232" s="30" t="inlineStr">
        <is>
          <t>smallcap</t>
        </is>
      </c>
      <c r="F232" s="30" t="n">
        <v>4717.76</v>
      </c>
      <c r="G232" s="30" t="n">
        <v>3838.4</v>
      </c>
      <c r="H232" s="30" t="n">
        <v>0.07000000000000001</v>
      </c>
      <c r="I232" s="30" t="n">
        <v>41293</v>
      </c>
      <c r="J232" s="30" t="inlineStr">
        <is>
          <t>532054</t>
        </is>
      </c>
    </row>
    <row r="233">
      <c r="A233" s="30" t="inlineStr">
        <is>
          <t>TVSHLTD</t>
        </is>
      </c>
      <c r="B233" s="30" t="inlineStr">
        <is>
          <t>TVS Holdings Ltd</t>
        </is>
      </c>
      <c r="C233" s="30" t="inlineStr">
        <is>
          <t>financials</t>
        </is>
      </c>
      <c r="D233" s="30" t="inlineStr">
        <is>
          <t>finance &amp; investments</t>
        </is>
      </c>
      <c r="E233" s="30" t="inlineStr">
        <is>
          <t>largecap</t>
        </is>
      </c>
      <c r="F233" s="30" t="n">
        <v>29619.8</v>
      </c>
      <c r="G233" s="30" t="n">
        <v>14650</v>
      </c>
      <c r="H233" s="30" t="n">
        <v>0.07000000000000001</v>
      </c>
      <c r="I233" s="30" t="n">
        <v>4000</v>
      </c>
      <c r="J233" s="30" t="inlineStr">
        <is>
          <t>520056</t>
        </is>
      </c>
    </row>
    <row r="234">
      <c r="A234" s="30" t="inlineStr">
        <is>
          <t>GRAVITA</t>
        </is>
      </c>
      <c r="B234" s="30" t="inlineStr">
        <is>
          <t>Gravita India Limited</t>
        </is>
      </c>
      <c r="C234" s="30" t="inlineStr">
        <is>
          <t>metals &amp; mining</t>
        </is>
      </c>
      <c r="D234" s="30" t="inlineStr">
        <is>
          <t>mining / minerals / metals</t>
        </is>
      </c>
      <c r="E234" s="30" t="inlineStr">
        <is>
          <t>midcap</t>
        </is>
      </c>
      <c r="F234" s="30" t="n">
        <v>13163.74</v>
      </c>
      <c r="G234" s="30" t="n">
        <v>1784.5</v>
      </c>
      <c r="H234" s="30" t="n">
        <v>0.06</v>
      </c>
      <c r="I234" s="30" t="n">
        <v>177984</v>
      </c>
      <c r="J234" s="30" t="inlineStr">
        <is>
          <t>533282</t>
        </is>
      </c>
    </row>
    <row r="235">
      <c r="A235" s="30" t="inlineStr">
        <is>
          <t>PIDILITIND</t>
        </is>
      </c>
      <c r="B235" s="30" t="inlineStr">
        <is>
          <t>Pidilite Industries Limited</t>
        </is>
      </c>
      <c r="C235" s="30" t="inlineStr">
        <is>
          <t>chemicals</t>
        </is>
      </c>
      <c r="D235" s="30" t="inlineStr">
        <is>
          <t>chemicals</t>
        </is>
      </c>
      <c r="E235" s="30" t="inlineStr">
        <is>
          <t>largecap</t>
        </is>
      </c>
      <c r="F235" s="30" t="n">
        <v>171495.15</v>
      </c>
      <c r="G235" s="30" t="n">
        <v>1685.8</v>
      </c>
      <c r="H235" s="30" t="n">
        <v>0.05</v>
      </c>
      <c r="I235" s="30" t="n">
        <v>2156774</v>
      </c>
      <c r="J235" s="30" t="inlineStr">
        <is>
          <t>500331</t>
        </is>
      </c>
    </row>
    <row r="236">
      <c r="A236" s="30" t="inlineStr">
        <is>
          <t>OFSS</t>
        </is>
      </c>
      <c r="B236" s="30" t="inlineStr">
        <is>
          <t>Oracle Financial Services Software Limited</t>
        </is>
      </c>
      <c r="C236" s="30" t="inlineStr">
        <is>
          <t>i.t</t>
        </is>
      </c>
      <c r="D236" s="30" t="inlineStr">
        <is>
          <t>computers - software - large</t>
        </is>
      </c>
      <c r="E236" s="30" t="inlineStr">
        <is>
          <t>largecap</t>
        </is>
      </c>
      <c r="F236" s="30" t="n">
        <v>103528.77</v>
      </c>
      <c r="G236" s="30" t="n">
        <v>11896</v>
      </c>
      <c r="H236" s="30" t="n">
        <v>0.05</v>
      </c>
      <c r="I236" s="30" t="n">
        <v>475167</v>
      </c>
      <c r="J236" s="30" t="inlineStr">
        <is>
          <t>532466</t>
        </is>
      </c>
    </row>
    <row r="237">
      <c r="A237" s="30" t="inlineStr">
        <is>
          <t>HITECHCORP</t>
        </is>
      </c>
      <c r="B237" s="30" t="inlineStr">
        <is>
          <t>Hitech Corporation</t>
        </is>
      </c>
      <c r="C237" s="30" t="inlineStr">
        <is>
          <t>industrials</t>
        </is>
      </c>
      <c r="D237" s="30" t="inlineStr">
        <is>
          <t>packaging</t>
        </is>
      </c>
      <c r="E237" s="30" t="inlineStr">
        <is>
          <t>smallcap</t>
        </is>
      </c>
      <c r="F237" s="30" t="n">
        <v>554.78</v>
      </c>
      <c r="G237" s="30" t="n">
        <v>323.1</v>
      </c>
      <c r="H237" s="30" t="n">
        <v>0.03</v>
      </c>
      <c r="I237" s="30" t="n">
        <v>7125</v>
      </c>
      <c r="J237" s="30" t="inlineStr">
        <is>
          <t>526217</t>
        </is>
      </c>
    </row>
    <row r="238">
      <c r="A238" s="30" t="inlineStr">
        <is>
          <t>GLAXO</t>
        </is>
      </c>
      <c r="B238" s="30" t="inlineStr">
        <is>
          <t>Glaxosmithkline Pharmaceuticals Limited</t>
        </is>
      </c>
      <c r="C238" s="30" t="inlineStr">
        <is>
          <t>healthcare</t>
        </is>
      </c>
      <c r="D238" s="30" t="inlineStr">
        <is>
          <t>pharmaceuticals - multinational</t>
        </is>
      </c>
      <c r="E238" s="30" t="inlineStr">
        <is>
          <t>largecap</t>
        </is>
      </c>
      <c r="F238" s="30" t="n">
        <v>44062.51</v>
      </c>
      <c r="G238" s="30" t="n">
        <v>2601.9</v>
      </c>
      <c r="H238" s="30" t="n">
        <v>0.03</v>
      </c>
      <c r="I238" s="30" t="n">
        <v>34056</v>
      </c>
      <c r="J238" s="30" t="inlineStr">
        <is>
          <t>500660</t>
        </is>
      </c>
    </row>
    <row r="239">
      <c r="A239" s="30" t="inlineStr">
        <is>
          <t>AJANTPHARM</t>
        </is>
      </c>
      <c r="B239" s="30" t="inlineStr">
        <is>
          <t>Ajanta Pharma Limited</t>
        </is>
      </c>
      <c r="C239" s="30" t="inlineStr">
        <is>
          <t>healthcare</t>
        </is>
      </c>
      <c r="D239" s="30" t="inlineStr">
        <is>
          <t>pharmaceuticals - indian - formulations</t>
        </is>
      </c>
      <c r="E239" s="30" t="inlineStr">
        <is>
          <t>largecap</t>
        </is>
      </c>
      <c r="F239" s="30" t="n">
        <v>43804.93</v>
      </c>
      <c r="G239" s="30" t="n">
        <v>3507</v>
      </c>
      <c r="H239" s="30" t="n">
        <v>0.02</v>
      </c>
      <c r="I239" s="30" t="n">
        <v>86524</v>
      </c>
      <c r="J239" s="30" t="inlineStr">
        <is>
          <t>532331</t>
        </is>
      </c>
    </row>
    <row r="240">
      <c r="A240" s="30" t="inlineStr">
        <is>
          <t>DEEPAKNTR</t>
        </is>
      </c>
      <c r="B240" s="30" t="inlineStr">
        <is>
          <t>Deepak Nitrite Limited</t>
        </is>
      </c>
      <c r="C240" s="30" t="inlineStr">
        <is>
          <t>chemicals</t>
        </is>
      </c>
      <c r="D240" s="30" t="inlineStr">
        <is>
          <t>chemicals</t>
        </is>
      </c>
      <c r="E240" s="30" t="inlineStr">
        <is>
          <t>largecap</t>
        </is>
      </c>
      <c r="F240" s="30" t="n">
        <v>24267.05</v>
      </c>
      <c r="G240" s="30" t="n">
        <v>1779</v>
      </c>
      <c r="H240" s="30" t="n">
        <v>-0.01</v>
      </c>
      <c r="I240" s="30" t="n">
        <v>370508</v>
      </c>
      <c r="J240" s="30" t="inlineStr">
        <is>
          <t>506401</t>
        </is>
      </c>
    </row>
    <row r="241">
      <c r="A241" s="30" t="inlineStr">
        <is>
          <t>JSWINFRA</t>
        </is>
      </c>
      <c r="B241" s="30" t="inlineStr">
        <is>
          <t>JSW Infrastructure Ltd</t>
        </is>
      </c>
      <c r="C241" s="30" t="inlineStr">
        <is>
          <t>transportation</t>
        </is>
      </c>
      <c r="D241" s="30" t="inlineStr">
        <is>
          <t>miscellaneous</t>
        </is>
      </c>
      <c r="E241" s="30" t="inlineStr">
        <is>
          <t>largecap</t>
        </is>
      </c>
      <c r="F241" s="30" t="n">
        <v>79686.05</v>
      </c>
      <c r="G241" s="30" t="n">
        <v>341.85</v>
      </c>
      <c r="H241" s="30" t="n">
        <v>-0.04</v>
      </c>
      <c r="I241" s="30" t="n">
        <v>2466892</v>
      </c>
      <c r="J241" s="30" t="inlineStr">
        <is>
          <t>543994</t>
        </is>
      </c>
    </row>
    <row r="242">
      <c r="A242" s="30" t="inlineStr">
        <is>
          <t>AVADHSUGAR</t>
        </is>
      </c>
      <c r="B242" s="30" t="inlineStr">
        <is>
          <t>Avadh Sugar &amp; Energy</t>
        </is>
      </c>
      <c r="C242" s="30" t="inlineStr">
        <is>
          <t>fmcg</t>
        </is>
      </c>
      <c r="D242" s="30" t="inlineStr">
        <is>
          <t>sugar</t>
        </is>
      </c>
      <c r="E242" s="30" t="inlineStr">
        <is>
          <t>smallcap</t>
        </is>
      </c>
      <c r="F242" s="30" t="n">
        <v>1271.37</v>
      </c>
      <c r="G242" s="30" t="n">
        <v>634.8</v>
      </c>
      <c r="H242" s="30" t="n">
        <v>-0.05</v>
      </c>
      <c r="I242" s="30" t="n">
        <v>80895</v>
      </c>
      <c r="J242" s="30" t="inlineStr">
        <is>
          <t>540649</t>
        </is>
      </c>
    </row>
    <row r="243">
      <c r="A243" s="30" t="inlineStr">
        <is>
          <t>ORCHPHARMA</t>
        </is>
      </c>
      <c r="B243" s="30" t="inlineStr">
        <is>
          <t>Orchid Pharma Ltd</t>
        </is>
      </c>
      <c r="C243" s="30" t="inlineStr">
        <is>
          <t>healthcare</t>
        </is>
      </c>
      <c r="D243" s="30" t="inlineStr">
        <is>
          <t>pharmaceuticals - indian - bulk drugs &amp; formln</t>
        </is>
      </c>
      <c r="E243" s="30" t="inlineStr">
        <is>
          <t>midcap</t>
        </is>
      </c>
      <c r="F243" s="30" t="n">
        <v>5473.35</v>
      </c>
      <c r="G243" s="30" t="n">
        <v>1078.55</v>
      </c>
      <c r="H243" s="30" t="n">
        <v>-0.06</v>
      </c>
      <c r="I243" s="30" t="n">
        <v>188232</v>
      </c>
      <c r="J243" s="30" t="inlineStr">
        <is>
          <t>524372</t>
        </is>
      </c>
    </row>
    <row r="244">
      <c r="A244" s="30" t="inlineStr">
        <is>
          <t>SHANTIGOLD</t>
        </is>
      </c>
      <c r="B244" s="30" t="inlineStr">
        <is>
          <t>Shanti Gold International Ltd</t>
        </is>
      </c>
      <c r="C244" s="30" t="inlineStr">
        <is>
          <t>consumer discretionary</t>
        </is>
      </c>
      <c r="D244" s="30" t="inlineStr">
        <is>
          <t>diamond cutting / jewellery</t>
        </is>
      </c>
      <c r="E244" s="30" t="inlineStr">
        <is>
          <t>smallcap</t>
        </is>
      </c>
      <c r="F244" s="30" t="n">
        <v>1643.14</v>
      </c>
      <c r="G244" s="30" t="n">
        <v>227.77</v>
      </c>
      <c r="H244" s="30" t="n">
        <v>-0.06</v>
      </c>
      <c r="I244" s="30" t="n">
        <v>673789</v>
      </c>
      <c r="J244" s="30" t="inlineStr">
        <is>
          <t>544459</t>
        </is>
      </c>
    </row>
    <row r="245">
      <c r="A245" s="30" t="inlineStr">
        <is>
          <t>ATUL</t>
        </is>
      </c>
      <c r="B245" s="30" t="inlineStr">
        <is>
          <t>Atul Limited</t>
        </is>
      </c>
      <c r="C245" s="30" t="inlineStr">
        <is>
          <t>chemicals</t>
        </is>
      </c>
      <c r="D245" s="30" t="inlineStr">
        <is>
          <t>chemicals</t>
        </is>
      </c>
      <c r="E245" s="30" t="inlineStr">
        <is>
          <t>largecap</t>
        </is>
      </c>
      <c r="F245" s="30" t="n">
        <v>20179.38</v>
      </c>
      <c r="G245" s="30" t="n">
        <v>6850</v>
      </c>
      <c r="H245" s="30" t="n">
        <v>-0.06</v>
      </c>
      <c r="I245" s="30" t="n">
        <v>53467</v>
      </c>
      <c r="J245" s="30" t="inlineStr">
        <is>
          <t>500027</t>
        </is>
      </c>
    </row>
    <row r="246">
      <c r="A246" s="30" t="inlineStr">
        <is>
          <t>MAMATA</t>
        </is>
      </c>
      <c r="B246" s="30" t="inlineStr">
        <is>
          <t>Mamata Machinery Ltd</t>
        </is>
      </c>
      <c r="C246" s="30" t="inlineStr">
        <is>
          <t>industrials</t>
        </is>
      </c>
      <c r="D246" s="30" t="inlineStr">
        <is>
          <t>engineering</t>
        </is>
      </c>
      <c r="E246" s="30" t="inlineStr">
        <is>
          <t>smallcap</t>
        </is>
      </c>
      <c r="F246" s="30" t="n">
        <v>1046.57</v>
      </c>
      <c r="G246" s="30" t="n">
        <v>425</v>
      </c>
      <c r="H246" s="30" t="n">
        <v>-0.07000000000000001</v>
      </c>
      <c r="I246" s="30" t="n">
        <v>65765</v>
      </c>
      <c r="J246" s="30" t="inlineStr">
        <is>
          <t>544318</t>
        </is>
      </c>
    </row>
    <row r="247">
      <c r="A247" s="30" t="inlineStr">
        <is>
          <t>LODHA</t>
        </is>
      </c>
      <c r="B247" s="30" t="inlineStr">
        <is>
          <t>Lodha Developers Ltd</t>
        </is>
      </c>
      <c r="C247" s="30" t="inlineStr">
        <is>
          <t>realty</t>
        </is>
      </c>
      <c r="D247" s="30" t="inlineStr">
        <is>
          <t>construction</t>
        </is>
      </c>
      <c r="E247" s="30" t="inlineStr">
        <is>
          <t>largecap</t>
        </is>
      </c>
      <c r="F247" s="30" t="n">
        <v>121190.15</v>
      </c>
      <c r="G247" s="30" t="n">
        <v>1212</v>
      </c>
      <c r="H247" s="30" t="n">
        <v>-0.08</v>
      </c>
      <c r="I247" s="30" t="n">
        <v>1576372</v>
      </c>
      <c r="J247" s="30" t="inlineStr">
        <is>
          <t>543287</t>
        </is>
      </c>
    </row>
    <row r="248">
      <c r="A248" s="30" t="inlineStr">
        <is>
          <t>MAHLOG</t>
        </is>
      </c>
      <c r="B248" s="30" t="inlineStr">
        <is>
          <t>Mahindra Logistics Ltd</t>
        </is>
      </c>
      <c r="C248" s="30" t="inlineStr">
        <is>
          <t>transportation</t>
        </is>
      </c>
      <c r="D248" s="30" t="inlineStr">
        <is>
          <t>miscellaneous</t>
        </is>
      </c>
      <c r="E248" s="30" t="inlineStr">
        <is>
          <t>smallcap</t>
        </is>
      </c>
      <c r="F248" s="30" t="n">
        <v>4081.52</v>
      </c>
      <c r="G248" s="30" t="n">
        <v>411</v>
      </c>
      <c r="H248" s="30" t="n">
        <v>-0.09</v>
      </c>
      <c r="I248" s="30" t="n">
        <v>161828</v>
      </c>
      <c r="J248" s="30" t="inlineStr">
        <is>
          <t>540768</t>
        </is>
      </c>
    </row>
    <row r="249">
      <c r="A249" s="30" t="inlineStr">
        <is>
          <t>ENRIN</t>
        </is>
      </c>
      <c r="B249" s="30" t="inlineStr">
        <is>
          <t>Siemens Energy India Ltd</t>
        </is>
      </c>
      <c r="C249" s="30" t="inlineStr">
        <is>
          <t>power &amp; utilities</t>
        </is>
      </c>
      <c r="D249" s="30" t="inlineStr">
        <is>
          <t>power generation and supply</t>
        </is>
      </c>
      <c r="E249" s="30" t="inlineStr">
        <is>
          <t>largecap</t>
        </is>
      </c>
      <c r="F249" s="30" t="n">
        <v>127038.87</v>
      </c>
      <c r="G249" s="30" t="n">
        <v>3563.8</v>
      </c>
      <c r="H249" s="30" t="n">
        <v>-0.1</v>
      </c>
      <c r="I249" s="30" t="n">
        <v>260185</v>
      </c>
      <c r="J249" s="30" t="n"/>
    </row>
    <row r="250">
      <c r="A250" s="30" t="inlineStr">
        <is>
          <t>RADICO</t>
        </is>
      </c>
      <c r="B250" s="30" t="inlineStr">
        <is>
          <t>Radico Khaitan Limited</t>
        </is>
      </c>
      <c r="C250" s="30" t="inlineStr">
        <is>
          <t>fmcg</t>
        </is>
      </c>
      <c r="D250" s="30" t="inlineStr">
        <is>
          <t>breweries &amp; distilleries</t>
        </is>
      </c>
      <c r="E250" s="30" t="inlineStr">
        <is>
          <t>largecap</t>
        </is>
      </c>
      <c r="F250" s="30" t="n">
        <v>60938.76</v>
      </c>
      <c r="G250" s="30" t="n">
        <v>4545</v>
      </c>
      <c r="H250" s="30" t="n">
        <v>-0.11</v>
      </c>
      <c r="I250" s="30" t="n">
        <v>409122</v>
      </c>
      <c r="J250" s="30" t="inlineStr">
        <is>
          <t>532497</t>
        </is>
      </c>
    </row>
    <row r="251">
      <c r="A251" s="30" t="inlineStr">
        <is>
          <t>OCCLLTD</t>
        </is>
      </c>
      <c r="B251" s="30" t="inlineStr">
        <is>
          <t>OCCL Ltd</t>
        </is>
      </c>
      <c r="C251" s="30" t="inlineStr">
        <is>
          <t>chemicals</t>
        </is>
      </c>
      <c r="D251" s="30" t="inlineStr">
        <is>
          <t>chemicals</t>
        </is>
      </c>
      <c r="E251" s="30" t="inlineStr">
        <is>
          <t>smallcap</t>
        </is>
      </c>
      <c r="F251" s="30" t="n">
        <v>780.1799999999999</v>
      </c>
      <c r="G251" s="30" t="n">
        <v>156</v>
      </c>
      <c r="H251" s="30" t="n">
        <v>-0.12</v>
      </c>
      <c r="I251" s="30" t="n">
        <v>57259</v>
      </c>
      <c r="J251" s="30" t="inlineStr">
        <is>
          <t>544278</t>
        </is>
      </c>
    </row>
    <row r="252">
      <c r="A252" s="30" t="inlineStr">
        <is>
          <t>ETHOSLTD</t>
        </is>
      </c>
      <c r="B252" s="30" t="inlineStr">
        <is>
          <t>Ethos Ltd</t>
        </is>
      </c>
      <c r="C252" s="30" t="inlineStr">
        <is>
          <t>consumer discretionary</t>
        </is>
      </c>
      <c r="D252" s="30" t="inlineStr">
        <is>
          <t>trading</t>
        </is>
      </c>
      <c r="E252" s="30" t="inlineStr">
        <is>
          <t>midcap</t>
        </is>
      </c>
      <c r="F252" s="30" t="n">
        <v>7580.72</v>
      </c>
      <c r="G252" s="30" t="n">
        <v>2829.3</v>
      </c>
      <c r="H252" s="30" t="n">
        <v>-0.13</v>
      </c>
      <c r="I252" s="30" t="n">
        <v>24836</v>
      </c>
      <c r="J252" s="30" t="inlineStr">
        <is>
          <t>543532</t>
        </is>
      </c>
    </row>
    <row r="253">
      <c r="A253" s="30" t="inlineStr">
        <is>
          <t>VADILALIND</t>
        </is>
      </c>
      <c r="B253" s="30" t="inlineStr">
        <is>
          <t>Vadilal Industries Limited</t>
        </is>
      </c>
      <c r="C253" s="30" t="inlineStr">
        <is>
          <t>fmcg</t>
        </is>
      </c>
      <c r="D253" s="30" t="inlineStr">
        <is>
          <t>food - processing - indian</t>
        </is>
      </c>
      <c r="E253" s="30" t="inlineStr">
        <is>
          <t>midcap</t>
        </is>
      </c>
      <c r="F253" s="30" t="n">
        <v>5304.62</v>
      </c>
      <c r="G253" s="30" t="n">
        <v>7370</v>
      </c>
      <c r="H253" s="30" t="n">
        <v>-0.14</v>
      </c>
      <c r="I253" s="30" t="n">
        <v>13138</v>
      </c>
      <c r="J253" s="30" t="inlineStr">
        <is>
          <t>519156</t>
        </is>
      </c>
    </row>
    <row r="254">
      <c r="A254" s="30" t="inlineStr">
        <is>
          <t>PIXTRANS</t>
        </is>
      </c>
      <c r="B254" s="30" t="inlineStr">
        <is>
          <t>Pix Transmission Ltd</t>
        </is>
      </c>
      <c r="C254" s="30" t="inlineStr">
        <is>
          <t>fmcg</t>
        </is>
      </c>
      <c r="D254" s="30" t="inlineStr">
        <is>
          <t>miscellaneous</t>
        </is>
      </c>
      <c r="E254" s="30" t="inlineStr">
        <is>
          <t>smallcap</t>
        </is>
      </c>
      <c r="F254" s="30" t="n">
        <v>2706.65</v>
      </c>
      <c r="G254" s="30" t="n">
        <v>1983</v>
      </c>
      <c r="H254" s="30" t="n">
        <v>-0.18</v>
      </c>
      <c r="I254" s="30" t="n">
        <v>257838</v>
      </c>
      <c r="J254" s="30" t="inlineStr">
        <is>
          <t>500333</t>
        </is>
      </c>
    </row>
    <row r="255">
      <c r="A255" s="30" t="inlineStr">
        <is>
          <t>SMCGLOBAL</t>
        </is>
      </c>
      <c r="B255" s="30" t="inlineStr">
        <is>
          <t>SMC Global Securities Ltd</t>
        </is>
      </c>
      <c r="C255" s="30" t="inlineStr">
        <is>
          <t>financials</t>
        </is>
      </c>
      <c r="D255" s="30" t="inlineStr">
        <is>
          <t>finance &amp; investments</t>
        </is>
      </c>
      <c r="E255" s="30" t="inlineStr">
        <is>
          <t>smallcap</t>
        </is>
      </c>
      <c r="F255" s="30" t="n">
        <v>1662.43</v>
      </c>
      <c r="G255" s="30" t="n">
        <v>79.25</v>
      </c>
      <c r="H255" s="30" t="n">
        <v>-0.18</v>
      </c>
      <c r="I255" s="30" t="n">
        <v>350310</v>
      </c>
      <c r="J255" s="30" t="inlineStr">
        <is>
          <t>543263</t>
        </is>
      </c>
    </row>
    <row r="256">
      <c r="A256" s="30" t="inlineStr">
        <is>
          <t>AIAENG</t>
        </is>
      </c>
      <c r="B256" s="30" t="inlineStr">
        <is>
          <t>Aia Engineering Limited</t>
        </is>
      </c>
      <c r="C256" s="30" t="inlineStr">
        <is>
          <t>industrials</t>
        </is>
      </c>
      <c r="D256" s="30" t="inlineStr">
        <is>
          <t>castings &amp; forgings</t>
        </is>
      </c>
      <c r="E256" s="30" t="inlineStr">
        <is>
          <t>largecap</t>
        </is>
      </c>
      <c r="F256" s="30" t="n">
        <v>44703.26</v>
      </c>
      <c r="G256" s="30" t="n">
        <v>4781.6</v>
      </c>
      <c r="H256" s="30" t="n">
        <v>-0.18</v>
      </c>
      <c r="I256" s="30" t="n">
        <v>32387</v>
      </c>
      <c r="J256" s="30" t="inlineStr">
        <is>
          <t>532683</t>
        </is>
      </c>
    </row>
    <row r="257">
      <c r="A257" s="30" t="inlineStr">
        <is>
          <t>SAREGAMA</t>
        </is>
      </c>
      <c r="B257" s="30" t="inlineStr">
        <is>
          <t>Saregama India Limited</t>
        </is>
      </c>
      <c r="C257" s="30" t="inlineStr">
        <is>
          <t>media</t>
        </is>
      </c>
      <c r="D257" s="30" t="inlineStr">
        <is>
          <t>entertainment / electronic media software</t>
        </is>
      </c>
      <c r="E257" s="30" t="inlineStr">
        <is>
          <t>midcap</t>
        </is>
      </c>
      <c r="F257" s="30" t="n">
        <v>10219.87</v>
      </c>
      <c r="G257" s="30" t="n">
        <v>529.1</v>
      </c>
      <c r="H257" s="30" t="n">
        <v>-0.18</v>
      </c>
      <c r="I257" s="30" t="n">
        <v>378968</v>
      </c>
      <c r="J257" s="30" t="inlineStr">
        <is>
          <t>532163</t>
        </is>
      </c>
    </row>
    <row r="258">
      <c r="A258" s="30" t="inlineStr">
        <is>
          <t>JGCHEM</t>
        </is>
      </c>
      <c r="B258" s="30" t="inlineStr">
        <is>
          <t>J.G.Chemicals Ltd</t>
        </is>
      </c>
      <c r="C258" s="30" t="inlineStr">
        <is>
          <t>chemicals</t>
        </is>
      </c>
      <c r="D258" s="30" t="inlineStr">
        <is>
          <t>chemicals</t>
        </is>
      </c>
      <c r="E258" s="30" t="inlineStr">
        <is>
          <t>smallcap</t>
        </is>
      </c>
      <c r="F258" s="30" t="n">
        <v>2438.16</v>
      </c>
      <c r="G258" s="30" t="n">
        <v>621</v>
      </c>
      <c r="H258" s="30" t="n">
        <v>-0.19</v>
      </c>
      <c r="I258" s="30" t="n">
        <v>2150986</v>
      </c>
      <c r="J258" s="30" t="n"/>
    </row>
    <row r="259">
      <c r="A259" s="30" t="inlineStr">
        <is>
          <t>LALPATHLAB</t>
        </is>
      </c>
      <c r="B259" s="30" t="inlineStr">
        <is>
          <t>Dr. Lal Path Labs Ltd.</t>
        </is>
      </c>
      <c r="C259" s="30" t="inlineStr">
        <is>
          <t>healthcare</t>
        </is>
      </c>
      <c r="D259" s="30" t="inlineStr">
        <is>
          <t>healthcare</t>
        </is>
      </c>
      <c r="E259" s="30" t="inlineStr">
        <is>
          <t>largecap</t>
        </is>
      </c>
      <c r="F259" s="30" t="n">
        <v>32756.42</v>
      </c>
      <c r="G259" s="30" t="n">
        <v>1950</v>
      </c>
      <c r="H259" s="30" t="n">
        <v>-0.2</v>
      </c>
      <c r="I259" s="30" t="n">
        <v>198678</v>
      </c>
      <c r="J259" s="30" t="inlineStr">
        <is>
          <t>539524</t>
        </is>
      </c>
    </row>
    <row r="260">
      <c r="A260" s="30" t="inlineStr">
        <is>
          <t>INDGN</t>
        </is>
      </c>
      <c r="B260" s="30" t="inlineStr">
        <is>
          <t>Indegene Ltd</t>
        </is>
      </c>
      <c r="C260" s="30" t="inlineStr">
        <is>
          <t>healthcare</t>
        </is>
      </c>
      <c r="D260" s="30" t="inlineStr">
        <is>
          <t>miscellaneous</t>
        </is>
      </c>
      <c r="E260" s="30" t="inlineStr">
        <is>
          <t>midcap</t>
        </is>
      </c>
      <c r="F260" s="30" t="n">
        <v>13704.28</v>
      </c>
      <c r="G260" s="30" t="n">
        <v>567.6</v>
      </c>
      <c r="H260" s="30" t="n">
        <v>-0.2</v>
      </c>
      <c r="I260" s="30" t="n">
        <v>1020395</v>
      </c>
      <c r="J260" s="30" t="inlineStr">
        <is>
          <t>544172</t>
        </is>
      </c>
    </row>
    <row r="261">
      <c r="A261" s="30" t="inlineStr">
        <is>
          <t>ASKAUTOLTD</t>
        </is>
      </c>
      <c r="B261" s="30" t="inlineStr">
        <is>
          <t>ASK Automotive Ltd</t>
        </is>
      </c>
      <c r="C261" s="30" t="inlineStr">
        <is>
          <t>auto</t>
        </is>
      </c>
      <c r="D261" s="30" t="inlineStr">
        <is>
          <t>auto ancillaries</t>
        </is>
      </c>
      <c r="E261" s="30" t="inlineStr">
        <is>
          <t>midcap</t>
        </is>
      </c>
      <c r="F261" s="30" t="n">
        <v>12924.67</v>
      </c>
      <c r="G261" s="30" t="n">
        <v>654.25</v>
      </c>
      <c r="H261" s="30" t="n">
        <v>-0.21</v>
      </c>
      <c r="I261" s="30" t="n">
        <v>276433</v>
      </c>
      <c r="J261" s="30" t="inlineStr">
        <is>
          <t>544022</t>
        </is>
      </c>
    </row>
    <row r="262">
      <c r="A262" s="30" t="inlineStr">
        <is>
          <t>NGLFINE</t>
        </is>
      </c>
      <c r="B262" s="30" t="inlineStr">
        <is>
          <t>NGL Fine Chem Ltd</t>
        </is>
      </c>
      <c r="C262" s="30" t="inlineStr">
        <is>
          <t>healthcare</t>
        </is>
      </c>
      <c r="D262" s="30" t="inlineStr">
        <is>
          <t>pharmaceuticals - indian - bulk drugs</t>
        </is>
      </c>
      <c r="E262" s="30" t="inlineStr">
        <is>
          <t>smallcap</t>
        </is>
      </c>
      <c r="F262" s="30" t="n">
        <v>2136.24</v>
      </c>
      <c r="G262" s="30" t="n">
        <v>3450</v>
      </c>
      <c r="H262" s="30" t="n">
        <v>-0.23</v>
      </c>
      <c r="I262" s="30" t="n">
        <v>5006</v>
      </c>
      <c r="J262" s="30" t="inlineStr">
        <is>
          <t>524774</t>
        </is>
      </c>
    </row>
    <row r="263">
      <c r="A263" s="30" t="inlineStr">
        <is>
          <t>GNA</t>
        </is>
      </c>
      <c r="B263" s="30" t="inlineStr">
        <is>
          <t>Gna Axles Limited</t>
        </is>
      </c>
      <c r="C263" s="30" t="inlineStr">
        <is>
          <t>auto</t>
        </is>
      </c>
      <c r="D263" s="30" t="inlineStr">
        <is>
          <t>auto ancillaries</t>
        </is>
      </c>
      <c r="E263" s="30" t="inlineStr">
        <is>
          <t>smallcap</t>
        </is>
      </c>
      <c r="F263" s="30" t="n">
        <v>2312.68</v>
      </c>
      <c r="G263" s="30" t="n">
        <v>537.35</v>
      </c>
      <c r="H263" s="30" t="n">
        <v>-0.25</v>
      </c>
      <c r="I263" s="30" t="n">
        <v>921302</v>
      </c>
      <c r="J263" s="30" t="inlineStr">
        <is>
          <t>540124</t>
        </is>
      </c>
    </row>
    <row r="264">
      <c r="A264" s="30" t="inlineStr">
        <is>
          <t>WELCORP</t>
        </is>
      </c>
      <c r="B264" s="30" t="inlineStr">
        <is>
          <t>Welspun Corp Limited</t>
        </is>
      </c>
      <c r="C264" s="30" t="inlineStr">
        <is>
          <t>industrials</t>
        </is>
      </c>
      <c r="D264" s="30" t="inlineStr">
        <is>
          <t>steel - large</t>
        </is>
      </c>
      <c r="E264" s="30" t="inlineStr">
        <is>
          <t>largecap</t>
        </is>
      </c>
      <c r="F264" s="30" t="n">
        <v>48761.7</v>
      </c>
      <c r="G264" s="30" t="n">
        <v>1843.9</v>
      </c>
      <c r="H264" s="30" t="n">
        <v>-0.25</v>
      </c>
      <c r="I264" s="30" t="n">
        <v>768460</v>
      </c>
      <c r="J264" s="30" t="inlineStr">
        <is>
          <t>532144</t>
        </is>
      </c>
    </row>
    <row r="265">
      <c r="A265" s="30" t="inlineStr">
        <is>
          <t>KEI</t>
        </is>
      </c>
      <c r="B265" s="30" t="inlineStr">
        <is>
          <t>Kei Industries Limited</t>
        </is>
      </c>
      <c r="C265" s="30" t="inlineStr">
        <is>
          <t>industrials</t>
        </is>
      </c>
      <c r="D265" s="30" t="inlineStr">
        <is>
          <t>cables - power</t>
        </is>
      </c>
      <c r="E265" s="30" t="inlineStr">
        <is>
          <t>largecap</t>
        </is>
      </c>
      <c r="F265" s="30" t="n">
        <v>54108.02</v>
      </c>
      <c r="G265" s="30" t="n">
        <v>5645</v>
      </c>
      <c r="H265" s="30" t="n">
        <v>-0.26</v>
      </c>
      <c r="I265" s="30" t="n">
        <v>823095</v>
      </c>
      <c r="J265" s="30" t="inlineStr">
        <is>
          <t>517569</t>
        </is>
      </c>
    </row>
    <row r="266">
      <c r="A266" s="30" t="inlineStr">
        <is>
          <t>SOLARINDS</t>
        </is>
      </c>
      <c r="B266" s="30" t="inlineStr">
        <is>
          <t>Solar Industries India Limited</t>
        </is>
      </c>
      <c r="C266" s="30" t="inlineStr">
        <is>
          <t>aerospace &amp; defence</t>
        </is>
      </c>
      <c r="D266" s="30" t="inlineStr">
        <is>
          <t>chemicals</t>
        </is>
      </c>
      <c r="E266" s="30" t="inlineStr">
        <is>
          <t>largecap</t>
        </is>
      </c>
      <c r="F266" s="30" t="n">
        <v>170302.28</v>
      </c>
      <c r="G266" s="30" t="n">
        <v>18770</v>
      </c>
      <c r="H266" s="30" t="n">
        <v>-0.27</v>
      </c>
      <c r="I266" s="30" t="n">
        <v>161107</v>
      </c>
      <c r="J266" s="30" t="inlineStr">
        <is>
          <t>532725</t>
        </is>
      </c>
    </row>
    <row r="267">
      <c r="A267" s="30" t="inlineStr">
        <is>
          <t>63MOONS</t>
        </is>
      </c>
      <c r="B267" s="30" t="inlineStr">
        <is>
          <t>63 Moons Technologies Ltd</t>
        </is>
      </c>
      <c r="C267" s="30" t="inlineStr">
        <is>
          <t>i.t</t>
        </is>
      </c>
      <c r="D267" s="30" t="inlineStr">
        <is>
          <t>computers - software - medium / small</t>
        </is>
      </c>
      <c r="E267" s="30" t="inlineStr">
        <is>
          <t>smallcap</t>
        </is>
      </c>
      <c r="F267" s="30" t="n">
        <v>3967.82</v>
      </c>
      <c r="G267" s="30" t="n">
        <v>858.65</v>
      </c>
      <c r="H267" s="30" t="n">
        <v>-0.28</v>
      </c>
      <c r="I267" s="30" t="n">
        <v>169990</v>
      </c>
      <c r="J267" s="30" t="inlineStr">
        <is>
          <t>526881</t>
        </is>
      </c>
    </row>
    <row r="268">
      <c r="A268" s="30" t="inlineStr">
        <is>
          <t>TRAVELFOOD</t>
        </is>
      </c>
      <c r="B268" s="30" t="inlineStr">
        <is>
          <t>Travel Food Services Ltd</t>
        </is>
      </c>
      <c r="C268" s="30" t="inlineStr">
        <is>
          <t>consumer discretionary</t>
        </is>
      </c>
      <c r="D268" s="30" t="inlineStr">
        <is>
          <t>hotels</t>
        </is>
      </c>
      <c r="E268" s="30" t="inlineStr">
        <is>
          <t>midcap</t>
        </is>
      </c>
      <c r="F268" s="30" t="n">
        <v>18394.31</v>
      </c>
      <c r="G268" s="30" t="n">
        <v>1393</v>
      </c>
      <c r="H268" s="30" t="n">
        <v>-0.28</v>
      </c>
      <c r="I268" s="30" t="n">
        <v>82070</v>
      </c>
      <c r="J268" s="30" t="inlineStr">
        <is>
          <t>544443</t>
        </is>
      </c>
    </row>
    <row r="269">
      <c r="A269" s="30" t="inlineStr">
        <is>
          <t>DPABHUSHAN</t>
        </is>
      </c>
      <c r="B269" s="30" t="inlineStr">
        <is>
          <t>D.P. Abhushan Ltd</t>
        </is>
      </c>
      <c r="C269" s="30" t="inlineStr">
        <is>
          <t>consumer discretionary</t>
        </is>
      </c>
      <c r="D269" s="30" t="inlineStr">
        <is>
          <t>diamond cutting / jewellery</t>
        </is>
      </c>
      <c r="E269" s="30" t="inlineStr">
        <is>
          <t>smallcap</t>
        </is>
      </c>
      <c r="F269" s="30" t="n">
        <v>3365.52</v>
      </c>
      <c r="G269" s="30" t="n">
        <v>1470</v>
      </c>
      <c r="H269" s="30" t="n">
        <v>-0.29</v>
      </c>
      <c r="I269" s="30" t="n">
        <v>11856</v>
      </c>
      <c r="J269" s="30" t="inlineStr">
        <is>
          <t>535026</t>
        </is>
      </c>
    </row>
    <row r="270">
      <c r="A270" s="30" t="inlineStr">
        <is>
          <t>CHOLAFIN</t>
        </is>
      </c>
      <c r="B270" s="30" t="inlineStr">
        <is>
          <t>Cholamandalam Investment And Finance Company Limited</t>
        </is>
      </c>
      <c r="C270" s="30" t="inlineStr">
        <is>
          <t>financials</t>
        </is>
      </c>
      <c r="D270" s="30" t="inlineStr">
        <is>
          <t>finance &amp; investments</t>
        </is>
      </c>
      <c r="E270" s="30" t="inlineStr">
        <is>
          <t>largecap</t>
        </is>
      </c>
      <c r="F270" s="30" t="n">
        <v>163696.63</v>
      </c>
      <c r="G270" s="30" t="n">
        <v>1914.4</v>
      </c>
      <c r="H270" s="30" t="n">
        <v>-0.29</v>
      </c>
      <c r="I270" s="30" t="n">
        <v>2839699</v>
      </c>
      <c r="J270" s="30" t="inlineStr">
        <is>
          <t>511243</t>
        </is>
      </c>
    </row>
    <row r="271">
      <c r="A271" s="30" t="inlineStr">
        <is>
          <t>SIGMAADV</t>
        </is>
      </c>
      <c r="B271" s="30" t="inlineStr">
        <is>
          <t>Sigma Advanced System Ltd</t>
        </is>
      </c>
      <c r="C271" s="30" t="inlineStr">
        <is>
          <t>aerospace &amp; defence</t>
        </is>
      </c>
      <c r="D271" s="30" t="inlineStr">
        <is>
          <t>electronics - components</t>
        </is>
      </c>
      <c r="E271" s="30" t="inlineStr">
        <is>
          <t>midcap</t>
        </is>
      </c>
      <c r="F271" s="30" t="n">
        <v>13339.58</v>
      </c>
      <c r="G271" s="30" t="n">
        <v>701.8</v>
      </c>
      <c r="H271" s="30" t="n">
        <v>-0.31</v>
      </c>
      <c r="I271" s="30" t="n">
        <v>150689</v>
      </c>
      <c r="J271" s="30" t="inlineStr">
        <is>
          <t>532408</t>
        </is>
      </c>
    </row>
    <row r="272">
      <c r="A272" s="30" t="inlineStr">
        <is>
          <t>IOLCP</t>
        </is>
      </c>
      <c r="B272" s="30" t="inlineStr">
        <is>
          <t>Iol Chemicals And Pharmaceuticals Limited</t>
        </is>
      </c>
      <c r="C272" s="30" t="inlineStr">
        <is>
          <t>healthcare</t>
        </is>
      </c>
      <c r="D272" s="30" t="inlineStr">
        <is>
          <t>pharmaceuticals - indian - bulk drugs &amp; formln</t>
        </is>
      </c>
      <c r="E272" s="30" t="inlineStr">
        <is>
          <t>smallcap</t>
        </is>
      </c>
      <c r="F272" s="30" t="n">
        <v>4833.22</v>
      </c>
      <c r="G272" s="30" t="n">
        <v>164.14</v>
      </c>
      <c r="H272" s="30" t="n">
        <v>-0.32</v>
      </c>
      <c r="I272" s="30" t="n">
        <v>4425240</v>
      </c>
      <c r="J272" s="30" t="inlineStr">
        <is>
          <t>524164</t>
        </is>
      </c>
    </row>
    <row r="273">
      <c r="A273" s="30" t="inlineStr">
        <is>
          <t>CIPLA</t>
        </is>
      </c>
      <c r="B273" s="30" t="inlineStr">
        <is>
          <t>Cipla Limited</t>
        </is>
      </c>
      <c r="C273" s="30" t="inlineStr">
        <is>
          <t>healthcare</t>
        </is>
      </c>
      <c r="D273" s="30" t="inlineStr">
        <is>
          <t>pharmaceuticals - indian - bulk drugs &amp; formln</t>
        </is>
      </c>
      <c r="E273" s="30" t="inlineStr">
        <is>
          <t>largecap</t>
        </is>
      </c>
      <c r="F273" s="30" t="n">
        <v>118567.46</v>
      </c>
      <c r="G273" s="30" t="n">
        <v>1463</v>
      </c>
      <c r="H273" s="30" t="n">
        <v>-0.32</v>
      </c>
      <c r="I273" s="30" t="n">
        <v>1868778</v>
      </c>
      <c r="J273" s="30" t="inlineStr">
        <is>
          <t>500087</t>
        </is>
      </c>
    </row>
    <row r="274">
      <c r="A274" s="30" t="inlineStr">
        <is>
          <t>RBLBANK</t>
        </is>
      </c>
      <c r="B274" s="30" t="inlineStr">
        <is>
          <t>Rbl Bank Limited</t>
        </is>
      </c>
      <c r="C274" s="30" t="inlineStr">
        <is>
          <t>bank</t>
        </is>
      </c>
      <c r="D274" s="30" t="inlineStr">
        <is>
          <t>banks - private sector</t>
        </is>
      </c>
      <c r="E274" s="30" t="inlineStr">
        <is>
          <t>largecap</t>
        </is>
      </c>
      <c r="F274" s="30" t="n">
        <v>60548.62</v>
      </c>
      <c r="G274" s="30" t="n">
        <v>389.7</v>
      </c>
      <c r="H274" s="30" t="n">
        <v>-0.33</v>
      </c>
      <c r="I274" s="30" t="n">
        <v>4231463</v>
      </c>
      <c r="J274" s="30" t="inlineStr">
        <is>
          <t>540065</t>
        </is>
      </c>
    </row>
    <row r="275">
      <c r="A275" s="30" t="inlineStr">
        <is>
          <t>SMLMAH</t>
        </is>
      </c>
      <c r="B275" s="30" t="inlineStr">
        <is>
          <t>SML Mahindra Ltd</t>
        </is>
      </c>
      <c r="C275" s="30" t="inlineStr">
        <is>
          <t>auto</t>
        </is>
      </c>
      <c r="D275" s="30" t="inlineStr">
        <is>
          <t>automobiles - lcvs / hcvs</t>
        </is>
      </c>
      <c r="E275" s="30" t="inlineStr">
        <is>
          <t>midcap</t>
        </is>
      </c>
      <c r="F275" s="30" t="n">
        <v>7564.33</v>
      </c>
      <c r="G275" s="30" t="n">
        <v>5208.5</v>
      </c>
      <c r="H275" s="30" t="n">
        <v>-0.35</v>
      </c>
      <c r="I275" s="30" t="n">
        <v>219453</v>
      </c>
      <c r="J275" s="30" t="inlineStr">
        <is>
          <t>505192</t>
        </is>
      </c>
    </row>
    <row r="276">
      <c r="A276" s="30" t="inlineStr">
        <is>
          <t>WINDMACHIN</t>
        </is>
      </c>
      <c r="B276" s="30" t="inlineStr">
        <is>
          <t>Windsor Machines Limited</t>
        </is>
      </c>
      <c r="C276" s="30" t="inlineStr">
        <is>
          <t>industrials</t>
        </is>
      </c>
      <c r="D276" s="30" t="inlineStr">
        <is>
          <t>engineering</t>
        </is>
      </c>
      <c r="E276" s="30" t="inlineStr">
        <is>
          <t>smallcap</t>
        </is>
      </c>
      <c r="F276" s="30" t="n">
        <v>3088.94</v>
      </c>
      <c r="G276" s="30" t="n">
        <v>302.6</v>
      </c>
      <c r="H276" s="30" t="n">
        <v>-0.35</v>
      </c>
      <c r="I276" s="30" t="n">
        <v>143872</v>
      </c>
      <c r="J276" s="30" t="inlineStr">
        <is>
          <t>522029</t>
        </is>
      </c>
    </row>
    <row r="277">
      <c r="A277" s="30" t="inlineStr">
        <is>
          <t>APLAPOLLO</t>
        </is>
      </c>
      <c r="B277" s="30" t="inlineStr">
        <is>
          <t>Apl Apollo Tubes Limited</t>
        </is>
      </c>
      <c r="C277" s="30" t="inlineStr">
        <is>
          <t>industrials</t>
        </is>
      </c>
      <c r="D277" s="30" t="inlineStr">
        <is>
          <t>steel - large</t>
        </is>
      </c>
      <c r="E277" s="30" t="inlineStr">
        <is>
          <t>largecap</t>
        </is>
      </c>
      <c r="F277" s="30" t="n">
        <v>56087</v>
      </c>
      <c r="G277" s="30" t="n">
        <v>2012.7</v>
      </c>
      <c r="H277" s="30" t="n">
        <v>-0.36</v>
      </c>
      <c r="I277" s="30" t="n">
        <v>1455387</v>
      </c>
      <c r="J277" s="30" t="inlineStr">
        <is>
          <t>533758</t>
        </is>
      </c>
    </row>
    <row r="278">
      <c r="A278" s="30" t="inlineStr">
        <is>
          <t>DIAMONDYD</t>
        </is>
      </c>
      <c r="B278" s="30" t="inlineStr">
        <is>
          <t>Prataap Snacks Ltd</t>
        </is>
      </c>
      <c r="C278" s="30" t="inlineStr">
        <is>
          <t>fmcg</t>
        </is>
      </c>
      <c r="D278" s="30" t="inlineStr">
        <is>
          <t>food - processing - indian</t>
        </is>
      </c>
      <c r="E278" s="30" t="inlineStr">
        <is>
          <t>smallcap</t>
        </is>
      </c>
      <c r="F278" s="30" t="n">
        <v>2884.57</v>
      </c>
      <c r="G278" s="30" t="n">
        <v>1202</v>
      </c>
      <c r="H278" s="30" t="n">
        <v>-0.36</v>
      </c>
      <c r="I278" s="30" t="n">
        <v>86815</v>
      </c>
      <c r="J278" s="30" t="inlineStr">
        <is>
          <t>540724</t>
        </is>
      </c>
    </row>
    <row r="279">
      <c r="A279" s="30" t="inlineStr">
        <is>
          <t>ARIHANT</t>
        </is>
      </c>
      <c r="B279" s="30" t="inlineStr">
        <is>
          <t>Arihant Foundations &amp; Housing Limited</t>
        </is>
      </c>
      <c r="C279" s="30" t="inlineStr">
        <is>
          <t>realty</t>
        </is>
      </c>
      <c r="D279" s="30" t="inlineStr">
        <is>
          <t>construction</t>
        </is>
      </c>
      <c r="E279" s="30" t="inlineStr">
        <is>
          <t>smallcap</t>
        </is>
      </c>
      <c r="F279" s="30" t="n">
        <v>1120.44</v>
      </c>
      <c r="G279" s="30" t="n">
        <v>1120</v>
      </c>
      <c r="H279" s="30" t="n">
        <v>-0.38</v>
      </c>
      <c r="I279" s="30" t="n">
        <v>1051</v>
      </c>
      <c r="J279" s="30" t="inlineStr">
        <is>
          <t>531381</t>
        </is>
      </c>
    </row>
    <row r="280">
      <c r="A280" s="30" t="inlineStr">
        <is>
          <t>HAL</t>
        </is>
      </c>
      <c r="B280" s="30" t="inlineStr">
        <is>
          <t>Hindustan Aeronautics Ltd</t>
        </is>
      </c>
      <c r="C280" s="30" t="inlineStr">
        <is>
          <t>aerospace &amp; defence</t>
        </is>
      </c>
      <c r="D280" s="30" t="inlineStr">
        <is>
          <t>engineering</t>
        </is>
      </c>
      <c r="E280" s="30" t="inlineStr">
        <is>
          <t>largecap</t>
        </is>
      </c>
      <c r="F280" s="30" t="n">
        <v>329572.32</v>
      </c>
      <c r="G280" s="30" t="n">
        <v>4909</v>
      </c>
      <c r="H280" s="30" t="n">
        <v>-0.39</v>
      </c>
      <c r="I280" s="30" t="n">
        <v>881896</v>
      </c>
      <c r="J280" s="30" t="inlineStr">
        <is>
          <t>541154</t>
        </is>
      </c>
    </row>
    <row r="281">
      <c r="A281" s="30" t="inlineStr">
        <is>
          <t>VINDHYATEL</t>
        </is>
      </c>
      <c r="B281" s="30" t="inlineStr">
        <is>
          <t>Vindhya Telelinks Limited</t>
        </is>
      </c>
      <c r="C281" s="30" t="inlineStr">
        <is>
          <t>realty</t>
        </is>
      </c>
      <c r="D281" s="30" t="inlineStr">
        <is>
          <t>construction</t>
        </is>
      </c>
      <c r="E281" s="30" t="inlineStr">
        <is>
          <t>smallcap</t>
        </is>
      </c>
      <c r="F281" s="30" t="n">
        <v>2889.71</v>
      </c>
      <c r="G281" s="30" t="n">
        <v>2429</v>
      </c>
      <c r="H281" s="30" t="n">
        <v>-0.39</v>
      </c>
      <c r="I281" s="30" t="n">
        <v>102596</v>
      </c>
      <c r="J281" s="30" t="inlineStr">
        <is>
          <t>517015</t>
        </is>
      </c>
    </row>
    <row r="282">
      <c r="A282" s="30" t="inlineStr">
        <is>
          <t>KABRAEXTRU</t>
        </is>
      </c>
      <c r="B282" s="30" t="inlineStr">
        <is>
          <t>Kabra Extrusion Technik Limited</t>
        </is>
      </c>
      <c r="C282" s="30" t="inlineStr">
        <is>
          <t>industrials</t>
        </is>
      </c>
      <c r="D282" s="30" t="inlineStr">
        <is>
          <t>engineering</t>
        </is>
      </c>
      <c r="E282" s="30" t="inlineStr">
        <is>
          <t>smallcap</t>
        </is>
      </c>
      <c r="F282" s="30" t="n">
        <v>1786.24</v>
      </c>
      <c r="G282" s="30" t="n">
        <v>508.7</v>
      </c>
      <c r="H282" s="30" t="n">
        <v>-0.4</v>
      </c>
      <c r="I282" s="30" t="n">
        <v>431943</v>
      </c>
      <c r="J282" s="30" t="inlineStr">
        <is>
          <t>524109</t>
        </is>
      </c>
    </row>
    <row r="283">
      <c r="A283" s="30" t="inlineStr">
        <is>
          <t>EXIDEIND</t>
        </is>
      </c>
      <c r="B283" s="30" t="inlineStr">
        <is>
          <t>Exide Industries Limited</t>
        </is>
      </c>
      <c r="C283" s="30" t="inlineStr">
        <is>
          <t>auto</t>
        </is>
      </c>
      <c r="D283" s="30" t="inlineStr">
        <is>
          <t>auto ancillaries</t>
        </is>
      </c>
      <c r="E283" s="30" t="inlineStr">
        <is>
          <t>largecap</t>
        </is>
      </c>
      <c r="F283" s="30" t="n">
        <v>41259</v>
      </c>
      <c r="G283" s="30" t="n">
        <v>483.35</v>
      </c>
      <c r="H283" s="30" t="n">
        <v>-0.42</v>
      </c>
      <c r="I283" s="30" t="n">
        <v>4289159</v>
      </c>
      <c r="J283" s="30" t="inlineStr">
        <is>
          <t>500086</t>
        </is>
      </c>
    </row>
    <row r="284">
      <c r="A284" s="30" t="inlineStr">
        <is>
          <t>RAYMOND</t>
        </is>
      </c>
      <c r="B284" s="30" t="inlineStr">
        <is>
          <t>Raymond Limited</t>
        </is>
      </c>
      <c r="C284" s="30" t="inlineStr">
        <is>
          <t>transportation</t>
        </is>
      </c>
      <c r="D284" s="30" t="inlineStr">
        <is>
          <t>transport - airlines</t>
        </is>
      </c>
      <c r="E284" s="30" t="inlineStr">
        <is>
          <t>smallcap</t>
        </is>
      </c>
      <c r="F284" s="30" t="n">
        <v>4174.17</v>
      </c>
      <c r="G284" s="30" t="n">
        <v>624.3</v>
      </c>
      <c r="H284" s="30" t="n">
        <v>-0.43</v>
      </c>
      <c r="I284" s="30" t="n">
        <v>275238</v>
      </c>
      <c r="J284" s="30" t="inlineStr">
        <is>
          <t>500330</t>
        </is>
      </c>
    </row>
    <row r="285">
      <c r="A285" s="30" t="inlineStr">
        <is>
          <t>GUFICBIO</t>
        </is>
      </c>
      <c r="B285" s="30" t="inlineStr">
        <is>
          <t>Gufic Biosciences Limited</t>
        </is>
      </c>
      <c r="C285" s="30" t="inlineStr">
        <is>
          <t>healthcare</t>
        </is>
      </c>
      <c r="D285" s="30" t="inlineStr">
        <is>
          <t>pharmaceuticals - indian - bulk drugs &amp; formln</t>
        </is>
      </c>
      <c r="E285" s="30" t="inlineStr">
        <is>
          <t>smallcap</t>
        </is>
      </c>
      <c r="F285" s="30" t="n">
        <v>4342.23</v>
      </c>
      <c r="G285" s="30" t="n">
        <v>431.1</v>
      </c>
      <c r="H285" s="30" t="n">
        <v>-0.44</v>
      </c>
      <c r="I285" s="30" t="n">
        <v>122005</v>
      </c>
      <c r="J285" s="30" t="inlineStr">
        <is>
          <t>509079</t>
        </is>
      </c>
    </row>
    <row r="286">
      <c r="A286" s="30" t="inlineStr">
        <is>
          <t>PITTIENG</t>
        </is>
      </c>
      <c r="B286" s="30" t="inlineStr">
        <is>
          <t>Pitti Engineering Ltd</t>
        </is>
      </c>
      <c r="C286" s="30" t="inlineStr">
        <is>
          <t>industrials</t>
        </is>
      </c>
      <c r="D286" s="30" t="inlineStr">
        <is>
          <t>engineering</t>
        </is>
      </c>
      <c r="E286" s="30" t="inlineStr">
        <is>
          <t>smallcap</t>
        </is>
      </c>
      <c r="F286" s="30" t="n">
        <v>3632.07</v>
      </c>
      <c r="G286" s="30" t="n">
        <v>960.35</v>
      </c>
      <c r="H286" s="30" t="n">
        <v>-0.44</v>
      </c>
      <c r="I286" s="30" t="n">
        <v>60883</v>
      </c>
      <c r="J286" s="30" t="inlineStr">
        <is>
          <t>513519</t>
        </is>
      </c>
    </row>
    <row r="287">
      <c r="A287" s="30" t="inlineStr">
        <is>
          <t>BRITANNIA</t>
        </is>
      </c>
      <c r="B287" s="30" t="inlineStr">
        <is>
          <t>Britannia Industries Limited</t>
        </is>
      </c>
      <c r="C287" s="30" t="inlineStr">
        <is>
          <t>fmcg</t>
        </is>
      </c>
      <c r="D287" s="30" t="inlineStr">
        <is>
          <t>food - processing - mnc</t>
        </is>
      </c>
      <c r="E287" s="30" t="inlineStr">
        <is>
          <t>largecap</t>
        </is>
      </c>
      <c r="F287" s="30" t="n">
        <v>135452.29</v>
      </c>
      <c r="G287" s="30" t="n">
        <v>5598</v>
      </c>
      <c r="H287" s="30" t="n">
        <v>-0.45</v>
      </c>
      <c r="I287" s="30" t="n">
        <v>661314</v>
      </c>
      <c r="J287" s="30" t="inlineStr">
        <is>
          <t>500825</t>
        </is>
      </c>
    </row>
    <row r="288">
      <c r="A288" s="30" t="inlineStr">
        <is>
          <t>ICIL</t>
        </is>
      </c>
      <c r="B288" s="30" t="inlineStr">
        <is>
          <t>Indo Count Industries Limited</t>
        </is>
      </c>
      <c r="C288" s="30" t="inlineStr">
        <is>
          <t>textiles</t>
        </is>
      </c>
      <c r="D288" s="30" t="inlineStr">
        <is>
          <t>textiles - cotton/blended</t>
        </is>
      </c>
      <c r="E288" s="30" t="inlineStr">
        <is>
          <t>midcap</t>
        </is>
      </c>
      <c r="F288" s="30" t="n">
        <v>8417.309999999999</v>
      </c>
      <c r="G288" s="30" t="n">
        <v>423.05</v>
      </c>
      <c r="H288" s="30" t="n">
        <v>-0.46</v>
      </c>
      <c r="I288" s="30" t="n">
        <v>394181</v>
      </c>
      <c r="J288" s="30" t="inlineStr">
        <is>
          <t>521016</t>
        </is>
      </c>
    </row>
    <row r="289">
      <c r="A289" s="30" t="inlineStr">
        <is>
          <t>HINDALCO</t>
        </is>
      </c>
      <c r="B289" s="30" t="inlineStr">
        <is>
          <t>Hindalco Industries Limited</t>
        </is>
      </c>
      <c r="C289" s="30" t="inlineStr">
        <is>
          <t>metals &amp; mining</t>
        </is>
      </c>
      <c r="D289" s="30" t="inlineStr">
        <is>
          <t>aluminium and aluminium products</t>
        </is>
      </c>
      <c r="E289" s="30" t="inlineStr">
        <is>
          <t>largecap</t>
        </is>
      </c>
      <c r="F289" s="30" t="n">
        <v>236868.91</v>
      </c>
      <c r="G289" s="30" t="n">
        <v>1049.1</v>
      </c>
      <c r="H289" s="30" t="n">
        <v>-0.47</v>
      </c>
      <c r="I289" s="30" t="n">
        <v>14243359</v>
      </c>
      <c r="J289" s="30" t="inlineStr">
        <is>
          <t>500440</t>
        </is>
      </c>
    </row>
    <row r="290">
      <c r="A290" s="30" t="inlineStr">
        <is>
          <t>KAPSTON</t>
        </is>
      </c>
      <c r="B290" s="30" t="inlineStr">
        <is>
          <t>Kapston Services Ltd</t>
        </is>
      </c>
      <c r="C290" s="30" t="inlineStr">
        <is>
          <t>miscellaneous</t>
        </is>
      </c>
      <c r="D290" s="30" t="inlineStr">
        <is>
          <t>miscellaneous</t>
        </is>
      </c>
      <c r="E290" s="30" t="inlineStr">
        <is>
          <t>smallcap</t>
        </is>
      </c>
      <c r="F290" s="30" t="n">
        <v>1722.61</v>
      </c>
      <c r="G290" s="30" t="n">
        <v>563.4</v>
      </c>
      <c r="H290" s="30" t="n">
        <v>-0.47</v>
      </c>
      <c r="I290" s="30" t="n">
        <v>129472</v>
      </c>
      <c r="J290" s="30" t="inlineStr">
        <is>
          <t>535064</t>
        </is>
      </c>
    </row>
    <row r="291">
      <c r="A291" s="30" t="inlineStr">
        <is>
          <t>SBIN</t>
        </is>
      </c>
      <c r="B291" s="30" t="inlineStr">
        <is>
          <t>State Bank Of India Ltd</t>
        </is>
      </c>
      <c r="C291" s="30" t="inlineStr">
        <is>
          <t>bank</t>
        </is>
      </c>
      <c r="D291" s="30" t="inlineStr">
        <is>
          <t>banks - public sector</t>
        </is>
      </c>
      <c r="E291" s="30" t="inlineStr">
        <is>
          <t>largecap</t>
        </is>
      </c>
      <c r="F291" s="30" t="n">
        <v>988599.14</v>
      </c>
      <c r="G291" s="30" t="n">
        <v>1066</v>
      </c>
      <c r="H291" s="30" t="n">
        <v>-0.47</v>
      </c>
      <c r="I291" s="30" t="n">
        <v>18714278</v>
      </c>
      <c r="J291" s="30" t="inlineStr">
        <is>
          <t>500112</t>
        </is>
      </c>
    </row>
    <row r="292">
      <c r="A292" s="30" t="inlineStr">
        <is>
          <t>NAVINFLUOR</t>
        </is>
      </c>
      <c r="B292" s="30" t="inlineStr">
        <is>
          <t>Navin Fluorine International Limited</t>
        </is>
      </c>
      <c r="C292" s="30" t="inlineStr">
        <is>
          <t>chemicals</t>
        </is>
      </c>
      <c r="D292" s="30" t="inlineStr">
        <is>
          <t>chemicals</t>
        </is>
      </c>
      <c r="E292" s="30" t="inlineStr">
        <is>
          <t>largecap</t>
        </is>
      </c>
      <c r="F292" s="30" t="n">
        <v>42040.8</v>
      </c>
      <c r="G292" s="30" t="n">
        <v>8156</v>
      </c>
      <c r="H292" s="30" t="n">
        <v>-0.49</v>
      </c>
      <c r="I292" s="30" t="n">
        <v>237800</v>
      </c>
      <c r="J292" s="30" t="inlineStr">
        <is>
          <t>532504</t>
        </is>
      </c>
    </row>
    <row r="293">
      <c r="A293" s="30" t="inlineStr">
        <is>
          <t>ABB</t>
        </is>
      </c>
      <c r="B293" s="30" t="inlineStr">
        <is>
          <t>Abb India Limited</t>
        </is>
      </c>
      <c r="C293" s="30" t="inlineStr">
        <is>
          <t>industrials</t>
        </is>
      </c>
      <c r="D293" s="30" t="inlineStr">
        <is>
          <t>electric equipment</t>
        </is>
      </c>
      <c r="E293" s="30" t="inlineStr">
        <is>
          <t>largecap</t>
        </is>
      </c>
      <c r="F293" s="30" t="n">
        <v>162099.31</v>
      </c>
      <c r="G293" s="30" t="n">
        <v>7611.5</v>
      </c>
      <c r="H293" s="30" t="n">
        <v>-0.5</v>
      </c>
      <c r="I293" s="30" t="n">
        <v>290377</v>
      </c>
      <c r="J293" s="30" t="inlineStr">
        <is>
          <t>500002</t>
        </is>
      </c>
    </row>
    <row r="294">
      <c r="A294" s="30" t="inlineStr">
        <is>
          <t>MPSLTD</t>
        </is>
      </c>
      <c r="B294" s="30" t="inlineStr">
        <is>
          <t>Mps Limited</t>
        </is>
      </c>
      <c r="C294" s="30" t="inlineStr">
        <is>
          <t>i.t</t>
        </is>
      </c>
      <c r="D294" s="30" t="inlineStr">
        <is>
          <t>computers - software - medium / small</t>
        </is>
      </c>
      <c r="E294" s="30" t="inlineStr">
        <is>
          <t>smallcap</t>
        </is>
      </c>
      <c r="F294" s="30" t="n">
        <v>4899.79</v>
      </c>
      <c r="G294" s="30" t="n">
        <v>2850</v>
      </c>
      <c r="H294" s="30" t="n">
        <v>-0.5</v>
      </c>
      <c r="I294" s="30" t="n">
        <v>32249</v>
      </c>
      <c r="J294" s="30" t="inlineStr">
        <is>
          <t>532440</t>
        </is>
      </c>
    </row>
    <row r="295">
      <c r="A295" s="30" t="inlineStr">
        <is>
          <t>JKPAPER</t>
        </is>
      </c>
      <c r="B295" s="30" t="inlineStr">
        <is>
          <t>Jk Paper Limited</t>
        </is>
      </c>
      <c r="C295" s="30" t="inlineStr">
        <is>
          <t>building materials</t>
        </is>
      </c>
      <c r="D295" s="30" t="inlineStr">
        <is>
          <t>paper</t>
        </is>
      </c>
      <c r="E295" s="30" t="inlineStr">
        <is>
          <t>midcap</t>
        </is>
      </c>
      <c r="F295" s="30" t="n">
        <v>7120.39</v>
      </c>
      <c r="G295" s="30" t="n">
        <v>390.65</v>
      </c>
      <c r="H295" s="30" t="n">
        <v>-0.52</v>
      </c>
      <c r="I295" s="30" t="n">
        <v>350967</v>
      </c>
      <c r="J295" s="30" t="inlineStr">
        <is>
          <t>532162</t>
        </is>
      </c>
    </row>
    <row r="296">
      <c r="A296" s="30" t="inlineStr">
        <is>
          <t>VMART</t>
        </is>
      </c>
      <c r="B296" s="30" t="inlineStr">
        <is>
          <t>V-mart Retail Limited</t>
        </is>
      </c>
      <c r="C296" s="30" t="inlineStr">
        <is>
          <t>consumer discretionary</t>
        </is>
      </c>
      <c r="D296" s="30" t="inlineStr">
        <is>
          <t>trading</t>
        </is>
      </c>
      <c r="E296" s="30" t="inlineStr">
        <is>
          <t>midcap</t>
        </is>
      </c>
      <c r="F296" s="30" t="n">
        <v>6510.21</v>
      </c>
      <c r="G296" s="30" t="n">
        <v>814.05</v>
      </c>
      <c r="H296" s="30" t="n">
        <v>-0.53</v>
      </c>
      <c r="I296" s="30" t="n">
        <v>78316</v>
      </c>
      <c r="J296" s="30" t="inlineStr">
        <is>
          <t>534976</t>
        </is>
      </c>
    </row>
    <row r="297">
      <c r="A297" s="30" t="inlineStr">
        <is>
          <t>COMSYN</t>
        </is>
      </c>
      <c r="B297" s="30" t="inlineStr">
        <is>
          <t>Commercial Syn Bags Ltd</t>
        </is>
      </c>
      <c r="C297" s="30" t="inlineStr">
        <is>
          <t>industrials</t>
        </is>
      </c>
      <c r="D297" s="30" t="inlineStr">
        <is>
          <t>packaging</t>
        </is>
      </c>
      <c r="E297" s="30" t="inlineStr">
        <is>
          <t>smallcap</t>
        </is>
      </c>
      <c r="F297" s="30" t="n">
        <v>1085.25</v>
      </c>
      <c r="G297" s="30" t="n">
        <v>267.55</v>
      </c>
      <c r="H297" s="30" t="n">
        <v>-0.55</v>
      </c>
      <c r="I297" s="30" t="n">
        <v>2417982</v>
      </c>
      <c r="J297" s="30" t="inlineStr">
        <is>
          <t>539986</t>
        </is>
      </c>
    </row>
    <row r="298">
      <c r="A298" s="30" t="inlineStr">
        <is>
          <t>HESTERBIO</t>
        </is>
      </c>
      <c r="B298" s="30" t="inlineStr">
        <is>
          <t>Hester Biosciences Limited</t>
        </is>
      </c>
      <c r="C298" s="30" t="inlineStr">
        <is>
          <t>healthcare</t>
        </is>
      </c>
      <c r="D298" s="30" t="inlineStr">
        <is>
          <t>pharmaceuticals - indian - formulations</t>
        </is>
      </c>
      <c r="E298" s="30" t="inlineStr">
        <is>
          <t>smallcap</t>
        </is>
      </c>
      <c r="F298" s="30" t="n">
        <v>2121.44</v>
      </c>
      <c r="G298" s="30" t="n">
        <v>2480</v>
      </c>
      <c r="H298" s="30" t="n">
        <v>-0.55</v>
      </c>
      <c r="I298" s="30" t="n">
        <v>9179</v>
      </c>
      <c r="J298" s="30" t="inlineStr">
        <is>
          <t>524669</t>
        </is>
      </c>
    </row>
    <row r="299">
      <c r="A299" s="30" t="inlineStr">
        <is>
          <t>SUMICHEM</t>
        </is>
      </c>
      <c r="B299" s="30" t="inlineStr">
        <is>
          <t>Sumitomo Chemical India Ltd</t>
        </is>
      </c>
      <c r="C299" s="30" t="inlineStr">
        <is>
          <t>chemicals</t>
        </is>
      </c>
      <c r="D299" s="30" t="inlineStr">
        <is>
          <t>pesticides / agrochemicals - indian</t>
        </is>
      </c>
      <c r="E299" s="30" t="inlineStr">
        <is>
          <t>largecap</t>
        </is>
      </c>
      <c r="F299" s="30" t="n">
        <v>28014.55</v>
      </c>
      <c r="G299" s="30" t="n">
        <v>558.1</v>
      </c>
      <c r="H299" s="30" t="n">
        <v>-0.5600000000000001</v>
      </c>
      <c r="I299" s="30" t="n">
        <v>798062</v>
      </c>
      <c r="J299" s="30" t="inlineStr">
        <is>
          <t>542920</t>
        </is>
      </c>
    </row>
    <row r="300">
      <c r="A300" s="30" t="inlineStr">
        <is>
          <t>RELAXO</t>
        </is>
      </c>
      <c r="B300" s="30" t="inlineStr">
        <is>
          <t>Relaxo Footwears Limited</t>
        </is>
      </c>
      <c r="C300" s="30" t="inlineStr">
        <is>
          <t>consumer discretionary</t>
        </is>
      </c>
      <c r="D300" s="30" t="inlineStr">
        <is>
          <t>leather / leather products</t>
        </is>
      </c>
      <c r="E300" s="30" t="inlineStr">
        <is>
          <t>midcap</t>
        </is>
      </c>
      <c r="F300" s="30" t="n">
        <v>10566.2</v>
      </c>
      <c r="G300" s="30" t="n">
        <v>422</v>
      </c>
      <c r="H300" s="30" t="n">
        <v>-0.58</v>
      </c>
      <c r="I300" s="30" t="n">
        <v>120291</v>
      </c>
      <c r="J300" s="30" t="inlineStr">
        <is>
          <t>530517</t>
        </is>
      </c>
    </row>
    <row r="301">
      <c r="A301" s="30" t="inlineStr">
        <is>
          <t>GOKULAGRO</t>
        </is>
      </c>
      <c r="B301" s="30" t="inlineStr">
        <is>
          <t>Gokul Agro Resources Limited</t>
        </is>
      </c>
      <c r="C301" s="30" t="inlineStr">
        <is>
          <t>fmcg</t>
        </is>
      </c>
      <c r="D301" s="30" t="inlineStr">
        <is>
          <t>solvent extraction</t>
        </is>
      </c>
      <c r="E301" s="30" t="inlineStr">
        <is>
          <t>midcap</t>
        </is>
      </c>
      <c r="F301" s="30" t="n">
        <v>6700.24</v>
      </c>
      <c r="G301" s="30" t="n">
        <v>225.73</v>
      </c>
      <c r="H301" s="30" t="n">
        <v>-0.59</v>
      </c>
      <c r="I301" s="30" t="n">
        <v>143555</v>
      </c>
      <c r="J301" s="30" t="inlineStr">
        <is>
          <t>539725</t>
        </is>
      </c>
    </row>
    <row r="302">
      <c r="A302" s="30" t="inlineStr">
        <is>
          <t>SHALPAINTS</t>
        </is>
      </c>
      <c r="B302" s="30" t="inlineStr">
        <is>
          <t>Shalimar Paints Limited</t>
        </is>
      </c>
      <c r="C302" s="30" t="inlineStr">
        <is>
          <t>building materials</t>
        </is>
      </c>
      <c r="D302" s="30" t="inlineStr">
        <is>
          <t>paints / varnishes</t>
        </is>
      </c>
      <c r="E302" s="30" t="inlineStr">
        <is>
          <t>smallcap</t>
        </is>
      </c>
      <c r="F302" s="30" t="n">
        <v>706.27</v>
      </c>
      <c r="G302" s="30" t="n">
        <v>83.87</v>
      </c>
      <c r="H302" s="30" t="n">
        <v>-0.59</v>
      </c>
      <c r="I302" s="30" t="n">
        <v>336222</v>
      </c>
      <c r="J302" s="30" t="inlineStr">
        <is>
          <t>509874</t>
        </is>
      </c>
    </row>
    <row r="303">
      <c r="A303" s="30" t="inlineStr">
        <is>
          <t>PVP</t>
        </is>
      </c>
      <c r="B303" s="30" t="inlineStr">
        <is>
          <t>Pvp Ventures Limited</t>
        </is>
      </c>
      <c r="C303" s="30" t="inlineStr">
        <is>
          <t>realty</t>
        </is>
      </c>
      <c r="D303" s="30" t="inlineStr">
        <is>
          <t>construction</t>
        </is>
      </c>
      <c r="E303" s="30" t="inlineStr">
        <is>
          <t>smallcap</t>
        </is>
      </c>
      <c r="F303" s="30" t="n">
        <v>902.8200000000001</v>
      </c>
      <c r="G303" s="30" t="n">
        <v>34.46</v>
      </c>
      <c r="H303" s="30" t="n">
        <v>-0.61</v>
      </c>
      <c r="I303" s="30" t="n">
        <v>1536466</v>
      </c>
      <c r="J303" s="30" t="inlineStr">
        <is>
          <t>517556</t>
        </is>
      </c>
    </row>
    <row r="304">
      <c r="A304" s="30" t="inlineStr">
        <is>
          <t>NAHARSPING</t>
        </is>
      </c>
      <c r="B304" s="30" t="inlineStr">
        <is>
          <t>Nahar Spinning Mills Limited</t>
        </is>
      </c>
      <c r="C304" s="30" t="inlineStr">
        <is>
          <t>textiles</t>
        </is>
      </c>
      <c r="D304" s="30" t="inlineStr">
        <is>
          <t>textiles - cotton/blended</t>
        </is>
      </c>
      <c r="E304" s="30" t="inlineStr">
        <is>
          <t>smallcap</t>
        </is>
      </c>
      <c r="F304" s="30" t="n">
        <v>1107.57</v>
      </c>
      <c r="G304" s="30" t="n">
        <v>305.2</v>
      </c>
      <c r="H304" s="30" t="n">
        <v>-0.62</v>
      </c>
      <c r="I304" s="30" t="n">
        <v>28067</v>
      </c>
      <c r="J304" s="30" t="inlineStr">
        <is>
          <t>500296</t>
        </is>
      </c>
    </row>
    <row r="305">
      <c r="A305" s="30" t="inlineStr">
        <is>
          <t>PNBHOUSING</t>
        </is>
      </c>
      <c r="B305" s="30" t="inlineStr">
        <is>
          <t>Pnb Housing Finance Limited</t>
        </is>
      </c>
      <c r="C305" s="30" t="inlineStr">
        <is>
          <t>financials</t>
        </is>
      </c>
      <c r="D305" s="30" t="inlineStr">
        <is>
          <t>finance - housing</t>
        </is>
      </c>
      <c r="E305" s="30" t="inlineStr">
        <is>
          <t>largecap</t>
        </is>
      </c>
      <c r="F305" s="30" t="n">
        <v>29949.6</v>
      </c>
      <c r="G305" s="30" t="n">
        <v>1142.1</v>
      </c>
      <c r="H305" s="30" t="n">
        <v>-0.63</v>
      </c>
      <c r="I305" s="30" t="n">
        <v>1126696</v>
      </c>
      <c r="J305" s="30" t="inlineStr">
        <is>
          <t>540173</t>
        </is>
      </c>
    </row>
    <row r="306">
      <c r="A306" s="30" t="inlineStr">
        <is>
          <t>360ONE</t>
        </is>
      </c>
      <c r="B306" s="30" t="inlineStr">
        <is>
          <t>360 ONE WAM Ltd</t>
        </is>
      </c>
      <c r="C306" s="30" t="inlineStr">
        <is>
          <t>financials</t>
        </is>
      </c>
      <c r="D306" s="30" t="inlineStr">
        <is>
          <t>finance &amp; investments</t>
        </is>
      </c>
      <c r="E306" s="30" t="inlineStr">
        <is>
          <t>largecap</t>
        </is>
      </c>
      <c r="F306" s="30" t="n">
        <v>47809.89</v>
      </c>
      <c r="G306" s="30" t="n">
        <v>1168</v>
      </c>
      <c r="H306" s="30" t="n">
        <v>-0.65</v>
      </c>
      <c r="I306" s="30" t="n">
        <v>948519</v>
      </c>
      <c r="J306" s="30" t="inlineStr">
        <is>
          <t>542772</t>
        </is>
      </c>
    </row>
    <row r="307">
      <c r="A307" s="30" t="inlineStr">
        <is>
          <t>SHRIRAMFIN</t>
        </is>
      </c>
      <c r="B307" s="30" t="inlineStr">
        <is>
          <t>Shriram Finance Ltd</t>
        </is>
      </c>
      <c r="C307" s="30" t="inlineStr">
        <is>
          <t>financials</t>
        </is>
      </c>
      <c r="D307" s="30" t="inlineStr">
        <is>
          <t>finance &amp; investments</t>
        </is>
      </c>
      <c r="E307" s="30" t="inlineStr">
        <is>
          <t>largecap</t>
        </is>
      </c>
      <c r="F307" s="30" t="n">
        <v>267714.68</v>
      </c>
      <c r="G307" s="30" t="n">
        <v>1129.9</v>
      </c>
      <c r="H307" s="30" t="n">
        <v>-0.6899999999999999</v>
      </c>
      <c r="I307" s="30" t="n">
        <v>7404558</v>
      </c>
      <c r="J307" s="30" t="inlineStr">
        <is>
          <t>511218</t>
        </is>
      </c>
    </row>
    <row r="308">
      <c r="A308" s="30" t="inlineStr">
        <is>
          <t>BCLIND</t>
        </is>
      </c>
      <c r="B308" s="30" t="inlineStr">
        <is>
          <t>BCL Industries Ltd</t>
        </is>
      </c>
      <c r="C308" s="30" t="inlineStr">
        <is>
          <t>fmcg</t>
        </is>
      </c>
      <c r="D308" s="30" t="inlineStr">
        <is>
          <t>breweries &amp; distilleries</t>
        </is>
      </c>
      <c r="E308" s="30" t="inlineStr">
        <is>
          <t>smallcap</t>
        </is>
      </c>
      <c r="F308" s="30" t="n">
        <v>1102.14</v>
      </c>
      <c r="G308" s="30" t="n">
        <v>37.08</v>
      </c>
      <c r="H308" s="30" t="n">
        <v>-0.7</v>
      </c>
      <c r="I308" s="30" t="n">
        <v>448538</v>
      </c>
      <c r="J308" s="30" t="inlineStr">
        <is>
          <t>524332</t>
        </is>
      </c>
    </row>
    <row r="309">
      <c r="A309" s="30" t="inlineStr">
        <is>
          <t>MAGADSUGAR</t>
        </is>
      </c>
      <c r="B309" s="30" t="inlineStr">
        <is>
          <t>Magadh Sugar &amp; Energy Ltd</t>
        </is>
      </c>
      <c r="C309" s="30" t="inlineStr">
        <is>
          <t>fmcg</t>
        </is>
      </c>
      <c r="D309" s="30" t="inlineStr">
        <is>
          <t>sugar</t>
        </is>
      </c>
      <c r="E309" s="30" t="inlineStr">
        <is>
          <t>smallcap</t>
        </is>
      </c>
      <c r="F309" s="30" t="n">
        <v>749.04</v>
      </c>
      <c r="G309" s="30" t="n">
        <v>527.8</v>
      </c>
      <c r="H309" s="30" t="n">
        <v>-0.71</v>
      </c>
      <c r="I309" s="30" t="n">
        <v>8902</v>
      </c>
      <c r="J309" s="30" t="inlineStr">
        <is>
          <t>540650</t>
        </is>
      </c>
    </row>
    <row r="310">
      <c r="A310" s="30" t="inlineStr">
        <is>
          <t>BOSCH-HCIL</t>
        </is>
      </c>
      <c r="B310" s="30" t="inlineStr">
        <is>
          <t>Bosch Home Comfort India Ltd</t>
        </is>
      </c>
      <c r="C310" s="30" t="inlineStr">
        <is>
          <t>consumer discretionary</t>
        </is>
      </c>
      <c r="D310" s="30" t="inlineStr">
        <is>
          <t>air-conditioners</t>
        </is>
      </c>
      <c r="E310" s="30" t="inlineStr">
        <is>
          <t>smallcap</t>
        </is>
      </c>
      <c r="F310" s="30" t="n">
        <v>4647.19</v>
      </c>
      <c r="G310" s="30" t="n">
        <v>1696.8</v>
      </c>
      <c r="H310" s="30" t="n">
        <v>-0.72</v>
      </c>
      <c r="I310" s="30" t="n">
        <v>65718</v>
      </c>
      <c r="J310" s="30" t="inlineStr">
        <is>
          <t>523398</t>
        </is>
      </c>
    </row>
    <row r="311">
      <c r="A311" s="30" t="inlineStr">
        <is>
          <t>KRONOX</t>
        </is>
      </c>
      <c r="B311" s="30" t="inlineStr">
        <is>
          <t>Kronox Lab Sciences Ltd</t>
        </is>
      </c>
      <c r="C311" s="30" t="inlineStr">
        <is>
          <t>chemicals</t>
        </is>
      </c>
      <c r="D311" s="30" t="inlineStr">
        <is>
          <t>chemicals</t>
        </is>
      </c>
      <c r="E311" s="30" t="inlineStr">
        <is>
          <t>smallcap</t>
        </is>
      </c>
      <c r="F311" s="30" t="n">
        <v>622.27</v>
      </c>
      <c r="G311" s="30" t="n">
        <v>166.45</v>
      </c>
      <c r="H311" s="30" t="n">
        <v>-0.75</v>
      </c>
      <c r="I311" s="30" t="n">
        <v>125649</v>
      </c>
      <c r="J311" s="30" t="inlineStr">
        <is>
          <t>544187</t>
        </is>
      </c>
    </row>
    <row r="312">
      <c r="A312" s="30" t="inlineStr">
        <is>
          <t>OAL</t>
        </is>
      </c>
      <c r="B312" s="30" t="inlineStr">
        <is>
          <t>Oriental Aromatics Ltd</t>
        </is>
      </c>
      <c r="C312" s="30" t="inlineStr">
        <is>
          <t>chemicals</t>
        </is>
      </c>
      <c r="D312" s="30" t="inlineStr">
        <is>
          <t>chemicals</t>
        </is>
      </c>
      <c r="E312" s="30" t="inlineStr">
        <is>
          <t>smallcap</t>
        </is>
      </c>
      <c r="F312" s="30" t="n">
        <v>1273.28</v>
      </c>
      <c r="G312" s="30" t="n">
        <v>375.5</v>
      </c>
      <c r="H312" s="30" t="n">
        <v>-0.75</v>
      </c>
      <c r="I312" s="30" t="n">
        <v>24090</v>
      </c>
      <c r="J312" s="30" t="inlineStr">
        <is>
          <t>500078</t>
        </is>
      </c>
    </row>
    <row r="313">
      <c r="A313" s="30" t="inlineStr">
        <is>
          <t>HEG</t>
        </is>
      </c>
      <c r="B313" s="30" t="inlineStr">
        <is>
          <t>Heg Limited</t>
        </is>
      </c>
      <c r="C313" s="30" t="inlineStr">
        <is>
          <t>industrials</t>
        </is>
      </c>
      <c r="D313" s="30" t="inlineStr">
        <is>
          <t>electrodes - graphites</t>
        </is>
      </c>
      <c r="E313" s="30" t="inlineStr">
        <is>
          <t>midcap</t>
        </is>
      </c>
      <c r="F313" s="30" t="n">
        <v>13191.94</v>
      </c>
      <c r="G313" s="30" t="n">
        <v>678.25</v>
      </c>
      <c r="H313" s="30" t="n">
        <v>-0.78</v>
      </c>
      <c r="I313" s="30" t="n">
        <v>761806</v>
      </c>
      <c r="J313" s="30" t="inlineStr">
        <is>
          <t>509631</t>
        </is>
      </c>
    </row>
    <row r="314">
      <c r="A314" s="30" t="inlineStr">
        <is>
          <t>ARTEMISMED</t>
        </is>
      </c>
      <c r="B314" s="30" t="inlineStr">
        <is>
          <t>Artemis Medicare Services Ltd</t>
        </is>
      </c>
      <c r="C314" s="30" t="inlineStr">
        <is>
          <t>healthcare</t>
        </is>
      </c>
      <c r="D314" s="30" t="inlineStr">
        <is>
          <t>healthcare</t>
        </is>
      </c>
      <c r="E314" s="30" t="inlineStr">
        <is>
          <t>midcap</t>
        </is>
      </c>
      <c r="F314" s="30" t="n">
        <v>5001.69</v>
      </c>
      <c r="G314" s="30" t="n">
        <v>313.5</v>
      </c>
      <c r="H314" s="30" t="n">
        <v>-0.78</v>
      </c>
      <c r="I314" s="30" t="n">
        <v>173395</v>
      </c>
      <c r="J314" s="30" t="inlineStr">
        <is>
          <t>542919</t>
        </is>
      </c>
    </row>
    <row r="315">
      <c r="A315" s="30" t="inlineStr">
        <is>
          <t>ANDHRSUGAR</t>
        </is>
      </c>
      <c r="B315" s="30" t="inlineStr">
        <is>
          <t>The Andhra Sugars Limited</t>
        </is>
      </c>
      <c r="C315" s="30" t="inlineStr">
        <is>
          <t>chemicals</t>
        </is>
      </c>
      <c r="D315" s="30" t="inlineStr">
        <is>
          <t>chlor alkali / soda ash</t>
        </is>
      </c>
      <c r="E315" s="30" t="inlineStr">
        <is>
          <t>smallcap</t>
        </is>
      </c>
      <c r="F315" s="30" t="n">
        <v>1355.08</v>
      </c>
      <c r="G315" s="30" t="n">
        <v>99.2</v>
      </c>
      <c r="H315" s="30" t="n">
        <v>-0.78</v>
      </c>
      <c r="I315" s="30" t="n">
        <v>1349412</v>
      </c>
      <c r="J315" s="30" t="inlineStr">
        <is>
          <t>590062</t>
        </is>
      </c>
    </row>
    <row r="316">
      <c r="A316" s="30" t="inlineStr">
        <is>
          <t>GUJALKALI</t>
        </is>
      </c>
      <c r="B316" s="30" t="inlineStr">
        <is>
          <t>Gujarat Alkalies And Chemicals Limited</t>
        </is>
      </c>
      <c r="C316" s="30" t="inlineStr">
        <is>
          <t>chemicals</t>
        </is>
      </c>
      <c r="D316" s="30" t="inlineStr">
        <is>
          <t>chemicals</t>
        </is>
      </c>
      <c r="E316" s="30" t="inlineStr">
        <is>
          <t>midcap</t>
        </is>
      </c>
      <c r="F316" s="30" t="n">
        <v>5013.17</v>
      </c>
      <c r="G316" s="30" t="n">
        <v>677.35</v>
      </c>
      <c r="H316" s="30" t="n">
        <v>-0.78</v>
      </c>
      <c r="I316" s="30" t="n">
        <v>28660</v>
      </c>
      <c r="J316" s="30" t="inlineStr">
        <is>
          <t>530001</t>
        </is>
      </c>
    </row>
    <row r="317">
      <c r="A317" s="30" t="inlineStr">
        <is>
          <t>KTKBANK</t>
        </is>
      </c>
      <c r="B317" s="30" t="inlineStr">
        <is>
          <t>The Karnataka Bank Limited</t>
        </is>
      </c>
      <c r="C317" s="30" t="inlineStr">
        <is>
          <t>bank</t>
        </is>
      </c>
      <c r="D317" s="30" t="inlineStr">
        <is>
          <t>banks - private sector</t>
        </is>
      </c>
      <c r="E317" s="30" t="inlineStr">
        <is>
          <t>midcap</t>
        </is>
      </c>
      <c r="F317" s="30" t="n">
        <v>11544.66</v>
      </c>
      <c r="G317" s="30" t="n">
        <v>302.85</v>
      </c>
      <c r="H317" s="30" t="n">
        <v>-0.79</v>
      </c>
      <c r="I317" s="30" t="n">
        <v>2752855</v>
      </c>
      <c r="J317" s="30" t="inlineStr">
        <is>
          <t>532652</t>
        </is>
      </c>
    </row>
    <row r="318">
      <c r="A318" s="30" t="inlineStr">
        <is>
          <t>BAJFINANCE</t>
        </is>
      </c>
      <c r="B318" s="30" t="inlineStr">
        <is>
          <t>Bajaj Finance Limited</t>
        </is>
      </c>
      <c r="C318" s="30" t="inlineStr">
        <is>
          <t>financials</t>
        </is>
      </c>
      <c r="D318" s="30" t="inlineStr">
        <is>
          <t>finance &amp; investments</t>
        </is>
      </c>
      <c r="E318" s="30" t="inlineStr">
        <is>
          <t>largecap</t>
        </is>
      </c>
      <c r="F318" s="30" t="n">
        <v>686224.6800000001</v>
      </c>
      <c r="G318" s="30" t="n">
        <v>1093.3</v>
      </c>
      <c r="H318" s="30" t="n">
        <v>-0.8100000000000001</v>
      </c>
      <c r="I318" s="30" t="n">
        <v>12765120</v>
      </c>
      <c r="J318" s="30" t="inlineStr">
        <is>
          <t>500034</t>
        </is>
      </c>
    </row>
    <row r="319">
      <c r="A319" s="30" t="inlineStr">
        <is>
          <t>MAZDOCK</t>
        </is>
      </c>
      <c r="B319" s="30" t="inlineStr">
        <is>
          <t>Mazagon Dock Shipbuilders Ltd</t>
        </is>
      </c>
      <c r="C319" s="30" t="inlineStr">
        <is>
          <t>aerospace &amp; defence</t>
        </is>
      </c>
      <c r="D319" s="30" t="inlineStr">
        <is>
          <t>miscellaneous</t>
        </is>
      </c>
      <c r="E319" s="30" t="inlineStr">
        <is>
          <t>largecap</t>
        </is>
      </c>
      <c r="F319" s="30" t="n">
        <v>103870.35</v>
      </c>
      <c r="G319" s="30" t="n">
        <v>2554</v>
      </c>
      <c r="H319" s="30" t="n">
        <v>-0.82</v>
      </c>
      <c r="I319" s="30" t="n">
        <v>1250065</v>
      </c>
      <c r="J319" s="30" t="inlineStr">
        <is>
          <t>543237</t>
        </is>
      </c>
    </row>
    <row r="320">
      <c r="A320" s="30" t="inlineStr">
        <is>
          <t>LTFOODS</t>
        </is>
      </c>
      <c r="B320" s="30" t="inlineStr">
        <is>
          <t>L T Foods Ltd</t>
        </is>
      </c>
      <c r="C320" s="30" t="inlineStr">
        <is>
          <t>fmcg</t>
        </is>
      </c>
      <c r="D320" s="30" t="inlineStr">
        <is>
          <t>food - processing - indian</t>
        </is>
      </c>
      <c r="E320" s="30" t="inlineStr">
        <is>
          <t>midcap</t>
        </is>
      </c>
      <c r="F320" s="30" t="n">
        <v>14680.12</v>
      </c>
      <c r="G320" s="30" t="n">
        <v>419.3</v>
      </c>
      <c r="H320" s="30" t="n">
        <v>-0.82</v>
      </c>
      <c r="I320" s="30" t="n">
        <v>358642</v>
      </c>
      <c r="J320" s="30" t="inlineStr">
        <is>
          <t>532783</t>
        </is>
      </c>
    </row>
    <row r="321">
      <c r="A321" s="30" t="inlineStr">
        <is>
          <t>RATNAVEER</t>
        </is>
      </c>
      <c r="B321" s="30" t="inlineStr">
        <is>
          <t>Ratnaveer Precision Engineering Ltd</t>
        </is>
      </c>
      <c r="C321" s="30" t="inlineStr">
        <is>
          <t>metals &amp; mining</t>
        </is>
      </c>
      <c r="D321" s="30" t="inlineStr">
        <is>
          <t>steel - medium / small</t>
        </is>
      </c>
      <c r="E321" s="30" t="inlineStr">
        <is>
          <t>smallcap</t>
        </is>
      </c>
      <c r="F321" s="30" t="n">
        <v>1484.89</v>
      </c>
      <c r="G321" s="30" t="n">
        <v>206.16</v>
      </c>
      <c r="H321" s="30" t="n">
        <v>-0.83</v>
      </c>
      <c r="I321" s="30" t="n">
        <v>1847953</v>
      </c>
      <c r="J321" s="30" t="inlineStr">
        <is>
          <t>543978</t>
        </is>
      </c>
    </row>
    <row r="322">
      <c r="A322" s="30" t="inlineStr">
        <is>
          <t>CENTUM</t>
        </is>
      </c>
      <c r="B322" s="30" t="inlineStr">
        <is>
          <t>Centum Electronics Limited</t>
        </is>
      </c>
      <c r="C322" s="30" t="inlineStr">
        <is>
          <t>aerospace &amp; defence</t>
        </is>
      </c>
      <c r="D322" s="30" t="inlineStr">
        <is>
          <t>electronics - components</t>
        </is>
      </c>
      <c r="E322" s="30" t="inlineStr">
        <is>
          <t>midcap</t>
        </is>
      </c>
      <c r="F322" s="30" t="n">
        <v>5698.75</v>
      </c>
      <c r="G322" s="30" t="n">
        <v>3828.7</v>
      </c>
      <c r="H322" s="30" t="n">
        <v>-0.84</v>
      </c>
      <c r="I322" s="30" t="n">
        <v>23797</v>
      </c>
      <c r="J322" s="30" t="inlineStr">
        <is>
          <t>517544</t>
        </is>
      </c>
    </row>
    <row r="323">
      <c r="A323" s="30" t="inlineStr">
        <is>
          <t>5PAISA</t>
        </is>
      </c>
      <c r="B323" s="30" t="inlineStr">
        <is>
          <t>5Paisa Capital Ltd</t>
        </is>
      </c>
      <c r="C323" s="30" t="inlineStr">
        <is>
          <t>financials</t>
        </is>
      </c>
      <c r="D323" s="30" t="inlineStr">
        <is>
          <t>finance &amp; investments</t>
        </is>
      </c>
      <c r="E323" s="30" t="inlineStr">
        <is>
          <t>smallcap</t>
        </is>
      </c>
      <c r="F323" s="30" t="n">
        <v>1802.15</v>
      </c>
      <c r="G323" s="30" t="n">
        <v>381</v>
      </c>
      <c r="H323" s="30" t="n">
        <v>-0.88</v>
      </c>
      <c r="I323" s="30" t="n">
        <v>30580</v>
      </c>
      <c r="J323" s="30" t="inlineStr">
        <is>
          <t>540776</t>
        </is>
      </c>
    </row>
    <row r="324">
      <c r="A324" s="30" t="inlineStr">
        <is>
          <t>NETWEB</t>
        </is>
      </c>
      <c r="B324" s="30" t="inlineStr">
        <is>
          <t>Netweb Technologies India Ltd</t>
        </is>
      </c>
      <c r="C324" s="30" t="inlineStr">
        <is>
          <t>i.t</t>
        </is>
      </c>
      <c r="D324" s="30" t="inlineStr">
        <is>
          <t>computers - hardware</t>
        </is>
      </c>
      <c r="E324" s="30" t="inlineStr">
        <is>
          <t>largecap</t>
        </is>
      </c>
      <c r="F324" s="30" t="n">
        <v>27918.02</v>
      </c>
      <c r="G324" s="30" t="n">
        <v>4859.8</v>
      </c>
      <c r="H324" s="30" t="n">
        <v>-0.88</v>
      </c>
      <c r="I324" s="30" t="n">
        <v>682980</v>
      </c>
      <c r="J324" s="30" t="inlineStr">
        <is>
          <t>543945</t>
        </is>
      </c>
    </row>
    <row r="325">
      <c r="A325" s="30" t="inlineStr">
        <is>
          <t>STEELCAS</t>
        </is>
      </c>
      <c r="B325" s="30" t="inlineStr">
        <is>
          <t>Steelcast Ltd</t>
        </is>
      </c>
      <c r="C325" s="30" t="inlineStr">
        <is>
          <t>industrials</t>
        </is>
      </c>
      <c r="D325" s="30" t="inlineStr">
        <is>
          <t>castings &amp; forgings</t>
        </is>
      </c>
      <c r="E325" s="30" t="inlineStr">
        <is>
          <t>smallcap</t>
        </is>
      </c>
      <c r="F325" s="30" t="n">
        <v>3365.41</v>
      </c>
      <c r="G325" s="30" t="n">
        <v>329.6</v>
      </c>
      <c r="H325" s="30" t="n">
        <v>-0.89</v>
      </c>
      <c r="I325" s="30" t="n">
        <v>94137</v>
      </c>
      <c r="J325" s="30" t="inlineStr">
        <is>
          <t>513517</t>
        </is>
      </c>
    </row>
    <row r="326">
      <c r="A326" s="30" t="inlineStr">
        <is>
          <t>DHAMPURSUG</t>
        </is>
      </c>
      <c r="B326" s="30" t="inlineStr">
        <is>
          <t>Dhampur Sugar Mills Limited</t>
        </is>
      </c>
      <c r="C326" s="30" t="inlineStr">
        <is>
          <t>fmcg</t>
        </is>
      </c>
      <c r="D326" s="30" t="inlineStr">
        <is>
          <t>sugar</t>
        </is>
      </c>
      <c r="E326" s="30" t="inlineStr">
        <is>
          <t>smallcap</t>
        </is>
      </c>
      <c r="F326" s="30" t="n">
        <v>1025.24</v>
      </c>
      <c r="G326" s="30" t="n">
        <v>158</v>
      </c>
      <c r="H326" s="30" t="n">
        <v>-0.9</v>
      </c>
      <c r="I326" s="30" t="n">
        <v>602113</v>
      </c>
      <c r="J326" s="30" t="inlineStr">
        <is>
          <t>500119</t>
        </is>
      </c>
    </row>
    <row r="327">
      <c r="A327" s="30" t="inlineStr">
        <is>
          <t>RPEL</t>
        </is>
      </c>
      <c r="B327" s="30" t="inlineStr">
        <is>
          <t>Raghav Productivity Enhancers Ltd</t>
        </is>
      </c>
      <c r="C327" s="30" t="inlineStr">
        <is>
          <t>building materials</t>
        </is>
      </c>
      <c r="D327" s="30" t="inlineStr">
        <is>
          <t>refractories / intermediates</t>
        </is>
      </c>
      <c r="E327" s="30" t="inlineStr">
        <is>
          <t>midcap</t>
        </is>
      </c>
      <c r="F327" s="30" t="n">
        <v>6033.23</v>
      </c>
      <c r="G327" s="30" t="n">
        <v>1301.9</v>
      </c>
      <c r="H327" s="30" t="n">
        <v>-0.91</v>
      </c>
      <c r="I327" s="30" t="n">
        <v>40929</v>
      </c>
      <c r="J327" s="30" t="inlineStr">
        <is>
          <t>539837</t>
        </is>
      </c>
    </row>
    <row r="328">
      <c r="A328" s="30" t="inlineStr">
        <is>
          <t>APCOTEXIND</t>
        </is>
      </c>
      <c r="B328" s="30" t="inlineStr">
        <is>
          <t>Apcotex Industries Limited</t>
        </is>
      </c>
      <c r="C328" s="30" t="inlineStr">
        <is>
          <t>chemicals</t>
        </is>
      </c>
      <c r="D328" s="30" t="inlineStr">
        <is>
          <t>miscellaneous</t>
        </is>
      </c>
      <c r="E328" s="30" t="inlineStr">
        <is>
          <t>smallcap</t>
        </is>
      </c>
      <c r="F328" s="30" t="n">
        <v>3227.87</v>
      </c>
      <c r="G328" s="30" t="n">
        <v>616.9</v>
      </c>
      <c r="H328" s="30" t="n">
        <v>-0.92</v>
      </c>
      <c r="I328" s="30" t="n">
        <v>221005</v>
      </c>
      <c r="J328" s="30" t="inlineStr">
        <is>
          <t>523694</t>
        </is>
      </c>
    </row>
    <row r="329">
      <c r="A329" s="30" t="inlineStr">
        <is>
          <t>GARFIBRES</t>
        </is>
      </c>
      <c r="B329" s="30" t="inlineStr">
        <is>
          <t>Garware Technical Fibres Ltd</t>
        </is>
      </c>
      <c r="C329" s="30" t="inlineStr">
        <is>
          <t>textiles</t>
        </is>
      </c>
      <c r="D329" s="30" t="inlineStr">
        <is>
          <t>textiles - products</t>
        </is>
      </c>
      <c r="E329" s="30" t="inlineStr">
        <is>
          <t>midcap</t>
        </is>
      </c>
      <c r="F329" s="30" t="n">
        <v>7805.52</v>
      </c>
      <c r="G329" s="30" t="n">
        <v>791.65</v>
      </c>
      <c r="H329" s="30" t="n">
        <v>-0.96</v>
      </c>
      <c r="I329" s="30" t="n">
        <v>38619</v>
      </c>
      <c r="J329" s="30" t="inlineStr">
        <is>
          <t>509557</t>
        </is>
      </c>
    </row>
    <row r="330">
      <c r="A330" s="30" t="inlineStr">
        <is>
          <t>INDIANB</t>
        </is>
      </c>
      <c r="B330" s="30" t="inlineStr">
        <is>
          <t>Indian Bank Ltd</t>
        </is>
      </c>
      <c r="C330" s="30" t="inlineStr">
        <is>
          <t>bank</t>
        </is>
      </c>
      <c r="D330" s="30" t="inlineStr">
        <is>
          <t>banks - public sector</t>
        </is>
      </c>
      <c r="E330" s="30" t="inlineStr">
        <is>
          <t>largecap</t>
        </is>
      </c>
      <c r="F330" s="30" t="n">
        <v>119091.82</v>
      </c>
      <c r="G330" s="30" t="n">
        <v>875.6</v>
      </c>
      <c r="H330" s="30" t="n">
        <v>-0.97</v>
      </c>
      <c r="I330" s="30" t="n">
        <v>2108022</v>
      </c>
      <c r="J330" s="30" t="inlineStr">
        <is>
          <t>532814</t>
        </is>
      </c>
    </row>
    <row r="331">
      <c r="A331" s="30" t="inlineStr">
        <is>
          <t>BALKRISIND</t>
        </is>
      </c>
      <c r="B331" s="30" t="inlineStr">
        <is>
          <t>Balkrishna Industries Limited</t>
        </is>
      </c>
      <c r="C331" s="30" t="inlineStr">
        <is>
          <t>auto</t>
        </is>
      </c>
      <c r="D331" s="30" t="inlineStr">
        <is>
          <t>tyres</t>
        </is>
      </c>
      <c r="E331" s="30" t="inlineStr">
        <is>
          <t>largecap</t>
        </is>
      </c>
      <c r="F331" s="30" t="n">
        <v>48804.86</v>
      </c>
      <c r="G331" s="30" t="n">
        <v>2500</v>
      </c>
      <c r="H331" s="30" t="n">
        <v>-0.97</v>
      </c>
      <c r="I331" s="30" t="n">
        <v>82830</v>
      </c>
      <c r="J331" s="30" t="inlineStr">
        <is>
          <t>502355</t>
        </is>
      </c>
    </row>
    <row r="332">
      <c r="A332" s="30" t="inlineStr">
        <is>
          <t>IDFCFIRSTB</t>
        </is>
      </c>
      <c r="B332" s="30" t="inlineStr">
        <is>
          <t>IDFC First Bank Ltd</t>
        </is>
      </c>
      <c r="C332" s="30" t="inlineStr">
        <is>
          <t>bank</t>
        </is>
      </c>
      <c r="D332" s="30" t="inlineStr">
        <is>
          <t>banks - private sector</t>
        </is>
      </c>
      <c r="E332" s="30" t="inlineStr">
        <is>
          <t>largecap</t>
        </is>
      </c>
      <c r="F332" s="30" t="n">
        <v>73311.39999999999</v>
      </c>
      <c r="G332" s="30" t="n">
        <v>84.27</v>
      </c>
      <c r="H332" s="30" t="n">
        <v>-0.98</v>
      </c>
      <c r="I332" s="30" t="n">
        <v>11209173</v>
      </c>
      <c r="J332" s="30" t="inlineStr">
        <is>
          <t>539437</t>
        </is>
      </c>
    </row>
    <row r="333">
      <c r="A333" s="30" t="inlineStr">
        <is>
          <t>RPTECH</t>
        </is>
      </c>
      <c r="B333" s="30" t="inlineStr">
        <is>
          <t>Rashi Peripherals Ltd</t>
        </is>
      </c>
      <c r="C333" s="30" t="inlineStr">
        <is>
          <t>services</t>
        </is>
      </c>
      <c r="D333" s="30" t="inlineStr">
        <is>
          <t>trading</t>
        </is>
      </c>
      <c r="E333" s="30" t="inlineStr">
        <is>
          <t>midcap</t>
        </is>
      </c>
      <c r="F333" s="30" t="n">
        <v>5909.22</v>
      </c>
      <c r="G333" s="30" t="n">
        <v>887.8</v>
      </c>
      <c r="H333" s="30" t="n">
        <v>-0.99</v>
      </c>
      <c r="I333" s="30" t="n">
        <v>171529</v>
      </c>
      <c r="J333" s="30" t="n"/>
    </row>
    <row r="334">
      <c r="A334" s="30" t="inlineStr">
        <is>
          <t>RAJRATAN</t>
        </is>
      </c>
      <c r="B334" s="30" t="inlineStr">
        <is>
          <t>Rajratan Global Wire Ltd</t>
        </is>
      </c>
      <c r="C334" s="30" t="inlineStr">
        <is>
          <t>metals &amp; mining</t>
        </is>
      </c>
      <c r="D334" s="30" t="inlineStr">
        <is>
          <t>steel - medium / small</t>
        </is>
      </c>
      <c r="E334" s="30" t="inlineStr">
        <is>
          <t>smallcap</t>
        </is>
      </c>
      <c r="F334" s="30" t="n">
        <v>2676.65</v>
      </c>
      <c r="G334" s="30" t="n">
        <v>521.9</v>
      </c>
      <c r="H334" s="30" t="n">
        <v>-1.01</v>
      </c>
      <c r="I334" s="30" t="n">
        <v>72801</v>
      </c>
      <c r="J334" s="30" t="inlineStr">
        <is>
          <t>517522</t>
        </is>
      </c>
    </row>
    <row r="335">
      <c r="A335" s="30" t="inlineStr">
        <is>
          <t>UNOMINDA</t>
        </is>
      </c>
      <c r="B335" s="30" t="inlineStr">
        <is>
          <t>Uno Minda Ltd</t>
        </is>
      </c>
      <c r="C335" s="30" t="inlineStr">
        <is>
          <t>auto</t>
        </is>
      </c>
      <c r="D335" s="30" t="inlineStr">
        <is>
          <t>auto ancillaries</t>
        </is>
      </c>
      <c r="E335" s="30" t="inlineStr">
        <is>
          <t>largecap</t>
        </is>
      </c>
      <c r="F335" s="30" t="n">
        <v>74377.78</v>
      </c>
      <c r="G335" s="30" t="n">
        <v>1275</v>
      </c>
      <c r="H335" s="30" t="n">
        <v>-1.01</v>
      </c>
      <c r="I335" s="30" t="n">
        <v>989763</v>
      </c>
      <c r="J335" s="30" t="inlineStr">
        <is>
          <t>532539</t>
        </is>
      </c>
    </row>
    <row r="336">
      <c r="A336" s="30" t="inlineStr">
        <is>
          <t>HAPPYFORGE</t>
        </is>
      </c>
      <c r="B336" s="30" t="inlineStr">
        <is>
          <t>Happy Forgings Ltd</t>
        </is>
      </c>
      <c r="C336" s="30" t="inlineStr">
        <is>
          <t>industrials</t>
        </is>
      </c>
      <c r="D336" s="30" t="inlineStr">
        <is>
          <t>castings &amp; forgings</t>
        </is>
      </c>
      <c r="E336" s="30" t="inlineStr">
        <is>
          <t>midcap</t>
        </is>
      </c>
      <c r="F336" s="30" t="n">
        <v>18177.34</v>
      </c>
      <c r="G336" s="30" t="n">
        <v>1906.4</v>
      </c>
      <c r="H336" s="30" t="n">
        <v>-1.02</v>
      </c>
      <c r="I336" s="30" t="n">
        <v>141867</v>
      </c>
      <c r="J336" s="30" t="inlineStr">
        <is>
          <t>544057</t>
        </is>
      </c>
    </row>
    <row r="337">
      <c r="A337" s="30" t="inlineStr">
        <is>
          <t>CENTENKA</t>
        </is>
      </c>
      <c r="B337" s="30" t="inlineStr">
        <is>
          <t>Century Enka Limited</t>
        </is>
      </c>
      <c r="C337" s="30" t="inlineStr">
        <is>
          <t>textiles</t>
        </is>
      </c>
      <c r="D337" s="30" t="inlineStr">
        <is>
          <t>textiles - manmade</t>
        </is>
      </c>
      <c r="E337" s="30" t="inlineStr">
        <is>
          <t>smallcap</t>
        </is>
      </c>
      <c r="F337" s="30" t="n">
        <v>1333.87</v>
      </c>
      <c r="G337" s="30" t="n">
        <v>604.1</v>
      </c>
      <c r="H337" s="30" t="n">
        <v>-1.04</v>
      </c>
      <c r="I337" s="30" t="n">
        <v>64674</v>
      </c>
      <c r="J337" s="30" t="inlineStr">
        <is>
          <t>500280</t>
        </is>
      </c>
    </row>
    <row r="338">
      <c r="A338" s="30" t="inlineStr">
        <is>
          <t>LT</t>
        </is>
      </c>
      <c r="B338" s="30" t="inlineStr">
        <is>
          <t>Larsen &amp; Toubro Limited</t>
        </is>
      </c>
      <c r="C338" s="30" t="inlineStr">
        <is>
          <t>realty</t>
        </is>
      </c>
      <c r="D338" s="30" t="inlineStr">
        <is>
          <t>engineering - turnkey services</t>
        </is>
      </c>
      <c r="E338" s="30" t="inlineStr">
        <is>
          <t>largecap</t>
        </is>
      </c>
      <c r="F338" s="30" t="n">
        <v>561297.5</v>
      </c>
      <c r="G338" s="30" t="n">
        <v>4037.4</v>
      </c>
      <c r="H338" s="30" t="n">
        <v>-1.04</v>
      </c>
      <c r="I338" s="30" t="n">
        <v>2749548</v>
      </c>
      <c r="J338" s="30" t="inlineStr">
        <is>
          <t>500510</t>
        </is>
      </c>
    </row>
    <row r="339">
      <c r="A339" s="30" t="inlineStr">
        <is>
          <t>RITCO</t>
        </is>
      </c>
      <c r="B339" s="30" t="inlineStr">
        <is>
          <t>Ritco Logistics Ltd</t>
        </is>
      </c>
      <c r="C339" s="30" t="inlineStr">
        <is>
          <t>transportation</t>
        </is>
      </c>
      <c r="D339" s="30" t="inlineStr">
        <is>
          <t>miscellaneous</t>
        </is>
      </c>
      <c r="E339" s="30" t="inlineStr">
        <is>
          <t>smallcap</t>
        </is>
      </c>
      <c r="F339" s="30" t="n">
        <v>876.4299999999999</v>
      </c>
      <c r="G339" s="30" t="n">
        <v>303</v>
      </c>
      <c r="H339" s="30" t="n">
        <v>-1.05</v>
      </c>
      <c r="I339" s="30" t="n">
        <v>101548</v>
      </c>
      <c r="J339" s="30" t="inlineStr">
        <is>
          <t>542383</t>
        </is>
      </c>
    </row>
    <row r="340">
      <c r="A340" s="30" t="inlineStr">
        <is>
          <t>IIFL</t>
        </is>
      </c>
      <c r="B340" s="30" t="inlineStr">
        <is>
          <t>IIFL Finance Ltd</t>
        </is>
      </c>
      <c r="C340" s="30" t="inlineStr">
        <is>
          <t>financials</t>
        </is>
      </c>
      <c r="D340" s="30" t="inlineStr">
        <is>
          <t>finance &amp; investments</t>
        </is>
      </c>
      <c r="E340" s="30" t="inlineStr">
        <is>
          <t>largecap</t>
        </is>
      </c>
      <c r="F340" s="30" t="n">
        <v>26621.09</v>
      </c>
      <c r="G340" s="30" t="n">
        <v>619.25</v>
      </c>
      <c r="H340" s="30" t="n">
        <v>-1.06</v>
      </c>
      <c r="I340" s="30" t="n">
        <v>1026272</v>
      </c>
      <c r="J340" s="30" t="inlineStr">
        <is>
          <t>532636</t>
        </is>
      </c>
    </row>
    <row r="341">
      <c r="A341" s="30" t="inlineStr">
        <is>
          <t>FEDERALBNK</t>
        </is>
      </c>
      <c r="B341" s="30" t="inlineStr">
        <is>
          <t>The Federal Bank  Limited</t>
        </is>
      </c>
      <c r="C341" s="30" t="inlineStr">
        <is>
          <t>bank</t>
        </is>
      </c>
      <c r="D341" s="30" t="inlineStr">
        <is>
          <t>banks - private sector</t>
        </is>
      </c>
      <c r="E341" s="30" t="inlineStr">
        <is>
          <t>largecap</t>
        </is>
      </c>
      <c r="F341" s="30" t="n">
        <v>88442.17999999999</v>
      </c>
      <c r="G341" s="30" t="n">
        <v>354.55</v>
      </c>
      <c r="H341" s="30" t="n">
        <v>-1.06</v>
      </c>
      <c r="I341" s="30" t="n">
        <v>9573999</v>
      </c>
      <c r="J341" s="30" t="inlineStr">
        <is>
          <t>500469</t>
        </is>
      </c>
    </row>
    <row r="342">
      <c r="A342" s="30" t="inlineStr">
        <is>
          <t>KECL</t>
        </is>
      </c>
      <c r="B342" s="30" t="inlineStr">
        <is>
          <t>Kirloskar Electric Company Limited</t>
        </is>
      </c>
      <c r="C342" s="30" t="inlineStr">
        <is>
          <t>industrials</t>
        </is>
      </c>
      <c r="D342" s="30" t="inlineStr">
        <is>
          <t>electric equipment</t>
        </is>
      </c>
      <c r="E342" s="30" t="inlineStr">
        <is>
          <t>smallcap</t>
        </is>
      </c>
      <c r="F342" s="30" t="n">
        <v>997.34</v>
      </c>
      <c r="G342" s="30" t="n">
        <v>148.52</v>
      </c>
      <c r="H342" s="30" t="n">
        <v>-1.1</v>
      </c>
      <c r="I342" s="30" t="n">
        <v>289587</v>
      </c>
      <c r="J342" s="30" t="inlineStr">
        <is>
          <t>533193</t>
        </is>
      </c>
    </row>
    <row r="343">
      <c r="A343" s="30" t="inlineStr">
        <is>
          <t>NAHARINDUS</t>
        </is>
      </c>
      <c r="B343" s="30" t="inlineStr">
        <is>
          <t>Nahar Industrial Enterprises Limited</t>
        </is>
      </c>
      <c r="C343" s="30" t="inlineStr">
        <is>
          <t>textiles</t>
        </is>
      </c>
      <c r="D343" s="30" t="inlineStr">
        <is>
          <t>textiles - cotton/blended</t>
        </is>
      </c>
      <c r="E343" s="30" t="inlineStr">
        <is>
          <t>smallcap</t>
        </is>
      </c>
      <c r="F343" s="30" t="n">
        <v>563.5700000000001</v>
      </c>
      <c r="G343" s="30" t="n">
        <v>129</v>
      </c>
      <c r="H343" s="30" t="n">
        <v>-1.1</v>
      </c>
      <c r="I343" s="30" t="n">
        <v>13975</v>
      </c>
      <c r="J343" s="30" t="inlineStr">
        <is>
          <t>519136</t>
        </is>
      </c>
    </row>
    <row r="344">
      <c r="A344" s="30" t="inlineStr">
        <is>
          <t>HTMEDIA</t>
        </is>
      </c>
      <c r="B344" s="30" t="inlineStr">
        <is>
          <t>Ht Media Limited</t>
        </is>
      </c>
      <c r="C344" s="30" t="inlineStr">
        <is>
          <t>media</t>
        </is>
      </c>
      <c r="D344" s="30" t="inlineStr">
        <is>
          <t>entertainment / electronic media software</t>
        </is>
      </c>
      <c r="E344" s="30" t="inlineStr">
        <is>
          <t>smallcap</t>
        </is>
      </c>
      <c r="F344" s="30" t="n">
        <v>643.85</v>
      </c>
      <c r="G344" s="30" t="n">
        <v>27.35</v>
      </c>
      <c r="H344" s="30" t="n">
        <v>-1.12</v>
      </c>
      <c r="I344" s="30" t="n">
        <v>110224</v>
      </c>
      <c r="J344" s="30" t="inlineStr">
        <is>
          <t>532662</t>
        </is>
      </c>
    </row>
    <row r="345">
      <c r="A345" s="30" t="inlineStr">
        <is>
          <t>CEATLTD</t>
        </is>
      </c>
      <c r="B345" s="30" t="inlineStr">
        <is>
          <t>Ceat Limited</t>
        </is>
      </c>
      <c r="C345" s="30" t="inlineStr">
        <is>
          <t>auto</t>
        </is>
      </c>
      <c r="D345" s="30" t="inlineStr">
        <is>
          <t>tyres</t>
        </is>
      </c>
      <c r="E345" s="30" t="inlineStr">
        <is>
          <t>midcap</t>
        </is>
      </c>
      <c r="F345" s="30" t="n">
        <v>15345.15</v>
      </c>
      <c r="G345" s="30" t="n">
        <v>3750.2</v>
      </c>
      <c r="H345" s="30" t="n">
        <v>-1.14</v>
      </c>
      <c r="I345" s="30" t="n">
        <v>104166</v>
      </c>
      <c r="J345" s="30" t="inlineStr">
        <is>
          <t>500878</t>
        </is>
      </c>
    </row>
    <row r="346">
      <c r="A346" s="30" t="inlineStr">
        <is>
          <t>ADOR</t>
        </is>
      </c>
      <c r="B346" s="30" t="inlineStr">
        <is>
          <t>Ador Welding Ltd</t>
        </is>
      </c>
      <c r="C346" s="30" t="inlineStr">
        <is>
          <t>industrials</t>
        </is>
      </c>
      <c r="D346" s="30" t="inlineStr">
        <is>
          <t>electrodes - welding equipment</t>
        </is>
      </c>
      <c r="E346" s="30" t="inlineStr">
        <is>
          <t>smallcap</t>
        </is>
      </c>
      <c r="F346" s="30" t="n">
        <v>2642.44</v>
      </c>
      <c r="G346" s="30" t="n">
        <v>1501</v>
      </c>
      <c r="H346" s="30" t="n">
        <v>-1.15</v>
      </c>
      <c r="I346" s="30" t="n">
        <v>16237</v>
      </c>
      <c r="J346" s="30" t="inlineStr">
        <is>
          <t>517041</t>
        </is>
      </c>
    </row>
    <row r="347">
      <c r="A347" s="30" t="inlineStr">
        <is>
          <t>KENNAMET</t>
        </is>
      </c>
      <c r="B347" s="30" t="inlineStr">
        <is>
          <t>Kennametal India Ltd</t>
        </is>
      </c>
      <c r="C347" s="30" t="inlineStr">
        <is>
          <t>industrials</t>
        </is>
      </c>
      <c r="D347" s="30" t="inlineStr">
        <is>
          <t>castings &amp; forgings</t>
        </is>
      </c>
      <c r="E347" s="30" t="inlineStr">
        <is>
          <t>midcap</t>
        </is>
      </c>
      <c r="F347" s="30" t="n">
        <v>7346.45</v>
      </c>
      <c r="G347" s="30" t="n">
        <v>3301.9</v>
      </c>
      <c r="H347" s="30" t="n">
        <v>-1.22</v>
      </c>
      <c r="I347" s="30" t="n">
        <v>14198</v>
      </c>
      <c r="J347" s="30" t="inlineStr">
        <is>
          <t>505890</t>
        </is>
      </c>
    </row>
    <row r="348">
      <c r="A348" s="30" t="inlineStr">
        <is>
          <t>NELCO</t>
        </is>
      </c>
      <c r="B348" s="30" t="inlineStr">
        <is>
          <t>Nelco Limited</t>
        </is>
      </c>
      <c r="C348" s="30" t="inlineStr">
        <is>
          <t>telecom</t>
        </is>
      </c>
      <c r="D348" s="30" t="inlineStr">
        <is>
          <t>telecommunications - service provider</t>
        </is>
      </c>
      <c r="E348" s="30" t="inlineStr">
        <is>
          <t>smallcap</t>
        </is>
      </c>
      <c r="F348" s="30" t="n">
        <v>2299.18</v>
      </c>
      <c r="G348" s="30" t="n">
        <v>995.1</v>
      </c>
      <c r="H348" s="30" t="n">
        <v>-1.24</v>
      </c>
      <c r="I348" s="30" t="n">
        <v>291942</v>
      </c>
      <c r="J348" s="30" t="inlineStr">
        <is>
          <t>504112</t>
        </is>
      </c>
    </row>
    <row r="349">
      <c r="A349" s="30" t="inlineStr">
        <is>
          <t>INDIGOPNTS</t>
        </is>
      </c>
      <c r="B349" s="30" t="inlineStr">
        <is>
          <t>Indigo Paints Ltd</t>
        </is>
      </c>
      <c r="C349" s="30" t="inlineStr">
        <is>
          <t>building materials</t>
        </is>
      </c>
      <c r="D349" s="30" t="inlineStr">
        <is>
          <t>paints / varnishes</t>
        </is>
      </c>
      <c r="E349" s="30" t="inlineStr">
        <is>
          <t>midcap</t>
        </is>
      </c>
      <c r="F349" s="30" t="n">
        <v>5440.75</v>
      </c>
      <c r="G349" s="30" t="n">
        <v>1127</v>
      </c>
      <c r="H349" s="30" t="n">
        <v>-1.24</v>
      </c>
      <c r="I349" s="30" t="n">
        <v>33132</v>
      </c>
      <c r="J349" s="30" t="inlineStr">
        <is>
          <t>543258</t>
        </is>
      </c>
    </row>
    <row r="350">
      <c r="A350" s="30" t="inlineStr">
        <is>
          <t>BERGEPAINT</t>
        </is>
      </c>
      <c r="B350" s="30" t="inlineStr">
        <is>
          <t>Berger Paints (i) Limited</t>
        </is>
      </c>
      <c r="C350" s="30" t="inlineStr">
        <is>
          <t>building materials</t>
        </is>
      </c>
      <c r="D350" s="30" t="inlineStr">
        <is>
          <t>paints / varnishes</t>
        </is>
      </c>
      <c r="E350" s="30" t="inlineStr">
        <is>
          <t>largecap</t>
        </is>
      </c>
      <c r="F350" s="30" t="n">
        <v>63209.01</v>
      </c>
      <c r="G350" s="30" t="n">
        <v>535.25</v>
      </c>
      <c r="H350" s="30" t="n">
        <v>-1.26</v>
      </c>
      <c r="I350" s="30" t="n">
        <v>291938</v>
      </c>
      <c r="J350" s="30" t="inlineStr">
        <is>
          <t>509480</t>
        </is>
      </c>
    </row>
    <row r="351">
      <c r="A351" s="30" t="inlineStr">
        <is>
          <t>FOSECOIND</t>
        </is>
      </c>
      <c r="B351" s="30" t="inlineStr">
        <is>
          <t>Foseco India Limited</t>
        </is>
      </c>
      <c r="C351" s="30" t="inlineStr">
        <is>
          <t>chemicals</t>
        </is>
      </c>
      <c r="D351" s="30" t="inlineStr">
        <is>
          <t>chemicals</t>
        </is>
      </c>
      <c r="E351" s="30" t="inlineStr">
        <is>
          <t>smallcap</t>
        </is>
      </c>
      <c r="F351" s="30" t="n">
        <v>4199.01</v>
      </c>
      <c r="G351" s="30" t="n">
        <v>5500.5</v>
      </c>
      <c r="H351" s="30" t="n">
        <v>-1.27</v>
      </c>
      <c r="I351" s="30" t="n">
        <v>5850</v>
      </c>
      <c r="J351" s="30" t="inlineStr">
        <is>
          <t>500150</t>
        </is>
      </c>
    </row>
    <row r="352">
      <c r="A352" s="30" t="inlineStr">
        <is>
          <t>MUFIN</t>
        </is>
      </c>
      <c r="B352" s="30" t="inlineStr">
        <is>
          <t>Mufin Green Finance Ltd</t>
        </is>
      </c>
      <c r="C352" s="30" t="inlineStr">
        <is>
          <t>financials</t>
        </is>
      </c>
      <c r="D352" s="30" t="inlineStr">
        <is>
          <t>finance &amp; investments</t>
        </is>
      </c>
      <c r="E352" s="30" t="inlineStr">
        <is>
          <t>smallcap</t>
        </is>
      </c>
      <c r="F352" s="30" t="n">
        <v>2730.48</v>
      </c>
      <c r="G352" s="30" t="n">
        <v>135.98</v>
      </c>
      <c r="H352" s="30" t="n">
        <v>-1.31</v>
      </c>
      <c r="I352" s="30" t="n">
        <v>1644146</v>
      </c>
      <c r="J352" s="30" t="inlineStr">
        <is>
          <t>542774</t>
        </is>
      </c>
    </row>
    <row r="353">
      <c r="A353" s="30" t="inlineStr">
        <is>
          <t>SSWL</t>
        </is>
      </c>
      <c r="B353" s="30" t="inlineStr">
        <is>
          <t>Steel Strips Wheels Limited</t>
        </is>
      </c>
      <c r="C353" s="30" t="inlineStr">
        <is>
          <t>auto</t>
        </is>
      </c>
      <c r="D353" s="30" t="inlineStr">
        <is>
          <t>auto ancillaries</t>
        </is>
      </c>
      <c r="E353" s="30" t="inlineStr">
        <is>
          <t>midcap</t>
        </is>
      </c>
      <c r="F353" s="30" t="n">
        <v>5054.92</v>
      </c>
      <c r="G353" s="30" t="n">
        <v>317.4</v>
      </c>
      <c r="H353" s="30" t="n">
        <v>-1.31</v>
      </c>
      <c r="I353" s="30" t="n">
        <v>354982</v>
      </c>
      <c r="J353" s="30" t="inlineStr">
        <is>
          <t>513262</t>
        </is>
      </c>
    </row>
    <row r="354">
      <c r="A354" s="30" t="inlineStr">
        <is>
          <t>GHCLTEXTIL</t>
        </is>
      </c>
      <c r="B354" s="30" t="inlineStr">
        <is>
          <t>GHCL Textiles Ltd</t>
        </is>
      </c>
      <c r="C354" s="30" t="inlineStr">
        <is>
          <t>textiles</t>
        </is>
      </c>
      <c r="D354" s="30" t="inlineStr">
        <is>
          <t>textiles - spinning - synthetic / blended</t>
        </is>
      </c>
      <c r="E354" s="30" t="inlineStr">
        <is>
          <t>smallcap</t>
        </is>
      </c>
      <c r="F354" s="30" t="n">
        <v>1155.25</v>
      </c>
      <c r="G354" s="30" t="n">
        <v>119.27</v>
      </c>
      <c r="H354" s="30" t="n">
        <v>-1.32</v>
      </c>
      <c r="I354" s="30" t="n">
        <v>475979</v>
      </c>
      <c r="J354" s="30" t="inlineStr">
        <is>
          <t>543918</t>
        </is>
      </c>
    </row>
    <row r="355">
      <c r="A355" s="30" t="inlineStr">
        <is>
          <t>BHARATSE</t>
        </is>
      </c>
      <c r="B355" s="30" t="inlineStr">
        <is>
          <t>Bharat Seats Ltd</t>
        </is>
      </c>
      <c r="C355" s="30" t="inlineStr">
        <is>
          <t>auto</t>
        </is>
      </c>
      <c r="D355" s="30" t="inlineStr">
        <is>
          <t>auto ancillaries</t>
        </is>
      </c>
      <c r="E355" s="30" t="inlineStr">
        <is>
          <t>smallcap</t>
        </is>
      </c>
      <c r="F355" s="30" t="n">
        <v>1488.67</v>
      </c>
      <c r="G355" s="30" t="n">
        <v>233.77</v>
      </c>
      <c r="H355" s="30" t="n">
        <v>-1.38</v>
      </c>
      <c r="I355" s="30" t="n">
        <v>379621</v>
      </c>
      <c r="J355" s="30" t="inlineStr">
        <is>
          <t>523229</t>
        </is>
      </c>
    </row>
    <row r="356">
      <c r="A356" s="30" t="inlineStr">
        <is>
          <t>ASTERDM</t>
        </is>
      </c>
      <c r="B356" s="30" t="inlineStr">
        <is>
          <t>Aster DM Healthcare Ltd</t>
        </is>
      </c>
      <c r="C356" s="30" t="inlineStr">
        <is>
          <t>healthcare</t>
        </is>
      </c>
      <c r="D356" s="30" t="inlineStr">
        <is>
          <t>healthcare</t>
        </is>
      </c>
      <c r="E356" s="30" t="inlineStr">
        <is>
          <t>largecap</t>
        </is>
      </c>
      <c r="F356" s="30" t="n">
        <v>75587.08</v>
      </c>
      <c r="G356" s="30" t="n">
        <v>855</v>
      </c>
      <c r="H356" s="30" t="n">
        <v>-1.4</v>
      </c>
      <c r="I356" s="30" t="n">
        <v>1001491</v>
      </c>
      <c r="J356" s="30" t="inlineStr">
        <is>
          <t>540975</t>
        </is>
      </c>
    </row>
    <row r="357">
      <c r="A357" s="30" t="inlineStr">
        <is>
          <t>SYRMA</t>
        </is>
      </c>
      <c r="B357" s="30" t="inlineStr">
        <is>
          <t>Syrma SGS Technology Ltd</t>
        </is>
      </c>
      <c r="C357" s="30" t="inlineStr">
        <is>
          <t>consumer discretionary</t>
        </is>
      </c>
      <c r="D357" s="30" t="inlineStr">
        <is>
          <t>electronics - components</t>
        </is>
      </c>
      <c r="E357" s="30" t="inlineStr">
        <is>
          <t>largecap</t>
        </is>
      </c>
      <c r="F357" s="30" t="n">
        <v>29240.81</v>
      </c>
      <c r="G357" s="30" t="n">
        <v>1494.8</v>
      </c>
      <c r="H357" s="30" t="n">
        <v>-1.42</v>
      </c>
      <c r="I357" s="30" t="n">
        <v>1508375</v>
      </c>
      <c r="J357" s="30" t="inlineStr">
        <is>
          <t>543573</t>
        </is>
      </c>
    </row>
    <row r="358">
      <c r="A358" s="30" t="inlineStr">
        <is>
          <t>UNIVCABLES</t>
        </is>
      </c>
      <c r="B358" s="30" t="inlineStr">
        <is>
          <t>Universal Cables Limited</t>
        </is>
      </c>
      <c r="C358" s="30" t="inlineStr">
        <is>
          <t>industrials</t>
        </is>
      </c>
      <c r="D358" s="30" t="inlineStr">
        <is>
          <t>cables - power</t>
        </is>
      </c>
      <c r="E358" s="30" t="inlineStr">
        <is>
          <t>midcap</t>
        </is>
      </c>
      <c r="F358" s="30" t="n">
        <v>5875.32</v>
      </c>
      <c r="G358" s="30" t="n">
        <v>1669.4</v>
      </c>
      <c r="H358" s="30" t="n">
        <v>-1.42</v>
      </c>
      <c r="I358" s="30" t="n">
        <v>600029</v>
      </c>
      <c r="J358" s="30" t="inlineStr">
        <is>
          <t>504212</t>
        </is>
      </c>
    </row>
    <row r="359">
      <c r="A359" s="30" t="inlineStr">
        <is>
          <t>HINDZINC</t>
        </is>
      </c>
      <c r="B359" s="30" t="inlineStr">
        <is>
          <t>Hindustan Zinc Limited</t>
        </is>
      </c>
      <c r="C359" s="30" t="inlineStr">
        <is>
          <t>metals &amp; mining</t>
        </is>
      </c>
      <c r="D359" s="30" t="inlineStr">
        <is>
          <t>mining / minerals / metals</t>
        </is>
      </c>
      <c r="E359" s="30" t="inlineStr">
        <is>
          <t>largecap</t>
        </is>
      </c>
      <c r="F359" s="30" t="n">
        <v>251469.86</v>
      </c>
      <c r="G359" s="30" t="n">
        <v>586.65</v>
      </c>
      <c r="H359" s="30" t="n">
        <v>-1.43</v>
      </c>
      <c r="I359" s="30" t="n">
        <v>10276247</v>
      </c>
      <c r="J359" s="30" t="inlineStr">
        <is>
          <t>500188</t>
        </is>
      </c>
    </row>
    <row r="360">
      <c r="A360" s="30" t="inlineStr">
        <is>
          <t>MENONBE</t>
        </is>
      </c>
      <c r="B360" s="30" t="inlineStr">
        <is>
          <t>Menon Bearings Limited</t>
        </is>
      </c>
      <c r="C360" s="30" t="inlineStr">
        <is>
          <t>auto</t>
        </is>
      </c>
      <c r="D360" s="30" t="inlineStr">
        <is>
          <t>auto ancillaries</t>
        </is>
      </c>
      <c r="E360" s="30" t="inlineStr">
        <is>
          <t>smallcap</t>
        </is>
      </c>
      <c r="F360" s="30" t="n">
        <v>1381.67</v>
      </c>
      <c r="G360" s="30" t="n">
        <v>242.95</v>
      </c>
      <c r="H360" s="30" t="n">
        <v>-1.46</v>
      </c>
      <c r="I360" s="30" t="n">
        <v>73726</v>
      </c>
      <c r="J360" s="30" t="inlineStr">
        <is>
          <t>523828</t>
        </is>
      </c>
    </row>
    <row r="361">
      <c r="A361" s="30" t="inlineStr">
        <is>
          <t>VSSL</t>
        </is>
      </c>
      <c r="B361" s="30" t="inlineStr">
        <is>
          <t>Vardhman Special Steels Limited</t>
        </is>
      </c>
      <c r="C361" s="30" t="inlineStr">
        <is>
          <t>metals &amp; mining</t>
        </is>
      </c>
      <c r="D361" s="30" t="inlineStr">
        <is>
          <t>steel - medium / small</t>
        </is>
      </c>
      <c r="E361" s="30" t="inlineStr">
        <is>
          <t>smallcap</t>
        </is>
      </c>
      <c r="F361" s="30" t="n">
        <v>3264.59</v>
      </c>
      <c r="G361" s="30" t="n">
        <v>332.7</v>
      </c>
      <c r="H361" s="30" t="n">
        <v>-1.47</v>
      </c>
      <c r="I361" s="30" t="n">
        <v>131159</v>
      </c>
      <c r="J361" s="30" t="inlineStr">
        <is>
          <t>534392</t>
        </is>
      </c>
    </row>
    <row r="362">
      <c r="A362" s="30" t="inlineStr">
        <is>
          <t>MIDHANI</t>
        </is>
      </c>
      <c r="B362" s="30" t="inlineStr">
        <is>
          <t>Mishra Dhatu Nigam Ltd</t>
        </is>
      </c>
      <c r="C362" s="30" t="inlineStr">
        <is>
          <t>aerospace &amp; defence</t>
        </is>
      </c>
      <c r="D362" s="30" t="inlineStr">
        <is>
          <t>steel - medium / small</t>
        </is>
      </c>
      <c r="E362" s="30" t="inlineStr">
        <is>
          <t>midcap</t>
        </is>
      </c>
      <c r="F362" s="30" t="n">
        <v>8133.37</v>
      </c>
      <c r="G362" s="30" t="n">
        <v>427.75</v>
      </c>
      <c r="H362" s="30" t="n">
        <v>-1.47</v>
      </c>
      <c r="I362" s="30" t="n">
        <v>414962</v>
      </c>
      <c r="J362" s="30" t="inlineStr">
        <is>
          <t>541195</t>
        </is>
      </c>
    </row>
    <row r="363">
      <c r="A363" s="30" t="inlineStr">
        <is>
          <t>TVSMOTOR</t>
        </is>
      </c>
      <c r="B363" s="30" t="inlineStr">
        <is>
          <t>Tvs Motor Company Limited</t>
        </is>
      </c>
      <c r="C363" s="30" t="inlineStr">
        <is>
          <t>auto</t>
        </is>
      </c>
      <c r="D363" s="30" t="inlineStr">
        <is>
          <t>automobiles - motorcycles / mopeds</t>
        </is>
      </c>
      <c r="E363" s="30" t="inlineStr">
        <is>
          <t>largecap</t>
        </is>
      </c>
      <c r="F363" s="30" t="n">
        <v>212183.41</v>
      </c>
      <c r="G363" s="30" t="n">
        <v>4400</v>
      </c>
      <c r="H363" s="30" t="n">
        <v>-1.48</v>
      </c>
      <c r="I363" s="30" t="n">
        <v>1820266</v>
      </c>
      <c r="J363" s="30" t="inlineStr">
        <is>
          <t>532343</t>
        </is>
      </c>
    </row>
    <row r="364">
      <c r="A364" s="30" t="inlineStr">
        <is>
          <t>PDSL</t>
        </is>
      </c>
      <c r="B364" s="30" t="inlineStr">
        <is>
          <t>PDS Ltd</t>
        </is>
      </c>
      <c r="C364" s="30" t="inlineStr">
        <is>
          <t>textiles</t>
        </is>
      </c>
      <c r="D364" s="30" t="inlineStr">
        <is>
          <t>trading</t>
        </is>
      </c>
      <c r="E364" s="30" t="inlineStr">
        <is>
          <t>midcap</t>
        </is>
      </c>
      <c r="F364" s="30" t="n">
        <v>5406.63</v>
      </c>
      <c r="G364" s="30" t="n">
        <v>376.5</v>
      </c>
      <c r="H364" s="30" t="n">
        <v>-1.5</v>
      </c>
      <c r="I364" s="30" t="n">
        <v>112403</v>
      </c>
      <c r="J364" s="30" t="inlineStr">
        <is>
          <t>538730</t>
        </is>
      </c>
    </row>
    <row r="365">
      <c r="A365" s="30" t="inlineStr">
        <is>
          <t>MARINE</t>
        </is>
      </c>
      <c r="B365" s="30" t="inlineStr">
        <is>
          <t>Marine Electricals (India) Ltd</t>
        </is>
      </c>
      <c r="C365" s="30" t="inlineStr">
        <is>
          <t>industrials</t>
        </is>
      </c>
      <c r="D365" s="30" t="inlineStr">
        <is>
          <t>electric equipment</t>
        </is>
      </c>
      <c r="E365" s="30" t="inlineStr">
        <is>
          <t>smallcap</t>
        </is>
      </c>
      <c r="F365" s="30" t="n">
        <v>4970.13</v>
      </c>
      <c r="G365" s="30" t="n">
        <v>349.7</v>
      </c>
      <c r="H365" s="30" t="n">
        <v>-1.53</v>
      </c>
      <c r="I365" s="30" t="n">
        <v>1375943</v>
      </c>
      <c r="J365" s="30" t="inlineStr">
        <is>
          <t>535119</t>
        </is>
      </c>
    </row>
    <row r="366">
      <c r="A366" s="30" t="inlineStr">
        <is>
          <t>SONACOMS</t>
        </is>
      </c>
      <c r="B366" s="30" t="inlineStr">
        <is>
          <t>Sona BLW Precision Forgings Ltd</t>
        </is>
      </c>
      <c r="C366" s="30" t="inlineStr">
        <is>
          <t>auto</t>
        </is>
      </c>
      <c r="D366" s="30" t="inlineStr">
        <is>
          <t>auto ancillaries</t>
        </is>
      </c>
      <c r="E366" s="30" t="inlineStr">
        <is>
          <t>largecap</t>
        </is>
      </c>
      <c r="F366" s="30" t="n">
        <v>50540.33</v>
      </c>
      <c r="G366" s="30" t="n">
        <v>800</v>
      </c>
      <c r="H366" s="30" t="n">
        <v>-1.54</v>
      </c>
      <c r="I366" s="30" t="n">
        <v>4064713</v>
      </c>
      <c r="J366" s="30" t="inlineStr">
        <is>
          <t>543300</t>
        </is>
      </c>
    </row>
    <row r="367">
      <c r="A367" s="30" t="inlineStr">
        <is>
          <t>PASUPTAC</t>
        </is>
      </c>
      <c r="B367" s="30" t="inlineStr">
        <is>
          <t>Pasupati Acrylon Ltd</t>
        </is>
      </c>
      <c r="C367" s="30" t="inlineStr">
        <is>
          <t>textiles</t>
        </is>
      </c>
      <c r="D367" s="30" t="inlineStr">
        <is>
          <t>textiles - manmade</t>
        </is>
      </c>
      <c r="E367" s="30" t="inlineStr">
        <is>
          <t>smallcap</t>
        </is>
      </c>
      <c r="F367" s="30" t="n">
        <v>581.77</v>
      </c>
      <c r="G367" s="30" t="n">
        <v>64.25</v>
      </c>
      <c r="H367" s="30" t="n">
        <v>-1.56</v>
      </c>
      <c r="I367" s="30" t="n">
        <v>105429</v>
      </c>
      <c r="J367" s="30" t="inlineStr">
        <is>
          <t>500456</t>
        </is>
      </c>
    </row>
    <row r="368">
      <c r="A368" s="30" t="inlineStr">
        <is>
          <t>SCHNEIDER</t>
        </is>
      </c>
      <c r="B368" s="30" t="inlineStr">
        <is>
          <t>Schneider Electric Infrastructure Limited</t>
        </is>
      </c>
      <c r="C368" s="30" t="inlineStr">
        <is>
          <t>industrials</t>
        </is>
      </c>
      <c r="D368" s="30" t="inlineStr">
        <is>
          <t>electric equipment</t>
        </is>
      </c>
      <c r="E368" s="30" t="inlineStr">
        <is>
          <t>largecap</t>
        </is>
      </c>
      <c r="F368" s="30" t="n">
        <v>34069.93</v>
      </c>
      <c r="G368" s="30" t="n">
        <v>1402.5</v>
      </c>
      <c r="H368" s="30" t="n">
        <v>-1.57</v>
      </c>
      <c r="I368" s="30" t="n">
        <v>289741</v>
      </c>
      <c r="J368" s="30" t="inlineStr">
        <is>
          <t>534139</t>
        </is>
      </c>
    </row>
    <row r="369">
      <c r="A369" s="30" t="inlineStr">
        <is>
          <t>TATATECH</t>
        </is>
      </c>
      <c r="B369" s="30" t="inlineStr">
        <is>
          <t>Tata Technologies Ltd</t>
        </is>
      </c>
      <c r="C369" s="30" t="inlineStr">
        <is>
          <t>i.t</t>
        </is>
      </c>
      <c r="D369" s="30" t="inlineStr">
        <is>
          <t>computers - software - medium / small</t>
        </is>
      </c>
      <c r="E369" s="30" t="inlineStr">
        <is>
          <t>largecap</t>
        </is>
      </c>
      <c r="F369" s="30" t="n">
        <v>35698.05</v>
      </c>
      <c r="G369" s="30" t="n">
        <v>865.2</v>
      </c>
      <c r="H369" s="30" t="n">
        <v>-1.59</v>
      </c>
      <c r="I369" s="30" t="n">
        <v>1561457</v>
      </c>
      <c r="J369" s="30" t="inlineStr">
        <is>
          <t>544028</t>
        </is>
      </c>
    </row>
    <row r="370">
      <c r="A370" s="30" t="inlineStr">
        <is>
          <t>THEJO</t>
        </is>
      </c>
      <c r="B370" s="30" t="inlineStr">
        <is>
          <t>Thejo Engineering Ltd</t>
        </is>
      </c>
      <c r="C370" s="30" t="inlineStr">
        <is>
          <t>industrials</t>
        </is>
      </c>
      <c r="D370" s="30" t="inlineStr">
        <is>
          <t>engineering</t>
        </is>
      </c>
      <c r="E370" s="30" t="inlineStr">
        <is>
          <t>smallcap</t>
        </is>
      </c>
      <c r="F370" s="30" t="n">
        <v>2402.93</v>
      </c>
      <c r="G370" s="30" t="n">
        <v>2180</v>
      </c>
      <c r="H370" s="30" t="n">
        <v>-1.59</v>
      </c>
      <c r="I370" s="30" t="n">
        <v>8572</v>
      </c>
      <c r="J370" s="30" t="inlineStr">
        <is>
          <t>500492</t>
        </is>
      </c>
    </row>
    <row r="371">
      <c r="A371" s="30" t="inlineStr">
        <is>
          <t>SGIL</t>
        </is>
      </c>
      <c r="B371" s="30" t="inlineStr">
        <is>
          <t>Synergy Green Industries Ltd</t>
        </is>
      </c>
      <c r="C371" s="30" t="inlineStr">
        <is>
          <t>industrials</t>
        </is>
      </c>
      <c r="D371" s="30" t="inlineStr">
        <is>
          <t>castings &amp; forgings</t>
        </is>
      </c>
      <c r="E371" s="30" t="inlineStr">
        <is>
          <t>smallcap</t>
        </is>
      </c>
      <c r="F371" s="30" t="n">
        <v>960.4</v>
      </c>
      <c r="G371" s="30" t="n">
        <v>608</v>
      </c>
      <c r="H371" s="30" t="n">
        <v>-1.6</v>
      </c>
      <c r="I371" s="30" t="n">
        <v>4070</v>
      </c>
      <c r="J371" s="30" t="inlineStr">
        <is>
          <t>541929</t>
        </is>
      </c>
    </row>
    <row r="372">
      <c r="A372" s="30" t="inlineStr">
        <is>
          <t>MMP</t>
        </is>
      </c>
      <c r="B372" s="30" t="inlineStr">
        <is>
          <t>MMP Industries Ltd</t>
        </is>
      </c>
      <c r="C372" s="30" t="inlineStr">
        <is>
          <t>metals &amp; mining</t>
        </is>
      </c>
      <c r="D372" s="30" t="inlineStr">
        <is>
          <t>aluminium and aluminium products</t>
        </is>
      </c>
      <c r="E372" s="30" t="inlineStr">
        <is>
          <t>smallcap</t>
        </is>
      </c>
      <c r="F372" s="30" t="n">
        <v>650.21</v>
      </c>
      <c r="G372" s="30" t="n">
        <v>338.15</v>
      </c>
      <c r="H372" s="30" t="n">
        <v>-1.6</v>
      </c>
      <c r="I372" s="30" t="n">
        <v>137921</v>
      </c>
      <c r="J372" s="30" t="inlineStr">
        <is>
          <t>535071</t>
        </is>
      </c>
    </row>
    <row r="373">
      <c r="A373" s="30" t="inlineStr">
        <is>
          <t>NRL</t>
        </is>
      </c>
      <c r="B373" s="30" t="inlineStr">
        <is>
          <t>Nupur Recyclers Ltd</t>
        </is>
      </c>
      <c r="C373" s="30" t="inlineStr">
        <is>
          <t>services</t>
        </is>
      </c>
      <c r="D373" s="30" t="inlineStr">
        <is>
          <t>trading</t>
        </is>
      </c>
      <c r="E373" s="30" t="inlineStr">
        <is>
          <t>smallcap</t>
        </is>
      </c>
      <c r="F373" s="30" t="n">
        <v>794.4299999999999</v>
      </c>
      <c r="G373" s="30" t="n">
        <v>115.02</v>
      </c>
      <c r="H373" s="30" t="n">
        <v>-1.61</v>
      </c>
      <c r="I373" s="30" t="n">
        <v>111173</v>
      </c>
      <c r="J373" s="30" t="inlineStr">
        <is>
          <t>535413</t>
        </is>
      </c>
    </row>
    <row r="374">
      <c r="A374" s="30" t="inlineStr">
        <is>
          <t>FMGOETZE</t>
        </is>
      </c>
      <c r="B374" s="30" t="inlineStr">
        <is>
          <t>Federal-mogul Goetze (india) Limited.</t>
        </is>
      </c>
      <c r="C374" s="30" t="inlineStr">
        <is>
          <t>auto</t>
        </is>
      </c>
      <c r="D374" s="30" t="inlineStr">
        <is>
          <t>auto ancillaries</t>
        </is>
      </c>
      <c r="E374" s="30" t="inlineStr">
        <is>
          <t>smallcap</t>
        </is>
      </c>
      <c r="F374" s="30" t="n">
        <v>2732.93</v>
      </c>
      <c r="G374" s="30" t="n">
        <v>483.3</v>
      </c>
      <c r="H374" s="30" t="n">
        <v>-1.62</v>
      </c>
      <c r="I374" s="30" t="n">
        <v>51444</v>
      </c>
      <c r="J374" s="30" t="inlineStr">
        <is>
          <t>505744</t>
        </is>
      </c>
    </row>
    <row r="375">
      <c r="A375" s="30" t="inlineStr">
        <is>
          <t>M&amp;M</t>
        </is>
      </c>
      <c r="B375" s="30" t="inlineStr">
        <is>
          <t>Mahindra &amp; Mahindra Limited</t>
        </is>
      </c>
      <c r="C375" s="30" t="inlineStr">
        <is>
          <t>auto</t>
        </is>
      </c>
      <c r="D375" s="30" t="inlineStr">
        <is>
          <t>automobiles - passenger cars</t>
        </is>
      </c>
      <c r="E375" s="30" t="inlineStr">
        <is>
          <t>largecap</t>
        </is>
      </c>
      <c r="F375" s="30" t="n">
        <v>437349.09</v>
      </c>
      <c r="G375" s="30" t="n">
        <v>3460.1</v>
      </c>
      <c r="H375" s="30" t="n">
        <v>-1.62</v>
      </c>
      <c r="I375" s="30" t="n">
        <v>4439555</v>
      </c>
      <c r="J375" s="30" t="inlineStr">
        <is>
          <t>500520</t>
        </is>
      </c>
    </row>
    <row r="376">
      <c r="A376" s="30" t="inlineStr">
        <is>
          <t>NRAIL</t>
        </is>
      </c>
      <c r="B376" s="30" t="inlineStr">
        <is>
          <t>N R Agarwal Industries Ltd</t>
        </is>
      </c>
      <c r="C376" s="30" t="inlineStr">
        <is>
          <t>building materials</t>
        </is>
      </c>
      <c r="D376" s="30" t="inlineStr">
        <is>
          <t>paper</t>
        </is>
      </c>
      <c r="E376" s="30" t="inlineStr">
        <is>
          <t>smallcap</t>
        </is>
      </c>
      <c r="F376" s="30" t="n">
        <v>898.1799999999999</v>
      </c>
      <c r="G376" s="30" t="n">
        <v>519.1</v>
      </c>
      <c r="H376" s="30" t="n">
        <v>-1.64</v>
      </c>
      <c r="I376" s="30" t="n">
        <v>8056</v>
      </c>
      <c r="J376" s="30" t="inlineStr">
        <is>
          <t>516082</t>
        </is>
      </c>
    </row>
    <row r="377">
      <c r="A377" s="30" t="inlineStr">
        <is>
          <t>GRASIM</t>
        </is>
      </c>
      <c r="B377" s="30" t="inlineStr">
        <is>
          <t>Grasim Industries Limited</t>
        </is>
      </c>
      <c r="C377" s="30" t="inlineStr">
        <is>
          <t>textiles</t>
        </is>
      </c>
      <c r="D377" s="30" t="inlineStr">
        <is>
          <t>textiles - manmade</t>
        </is>
      </c>
      <c r="E377" s="30" t="inlineStr">
        <is>
          <t>largecap</t>
        </is>
      </c>
      <c r="F377" s="30" t="n">
        <v>230070.26</v>
      </c>
      <c r="G377" s="30" t="n">
        <v>3322.2</v>
      </c>
      <c r="H377" s="30" t="n">
        <v>-1.72</v>
      </c>
      <c r="I377" s="30" t="n">
        <v>1472462</v>
      </c>
      <c r="J377" s="30" t="inlineStr">
        <is>
          <t>500300</t>
        </is>
      </c>
    </row>
    <row r="378">
      <c r="A378" s="30" t="inlineStr">
        <is>
          <t>RAMCOIND</t>
        </is>
      </c>
      <c r="B378" s="30" t="inlineStr">
        <is>
          <t>Ramco Industries Limited</t>
        </is>
      </c>
      <c r="C378" s="30" t="inlineStr">
        <is>
          <t>building materials</t>
        </is>
      </c>
      <c r="D378" s="30" t="inlineStr">
        <is>
          <t>cement products</t>
        </is>
      </c>
      <c r="E378" s="30" t="inlineStr">
        <is>
          <t>smallcap</t>
        </is>
      </c>
      <c r="F378" s="30" t="n">
        <v>3275.66</v>
      </c>
      <c r="G378" s="30" t="n">
        <v>370.6</v>
      </c>
      <c r="H378" s="30" t="n">
        <v>-1.75</v>
      </c>
      <c r="I378" s="30" t="n">
        <v>2586377</v>
      </c>
      <c r="J378" s="30" t="inlineStr">
        <is>
          <t>532369</t>
        </is>
      </c>
    </row>
    <row r="379">
      <c r="A379" s="30" t="inlineStr">
        <is>
          <t>LMW</t>
        </is>
      </c>
      <c r="B379" s="30" t="inlineStr">
        <is>
          <t>LMW Ltd</t>
        </is>
      </c>
      <c r="C379" s="30" t="inlineStr">
        <is>
          <t>industrials</t>
        </is>
      </c>
      <c r="D379" s="30" t="inlineStr">
        <is>
          <t>textile machinery</t>
        </is>
      </c>
      <c r="E379" s="30" t="inlineStr">
        <is>
          <t>midcap</t>
        </is>
      </c>
      <c r="F379" s="30" t="n">
        <v>18839.47</v>
      </c>
      <c r="G379" s="30" t="n">
        <v>17323</v>
      </c>
      <c r="H379" s="30" t="n">
        <v>-1.77</v>
      </c>
      <c r="I379" s="30" t="n">
        <v>5064</v>
      </c>
      <c r="J379" s="30" t="inlineStr">
        <is>
          <t>500252</t>
        </is>
      </c>
    </row>
    <row r="380">
      <c r="A380" s="30" t="inlineStr">
        <is>
          <t>RAMRAT</t>
        </is>
      </c>
      <c r="B380" s="30" t="inlineStr">
        <is>
          <t>Ram Ratna Wires Ltd</t>
        </is>
      </c>
      <c r="C380" s="30" t="inlineStr">
        <is>
          <t>metals &amp; mining</t>
        </is>
      </c>
      <c r="D380" s="30" t="inlineStr">
        <is>
          <t>mining / minerals / metals</t>
        </is>
      </c>
      <c r="E380" s="30" t="inlineStr">
        <is>
          <t>smallcap</t>
        </is>
      </c>
      <c r="F380" s="30" t="n">
        <v>4273.52</v>
      </c>
      <c r="G380" s="30" t="n">
        <v>449.5</v>
      </c>
      <c r="H380" s="30" t="n">
        <v>-1.81</v>
      </c>
      <c r="I380" s="30" t="n">
        <v>114045</v>
      </c>
      <c r="J380" s="30" t="inlineStr">
        <is>
          <t>522281</t>
        </is>
      </c>
    </row>
    <row r="381">
      <c r="A381" s="30" t="inlineStr">
        <is>
          <t>UGARSUGAR</t>
        </is>
      </c>
      <c r="B381" s="30" t="inlineStr">
        <is>
          <t>The Ugar Sugar Works Limited</t>
        </is>
      </c>
      <c r="C381" s="30" t="inlineStr">
        <is>
          <t>fmcg</t>
        </is>
      </c>
      <c r="D381" s="30" t="inlineStr">
        <is>
          <t>sugar</t>
        </is>
      </c>
      <c r="E381" s="30" t="inlineStr">
        <is>
          <t>smallcap</t>
        </is>
      </c>
      <c r="F381" s="30" t="n">
        <v>523.01</v>
      </c>
      <c r="G381" s="30" t="n">
        <v>45.65</v>
      </c>
      <c r="H381" s="30" t="n">
        <v>-1.81</v>
      </c>
      <c r="I381" s="30" t="n">
        <v>147782</v>
      </c>
      <c r="J381" s="30" t="inlineStr">
        <is>
          <t>530363</t>
        </is>
      </c>
    </row>
    <row r="382">
      <c r="A382" s="30" t="inlineStr">
        <is>
          <t>SWANDEF</t>
        </is>
      </c>
      <c r="B382" s="30" t="inlineStr">
        <is>
          <t>Swan Defence and Heavy Industries Ltd</t>
        </is>
      </c>
      <c r="C382" s="30" t="inlineStr">
        <is>
          <t>transportation</t>
        </is>
      </c>
      <c r="D382" s="30" t="inlineStr">
        <is>
          <t>miscellaneous</t>
        </is>
      </c>
      <c r="E382" s="30" t="inlineStr">
        <is>
          <t>midcap</t>
        </is>
      </c>
      <c r="F382" s="30" t="n">
        <v>13815.89</v>
      </c>
      <c r="G382" s="30" t="n">
        <v>2573.8</v>
      </c>
      <c r="H382" s="30" t="n">
        <v>-1.86</v>
      </c>
      <c r="I382" s="30" t="n">
        <v>21649</v>
      </c>
      <c r="J382" s="30" t="inlineStr">
        <is>
          <t>533107</t>
        </is>
      </c>
    </row>
    <row r="383">
      <c r="A383" s="30" t="inlineStr">
        <is>
          <t>FILATEX</t>
        </is>
      </c>
      <c r="B383" s="30" t="inlineStr">
        <is>
          <t>Filatex India Limited</t>
        </is>
      </c>
      <c r="C383" s="30" t="inlineStr">
        <is>
          <t>textiles</t>
        </is>
      </c>
      <c r="D383" s="30" t="inlineStr">
        <is>
          <t>textiles - manmade</t>
        </is>
      </c>
      <c r="E383" s="30" t="inlineStr">
        <is>
          <t>smallcap</t>
        </is>
      </c>
      <c r="F383" s="30" t="n">
        <v>3764.73</v>
      </c>
      <c r="G383" s="30" t="n">
        <v>83.12</v>
      </c>
      <c r="H383" s="30" t="n">
        <v>-1.96</v>
      </c>
      <c r="I383" s="30" t="n">
        <v>4509636</v>
      </c>
      <c r="J383" s="30" t="inlineStr">
        <is>
          <t>526227</t>
        </is>
      </c>
    </row>
    <row r="384">
      <c r="A384" s="30" t="inlineStr">
        <is>
          <t>JINDALSAW</t>
        </is>
      </c>
      <c r="B384" s="30" t="inlineStr">
        <is>
          <t>Jindal Saw Limited</t>
        </is>
      </c>
      <c r="C384" s="30" t="inlineStr">
        <is>
          <t>industrials</t>
        </is>
      </c>
      <c r="D384" s="30" t="inlineStr">
        <is>
          <t>steel - large</t>
        </is>
      </c>
      <c r="E384" s="30" t="inlineStr">
        <is>
          <t>midcap</t>
        </is>
      </c>
      <c r="F384" s="30" t="n">
        <v>17845.48</v>
      </c>
      <c r="G384" s="30" t="n">
        <v>273.55</v>
      </c>
      <c r="H384" s="30" t="n">
        <v>-1.97</v>
      </c>
      <c r="I384" s="30" t="n">
        <v>1020422</v>
      </c>
      <c r="J384" s="30" t="inlineStr">
        <is>
          <t>500378</t>
        </is>
      </c>
    </row>
    <row r="385">
      <c r="A385" s="30" t="inlineStr">
        <is>
          <t>STOVEKRAFT</t>
        </is>
      </c>
      <c r="B385" s="30" t="inlineStr">
        <is>
          <t>Stove Kraft Ltd</t>
        </is>
      </c>
      <c r="C385" s="30" t="inlineStr">
        <is>
          <t>consumer discretionary</t>
        </is>
      </c>
      <c r="D385" s="30" t="inlineStr">
        <is>
          <t>domestic appliances</t>
        </is>
      </c>
      <c r="E385" s="30" t="inlineStr">
        <is>
          <t>smallcap</t>
        </is>
      </c>
      <c r="F385" s="30" t="n">
        <v>2677.89</v>
      </c>
      <c r="G385" s="30" t="n">
        <v>792.85</v>
      </c>
      <c r="H385" s="30" t="n">
        <v>-1.98</v>
      </c>
      <c r="I385" s="30" t="n">
        <v>96213</v>
      </c>
      <c r="J385" s="30" t="inlineStr">
        <is>
          <t>543260</t>
        </is>
      </c>
    </row>
    <row r="386">
      <c r="A386" s="30" t="inlineStr">
        <is>
          <t>MINDACORP</t>
        </is>
      </c>
      <c r="B386" s="30" t="inlineStr">
        <is>
          <t>Minda Corporation Limited</t>
        </is>
      </c>
      <c r="C386" s="30" t="inlineStr">
        <is>
          <t>auto</t>
        </is>
      </c>
      <c r="D386" s="30" t="inlineStr">
        <is>
          <t>auto ancillaries</t>
        </is>
      </c>
      <c r="E386" s="30" t="inlineStr">
        <is>
          <t>midcap</t>
        </is>
      </c>
      <c r="F386" s="30" t="n">
        <v>17598.64</v>
      </c>
      <c r="G386" s="30" t="n">
        <v>721.45</v>
      </c>
      <c r="H386" s="30" t="n">
        <v>-1.99</v>
      </c>
      <c r="I386" s="30" t="n">
        <v>297610</v>
      </c>
      <c r="J386" s="30" t="inlineStr">
        <is>
          <t>538962</t>
        </is>
      </c>
    </row>
    <row r="387">
      <c r="A387" s="30" t="inlineStr">
        <is>
          <t>ONMOBILE</t>
        </is>
      </c>
      <c r="B387" s="30" t="inlineStr">
        <is>
          <t>Onmobile Global Limited</t>
        </is>
      </c>
      <c r="C387" s="30" t="inlineStr">
        <is>
          <t>telecom-service</t>
        </is>
      </c>
      <c r="D387" s="30" t="inlineStr">
        <is>
          <t>telecommunications - service provider</t>
        </is>
      </c>
      <c r="E387" s="30" t="inlineStr">
        <is>
          <t>smallcap</t>
        </is>
      </c>
      <c r="F387" s="30" t="n">
        <v>726.28</v>
      </c>
      <c r="G387" s="30" t="n">
        <v>68.31</v>
      </c>
      <c r="H387" s="30" t="n">
        <v>-1.99</v>
      </c>
      <c r="I387" s="30" t="n">
        <v>24688</v>
      </c>
      <c r="J387" s="30" t="inlineStr">
        <is>
          <t>532944</t>
        </is>
      </c>
    </row>
    <row r="388">
      <c r="A388" s="30" t="inlineStr">
        <is>
          <t>ENGINERSIN</t>
        </is>
      </c>
      <c r="B388" s="30" t="inlineStr">
        <is>
          <t>Engineers India Limited</t>
        </is>
      </c>
      <c r="C388" s="30" t="inlineStr">
        <is>
          <t>realty</t>
        </is>
      </c>
      <c r="D388" s="30" t="inlineStr">
        <is>
          <t>engineering - turnkey services</t>
        </is>
      </c>
      <c r="E388" s="30" t="inlineStr">
        <is>
          <t>midcap</t>
        </is>
      </c>
      <c r="F388" s="30" t="n">
        <v>13936.4</v>
      </c>
      <c r="G388" s="30" t="n">
        <v>242.99</v>
      </c>
      <c r="H388" s="30" t="n">
        <v>-2</v>
      </c>
      <c r="I388" s="30" t="n">
        <v>1930678</v>
      </c>
      <c r="J388" s="30" t="inlineStr">
        <is>
          <t>532178</t>
        </is>
      </c>
    </row>
    <row r="389">
      <c r="A389" s="30" t="inlineStr">
        <is>
          <t>BAFNAPH</t>
        </is>
      </c>
      <c r="B389" s="30" t="inlineStr">
        <is>
          <t>Bafna Pharmaceuticals Ltd</t>
        </is>
      </c>
      <c r="C389" s="30" t="inlineStr">
        <is>
          <t>healthcare</t>
        </is>
      </c>
      <c r="D389" s="30" t="inlineStr">
        <is>
          <t>pharmaceuticals - indian - formulations</t>
        </is>
      </c>
      <c r="E389" s="30" t="inlineStr">
        <is>
          <t>smallcap</t>
        </is>
      </c>
      <c r="F389" s="30" t="n">
        <v>660.72</v>
      </c>
      <c r="G389" s="30" t="n">
        <v>279.3</v>
      </c>
      <c r="H389" s="30" t="n">
        <v>-2</v>
      </c>
      <c r="I389" s="30" t="n">
        <v>23602</v>
      </c>
      <c r="J389" s="30" t="inlineStr">
        <is>
          <t>532989</t>
        </is>
      </c>
    </row>
    <row r="390">
      <c r="A390" s="30" t="inlineStr">
        <is>
          <t>HONASA</t>
        </is>
      </c>
      <c r="B390" s="30" t="inlineStr">
        <is>
          <t>Honasa Consumer Ltd</t>
        </is>
      </c>
      <c r="C390" s="30" t="inlineStr">
        <is>
          <t>services</t>
        </is>
      </c>
      <c r="D390" s="30" t="inlineStr">
        <is>
          <t>trading</t>
        </is>
      </c>
      <c r="E390" s="30" t="inlineStr">
        <is>
          <t>midcap</t>
        </is>
      </c>
      <c r="F390" s="30" t="n">
        <v>15554.62</v>
      </c>
      <c r="G390" s="30" t="n">
        <v>467.3</v>
      </c>
      <c r="H390" s="30" t="n">
        <v>-2.05</v>
      </c>
      <c r="I390" s="30" t="n">
        <v>838786</v>
      </c>
      <c r="J390" s="30" t="inlineStr">
        <is>
          <t>544014</t>
        </is>
      </c>
    </row>
    <row r="391">
      <c r="A391" s="30" t="inlineStr">
        <is>
          <t>MMFL</t>
        </is>
      </c>
      <c r="B391" s="30" t="inlineStr">
        <is>
          <t>Mm Forgings Limited</t>
        </is>
      </c>
      <c r="C391" s="30" t="inlineStr">
        <is>
          <t>industrials</t>
        </is>
      </c>
      <c r="D391" s="30" t="inlineStr">
        <is>
          <t>castings &amp; forgings</t>
        </is>
      </c>
      <c r="E391" s="30" t="inlineStr">
        <is>
          <t>smallcap</t>
        </is>
      </c>
      <c r="F391" s="30" t="n">
        <v>3178.14</v>
      </c>
      <c r="G391" s="30" t="n">
        <v>644.6</v>
      </c>
      <c r="H391" s="30" t="n">
        <v>-2.07</v>
      </c>
      <c r="I391" s="30" t="n">
        <v>179302</v>
      </c>
      <c r="J391" s="30" t="inlineStr">
        <is>
          <t>522241</t>
        </is>
      </c>
    </row>
    <row r="392">
      <c r="A392" s="30" t="inlineStr">
        <is>
          <t>INDOTECH</t>
        </is>
      </c>
      <c r="B392" s="30" t="inlineStr">
        <is>
          <t>Indo Tech Transformers Limited</t>
        </is>
      </c>
      <c r="C392" s="30" t="inlineStr">
        <is>
          <t>industrials</t>
        </is>
      </c>
      <c r="D392" s="30" t="inlineStr">
        <is>
          <t>electric equipment</t>
        </is>
      </c>
      <c r="E392" s="30" t="inlineStr">
        <is>
          <t>smallcap</t>
        </is>
      </c>
      <c r="F392" s="30" t="n">
        <v>4040.27</v>
      </c>
      <c r="G392" s="30" t="n">
        <v>3725.2</v>
      </c>
      <c r="H392" s="30" t="n">
        <v>-2.08</v>
      </c>
      <c r="I392" s="30" t="n">
        <v>21379</v>
      </c>
      <c r="J392" s="30" t="inlineStr">
        <is>
          <t>532717</t>
        </is>
      </c>
    </row>
    <row r="393">
      <c r="A393" s="30" t="inlineStr">
        <is>
          <t>UNIMECH</t>
        </is>
      </c>
      <c r="B393" s="30" t="inlineStr">
        <is>
          <t>Unimech Aerospace and Manufacturing Ltd</t>
        </is>
      </c>
      <c r="C393" s="30" t="inlineStr">
        <is>
          <t>aerospace &amp; defence</t>
        </is>
      </c>
      <c r="D393" s="30" t="inlineStr">
        <is>
          <t>engineering</t>
        </is>
      </c>
      <c r="E393" s="30" t="inlineStr">
        <is>
          <t>midcap</t>
        </is>
      </c>
      <c r="F393" s="30" t="n">
        <v>7385.95</v>
      </c>
      <c r="G393" s="30" t="n">
        <v>1421.4</v>
      </c>
      <c r="H393" s="30" t="n">
        <v>-2.13</v>
      </c>
      <c r="I393" s="30" t="n">
        <v>164201</v>
      </c>
      <c r="J393" s="30" t="inlineStr">
        <is>
          <t>544322</t>
        </is>
      </c>
    </row>
    <row r="394">
      <c r="A394" s="30" t="inlineStr">
        <is>
          <t>HSCL</t>
        </is>
      </c>
      <c r="B394" s="30" t="inlineStr">
        <is>
          <t>Himadri Speciality Chemical Limited</t>
        </is>
      </c>
      <c r="C394" s="30" t="inlineStr">
        <is>
          <t>chemicals</t>
        </is>
      </c>
      <c r="D394" s="30" t="inlineStr">
        <is>
          <t>chemicals</t>
        </is>
      </c>
      <c r="E394" s="30" t="inlineStr">
        <is>
          <t>largecap</t>
        </is>
      </c>
      <c r="F394" s="30" t="n">
        <v>38953.13</v>
      </c>
      <c r="G394" s="30" t="n">
        <v>755.5</v>
      </c>
      <c r="H394" s="30" t="n">
        <v>-2.14</v>
      </c>
      <c r="I394" s="30" t="n">
        <v>6815254</v>
      </c>
      <c r="J394" s="30" t="inlineStr">
        <is>
          <t>500184</t>
        </is>
      </c>
    </row>
    <row r="395">
      <c r="A395" s="30" t="inlineStr">
        <is>
          <t>DBOL</t>
        </is>
      </c>
      <c r="B395" s="30" t="inlineStr">
        <is>
          <t>Dhampur Bio Organics Ltd</t>
        </is>
      </c>
      <c r="C395" s="30" t="inlineStr">
        <is>
          <t>fmcg</t>
        </is>
      </c>
      <c r="D395" s="30" t="inlineStr">
        <is>
          <t>sugar</t>
        </is>
      </c>
      <c r="E395" s="30" t="inlineStr">
        <is>
          <t>smallcap</t>
        </is>
      </c>
      <c r="F395" s="30" t="n">
        <v>774.8099999999999</v>
      </c>
      <c r="G395" s="30" t="n">
        <v>114.2</v>
      </c>
      <c r="H395" s="30" t="n">
        <v>-2.15</v>
      </c>
      <c r="I395" s="30" t="n">
        <v>83355</v>
      </c>
      <c r="J395" s="30" t="inlineStr">
        <is>
          <t>543593</t>
        </is>
      </c>
    </row>
    <row r="396">
      <c r="A396" s="30" t="inlineStr">
        <is>
          <t>MACPOWER</t>
        </is>
      </c>
      <c r="B396" s="30" t="inlineStr">
        <is>
          <t>Macpower CNC Machines Ltd</t>
        </is>
      </c>
      <c r="C396" s="30" t="inlineStr">
        <is>
          <t>industrials</t>
        </is>
      </c>
      <c r="D396" s="30" t="inlineStr">
        <is>
          <t>engineering</t>
        </is>
      </c>
      <c r="E396" s="30" t="inlineStr">
        <is>
          <t>smallcap</t>
        </is>
      </c>
      <c r="F396" s="30" t="n">
        <v>1825.06</v>
      </c>
      <c r="G396" s="30" t="n">
        <v>1785</v>
      </c>
      <c r="H396" s="30" t="n">
        <v>-2.15</v>
      </c>
      <c r="I396" s="30" t="n">
        <v>54067</v>
      </c>
      <c r="J396" s="30" t="inlineStr">
        <is>
          <t>535057</t>
        </is>
      </c>
    </row>
    <row r="397">
      <c r="A397" s="30" t="inlineStr">
        <is>
          <t>STYLAMIND</t>
        </is>
      </c>
      <c r="B397" s="30" t="inlineStr">
        <is>
          <t>Stylam Industries Ltd</t>
        </is>
      </c>
      <c r="C397" s="30" t="inlineStr">
        <is>
          <t>building materials</t>
        </is>
      </c>
      <c r="D397" s="30" t="inlineStr">
        <is>
          <t>miscellaneous</t>
        </is>
      </c>
      <c r="E397" s="30" t="inlineStr">
        <is>
          <t>midcap</t>
        </is>
      </c>
      <c r="F397" s="30" t="n">
        <v>6188.08</v>
      </c>
      <c r="G397" s="30" t="n">
        <v>3569.7</v>
      </c>
      <c r="H397" s="30" t="n">
        <v>-2.23</v>
      </c>
      <c r="I397" s="30" t="n">
        <v>32486</v>
      </c>
      <c r="J397" s="30" t="inlineStr">
        <is>
          <t>526951</t>
        </is>
      </c>
    </row>
    <row r="398">
      <c r="A398" s="30" t="inlineStr">
        <is>
          <t>UNIPARTS</t>
        </is>
      </c>
      <c r="B398" s="30" t="inlineStr">
        <is>
          <t>Uniparts India Ltd</t>
        </is>
      </c>
      <c r="C398" s="30" t="inlineStr">
        <is>
          <t>industrials</t>
        </is>
      </c>
      <c r="D398" s="30" t="inlineStr">
        <is>
          <t>engineering</t>
        </is>
      </c>
      <c r="E398" s="30" t="inlineStr">
        <is>
          <t>smallcap</t>
        </is>
      </c>
      <c r="F398" s="30" t="n">
        <v>3723.4</v>
      </c>
      <c r="G398" s="30" t="n">
        <v>806.2</v>
      </c>
      <c r="H398" s="30" t="n">
        <v>-2.26</v>
      </c>
      <c r="I398" s="30" t="n">
        <v>183796</v>
      </c>
      <c r="J398" s="30" t="inlineStr">
        <is>
          <t>543689</t>
        </is>
      </c>
    </row>
    <row r="399">
      <c r="A399" s="30" t="inlineStr">
        <is>
          <t>GAEL</t>
        </is>
      </c>
      <c r="B399" s="30" t="inlineStr">
        <is>
          <t>Gujarat Ambuja Exports Limited</t>
        </is>
      </c>
      <c r="C399" s="30" t="inlineStr">
        <is>
          <t>fmcg</t>
        </is>
      </c>
      <c r="D399" s="30" t="inlineStr">
        <is>
          <t>miscellaneous</t>
        </is>
      </c>
      <c r="E399" s="30" t="inlineStr">
        <is>
          <t>midcap</t>
        </is>
      </c>
      <c r="F399" s="30" t="n">
        <v>7928.12</v>
      </c>
      <c r="G399" s="30" t="n">
        <v>168.87</v>
      </c>
      <c r="H399" s="30" t="n">
        <v>-2.3</v>
      </c>
      <c r="I399" s="30" t="n">
        <v>969399</v>
      </c>
      <c r="J399" s="30" t="inlineStr">
        <is>
          <t>524226</t>
        </is>
      </c>
    </row>
    <row r="400">
      <c r="A400" s="30" t="inlineStr">
        <is>
          <t>AIIL</t>
        </is>
      </c>
      <c r="B400" s="30" t="inlineStr">
        <is>
          <t>Authum Investment &amp; Infrastructure Ltd</t>
        </is>
      </c>
      <c r="C400" s="30" t="inlineStr">
        <is>
          <t>financials</t>
        </is>
      </c>
      <c r="D400" s="30" t="inlineStr">
        <is>
          <t>finance &amp; investments</t>
        </is>
      </c>
      <c r="E400" s="30" t="inlineStr">
        <is>
          <t>largecap</t>
        </is>
      </c>
      <c r="F400" s="30" t="n">
        <v>49781.6</v>
      </c>
      <c r="G400" s="30" t="n">
        <v>572.6</v>
      </c>
      <c r="H400" s="30" t="n">
        <v>-2.32</v>
      </c>
      <c r="I400" s="30" t="n">
        <v>216216</v>
      </c>
      <c r="J400" s="30" t="inlineStr">
        <is>
          <t>539177</t>
        </is>
      </c>
    </row>
    <row r="401">
      <c r="A401" s="30" t="inlineStr">
        <is>
          <t>PRIMESECU</t>
        </is>
      </c>
      <c r="B401" s="30" t="inlineStr">
        <is>
          <t>Prime Securities Limited</t>
        </is>
      </c>
      <c r="C401" s="30" t="inlineStr">
        <is>
          <t>financials</t>
        </is>
      </c>
      <c r="D401" s="30" t="inlineStr">
        <is>
          <t>finance &amp; investments</t>
        </is>
      </c>
      <c r="E401" s="30" t="inlineStr">
        <is>
          <t>smallcap</t>
        </is>
      </c>
      <c r="F401" s="30" t="n">
        <v>1025.17</v>
      </c>
      <c r="G401" s="30" t="n">
        <v>295</v>
      </c>
      <c r="H401" s="30" t="n">
        <v>-2.33</v>
      </c>
      <c r="I401" s="30" t="n">
        <v>38400</v>
      </c>
      <c r="J401" s="30" t="inlineStr">
        <is>
          <t>500337</t>
        </is>
      </c>
    </row>
    <row r="402">
      <c r="A402" s="30" t="inlineStr">
        <is>
          <t>SIRCA</t>
        </is>
      </c>
      <c r="B402" s="30" t="inlineStr">
        <is>
          <t>Sirca Paints India Ltd</t>
        </is>
      </c>
      <c r="C402" s="30" t="inlineStr">
        <is>
          <t>building materials</t>
        </is>
      </c>
      <c r="D402" s="30" t="inlineStr">
        <is>
          <t>paints / varnishes</t>
        </is>
      </c>
      <c r="E402" s="30" t="inlineStr">
        <is>
          <t>smallcap</t>
        </is>
      </c>
      <c r="F402" s="30" t="n">
        <v>2573.85</v>
      </c>
      <c r="G402" s="30" t="n">
        <v>442.35</v>
      </c>
      <c r="H402" s="30" t="n">
        <v>-2.39</v>
      </c>
      <c r="I402" s="30" t="n">
        <v>335806</v>
      </c>
      <c r="J402" s="30" t="inlineStr">
        <is>
          <t>535083</t>
        </is>
      </c>
    </row>
    <row r="403">
      <c r="A403" s="30" t="inlineStr">
        <is>
          <t>PTCIL</t>
        </is>
      </c>
      <c r="B403" s="30" t="inlineStr">
        <is>
          <t>PTC Industries Ltd</t>
        </is>
      </c>
      <c r="C403" s="30" t="inlineStr">
        <is>
          <t>industrials</t>
        </is>
      </c>
      <c r="D403" s="30" t="inlineStr">
        <is>
          <t>castings &amp; forgings</t>
        </is>
      </c>
      <c r="E403" s="30" t="inlineStr">
        <is>
          <t>largecap</t>
        </is>
      </c>
      <c r="F403" s="30" t="n">
        <v>29040.57</v>
      </c>
      <c r="G403" s="30" t="n">
        <v>18906</v>
      </c>
      <c r="H403" s="30" t="n">
        <v>-2.4</v>
      </c>
      <c r="I403" s="30" t="n">
        <v>9492</v>
      </c>
      <c r="J403" s="30" t="inlineStr">
        <is>
          <t>539006</t>
        </is>
      </c>
    </row>
    <row r="404">
      <c r="A404" s="30" t="inlineStr">
        <is>
          <t>LLOYDSENGG</t>
        </is>
      </c>
      <c r="B404" s="30" t="inlineStr">
        <is>
          <t>Lloyds Engineering Works Ltd</t>
        </is>
      </c>
      <c r="C404" s="30" t="inlineStr">
        <is>
          <t>industrials</t>
        </is>
      </c>
      <c r="D404" s="30" t="inlineStr">
        <is>
          <t>engineering</t>
        </is>
      </c>
      <c r="E404" s="30" t="inlineStr">
        <is>
          <t>midcap</t>
        </is>
      </c>
      <c r="F404" s="30" t="n">
        <v>14111.67</v>
      </c>
      <c r="G404" s="30" t="n">
        <v>93.04000000000001</v>
      </c>
      <c r="H404" s="30" t="n">
        <v>-2.4</v>
      </c>
      <c r="I404" s="30" t="n">
        <v>11135294</v>
      </c>
      <c r="J404" s="30" t="inlineStr">
        <is>
          <t>539992</t>
        </is>
      </c>
    </row>
    <row r="405">
      <c r="A405" s="30" t="inlineStr">
        <is>
          <t>MEDANTA</t>
        </is>
      </c>
      <c r="B405" s="30" t="inlineStr">
        <is>
          <t>Global Health Ltd</t>
        </is>
      </c>
      <c r="C405" s="30" t="inlineStr">
        <is>
          <t>healthcare</t>
        </is>
      </c>
      <c r="D405" s="30" t="inlineStr">
        <is>
          <t>healthcare</t>
        </is>
      </c>
      <c r="E405" s="30" t="inlineStr">
        <is>
          <t>largecap</t>
        </is>
      </c>
      <c r="F405" s="30" t="n">
        <v>39690.85</v>
      </c>
      <c r="G405" s="30" t="n">
        <v>1440.4</v>
      </c>
      <c r="H405" s="30" t="n">
        <v>-2.43</v>
      </c>
      <c r="I405" s="30" t="n">
        <v>224097</v>
      </c>
      <c r="J405" s="30" t="inlineStr">
        <is>
          <t>543654</t>
        </is>
      </c>
    </row>
    <row r="406">
      <c r="A406" s="30" t="inlineStr">
        <is>
          <t>TANLA</t>
        </is>
      </c>
      <c r="B406" s="30" t="inlineStr">
        <is>
          <t>Tanla Solutions Limited</t>
        </is>
      </c>
      <c r="C406" s="30" t="inlineStr">
        <is>
          <t>i.t</t>
        </is>
      </c>
      <c r="D406" s="30" t="inlineStr">
        <is>
          <t>computers - software - medium / small</t>
        </is>
      </c>
      <c r="E406" s="30" t="inlineStr">
        <is>
          <t>midcap</t>
        </is>
      </c>
      <c r="F406" s="30" t="n">
        <v>8382.74</v>
      </c>
      <c r="G406" s="30" t="n">
        <v>616.65</v>
      </c>
      <c r="H406" s="30" t="n">
        <v>-2.44</v>
      </c>
      <c r="I406" s="30" t="n">
        <v>799037</v>
      </c>
      <c r="J406" s="30" t="inlineStr">
        <is>
          <t>532790</t>
        </is>
      </c>
    </row>
    <row r="407">
      <c r="A407" s="30" t="inlineStr">
        <is>
          <t>UTTAMSUGAR</t>
        </is>
      </c>
      <c r="B407" s="30" t="inlineStr">
        <is>
          <t>Uttam Sugar Mills Limited</t>
        </is>
      </c>
      <c r="C407" s="30" t="inlineStr">
        <is>
          <t>fmcg</t>
        </is>
      </c>
      <c r="D407" s="30" t="inlineStr">
        <is>
          <t>sugar</t>
        </is>
      </c>
      <c r="E407" s="30" t="inlineStr">
        <is>
          <t>smallcap</t>
        </is>
      </c>
      <c r="F407" s="30" t="n">
        <v>986.71</v>
      </c>
      <c r="G407" s="30" t="n">
        <v>252.3</v>
      </c>
      <c r="H407" s="30" t="n">
        <v>-2.48</v>
      </c>
      <c r="I407" s="30" t="n">
        <v>180156</v>
      </c>
      <c r="J407" s="30" t="inlineStr">
        <is>
          <t>532729</t>
        </is>
      </c>
    </row>
    <row r="408">
      <c r="A408" s="30" t="inlineStr">
        <is>
          <t>MANAPPURAM</t>
        </is>
      </c>
      <c r="B408" s="30" t="inlineStr">
        <is>
          <t>Manappuram Finance Limited</t>
        </is>
      </c>
      <c r="C408" s="30" t="inlineStr">
        <is>
          <t>financials</t>
        </is>
      </c>
      <c r="D408" s="30" t="inlineStr">
        <is>
          <t>finance &amp; investments</t>
        </is>
      </c>
      <c r="E408" s="30" t="inlineStr">
        <is>
          <t>largecap</t>
        </is>
      </c>
      <c r="F408" s="30" t="n">
        <v>34689.68</v>
      </c>
      <c r="G408" s="30" t="n">
        <v>360</v>
      </c>
      <c r="H408" s="30" t="n">
        <v>-2.52</v>
      </c>
      <c r="I408" s="30" t="n">
        <v>12086543</v>
      </c>
      <c r="J408" s="30" t="inlineStr">
        <is>
          <t>531213</t>
        </is>
      </c>
    </row>
    <row r="409">
      <c r="A409" s="30" t="inlineStr">
        <is>
          <t>SCPL</t>
        </is>
      </c>
      <c r="B409" s="30" t="inlineStr">
        <is>
          <t>Sheetal Cool Products Ltd</t>
        </is>
      </c>
      <c r="C409" s="30" t="inlineStr">
        <is>
          <t>fmcg</t>
        </is>
      </c>
      <c r="D409" s="30" t="inlineStr">
        <is>
          <t>food - processing - indian</t>
        </is>
      </c>
      <c r="E409" s="30" t="inlineStr">
        <is>
          <t>smallcap</t>
        </is>
      </c>
      <c r="F409" s="30" t="n">
        <v>662.92</v>
      </c>
      <c r="G409" s="30" t="n">
        <v>615.35</v>
      </c>
      <c r="H409" s="30" t="n">
        <v>-2.53</v>
      </c>
      <c r="I409" s="30" t="n">
        <v>57939</v>
      </c>
      <c r="J409" s="30" t="inlineStr">
        <is>
          <t>540757</t>
        </is>
      </c>
    </row>
    <row r="410">
      <c r="A410" s="30" t="inlineStr">
        <is>
          <t>DALMIASUG</t>
        </is>
      </c>
      <c r="B410" s="30" t="inlineStr">
        <is>
          <t>Dalmia Bharat Sugar And Industries Limited</t>
        </is>
      </c>
      <c r="C410" s="30" t="inlineStr">
        <is>
          <t>fmcg</t>
        </is>
      </c>
      <c r="D410" s="30" t="inlineStr">
        <is>
          <t>sugar</t>
        </is>
      </c>
      <c r="E410" s="30" t="inlineStr">
        <is>
          <t>smallcap</t>
        </is>
      </c>
      <c r="F410" s="30" t="n">
        <v>3390.95</v>
      </c>
      <c r="G410" s="30" t="n">
        <v>408.3</v>
      </c>
      <c r="H410" s="30" t="n">
        <v>-2.54</v>
      </c>
      <c r="I410" s="30" t="n">
        <v>252739</v>
      </c>
      <c r="J410" s="30" t="inlineStr">
        <is>
          <t>500097</t>
        </is>
      </c>
    </row>
    <row r="411">
      <c r="A411" s="30" t="inlineStr">
        <is>
          <t>ROSSTECH</t>
        </is>
      </c>
      <c r="B411" s="30" t="inlineStr">
        <is>
          <t>Rossell Techsys Ltd</t>
        </is>
      </c>
      <c r="C411" s="30" t="inlineStr">
        <is>
          <t>aerospace &amp; defence</t>
        </is>
      </c>
      <c r="D411" s="30" t="inlineStr">
        <is>
          <t>engineering</t>
        </is>
      </c>
      <c r="E411" s="30" t="inlineStr">
        <is>
          <t>smallcap</t>
        </is>
      </c>
      <c r="F411" s="30" t="n">
        <v>4125.88</v>
      </c>
      <c r="G411" s="30" t="n">
        <v>1066.65</v>
      </c>
      <c r="H411" s="30" t="n">
        <v>-2.54</v>
      </c>
      <c r="I411" s="30" t="n">
        <v>263674</v>
      </c>
      <c r="J411" s="30" t="inlineStr">
        <is>
          <t>544294</t>
        </is>
      </c>
    </row>
    <row r="412">
      <c r="A412" s="30" t="inlineStr">
        <is>
          <t>TMB</t>
        </is>
      </c>
      <c r="B412" s="30" t="inlineStr">
        <is>
          <t>Tamilnad Mercantile Bank Ltd</t>
        </is>
      </c>
      <c r="C412" s="30" t="inlineStr">
        <is>
          <t>bank</t>
        </is>
      </c>
      <c r="D412" s="30" t="inlineStr">
        <is>
          <t>banks - private sector</t>
        </is>
      </c>
      <c r="E412" s="30" t="inlineStr">
        <is>
          <t>midcap</t>
        </is>
      </c>
      <c r="F412" s="30" t="n">
        <v>14096.45</v>
      </c>
      <c r="G412" s="30" t="n">
        <v>867</v>
      </c>
      <c r="H412" s="30" t="n">
        <v>-2.61</v>
      </c>
      <c r="I412" s="30" t="n">
        <v>125939</v>
      </c>
      <c r="J412" s="30" t="inlineStr">
        <is>
          <t>543596</t>
        </is>
      </c>
    </row>
    <row r="413">
      <c r="A413" s="30" t="inlineStr">
        <is>
          <t>RITES</t>
        </is>
      </c>
      <c r="B413" s="30" t="inlineStr">
        <is>
          <t>Rites Ltd</t>
        </is>
      </c>
      <c r="C413" s="30" t="inlineStr">
        <is>
          <t>miscellaneous</t>
        </is>
      </c>
      <c r="D413" s="30" t="inlineStr">
        <is>
          <t>miscellaneous</t>
        </is>
      </c>
      <c r="E413" s="30" t="inlineStr">
        <is>
          <t>midcap</t>
        </is>
      </c>
      <c r="F413" s="30" t="n">
        <v>11190.38</v>
      </c>
      <c r="G413" s="30" t="n">
        <v>226.67</v>
      </c>
      <c r="H413" s="30" t="n">
        <v>-2.65</v>
      </c>
      <c r="I413" s="30" t="n">
        <v>451527</v>
      </c>
      <c r="J413" s="30" t="inlineStr">
        <is>
          <t>541556</t>
        </is>
      </c>
    </row>
    <row r="414">
      <c r="A414" s="30" t="inlineStr">
        <is>
          <t>CHOICEIN</t>
        </is>
      </c>
      <c r="B414" s="30" t="inlineStr">
        <is>
          <t>Choice International Ltd</t>
        </is>
      </c>
      <c r="C414" s="30" t="inlineStr">
        <is>
          <t>financials</t>
        </is>
      </c>
      <c r="D414" s="30" t="inlineStr">
        <is>
          <t>finance &amp; investments</t>
        </is>
      </c>
      <c r="E414" s="30" t="inlineStr">
        <is>
          <t>midcap</t>
        </is>
      </c>
      <c r="F414" s="30" t="n">
        <v>18819.04</v>
      </c>
      <c r="G414" s="30" t="n">
        <v>822.4</v>
      </c>
      <c r="H414" s="30" t="n">
        <v>-2.65</v>
      </c>
      <c r="I414" s="30" t="n">
        <v>820414</v>
      </c>
      <c r="J414" s="30" t="inlineStr">
        <is>
          <t>531358</t>
        </is>
      </c>
    </row>
    <row r="415">
      <c r="A415" s="30" t="inlineStr">
        <is>
          <t>STLTECH</t>
        </is>
      </c>
      <c r="B415" s="30" t="inlineStr">
        <is>
          <t>Sterlite Technologies Limited</t>
        </is>
      </c>
      <c r="C415" s="30" t="inlineStr">
        <is>
          <t>industrials</t>
        </is>
      </c>
      <c r="D415" s="30" t="inlineStr">
        <is>
          <t>cables - telephone</t>
        </is>
      </c>
      <c r="E415" s="30" t="inlineStr">
        <is>
          <t>largecap</t>
        </is>
      </c>
      <c r="F415" s="30" t="n">
        <v>32773.73</v>
      </c>
      <c r="G415" s="30" t="n">
        <v>620</v>
      </c>
      <c r="H415" s="30" t="n">
        <v>-2.78</v>
      </c>
      <c r="I415" s="30" t="n">
        <v>1089116</v>
      </c>
      <c r="J415" s="30" t="inlineStr">
        <is>
          <t>532374</t>
        </is>
      </c>
    </row>
    <row r="416">
      <c r="A416" s="30" t="inlineStr">
        <is>
          <t>BEPL</t>
        </is>
      </c>
      <c r="B416" s="30" t="inlineStr">
        <is>
          <t>Bhansali Engineering Polymers Limited</t>
        </is>
      </c>
      <c r="C416" s="30" t="inlineStr">
        <is>
          <t>energy</t>
        </is>
      </c>
      <c r="D416" s="30" t="inlineStr">
        <is>
          <t>petrochemicals</t>
        </is>
      </c>
      <c r="E416" s="30" t="inlineStr">
        <is>
          <t>smallcap</t>
        </is>
      </c>
      <c r="F416" s="30" t="n">
        <v>3139.1</v>
      </c>
      <c r="G416" s="30" t="n">
        <v>122.53</v>
      </c>
      <c r="H416" s="30" t="n">
        <v>-2.86</v>
      </c>
      <c r="I416" s="30" t="n">
        <v>1266711</v>
      </c>
      <c r="J416" s="30" t="inlineStr">
        <is>
          <t>500052</t>
        </is>
      </c>
    </row>
    <row r="417">
      <c r="A417" s="30" t="inlineStr">
        <is>
          <t>MOREPENLAB</t>
        </is>
      </c>
      <c r="B417" s="30" t="inlineStr">
        <is>
          <t>Morepen Laboratories Limited</t>
        </is>
      </c>
      <c r="C417" s="30" t="inlineStr">
        <is>
          <t>healthcare</t>
        </is>
      </c>
      <c r="D417" s="30" t="inlineStr">
        <is>
          <t>pharmaceuticals - indian - bulk drugs &amp; formln</t>
        </is>
      </c>
      <c r="E417" s="30" t="inlineStr">
        <is>
          <t>smallcap</t>
        </is>
      </c>
      <c r="F417" s="30" t="n">
        <v>4337.6</v>
      </c>
      <c r="G417" s="30" t="n">
        <v>76.89</v>
      </c>
      <c r="H417" s="30" t="n">
        <v>-2.87</v>
      </c>
      <c r="I417" s="30" t="n">
        <v>9409447</v>
      </c>
      <c r="J417" s="30" t="inlineStr">
        <is>
          <t>500288</t>
        </is>
      </c>
    </row>
    <row r="418">
      <c r="A418" s="30" t="inlineStr">
        <is>
          <t>POWERINDIA</t>
        </is>
      </c>
      <c r="B418" s="30" t="inlineStr">
        <is>
          <t>Hitachi Energy India Ltd</t>
        </is>
      </c>
      <c r="C418" s="30" t="inlineStr">
        <is>
          <t>industrials</t>
        </is>
      </c>
      <c r="D418" s="30" t="inlineStr">
        <is>
          <t>electric equipment</t>
        </is>
      </c>
      <c r="E418" s="30" t="inlineStr">
        <is>
          <t>largecap</t>
        </is>
      </c>
      <c r="F418" s="30" t="n">
        <v>160683.37</v>
      </c>
      <c r="G418" s="30" t="n">
        <v>35000</v>
      </c>
      <c r="H418" s="30" t="n">
        <v>-2.91</v>
      </c>
      <c r="I418" s="30" t="n">
        <v>427895</v>
      </c>
      <c r="J418" s="30" t="inlineStr">
        <is>
          <t>543187</t>
        </is>
      </c>
    </row>
    <row r="419">
      <c r="A419" s="30" t="inlineStr">
        <is>
          <t>GANESHBE</t>
        </is>
      </c>
      <c r="B419" s="30" t="inlineStr">
        <is>
          <t>Ganesh Benzoplast Ltd</t>
        </is>
      </c>
      <c r="C419" s="30" t="inlineStr">
        <is>
          <t>miscellaneous</t>
        </is>
      </c>
      <c r="D419" s="30" t="inlineStr">
        <is>
          <t>miscellaneous</t>
        </is>
      </c>
      <c r="E419" s="30" t="inlineStr">
        <is>
          <t>smallcap</t>
        </is>
      </c>
      <c r="F419" s="30" t="n">
        <v>866.46</v>
      </c>
      <c r="G419" s="30" t="n">
        <v>116.74</v>
      </c>
      <c r="H419" s="30" t="n">
        <v>-3.01</v>
      </c>
      <c r="I419" s="30" t="n">
        <v>91939</v>
      </c>
      <c r="J419" s="30" t="inlineStr">
        <is>
          <t>500153</t>
        </is>
      </c>
    </row>
    <row r="420">
      <c r="A420" s="30" t="inlineStr">
        <is>
          <t>AZAD</t>
        </is>
      </c>
      <c r="B420" s="30" t="inlineStr">
        <is>
          <t>Azad Engineering Ltd</t>
        </is>
      </c>
      <c r="C420" s="30" t="inlineStr">
        <is>
          <t>aerospace &amp; defence</t>
        </is>
      </c>
      <c r="D420" s="30" t="inlineStr">
        <is>
          <t>engineering</t>
        </is>
      </c>
      <c r="E420" s="30" t="inlineStr">
        <is>
          <t>midcap</t>
        </is>
      </c>
      <c r="F420" s="30" t="n">
        <v>16466.41</v>
      </c>
      <c r="G420" s="30" t="n">
        <v>2472.1</v>
      </c>
      <c r="H420" s="30" t="n">
        <v>-3.04</v>
      </c>
      <c r="I420" s="30" t="n">
        <v>367152</v>
      </c>
      <c r="J420" s="30" t="inlineStr">
        <is>
          <t>544061</t>
        </is>
      </c>
    </row>
    <row r="421">
      <c r="A421" s="30" t="inlineStr">
        <is>
          <t>SANSERA</t>
        </is>
      </c>
      <c r="B421" s="30" t="inlineStr">
        <is>
          <t>Sansera Engineering Ltd</t>
        </is>
      </c>
      <c r="C421" s="30" t="inlineStr">
        <is>
          <t>auto</t>
        </is>
      </c>
      <c r="D421" s="30" t="inlineStr">
        <is>
          <t>auto ancillaries</t>
        </is>
      </c>
      <c r="E421" s="30" t="inlineStr">
        <is>
          <t>largecap</t>
        </is>
      </c>
      <c r="F421" s="30" t="n">
        <v>23790.74</v>
      </c>
      <c r="G421" s="30" t="n">
        <v>3694.5</v>
      </c>
      <c r="H421" s="30" t="n">
        <v>-3.09</v>
      </c>
      <c r="I421" s="30" t="n">
        <v>339512</v>
      </c>
      <c r="J421" s="30" t="inlineStr">
        <is>
          <t>543358</t>
        </is>
      </c>
    </row>
    <row r="422">
      <c r="A422" s="30" t="inlineStr">
        <is>
          <t>VISAKAIND</t>
        </is>
      </c>
      <c r="B422" s="30" t="inlineStr">
        <is>
          <t>Visaka Industries Limited</t>
        </is>
      </c>
      <c r="C422" s="30" t="inlineStr">
        <is>
          <t>building materials</t>
        </is>
      </c>
      <c r="D422" s="30" t="inlineStr">
        <is>
          <t>cement products</t>
        </is>
      </c>
      <c r="E422" s="30" t="inlineStr">
        <is>
          <t>smallcap</t>
        </is>
      </c>
      <c r="F422" s="30" t="n">
        <v>894.46</v>
      </c>
      <c r="G422" s="30" t="n">
        <v>100.21</v>
      </c>
      <c r="H422" s="30" t="n">
        <v>-3.2</v>
      </c>
      <c r="I422" s="30" t="n">
        <v>862792</v>
      </c>
      <c r="J422" s="30" t="inlineStr">
        <is>
          <t>509055</t>
        </is>
      </c>
    </row>
    <row r="423">
      <c r="A423" s="30" t="inlineStr">
        <is>
          <t>M&amp;MFIN</t>
        </is>
      </c>
      <c r="B423" s="30" t="inlineStr">
        <is>
          <t>Mahindra &amp; Mahindra Financial Services Limited</t>
        </is>
      </c>
      <c r="C423" s="30" t="inlineStr">
        <is>
          <t>financials</t>
        </is>
      </c>
      <c r="D423" s="30" t="inlineStr">
        <is>
          <t>finance &amp; investments</t>
        </is>
      </c>
      <c r="E423" s="30" t="inlineStr">
        <is>
          <t>largecap</t>
        </is>
      </c>
      <c r="F423" s="30" t="n">
        <v>57308.51</v>
      </c>
      <c r="G423" s="30" t="n">
        <v>398.8</v>
      </c>
      <c r="H423" s="30" t="n">
        <v>-3.27</v>
      </c>
      <c r="I423" s="30" t="n">
        <v>1587199</v>
      </c>
      <c r="J423" s="30" t="inlineStr">
        <is>
          <t>532720</t>
        </is>
      </c>
    </row>
    <row r="424">
      <c r="A424" s="30" t="inlineStr">
        <is>
          <t>AGARWALEYE</t>
        </is>
      </c>
      <c r="B424" s="30" t="inlineStr">
        <is>
          <t>Dr Agarwals Health Care Ltd</t>
        </is>
      </c>
      <c r="C424" s="30" t="inlineStr">
        <is>
          <t>healthcare</t>
        </is>
      </c>
      <c r="D424" s="30" t="inlineStr">
        <is>
          <t>healthcare</t>
        </is>
      </c>
      <c r="E424" s="30" t="inlineStr">
        <is>
          <t>midcap</t>
        </is>
      </c>
      <c r="F424" s="30" t="n">
        <v>17773.24</v>
      </c>
      <c r="G424" s="30" t="n">
        <v>542.3</v>
      </c>
      <c r="H424" s="30" t="n">
        <v>-3.28</v>
      </c>
      <c r="I424" s="30" t="n">
        <v>218413</v>
      </c>
      <c r="J424" s="30" t="inlineStr">
        <is>
          <t>544350</t>
        </is>
      </c>
    </row>
    <row r="425">
      <c r="A425" s="30" t="inlineStr">
        <is>
          <t>CRISIL</t>
        </is>
      </c>
      <c r="B425" s="30" t="inlineStr">
        <is>
          <t>Crisil Limited</t>
        </is>
      </c>
      <c r="C425" s="30" t="inlineStr">
        <is>
          <t>financials</t>
        </is>
      </c>
      <c r="D425" s="30" t="inlineStr">
        <is>
          <t>miscellaneous</t>
        </is>
      </c>
      <c r="E425" s="30" t="inlineStr">
        <is>
          <t>largecap</t>
        </is>
      </c>
      <c r="F425" s="30" t="n">
        <v>33898.69</v>
      </c>
      <c r="G425" s="30" t="n">
        <v>4480.8</v>
      </c>
      <c r="H425" s="30" t="n">
        <v>-3.34</v>
      </c>
      <c r="I425" s="30" t="n">
        <v>46066</v>
      </c>
      <c r="J425" s="30" t="inlineStr">
        <is>
          <t>500092</t>
        </is>
      </c>
    </row>
    <row r="426">
      <c r="A426" s="30" t="inlineStr">
        <is>
          <t>ARVSMART</t>
        </is>
      </c>
      <c r="B426" s="30" t="inlineStr">
        <is>
          <t>Arvind Smartspaces Limited</t>
        </is>
      </c>
      <c r="C426" s="30" t="inlineStr">
        <is>
          <t>realty</t>
        </is>
      </c>
      <c r="D426" s="30" t="inlineStr">
        <is>
          <t>construction</t>
        </is>
      </c>
      <c r="E426" s="30" t="inlineStr">
        <is>
          <t>smallcap</t>
        </is>
      </c>
      <c r="F426" s="30" t="n">
        <v>3022.4</v>
      </c>
      <c r="G426" s="30" t="n">
        <v>636.4</v>
      </c>
      <c r="H426" s="30" t="n">
        <v>-3.42</v>
      </c>
      <c r="I426" s="30" t="n">
        <v>121226</v>
      </c>
      <c r="J426" s="30" t="inlineStr">
        <is>
          <t>539301</t>
        </is>
      </c>
    </row>
    <row r="427">
      <c r="A427" s="30" t="inlineStr">
        <is>
          <t>DMCC</t>
        </is>
      </c>
      <c r="B427" s="30" t="inlineStr">
        <is>
          <t>DMCC Speciality Chemicals Ltd</t>
        </is>
      </c>
      <c r="C427" s="30" t="inlineStr">
        <is>
          <t>chemicals</t>
        </is>
      </c>
      <c r="D427" s="30" t="inlineStr">
        <is>
          <t>chemicals</t>
        </is>
      </c>
      <c r="E427" s="30" t="inlineStr">
        <is>
          <t>smallcap</t>
        </is>
      </c>
      <c r="F427" s="30" t="n">
        <v>780.87</v>
      </c>
      <c r="G427" s="30" t="n">
        <v>302</v>
      </c>
      <c r="H427" s="30" t="n">
        <v>-3.55</v>
      </c>
      <c r="I427" s="30" t="n">
        <v>566271</v>
      </c>
      <c r="J427" s="30" t="inlineStr">
        <is>
          <t>506405</t>
        </is>
      </c>
    </row>
    <row r="428">
      <c r="A428" s="30" t="inlineStr">
        <is>
          <t>YATHARTH</t>
        </is>
      </c>
      <c r="B428" s="30" t="inlineStr">
        <is>
          <t>Yatharth Hospital &amp; Trauma Care Services Ltd</t>
        </is>
      </c>
      <c r="C428" s="30" t="inlineStr">
        <is>
          <t>healthcare</t>
        </is>
      </c>
      <c r="D428" s="30" t="inlineStr">
        <is>
          <t>healthcare</t>
        </is>
      </c>
      <c r="E428" s="30" t="inlineStr">
        <is>
          <t>midcap</t>
        </is>
      </c>
      <c r="F428" s="30" t="n">
        <v>8659.85</v>
      </c>
      <c r="G428" s="30" t="n">
        <v>865.7</v>
      </c>
      <c r="H428" s="30" t="n">
        <v>-3.68</v>
      </c>
      <c r="I428" s="30" t="n">
        <v>1063773</v>
      </c>
      <c r="J428" s="30" t="inlineStr">
        <is>
          <t>543950</t>
        </is>
      </c>
    </row>
    <row r="429">
      <c r="A429" s="30" t="inlineStr">
        <is>
          <t>JBCHEPHARM</t>
        </is>
      </c>
      <c r="B429" s="30" t="inlineStr">
        <is>
          <t>Jb Chemicals &amp; Pharmaceuticals Limited</t>
        </is>
      </c>
      <c r="C429" s="30" t="inlineStr">
        <is>
          <t>healthcare</t>
        </is>
      </c>
      <c r="D429" s="30" t="inlineStr">
        <is>
          <t>pharmaceuticals - indian - bulk drugs &amp; formln</t>
        </is>
      </c>
      <c r="E429" s="30" t="inlineStr">
        <is>
          <t>largecap</t>
        </is>
      </c>
      <c r="F429" s="30" t="n">
        <v>38676.99</v>
      </c>
      <c r="G429" s="30" t="n">
        <v>2408.9</v>
      </c>
      <c r="H429" s="30" t="n">
        <v>-3.87</v>
      </c>
      <c r="I429" s="30" t="n">
        <v>4779224</v>
      </c>
      <c r="J429" s="30" t="inlineStr">
        <is>
          <t>506943</t>
        </is>
      </c>
    </row>
    <row r="430">
      <c r="A430" s="30" t="inlineStr">
        <is>
          <t>BALRAMCHIN</t>
        </is>
      </c>
      <c r="B430" s="30" t="inlineStr">
        <is>
          <t>Balrampur Chini Mills Limited</t>
        </is>
      </c>
      <c r="C430" s="30" t="inlineStr">
        <is>
          <t>fmcg</t>
        </is>
      </c>
      <c r="D430" s="30" t="inlineStr">
        <is>
          <t>sugar</t>
        </is>
      </c>
      <c r="E430" s="30" t="inlineStr">
        <is>
          <t>midcap</t>
        </is>
      </c>
      <c r="F430" s="30" t="n">
        <v>13843.28</v>
      </c>
      <c r="G430" s="30" t="n">
        <v>627.8</v>
      </c>
      <c r="H430" s="30" t="n">
        <v>-4.19</v>
      </c>
      <c r="I430" s="30" t="n">
        <v>647209</v>
      </c>
      <c r="J430" s="30" t="inlineStr">
        <is>
          <t>500038</t>
        </is>
      </c>
    </row>
    <row r="431">
      <c r="A431" s="30" t="inlineStr">
        <is>
          <t>PRECWIRE</t>
        </is>
      </c>
      <c r="B431" s="30" t="inlineStr">
        <is>
          <t>Precision Wires India Limited</t>
        </is>
      </c>
      <c r="C431" s="30" t="inlineStr">
        <is>
          <t>metals &amp; mining</t>
        </is>
      </c>
      <c r="D431" s="30" t="inlineStr">
        <is>
          <t>mining / minerals / metals</t>
        </is>
      </c>
      <c r="E431" s="30" t="inlineStr">
        <is>
          <t>midcap</t>
        </is>
      </c>
      <c r="F431" s="30" t="n">
        <v>7921.07</v>
      </c>
      <c r="G431" s="30" t="n">
        <v>414.2</v>
      </c>
      <c r="H431" s="30" t="n">
        <v>-4.41</v>
      </c>
      <c r="I431" s="30" t="n">
        <v>1291382</v>
      </c>
      <c r="J431" s="30" t="inlineStr">
        <is>
          <t>523539</t>
        </is>
      </c>
    </row>
    <row r="432">
      <c r="A432" s="30" t="inlineStr">
        <is>
          <t>NRBBEARING</t>
        </is>
      </c>
      <c r="B432" s="30" t="inlineStr">
        <is>
          <t>Nrb Bearing Limited</t>
        </is>
      </c>
      <c r="C432" s="30" t="inlineStr">
        <is>
          <t>industrials</t>
        </is>
      </c>
      <c r="D432" s="30" t="inlineStr">
        <is>
          <t>bearings</t>
        </is>
      </c>
      <c r="E432" s="30" t="inlineStr">
        <is>
          <t>smallcap</t>
        </is>
      </c>
      <c r="F432" s="30" t="n">
        <v>4635.32</v>
      </c>
      <c r="G432" s="30" t="n">
        <v>455.25</v>
      </c>
      <c r="H432" s="30" t="n">
        <v>-4.81</v>
      </c>
      <c r="I432" s="30" t="n">
        <v>693250</v>
      </c>
      <c r="J432" s="30" t="inlineStr">
        <is>
          <t>530367</t>
        </is>
      </c>
    </row>
    <row r="433">
      <c r="A433" s="30" t="inlineStr">
        <is>
          <t>MOLDTECH</t>
        </is>
      </c>
      <c r="B433" s="30" t="inlineStr">
        <is>
          <t>Mold-tek Technologies Limited</t>
        </is>
      </c>
      <c r="C433" s="30" t="inlineStr">
        <is>
          <t>realty</t>
        </is>
      </c>
      <c r="D433" s="30" t="inlineStr">
        <is>
          <t>engineering - turnkey services</t>
        </is>
      </c>
      <c r="E433" s="30" t="inlineStr">
        <is>
          <t>smallcap</t>
        </is>
      </c>
      <c r="F433" s="30" t="n">
        <v>553.3200000000001</v>
      </c>
      <c r="G433" s="30" t="n">
        <v>182.49</v>
      </c>
      <c r="H433" s="30" t="n">
        <v>-5</v>
      </c>
      <c r="I433" s="30" t="n">
        <v>96365</v>
      </c>
      <c r="J433" s="30" t="inlineStr">
        <is>
          <t>526263</t>
        </is>
      </c>
    </row>
    <row r="434">
      <c r="A434" s="30" t="inlineStr">
        <is>
          <t>SPECTRUM</t>
        </is>
      </c>
      <c r="B434" s="30" t="inlineStr">
        <is>
          <t>Spectrum Electrical Industries Ltd</t>
        </is>
      </c>
      <c r="C434" s="30" t="inlineStr">
        <is>
          <t>industrials</t>
        </is>
      </c>
      <c r="D434" s="30" t="inlineStr">
        <is>
          <t>electric equipment</t>
        </is>
      </c>
      <c r="E434" s="30" t="inlineStr">
        <is>
          <t>smallcap</t>
        </is>
      </c>
      <c r="F434" s="30" t="n">
        <v>3975.92</v>
      </c>
      <c r="G434" s="30" t="n">
        <v>2403.7</v>
      </c>
      <c r="H434" s="30" t="n">
        <v>-5</v>
      </c>
      <c r="I434" s="30" t="n">
        <v>3647</v>
      </c>
      <c r="J434" s="30" t="inlineStr">
        <is>
          <t>535112</t>
        </is>
      </c>
    </row>
    <row r="435">
      <c r="A435" s="30" t="inlineStr">
        <is>
          <t>SBCL</t>
        </is>
      </c>
      <c r="B435" s="30" t="inlineStr">
        <is>
          <t>Shivalik Bimetal Controls Ltd</t>
        </is>
      </c>
      <c r="C435" s="30" t="inlineStr">
        <is>
          <t>metals &amp; mining</t>
        </is>
      </c>
      <c r="D435" s="30" t="inlineStr">
        <is>
          <t>mining / minerals / metals</t>
        </is>
      </c>
      <c r="E435" s="30" t="inlineStr">
        <is>
          <t>midcap</t>
        </is>
      </c>
      <c r="F435" s="30" t="n">
        <v>6365.55</v>
      </c>
      <c r="G435" s="30" t="n">
        <v>1039.2</v>
      </c>
      <c r="H435" s="30" t="n">
        <v>-5.96</v>
      </c>
      <c r="I435" s="30" t="n">
        <v>1830534</v>
      </c>
      <c r="J435" s="30" t="inlineStr">
        <is>
          <t>513097</t>
        </is>
      </c>
    </row>
  </sheetData>
  <autoFilter ref="A1:J4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CUPID</t>
        </is>
      </c>
      <c r="E2" s="30" t="inlineStr">
        <is>
          <t>Cupid Limited</t>
        </is>
      </c>
      <c r="F2" s="30" t="inlineStr">
        <is>
          <t>Contraceptives/Protectives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25</v>
      </c>
      <c r="K2" s="30" t="n">
        <v>30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E2E</t>
        </is>
      </c>
      <c r="E3" s="30" t="inlineStr">
        <is>
          <t>E2E Networks Ltd</t>
        </is>
      </c>
      <c r="F3" s="30" t="inlineStr">
        <is>
          <t>Data Centre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22</v>
      </c>
      <c r="K3" s="30" t="n">
        <v>16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RRKABEL</t>
        </is>
      </c>
      <c r="E4" s="30" t="inlineStr">
        <is>
          <t>R R Kabel Ltd</t>
        </is>
      </c>
      <c r="F4" s="30" t="inlineStr">
        <is>
          <t>Cables - Power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19</v>
      </c>
      <c r="K4" s="30" t="n">
        <v>29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SHILPAMED</t>
        </is>
      </c>
      <c r="E5" s="30" t="inlineStr">
        <is>
          <t>Shilpa Medicare Limited</t>
        </is>
      </c>
      <c r="F5" s="30" t="inlineStr">
        <is>
          <t>Pharma - API &amp; CRAMS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26</v>
      </c>
      <c r="K5" s="30" t="n">
        <v>25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LAURUSLABS</t>
        </is>
      </c>
      <c r="E6" s="30" t="inlineStr">
        <is>
          <t>Laurus Labs Limited</t>
        </is>
      </c>
      <c r="F6" s="30" t="inlineStr">
        <is>
          <t>Pharma - API &amp; CRAMS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21</v>
      </c>
      <c r="K6" s="30" t="n">
        <v>30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KRISHANA</t>
        </is>
      </c>
      <c r="E7" s="30" t="inlineStr">
        <is>
          <t>Krishana Phoschem Ltd</t>
        </is>
      </c>
      <c r="F7" s="30" t="inlineStr">
        <is>
          <t>Fertilisers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22</v>
      </c>
      <c r="K7" s="30" t="n">
        <v>21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LUMAXTECH</t>
        </is>
      </c>
      <c r="E8" s="30" t="inlineStr">
        <is>
          <t>Lumax Auto Technologies Limited</t>
        </is>
      </c>
      <c r="F8" s="30" t="inlineStr">
        <is>
          <t>Auto Ancillaries - Diversified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27</v>
      </c>
      <c r="K8" s="30" t="n">
        <v>8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INDSWFTLAB</t>
        </is>
      </c>
      <c r="E9" s="30" t="inlineStr">
        <is>
          <t>Ind-swift Laboratories Limited</t>
        </is>
      </c>
      <c r="F9" s="30" t="inlineStr">
        <is>
          <t>Pharma - API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26</v>
      </c>
      <c r="K9" s="30" t="n">
        <v>27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DEEPINDS</t>
        </is>
      </c>
      <c r="E10" s="30" t="inlineStr">
        <is>
          <t>Deep Industries Ltd</t>
        </is>
      </c>
      <c r="F10" s="30" t="inlineStr">
        <is>
          <t>Oil Drilling &amp; Exploration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23</v>
      </c>
      <c r="K10" s="30" t="n">
        <v>11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RPTECH</t>
        </is>
      </c>
      <c r="E11" s="30" t="inlineStr">
        <is>
          <t>Rashi Peripherals Ltd</t>
        </is>
      </c>
      <c r="F11" s="30" t="inlineStr">
        <is>
          <t>Trading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25</v>
      </c>
      <c r="K11" s="30" t="n">
        <v>30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SANGHVIMOV</t>
        </is>
      </c>
      <c r="E12" s="30" t="inlineStr">
        <is>
          <t>Sanghvi Movers Limited</t>
        </is>
      </c>
      <c r="F12" s="30" t="inlineStr">
        <is>
          <t>Capital Goods - EPC/Cranes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22</v>
      </c>
      <c r="K12" s="30" t="n">
        <v>22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PIXTRANS</t>
        </is>
      </c>
      <c r="E13" s="30" t="inlineStr">
        <is>
          <t>Pix Transmission Ltd</t>
        </is>
      </c>
      <c r="F13" s="30" t="inlineStr">
        <is>
          <t>Rubber Processing/Rubber Products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22</v>
      </c>
      <c r="K13" s="30" t="n">
        <v>18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MENONBE</t>
        </is>
      </c>
      <c r="E14" s="30" t="inlineStr">
        <is>
          <t>Menon Bearings Limited</t>
        </is>
      </c>
      <c r="F14" s="30" t="inlineStr">
        <is>
          <t>Auto Ancillaries - Bearings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20</v>
      </c>
      <c r="K14" s="30" t="n">
        <v>26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PGIL</t>
        </is>
      </c>
      <c r="E15" s="30" t="inlineStr">
        <is>
          <t>Pearl Global Industries Limited</t>
        </is>
      </c>
      <c r="F15" s="30" t="inlineStr">
        <is>
          <t>Textiles - Readymade Apparel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28</v>
      </c>
      <c r="K15" s="30" t="n">
        <v>25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SYRMA</t>
        </is>
      </c>
      <c r="E16" s="30" t="inlineStr">
        <is>
          <t>Syrma SGS Technology Ltd</t>
        </is>
      </c>
      <c r="F16" s="30" t="inlineStr">
        <is>
          <t>Consumer Electronics - EMS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23</v>
      </c>
      <c r="K16" s="30" t="n">
        <v>20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FCL</t>
        </is>
      </c>
      <c r="E17" s="30" t="inlineStr">
        <is>
          <t>Fineotex Chemical Limited</t>
        </is>
      </c>
      <c r="F17" s="30" t="inlineStr">
        <is>
          <t>unknown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0</v>
      </c>
      <c r="K17" s="30" t="n">
        <v>17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SENORES</t>
        </is>
      </c>
      <c r="E18" s="30" t="inlineStr">
        <is>
          <t>Senores Pharmaceuticals Ltd</t>
        </is>
      </c>
      <c r="F18" s="30" t="inlineStr">
        <is>
          <t>Pharma - API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21</v>
      </c>
      <c r="K18" s="30" t="n">
        <v>22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UJJIVANSFB</t>
        </is>
      </c>
      <c r="E19" s="30" t="inlineStr">
        <is>
          <t>Ujjivan Small Finance Bank Ltd</t>
        </is>
      </c>
      <c r="F19" s="30" t="inlineStr">
        <is>
          <t>Banks - Small Finance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19</v>
      </c>
      <c r="K19" s="30" t="n">
        <v>24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AUROPHARMA</t>
        </is>
      </c>
      <c r="E20" s="30" t="inlineStr">
        <is>
          <t>Aurobindo Pharma Limited</t>
        </is>
      </c>
      <c r="F20" s="30" t="inlineStr">
        <is>
          <t>Pharma - Formulators</t>
        </is>
      </c>
      <c r="G20" s="30" t="n">
        <v>2</v>
      </c>
      <c r="H20" s="30" t="inlineStr">
        <is>
          <t>52W Breakout</t>
        </is>
      </c>
      <c r="I20" s="30" t="inlineStr">
        <is>
          <t>Yes</t>
        </is>
      </c>
      <c r="J20" s="30" t="n">
        <v>11</v>
      </c>
      <c r="K20" s="30" t="n">
        <v>20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QUESS</t>
        </is>
      </c>
      <c r="E21" s="30" t="inlineStr">
        <is>
          <t>Quess Corp Limited</t>
        </is>
      </c>
      <c r="F21" s="30" t="inlineStr">
        <is>
          <t>Facility Management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19</v>
      </c>
      <c r="K21" s="30" t="n">
        <v>18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HFCL</t>
        </is>
      </c>
      <c r="E22" s="30" t="inlineStr">
        <is>
          <t>HFCL Ltd</t>
        </is>
      </c>
      <c r="F22" s="30" t="inlineStr">
        <is>
          <t>Telecom Services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20</v>
      </c>
      <c r="K22" s="30" t="n">
        <v>19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REDINGTON</t>
        </is>
      </c>
      <c r="E23" s="30" t="inlineStr">
        <is>
          <t>Redington (india) Limited</t>
        </is>
      </c>
      <c r="F23" s="30" t="inlineStr">
        <is>
          <t>Computer - Hardware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22</v>
      </c>
      <c r="K23" s="30" t="n">
        <v>21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ATHERENERG</t>
        </is>
      </c>
      <c r="E24" s="30" t="inlineStr">
        <is>
          <t>Ather Energy Ltd</t>
        </is>
      </c>
      <c r="F24" s="30" t="inlineStr">
        <is>
          <t>Auto - 2 &amp; 3 Wheelers</t>
        </is>
      </c>
      <c r="G24" s="30" t="n">
        <v>2</v>
      </c>
      <c r="H24" s="30" t="inlineStr">
        <is>
          <t>52W Breakout</t>
        </is>
      </c>
      <c r="I24" s="30" t="inlineStr">
        <is>
          <t>Yes</t>
        </is>
      </c>
      <c r="J24" s="30" t="n">
        <v>17</v>
      </c>
      <c r="K24" s="30" t="n">
        <v>22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SAKAR</t>
        </is>
      </c>
      <c r="E25" s="30" t="inlineStr">
        <is>
          <t>Sakar Healthcare Ltd</t>
        </is>
      </c>
      <c r="F25" s="30" t="inlineStr">
        <is>
          <t>Hospitals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23</v>
      </c>
      <c r="K25" s="30" t="n">
        <v>22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TFCILTD</t>
        </is>
      </c>
      <c r="E26" s="30" t="inlineStr">
        <is>
          <t>Tourism Finance Corporation Of India Limited</t>
        </is>
      </c>
      <c r="F26" s="30" t="inlineStr">
        <is>
          <t>Finance - PSU Lending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24</v>
      </c>
      <c r="K26" s="30" t="n">
        <v>23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UNIPARTS</t>
        </is>
      </c>
      <c r="E27" s="30" t="inlineStr">
        <is>
          <t>Uniparts India Ltd</t>
        </is>
      </c>
      <c r="F27" s="30" t="inlineStr">
        <is>
          <t>Castings, Forgings &amp; Fastners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28</v>
      </c>
      <c r="K27" s="30" t="n">
        <v>29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KDDL</t>
        </is>
      </c>
      <c r="E28" s="30" t="inlineStr">
        <is>
          <t>Kddl Limited</t>
        </is>
      </c>
      <c r="F28" s="30" t="inlineStr">
        <is>
          <t>Watches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21</v>
      </c>
      <c r="K28" s="30" t="n">
        <v>24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SJS</t>
        </is>
      </c>
      <c r="E29" s="30" t="inlineStr">
        <is>
          <t>S J S Enterprises Ltd</t>
        </is>
      </c>
      <c r="F29" s="30" t="inlineStr">
        <is>
          <t>Auto Ancillaries - Diversified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21</v>
      </c>
      <c r="K29" s="30" t="n">
        <v>29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UNIVCABLES</t>
        </is>
      </c>
      <c r="E30" s="30" t="inlineStr">
        <is>
          <t>Universal Cables Limited</t>
        </is>
      </c>
      <c r="F30" s="30" t="inlineStr">
        <is>
          <t>Cables - Power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25</v>
      </c>
      <c r="K30" s="30" t="n">
        <v>22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MPSLTD</t>
        </is>
      </c>
      <c r="E31" s="30" t="inlineStr">
        <is>
          <t>Mps Limited</t>
        </is>
      </c>
      <c r="F31" s="30" t="inlineStr">
        <is>
          <t>E-Commerce - Platform - Utility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20</v>
      </c>
      <c r="K31" s="30" t="n">
        <v>14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CENTENKA</t>
        </is>
      </c>
      <c r="E32" s="30" t="inlineStr">
        <is>
          <t>Century Enka Limited</t>
        </is>
      </c>
      <c r="F32" s="30" t="inlineStr">
        <is>
          <t>Textiles - Manmade Fibre - PFY/PSF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24</v>
      </c>
      <c r="K32" s="30" t="n">
        <v>30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VADILALIND</t>
        </is>
      </c>
      <c r="E33" s="30" t="inlineStr">
        <is>
          <t>Vadilal Industries Limited</t>
        </is>
      </c>
      <c r="F33" s="30" t="inlineStr">
        <is>
          <t>FMCG - Dairy Products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20</v>
      </c>
      <c r="K33" s="30" t="n">
        <v>30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VIJAYA</t>
        </is>
      </c>
      <c r="E34" s="30" t="inlineStr">
        <is>
          <t>Vijaya Diagnostic Centre Ltd</t>
        </is>
      </c>
      <c r="F34" s="30" t="inlineStr">
        <is>
          <t>Diagnostics</t>
        </is>
      </c>
      <c r="G34" s="30" t="n">
        <v>2</v>
      </c>
      <c r="H34" s="30" t="inlineStr">
        <is>
          <t>52W Breakout</t>
        </is>
      </c>
      <c r="I34" s="30" t="inlineStr">
        <is>
          <t>Yes</t>
        </is>
      </c>
      <c r="J34" s="30" t="n">
        <v>15</v>
      </c>
      <c r="K34" s="30" t="n">
        <v>13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ANANDRATHI</t>
        </is>
      </c>
      <c r="E35" s="30" t="inlineStr">
        <is>
          <t>Anand Rathi Wealth Ltd</t>
        </is>
      </c>
      <c r="F35" s="30" t="inlineStr">
        <is>
          <t>Finance - Capital Markets - Wealth Management</t>
        </is>
      </c>
      <c r="G35" s="30" t="n">
        <v>2</v>
      </c>
      <c r="H35" s="30" t="inlineStr">
        <is>
          <t>52W Breakout</t>
        </is>
      </c>
      <c r="I35" s="30" t="inlineStr">
        <is>
          <t>Yes</t>
        </is>
      </c>
      <c r="J35" s="30" t="n">
        <v>10</v>
      </c>
      <c r="K35" s="30" t="n">
        <v>15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UFBL</t>
        </is>
      </c>
      <c r="E36" s="30" t="inlineStr">
        <is>
          <t>United Foodbrands Ltd</t>
        </is>
      </c>
      <c r="F36" s="30" t="inlineStr">
        <is>
          <t>Quick Service Restaurant - QSR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21</v>
      </c>
      <c r="K36" s="30" t="n">
        <v>24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FIEMIND</t>
        </is>
      </c>
      <c r="E37" s="30" t="inlineStr">
        <is>
          <t>Fiem Industries Limited</t>
        </is>
      </c>
      <c r="F37" s="30" t="inlineStr">
        <is>
          <t>Auto Ancillaries - 2&amp;3 Wheelers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25</v>
      </c>
      <c r="K37" s="30" t="n">
        <v>16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AVALON</t>
        </is>
      </c>
      <c r="E38" s="30" t="inlineStr">
        <is>
          <t>Avalon Technologies Ltd</t>
        </is>
      </c>
      <c r="F38" s="30" t="inlineStr">
        <is>
          <t>Consumer Electronics - EMS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24</v>
      </c>
      <c r="K38" s="30" t="n">
        <v>21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THELEELA</t>
        </is>
      </c>
      <c r="E39" s="30" t="inlineStr">
        <is>
          <t>Leela Palaces Hotels &amp; Resorts Ltd</t>
        </is>
      </c>
      <c r="F39" s="30" t="inlineStr">
        <is>
          <t>Hotels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20</v>
      </c>
      <c r="K39" s="30" t="n">
        <v>25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GHCLTEXTIL</t>
        </is>
      </c>
      <c r="E40" s="30" t="inlineStr">
        <is>
          <t>GHCL Textiles Ltd</t>
        </is>
      </c>
      <c r="F40" s="30" t="inlineStr">
        <is>
          <t>Textiles - General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22</v>
      </c>
      <c r="K40" s="30" t="n">
        <v>19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AETHER</t>
        </is>
      </c>
      <c r="E41" s="30" t="inlineStr">
        <is>
          <t>Aether Industries Ltd</t>
        </is>
      </c>
      <c r="F41" s="30" t="inlineStr">
        <is>
          <t>Speciality Chemicals</t>
        </is>
      </c>
      <c r="G41" s="30" t="n">
        <v>2</v>
      </c>
      <c r="H41" s="30" t="inlineStr">
        <is>
          <t>52W Breakout</t>
        </is>
      </c>
      <c r="I41" s="30" t="inlineStr">
        <is>
          <t>Yes</t>
        </is>
      </c>
      <c r="J41" s="30" t="n">
        <v>18</v>
      </c>
      <c r="K41" s="30" t="n">
        <v>28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DIVGIITTS</t>
        </is>
      </c>
      <c r="E42" s="30" t="inlineStr">
        <is>
          <t>Divgi Torqtransfer Systems Ltd</t>
        </is>
      </c>
      <c r="F42" s="30" t="inlineStr">
        <is>
          <t>Auto Ancillaries - Transmission</t>
        </is>
      </c>
      <c r="G42" s="30" t="n">
        <v>2</v>
      </c>
      <c r="H42" s="30" t="inlineStr">
        <is>
          <t>52W Breakout</t>
        </is>
      </c>
      <c r="I42" s="30" t="inlineStr">
        <is>
          <t>Yes</t>
        </is>
      </c>
      <c r="J42" s="30" t="n">
        <v>16</v>
      </c>
      <c r="K42" s="30" t="n">
        <v>27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GLAND</t>
        </is>
      </c>
      <c r="E43" s="30" t="inlineStr">
        <is>
          <t>Gland Pharma Ltd</t>
        </is>
      </c>
      <c r="F43" s="30" t="inlineStr">
        <is>
          <t>Pharma - API &amp; CRAMS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22</v>
      </c>
      <c r="K43" s="30" t="n">
        <v>19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OFSS</t>
        </is>
      </c>
      <c r="E44" s="30" t="inlineStr">
        <is>
          <t>Oracle Financial Services Software Limited</t>
        </is>
      </c>
      <c r="F44" s="30" t="inlineStr">
        <is>
          <t>IT Product Companies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21</v>
      </c>
      <c r="K44" s="30" t="n">
        <v>18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IRISDOREME</t>
        </is>
      </c>
      <c r="E45" s="30" t="inlineStr">
        <is>
          <t>Iris Clothings Ltd</t>
        </is>
      </c>
      <c r="F45" s="30" t="inlineStr">
        <is>
          <t>Textiles - Readymade Apparel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22</v>
      </c>
      <c r="K45" s="30" t="n">
        <v>30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CYIENTDLM</t>
        </is>
      </c>
      <c r="E46" s="30" t="inlineStr">
        <is>
          <t>Cyient DLM Ltd</t>
        </is>
      </c>
      <c r="F46" s="30" t="inlineStr">
        <is>
          <t>Consumer Electronics - EMS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19</v>
      </c>
      <c r="K46" s="30" t="n">
        <v>30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UNIMECH</t>
        </is>
      </c>
      <c r="E47" s="30" t="inlineStr">
        <is>
          <t>Unimech Aerospace and Manufacturing Ltd</t>
        </is>
      </c>
      <c r="F47" s="30" t="inlineStr">
        <is>
          <t>Engineering - Heavy - General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19</v>
      </c>
      <c r="K47" s="30" t="n">
        <v>25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THYROCARE</t>
        </is>
      </c>
      <c r="E48" s="30" t="inlineStr">
        <is>
          <t>Thyrocare Technologies Limited</t>
        </is>
      </c>
      <c r="F48" s="30" t="inlineStr">
        <is>
          <t>Diagnostics</t>
        </is>
      </c>
      <c r="G48" s="30" t="n">
        <v>2</v>
      </c>
      <c r="H48" s="30" t="inlineStr">
        <is>
          <t>52W Breakout</t>
        </is>
      </c>
      <c r="I48" s="30" t="inlineStr">
        <is>
          <t>Yes</t>
        </is>
      </c>
      <c r="J48" s="30" t="n">
        <v>17</v>
      </c>
      <c r="K48" s="30" t="n">
        <v>26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KERNEX</t>
        </is>
      </c>
      <c r="E49" s="30" t="inlineStr">
        <is>
          <t>Kernex Microsystems (india) Limited</t>
        </is>
      </c>
      <c r="F49" s="30" t="inlineStr">
        <is>
          <t>Railways - Kavach/Springs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20</v>
      </c>
      <c r="K49" s="30" t="n">
        <v>27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ARVSMART</t>
        </is>
      </c>
      <c r="E50" s="30" t="inlineStr">
        <is>
          <t>Arvind Smartspaces Limited</t>
        </is>
      </c>
      <c r="F50" s="30" t="inlineStr">
        <is>
          <t>Realty - Construction &amp; Contracting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20</v>
      </c>
      <c r="K50" s="30" t="n">
        <v>7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CRAFTSMAN</t>
        </is>
      </c>
      <c r="E51" s="30" t="inlineStr">
        <is>
          <t>Craftsman Automation Ltd</t>
        </is>
      </c>
      <c r="F51" s="30" t="inlineStr">
        <is>
          <t>Auto &amp; Auto Ancl - CV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19</v>
      </c>
      <c r="K51" s="30" t="n">
        <v>26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BELRISE</t>
        </is>
      </c>
      <c r="E52" s="30" t="inlineStr">
        <is>
          <t>Belrise Industries Ltd</t>
        </is>
      </c>
      <c r="F52" s="30" t="inlineStr">
        <is>
          <t>Auto Ancillaries - 2 Wheelers</t>
        </is>
      </c>
      <c r="G52" s="30" t="n">
        <v>2</v>
      </c>
      <c r="H52" s="30" t="inlineStr">
        <is>
          <t>52W Breakout</t>
        </is>
      </c>
      <c r="I52" s="30" t="inlineStr">
        <is>
          <t>Yes</t>
        </is>
      </c>
      <c r="J52" s="30" t="n">
        <v>11</v>
      </c>
      <c r="K52" s="30" t="n">
        <v>22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KINGFA</t>
        </is>
      </c>
      <c r="E53" s="30" t="inlineStr">
        <is>
          <t>Kingfa Science &amp; Technology (india) Limited</t>
        </is>
      </c>
      <c r="F53" s="30" t="inlineStr">
        <is>
          <t>Plastics - Plastic &amp; Plastic Products</t>
        </is>
      </c>
      <c r="G53" s="30" t="n">
        <v>2</v>
      </c>
      <c r="H53" s="30" t="inlineStr">
        <is>
          <t>52W Breakout</t>
        </is>
      </c>
      <c r="I53" s="30" t="inlineStr">
        <is>
          <t>Yes</t>
        </is>
      </c>
      <c r="J53" s="30" t="n">
        <v>17</v>
      </c>
      <c r="K53" s="30" t="n">
        <v>7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NEULANDLAB</t>
        </is>
      </c>
      <c r="E54" s="30" t="inlineStr">
        <is>
          <t>Neuland Laboratories Limited</t>
        </is>
      </c>
      <c r="F54" s="30" t="inlineStr">
        <is>
          <t>Pharma - API &amp; CRAMS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27</v>
      </c>
      <c r="K54" s="30" t="n">
        <v>26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SHRIRAMFIN</t>
        </is>
      </c>
      <c r="E55" s="30" t="inlineStr">
        <is>
          <t>Shriram Finance Ltd</t>
        </is>
      </c>
      <c r="F55" s="30" t="inlineStr">
        <is>
          <t>Finance &amp; Investments - CV Finance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19</v>
      </c>
      <c r="K55" s="30" t="n">
        <v>22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MOREPENLAB</t>
        </is>
      </c>
      <c r="E56" s="30" t="inlineStr">
        <is>
          <t>Morepen Laboratories Limited</t>
        </is>
      </c>
      <c r="F56" s="30" t="inlineStr">
        <is>
          <t>Pharma - API &amp; CRAMS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24</v>
      </c>
      <c r="K56" s="30" t="n">
        <v>11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ENTERO</t>
        </is>
      </c>
      <c r="E57" s="30" t="inlineStr">
        <is>
          <t>Entero Healthcare Solutions Ltd</t>
        </is>
      </c>
      <c r="F57" s="30" t="inlineStr">
        <is>
          <t>Pharmacy Distribution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31</v>
      </c>
      <c r="K57" s="30" t="n">
        <v>13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SBCL</t>
        </is>
      </c>
      <c r="E58" s="30" t="inlineStr">
        <is>
          <t>Shivalik Bimetal Controls Ltd</t>
        </is>
      </c>
      <c r="F58" s="30" t="inlineStr">
        <is>
          <t>Shunt Resistors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20</v>
      </c>
      <c r="K58" s="30" t="n">
        <v>22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DPABHUSHAN</t>
        </is>
      </c>
      <c r="E59" s="30" t="inlineStr">
        <is>
          <t>D.P. Abhushan Ltd</t>
        </is>
      </c>
      <c r="F59" s="30" t="inlineStr">
        <is>
          <t>Diamond, Gems &amp; Jewellery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21</v>
      </c>
      <c r="K59" s="30" t="n">
        <v>12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YASHO</t>
        </is>
      </c>
      <c r="E60" s="30" t="inlineStr">
        <is>
          <t>Yasho Industries Ltd</t>
        </is>
      </c>
      <c r="F60" s="30" t="inlineStr">
        <is>
          <t>Speciality Chemicals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24</v>
      </c>
      <c r="K60" s="30" t="n">
        <v>30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PRECWIRE</t>
        </is>
      </c>
      <c r="E61" s="30" t="inlineStr">
        <is>
          <t>Precision Wires India Limited</t>
        </is>
      </c>
      <c r="F61" s="30" t="inlineStr">
        <is>
          <t>Copper Wires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19</v>
      </c>
      <c r="K61" s="30" t="n">
        <v>9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SIGMAADV</t>
        </is>
      </c>
      <c r="E62" s="30" t="inlineStr">
        <is>
          <t>Sigma Advanced System Ltd</t>
        </is>
      </c>
      <c r="F62" s="30" t="inlineStr">
        <is>
          <t>Aerospace &amp; Defence - Equipments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20</v>
      </c>
      <c r="K62" s="30" t="n">
        <v>24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KALYANKJIL</t>
        </is>
      </c>
      <c r="E63" s="30" t="inlineStr">
        <is>
          <t>Kalyan Jewellers India Ltd</t>
        </is>
      </c>
      <c r="F63" s="30" t="inlineStr">
        <is>
          <t>Diamond, Gems &amp; Jewellery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21</v>
      </c>
      <c r="K63" s="30" t="n">
        <v>16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AKUMS</t>
        </is>
      </c>
      <c r="E64" s="30" t="inlineStr">
        <is>
          <t>Akums Drugs &amp; Pharmaceuticals Ltd</t>
        </is>
      </c>
      <c r="F64" s="30" t="inlineStr">
        <is>
          <t>Pharma - Formulators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21</v>
      </c>
      <c r="K64" s="30" t="n">
        <v>24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KABRAEXTRU</t>
        </is>
      </c>
      <c r="E65" s="30" t="inlineStr">
        <is>
          <t>Kabra Extrusion Technik Limited</t>
        </is>
      </c>
      <c r="F65" s="30" t="inlineStr">
        <is>
          <t>Capital Goods - Engineering Heavy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22</v>
      </c>
      <c r="K65" s="30" t="n">
        <v>18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MACPOWER</t>
        </is>
      </c>
      <c r="E66" s="30" t="inlineStr">
        <is>
          <t>Macpower CNC Machines Ltd</t>
        </is>
      </c>
      <c r="F66" s="30" t="inlineStr">
        <is>
          <t>CNC - Machines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30</v>
      </c>
      <c r="K66" s="30" t="n">
        <v>23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CHENNPETRO</t>
        </is>
      </c>
      <c r="E67" s="30" t="inlineStr">
        <is>
          <t>Chennai Petroleum Corporation Limited</t>
        </is>
      </c>
      <c r="F67" s="30" t="inlineStr">
        <is>
          <t>Refineries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28</v>
      </c>
      <c r="K67" s="30" t="n">
        <v>18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KMEW</t>
        </is>
      </c>
      <c r="E68" s="30" t="inlineStr">
        <is>
          <t>Knowledge Marine &amp; Engineering Works Ltd</t>
        </is>
      </c>
      <c r="F68" s="30" t="inlineStr">
        <is>
          <t>unknown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0</v>
      </c>
      <c r="K68" s="30" t="n">
        <v>26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TITAN</t>
        </is>
      </c>
      <c r="E69" s="30" t="inlineStr">
        <is>
          <t>Titan Company Limited</t>
        </is>
      </c>
      <c r="F69" s="30" t="inlineStr">
        <is>
          <t>Diamond, Gems &amp; Jewellery</t>
        </is>
      </c>
      <c r="G69" s="30" t="n">
        <v>2</v>
      </c>
      <c r="H69" s="30" t="inlineStr">
        <is>
          <t>52W Breakout</t>
        </is>
      </c>
      <c r="I69" s="30" t="inlineStr">
        <is>
          <t>Yes</t>
        </is>
      </c>
      <c r="J69" s="30" t="n">
        <v>12</v>
      </c>
      <c r="K69" s="30" t="n">
        <v>25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AARTIPHARM</t>
        </is>
      </c>
      <c r="E70" s="30" t="inlineStr">
        <is>
          <t>Aarti Pharmalabs Ltd</t>
        </is>
      </c>
      <c r="F70" s="30" t="inlineStr">
        <is>
          <t>Pharma - API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22</v>
      </c>
      <c r="K70" s="30" t="n">
        <v>2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COFORGE</t>
        </is>
      </c>
      <c r="E71" s="30" t="inlineStr">
        <is>
          <t>Coforge (Niit Tech) Ltd</t>
        </is>
      </c>
      <c r="F71" s="30" t="inlineStr">
        <is>
          <t>IT - Software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20</v>
      </c>
      <c r="K71" s="30" t="n">
        <v>10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COMSYN</t>
        </is>
      </c>
      <c r="E72" s="30" t="inlineStr">
        <is>
          <t>Commercial Syn Bags Ltd</t>
        </is>
      </c>
      <c r="F72" s="30" t="inlineStr">
        <is>
          <t>Packaging - Polysacks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20</v>
      </c>
      <c r="K72" s="30" t="n">
        <v>16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MMFL</t>
        </is>
      </c>
      <c r="E73" s="30" t="inlineStr">
        <is>
          <t>Mm Forgings Limited</t>
        </is>
      </c>
      <c r="F73" s="30" t="inlineStr">
        <is>
          <t>Castings, Forgings &amp; Fastners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20</v>
      </c>
      <c r="K73" s="30" t="n">
        <v>21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SKYGOLD</t>
        </is>
      </c>
      <c r="E74" s="30" t="inlineStr">
        <is>
          <t>Sky Gold Ltd</t>
        </is>
      </c>
      <c r="F74" s="30" t="inlineStr">
        <is>
          <t>Diamond, Gems &amp; Jewellery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33</v>
      </c>
      <c r="K74" s="30" t="n">
        <v>22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PAYTM</t>
        </is>
      </c>
      <c r="E75" s="30" t="inlineStr">
        <is>
          <t>One 97 Communications Ltd</t>
        </is>
      </c>
      <c r="F75" s="30" t="inlineStr">
        <is>
          <t>E-Commerce - Platform - Utility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22</v>
      </c>
      <c r="K75" s="30" t="n">
        <v>19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JGCHEM</t>
        </is>
      </c>
      <c r="E76" s="30" t="inlineStr">
        <is>
          <t>J.G.Chemicals Ltd</t>
        </is>
      </c>
      <c r="F76" s="30" t="inlineStr">
        <is>
          <t>Chemicals - Inorganic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25</v>
      </c>
      <c r="K76" s="30" t="n">
        <v>16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ASKAUTOLTD</t>
        </is>
      </c>
      <c r="E77" s="30" t="inlineStr">
        <is>
          <t>ASK Automotive Ltd</t>
        </is>
      </c>
      <c r="F77" s="30" t="inlineStr">
        <is>
          <t>Auto Ancillaries - 2 Wheelers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24</v>
      </c>
      <c r="K77" s="30" t="n">
        <v>21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VARROC</t>
        </is>
      </c>
      <c r="E78" s="30" t="inlineStr">
        <is>
          <t>Varroc Engineering Ltd</t>
        </is>
      </c>
      <c r="F78" s="30" t="inlineStr">
        <is>
          <t>Auto Ancillaries - Diversified</t>
        </is>
      </c>
      <c r="G78" s="30" t="n">
        <v>2</v>
      </c>
      <c r="H78" s="30" t="inlineStr">
        <is>
          <t>52W Breakout</t>
        </is>
      </c>
      <c r="I78" s="30" t="inlineStr">
        <is>
          <t>Yes</t>
        </is>
      </c>
      <c r="J78" s="30" t="n">
        <v>16</v>
      </c>
      <c r="K78" s="30" t="n">
        <v>25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BOSCHLTD</t>
        </is>
      </c>
      <c r="E79" s="30" t="inlineStr">
        <is>
          <t>Bosch Limited</t>
        </is>
      </c>
      <c r="F79" s="30" t="inlineStr">
        <is>
          <t>Auto Ancillaries - Diversified</t>
        </is>
      </c>
      <c r="G79" s="30" t="n">
        <v>2</v>
      </c>
      <c r="H79" s="30" t="inlineStr">
        <is>
          <t>52W Breakout</t>
        </is>
      </c>
      <c r="I79" s="30" t="inlineStr">
        <is>
          <t>Yes</t>
        </is>
      </c>
      <c r="J79" s="30" t="n">
        <v>9</v>
      </c>
      <c r="K79" s="30" t="n">
        <v>25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PANAMAPET</t>
        </is>
      </c>
      <c r="E80" s="30" t="inlineStr">
        <is>
          <t>Panama Petrochem Limited</t>
        </is>
      </c>
      <c r="F80" s="30" t="inlineStr">
        <is>
          <t>Speciality Chemicals</t>
        </is>
      </c>
      <c r="G80" s="30" t="n">
        <v>2</v>
      </c>
      <c r="H80" s="30" t="inlineStr">
        <is>
          <t>52W Breakout</t>
        </is>
      </c>
      <c r="I80" s="30" t="inlineStr">
        <is>
          <t>Yes</t>
        </is>
      </c>
      <c r="J80" s="30" t="n">
        <v>16</v>
      </c>
      <c r="K80" s="30" t="n">
        <v>23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SOTL</t>
        </is>
      </c>
      <c r="E81" s="30" t="inlineStr">
        <is>
          <t>Savita Oil Technologies Limited</t>
        </is>
      </c>
      <c r="F81" s="30" t="inlineStr">
        <is>
          <t>Petrochem - Others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27</v>
      </c>
      <c r="K81" s="30" t="n">
        <v>23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BOSCH-HCIL</t>
        </is>
      </c>
      <c r="E82" s="30" t="inlineStr">
        <is>
          <t>Bosch Home Comfort India Ltd</t>
        </is>
      </c>
      <c r="F82" s="30" t="inlineStr">
        <is>
          <t>Consumer Electronics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21</v>
      </c>
      <c r="K82" s="30" t="n">
        <v>6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RBA</t>
        </is>
      </c>
      <c r="E83" s="30" t="inlineStr">
        <is>
          <t>Restaurant Brands Asia Ltd</t>
        </is>
      </c>
      <c r="F83" s="30" t="inlineStr">
        <is>
          <t>Quick Service Restaurant - QSR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18</v>
      </c>
      <c r="K83" s="30" t="n">
        <v>16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THEJO</t>
        </is>
      </c>
      <c r="E84" s="30" t="inlineStr">
        <is>
          <t>Thejo Engineering Ltd</t>
        </is>
      </c>
      <c r="F84" s="30" t="inlineStr">
        <is>
          <t>Capital Goods - Others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20</v>
      </c>
      <c r="K84" s="30" t="n">
        <v>8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NAVINFLUOR</t>
        </is>
      </c>
      <c r="E85" s="30" t="inlineStr">
        <is>
          <t>Navin Fluorine International Limited</t>
        </is>
      </c>
      <c r="F85" s="30" t="inlineStr">
        <is>
          <t>Chemicals - Flourine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21</v>
      </c>
      <c r="K85" s="30" t="n">
        <v>21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EMIL</t>
        </is>
      </c>
      <c r="E86" s="30" t="inlineStr">
        <is>
          <t>Electronics Mart India Ltd</t>
        </is>
      </c>
      <c r="F86" s="30" t="inlineStr">
        <is>
          <t>Retail - Electronics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30</v>
      </c>
      <c r="K86" s="30" t="n">
        <v>5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APCOTEXIND</t>
        </is>
      </c>
      <c r="E87" s="30" t="inlineStr">
        <is>
          <t>Apcotex Industries Limited</t>
        </is>
      </c>
      <c r="F87" s="30" t="inlineStr">
        <is>
          <t>Rubber Processing/Rubber Products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21</v>
      </c>
      <c r="K87" s="30" t="n">
        <v>25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IMFA</t>
        </is>
      </c>
      <c r="E88" s="30" t="inlineStr">
        <is>
          <t>Indian Metals &amp; Ferro Alloys Limited</t>
        </is>
      </c>
      <c r="F88" s="30" t="inlineStr">
        <is>
          <t>Mining/Minerals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19</v>
      </c>
      <c r="K88" s="30" t="n">
        <v>8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PRICOLLTD</t>
        </is>
      </c>
      <c r="E89" s="30" t="inlineStr">
        <is>
          <t>Pricol Ltd.</t>
        </is>
      </c>
      <c r="F89" s="30" t="inlineStr">
        <is>
          <t>Auto Ancillaries - 2 Wheelers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19</v>
      </c>
      <c r="K89" s="30" t="n">
        <v>21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KOLTEPATIL</t>
        </is>
      </c>
      <c r="E90" s="30" t="inlineStr">
        <is>
          <t>Kolte - Patil Developers Limited</t>
        </is>
      </c>
      <c r="F90" s="30" t="inlineStr">
        <is>
          <t>Realty - Construction &amp; Contracting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29</v>
      </c>
      <c r="K90" s="30" t="n">
        <v>10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SILVERTUC</t>
        </is>
      </c>
      <c r="E91" s="30" t="inlineStr">
        <is>
          <t>Silver Touch Technologies Ltd</t>
        </is>
      </c>
      <c r="F91" s="30" t="inlineStr">
        <is>
          <t>IT - Software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27</v>
      </c>
      <c r="K91" s="30" t="n">
        <v>19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GAEL</t>
        </is>
      </c>
      <c r="E92" s="30" t="inlineStr">
        <is>
          <t>Gujarat Ambuja Exports Limited</t>
        </is>
      </c>
      <c r="F92" s="30" t="inlineStr">
        <is>
          <t>Agricultural Processing - Maize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21</v>
      </c>
      <c r="K92" s="30" t="n">
        <v>16</v>
      </c>
    </row>
  </sheetData>
  <autoFilter ref="A1:K92"/>
  <conditionalFormatting sqref="G2:G9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2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9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IF(B2=0,"",RANK(B2,$B$2:$B$395,0))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SCPL</t>
        </is>
      </c>
      <c r="D2" s="30" t="inlineStr">
        <is>
          <t>Sheetal Cool Products Ltd</t>
        </is>
      </c>
      <c r="E2" s="30" t="inlineStr">
        <is>
          <t>fmcg</t>
        </is>
      </c>
      <c r="F2" s="30" t="inlineStr">
        <is>
          <t>food - processing - indian</t>
        </is>
      </c>
      <c r="G2" s="30" t="inlineStr">
        <is>
          <t>smallcap</t>
        </is>
      </c>
      <c r="H2" s="31" t="n">
        <v>662.92</v>
      </c>
      <c r="I2" s="31" t="n">
        <v>615.35</v>
      </c>
      <c r="J2" s="31" t="n">
        <v>-2.53</v>
      </c>
      <c r="K2" s="31" t="n">
        <v>57939</v>
      </c>
      <c r="L2" s="30" t="n">
        <v>93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69.56999999999999</v>
      </c>
      <c r="P2" s="31" t="n">
        <v>59.83</v>
      </c>
      <c r="Q2" s="31" t="n">
        <v>449.31</v>
      </c>
      <c r="R2" s="30" t="inlineStr">
        <is>
          <t>Near 52W High Breakout</t>
        </is>
      </c>
      <c r="S2" s="30" t="inlineStr">
        <is>
          <t>Nifty FMCG</t>
        </is>
      </c>
      <c r="T2" s="31" t="n">
        <v>-10.61</v>
      </c>
      <c r="U2" s="31" t="n">
        <v>108.46</v>
      </c>
      <c r="V2" s="31" t="n">
        <v>133.21</v>
      </c>
      <c r="W2" s="31" t="n">
        <v>39.07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IF(B3=0,"",RANK(B3,$B$2:$B$395,0))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VINDHYATEL</t>
        </is>
      </c>
      <c r="D3" s="30" t="inlineStr">
        <is>
          <t>Vindhya Telelinks Limited</t>
        </is>
      </c>
      <c r="E3" s="30" t="inlineStr">
        <is>
          <t>realty</t>
        </is>
      </c>
      <c r="F3" s="30" t="inlineStr">
        <is>
          <t>construction</t>
        </is>
      </c>
      <c r="G3" s="30" t="inlineStr">
        <is>
          <t>smallcap</t>
        </is>
      </c>
      <c r="H3" s="31" t="n">
        <v>2889.71</v>
      </c>
      <c r="I3" s="31" t="n">
        <v>2429</v>
      </c>
      <c r="J3" s="31" t="n">
        <v>-0.39</v>
      </c>
      <c r="K3" s="31" t="n">
        <v>102596</v>
      </c>
      <c r="L3" s="30" t="n">
        <v>91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66.45</v>
      </c>
      <c r="P3" s="31" t="n">
        <v>51.87</v>
      </c>
      <c r="Q3" s="31" t="n">
        <v>1679.41</v>
      </c>
      <c r="R3" s="30" t="inlineStr">
        <is>
          <t>Near 52W High Breakout</t>
        </is>
      </c>
      <c r="S3" s="30" t="inlineStr">
        <is>
          <t>Nifty Realty</t>
        </is>
      </c>
      <c r="T3" s="31" t="n">
        <v>-6.47</v>
      </c>
      <c r="U3" s="31" t="n">
        <v>54.64</v>
      </c>
      <c r="V3" s="31" t="n">
        <v>65.34</v>
      </c>
      <c r="W3" s="31" t="n">
        <v>33.37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IF(B4=0,"",RANK(B4,$B$2:$B$395,0))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TINNARUBR</t>
        </is>
      </c>
      <c r="D4" s="30" t="inlineStr">
        <is>
          <t>Tinna Rubber &amp; Infrastructure Ltd</t>
        </is>
      </c>
      <c r="E4" s="30" t="inlineStr">
        <is>
          <t>fmcg</t>
        </is>
      </c>
      <c r="F4" s="30" t="inlineStr">
        <is>
          <t>miscellaneous</t>
        </is>
      </c>
      <c r="G4" s="30" t="inlineStr">
        <is>
          <t>smallcap</t>
        </is>
      </c>
      <c r="H4" s="31" t="n">
        <v>2019.21</v>
      </c>
      <c r="I4" s="31" t="n">
        <v>1137</v>
      </c>
      <c r="J4" s="31" t="n">
        <v>1.45</v>
      </c>
      <c r="K4" s="31" t="n">
        <v>54852</v>
      </c>
      <c r="L4" s="30" t="n">
        <v>75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70.31</v>
      </c>
      <c r="P4" s="31" t="n">
        <v>43.86</v>
      </c>
      <c r="Q4" s="31" t="n">
        <v>823.9</v>
      </c>
      <c r="R4" s="30" t="inlineStr">
        <is>
          <t>Near 52W High Breakout</t>
        </is>
      </c>
      <c r="S4" s="30" t="inlineStr">
        <is>
          <t>Nifty FMCG</t>
        </is>
      </c>
      <c r="T4" s="31" t="n">
        <v>-10.61</v>
      </c>
      <c r="U4" s="31" t="n">
        <v>23.54</v>
      </c>
      <c r="V4" s="31" t="n">
        <v>38.21</v>
      </c>
      <c r="W4" s="31" t="n">
        <v>20.93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IF(B5=0,"",RANK(B5,$B$2:$B$395,0))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BLUSPRING</t>
        </is>
      </c>
      <c r="D5" s="30" t="inlineStr">
        <is>
          <t>Bluspring Enterprises Ltd</t>
        </is>
      </c>
      <c r="E5" s="30" t="inlineStr">
        <is>
          <t>miscellaneous</t>
        </is>
      </c>
      <c r="F5" s="30" t="inlineStr">
        <is>
          <t>diversified - large</t>
        </is>
      </c>
      <c r="G5" s="30" t="inlineStr">
        <is>
          <t>smallcap</t>
        </is>
      </c>
      <c r="H5" s="31" t="n">
        <v>1679.12</v>
      </c>
      <c r="I5" s="31" t="n">
        <v>117.85</v>
      </c>
      <c r="J5" s="31" t="n">
        <v>4.89</v>
      </c>
      <c r="K5" s="31" t="n">
        <v>348322</v>
      </c>
      <c r="L5" s="30" t="n">
        <v>82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68.68000000000001</v>
      </c>
      <c r="P5" s="31" t="n">
        <v>58.35</v>
      </c>
      <c r="Q5" s="31" t="n">
        <v>87.01000000000001</v>
      </c>
      <c r="R5" s="30" t="inlineStr">
        <is>
          <t>Near 52W High Breakout</t>
        </is>
      </c>
      <c r="S5" s="30" t="inlineStr">
        <is>
          <t>Nifty 50</t>
        </is>
      </c>
      <c r="T5" s="31" t="n">
        <v>-0.65</v>
      </c>
      <c r="U5" s="31" t="n">
        <v>44.21</v>
      </c>
      <c r="V5" s="31" t="n">
        <v>45.15</v>
      </c>
      <c r="W5" s="31" t="n">
        <v>26.28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IF(B6=0,"",RANK(B6,$B$2:$B$395,0))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KANORICHEM</t>
        </is>
      </c>
      <c r="D6" s="30" t="inlineStr">
        <is>
          <t>Kanoria Chemicals &amp; Industries Limited</t>
        </is>
      </c>
      <c r="E6" s="30" t="inlineStr">
        <is>
          <t>chemicals</t>
        </is>
      </c>
      <c r="F6" s="30" t="inlineStr">
        <is>
          <t>chemicals</t>
        </is>
      </c>
      <c r="G6" s="30" t="inlineStr">
        <is>
          <t>smallcap</t>
        </is>
      </c>
      <c r="H6" s="31" t="n">
        <v>673.45</v>
      </c>
      <c r="I6" s="31" t="n">
        <v>161.25</v>
      </c>
      <c r="J6" s="31" t="n">
        <v>4.62</v>
      </c>
      <c r="K6" s="31" t="n">
        <v>94350</v>
      </c>
      <c r="L6" s="30" t="n">
        <v>86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73.39</v>
      </c>
      <c r="P6" s="31" t="n">
        <v>55.46</v>
      </c>
      <c r="Q6" s="31" t="n">
        <v>119.47</v>
      </c>
      <c r="R6" s="30" t="inlineStr">
        <is>
          <t>Near 52W High Breakout</t>
        </is>
      </c>
      <c r="S6" s="30" t="inlineStr">
        <is>
          <t>Nifty 50</t>
        </is>
      </c>
      <c r="T6" s="31" t="n">
        <v>-0.65</v>
      </c>
      <c r="U6" s="31" t="n">
        <v>90.78</v>
      </c>
      <c r="V6" s="31" t="n">
        <v>92.03</v>
      </c>
      <c r="W6" s="31" t="n">
        <v>29.08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IF(B7=0,"",RANK(B7,$B$2:$B$395,0))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SANGHVIMOV</t>
        </is>
      </c>
      <c r="D7" s="30" t="inlineStr">
        <is>
          <t>Sanghvi Movers Limited</t>
        </is>
      </c>
      <c r="E7" s="30" t="inlineStr">
        <is>
          <t>miscellaneous</t>
        </is>
      </c>
      <c r="F7" s="30" t="inlineStr">
        <is>
          <t>miscellaneous</t>
        </is>
      </c>
      <c r="G7" s="30" t="inlineStr">
        <is>
          <t>smallcap</t>
        </is>
      </c>
      <c r="H7" s="31" t="n">
        <v>4427.5</v>
      </c>
      <c r="I7" s="31" t="n">
        <v>516.95</v>
      </c>
      <c r="J7" s="31" t="n">
        <v>1.09</v>
      </c>
      <c r="K7" s="31" t="n">
        <v>496024</v>
      </c>
      <c r="L7" s="30" t="n">
        <v>84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70.81</v>
      </c>
      <c r="P7" s="31" t="n">
        <v>40.67</v>
      </c>
      <c r="Q7" s="31" t="n">
        <v>389.57</v>
      </c>
      <c r="R7" s="30" t="inlineStr">
        <is>
          <t>Near 52W High Breakout</t>
        </is>
      </c>
      <c r="S7" s="30" t="inlineStr">
        <is>
          <t>Nifty 50</t>
        </is>
      </c>
      <c r="T7" s="31" t="n">
        <v>-0.65</v>
      </c>
      <c r="U7" s="31" t="n">
        <v>58.56</v>
      </c>
      <c r="V7" s="31" t="n">
        <v>59.59</v>
      </c>
      <c r="W7" s="31" t="n">
        <v>27.55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IF(B8=0,"",RANK(B8,$B$2:$B$395,0))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INDOBORAX</t>
        </is>
      </c>
      <c r="D8" s="30" t="inlineStr">
        <is>
          <t>Indo Borax &amp; Chemicals Ltd</t>
        </is>
      </c>
      <c r="E8" s="30" t="inlineStr">
        <is>
          <t>chemicals</t>
        </is>
      </c>
      <c r="F8" s="30" t="inlineStr">
        <is>
          <t>chemicals</t>
        </is>
      </c>
      <c r="G8" s="30" t="inlineStr">
        <is>
          <t>smallcap</t>
        </is>
      </c>
      <c r="H8" s="31" t="n">
        <v>1378.27</v>
      </c>
      <c r="I8" s="31" t="n">
        <v>433.4</v>
      </c>
      <c r="J8" s="31" t="n">
        <v>0.91</v>
      </c>
      <c r="K8" s="31" t="n">
        <v>258978</v>
      </c>
      <c r="L8" s="30" t="n">
        <v>88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74.47</v>
      </c>
      <c r="P8" s="31" t="n">
        <v>73.08</v>
      </c>
      <c r="Q8" s="31" t="n">
        <v>308.73</v>
      </c>
      <c r="R8" s="30" t="inlineStr">
        <is>
          <t>Near 52W High Breakout</t>
        </is>
      </c>
      <c r="S8" s="30" t="inlineStr">
        <is>
          <t>Nifty 50</t>
        </is>
      </c>
      <c r="T8" s="31" t="n">
        <v>-0.65</v>
      </c>
      <c r="U8" s="31" t="n">
        <v>84.52</v>
      </c>
      <c r="V8" s="31" t="n">
        <v>85.73</v>
      </c>
      <c r="W8" s="31" t="n">
        <v>30.48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IF(B9=0,"",RANK(B9,$B$2:$B$395,0))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RPTECH</t>
        </is>
      </c>
      <c r="D9" s="30" t="inlineStr">
        <is>
          <t>Rashi Peripherals Ltd</t>
        </is>
      </c>
      <c r="E9" s="30" t="inlineStr">
        <is>
          <t>services</t>
        </is>
      </c>
      <c r="F9" s="30" t="inlineStr">
        <is>
          <t>trading</t>
        </is>
      </c>
      <c r="G9" s="30" t="inlineStr">
        <is>
          <t>midcap</t>
        </is>
      </c>
      <c r="H9" s="31" t="n">
        <v>5909.22</v>
      </c>
      <c r="I9" s="31" t="n">
        <v>887.8</v>
      </c>
      <c r="J9" s="31" t="n">
        <v>-0.99</v>
      </c>
      <c r="K9" s="31" t="n">
        <v>171529</v>
      </c>
      <c r="L9" s="30" t="n">
        <v>95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81.77</v>
      </c>
      <c r="P9" s="31" t="n">
        <v>79.11</v>
      </c>
      <c r="Q9" s="31" t="n">
        <v>698.63</v>
      </c>
      <c r="R9" s="30" t="inlineStr">
        <is>
          <t>Near 52W High Breakout</t>
        </is>
      </c>
      <c r="S9" s="30" t="inlineStr">
        <is>
          <t>Nifty 50</t>
        </is>
      </c>
      <c r="T9" s="31" t="n">
        <v>-0.65</v>
      </c>
      <c r="U9" s="31" t="n">
        <v>213.32</v>
      </c>
      <c r="V9" s="31" t="n">
        <v>215.37</v>
      </c>
      <c r="W9" s="31" t="n">
        <v>43.22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IF(B10=0,"",RANK(B10,$B$2:$B$395,0))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SUVEN</t>
        </is>
      </c>
      <c r="D10" s="30" t="inlineStr">
        <is>
          <t>Suven Life Sciences Limited</t>
        </is>
      </c>
      <c r="E10" s="30" t="inlineStr">
        <is>
          <t>healthcare</t>
        </is>
      </c>
      <c r="F10" s="30" t="inlineStr">
        <is>
          <t>miscellaneous</t>
        </is>
      </c>
      <c r="G10" s="30" t="inlineStr">
        <is>
          <t>smallcap</t>
        </is>
      </c>
      <c r="H10" s="31" t="n">
        <v>642.54</v>
      </c>
      <c r="I10" s="31" t="n">
        <v>342.5</v>
      </c>
      <c r="J10" s="31" t="n">
        <v>2.98</v>
      </c>
      <c r="K10" s="31" t="n">
        <v>788335</v>
      </c>
      <c r="L10" s="30" t="n">
        <v>80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67.25</v>
      </c>
      <c r="P10" s="31" t="n">
        <v>46.94</v>
      </c>
      <c r="Q10" s="31" t="n">
        <v>256.47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20.76</v>
      </c>
      <c r="U10" s="31" t="n">
        <v>44.77</v>
      </c>
      <c r="V10" s="31" t="n">
        <v>19.88</v>
      </c>
      <c r="W10" s="31" t="n">
        <v>24.48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IF(B11=0,"",RANK(B11,$B$2:$B$395,0))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PIXTRANS</t>
        </is>
      </c>
      <c r="D11" s="30" t="inlineStr">
        <is>
          <t>Pix Transmission Ltd</t>
        </is>
      </c>
      <c r="E11" s="30" t="inlineStr">
        <is>
          <t>fmcg</t>
        </is>
      </c>
      <c r="F11" s="30" t="inlineStr">
        <is>
          <t>miscellaneous</t>
        </is>
      </c>
      <c r="G11" s="30" t="inlineStr">
        <is>
          <t>smallcap</t>
        </is>
      </c>
      <c r="H11" s="31" t="n">
        <v>2706.65</v>
      </c>
      <c r="I11" s="31" t="n">
        <v>1983</v>
      </c>
      <c r="J11" s="31" t="n">
        <v>-0.18</v>
      </c>
      <c r="K11" s="31" t="n">
        <v>257838</v>
      </c>
      <c r="L11" s="30" t="n">
        <v>56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73.09</v>
      </c>
      <c r="P11" s="31" t="n">
        <v>45.06</v>
      </c>
      <c r="Q11" s="31" t="n">
        <v>1571.3</v>
      </c>
      <c r="R11" s="30" t="inlineStr">
        <is>
          <t>Volume Spike &amp; Near 52W High Breakout</t>
        </is>
      </c>
      <c r="S11" s="30" t="inlineStr">
        <is>
          <t>Nifty FMCG</t>
        </is>
      </c>
      <c r="T11" s="31" t="n">
        <v>-10.61</v>
      </c>
      <c r="U11" s="31" t="n">
        <v>32.17</v>
      </c>
      <c r="V11" s="31" t="n">
        <v>47.86</v>
      </c>
      <c r="W11" s="31" t="n">
        <v>13.73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B2C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IF(B12=0,"",RANK(B12,$B$2:$B$395,0))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IOLCP</t>
        </is>
      </c>
      <c r="D12" s="30" t="inlineStr">
        <is>
          <t>Iol Chemicals And Pharmaceuticals Limited</t>
        </is>
      </c>
      <c r="E12" s="30" t="inlineStr">
        <is>
          <t>healthcare</t>
        </is>
      </c>
      <c r="F12" s="30" t="inlineStr">
        <is>
          <t>pharmaceuticals - indian - bulk drugs &amp; formln</t>
        </is>
      </c>
      <c r="G12" s="30" t="inlineStr">
        <is>
          <t>smallcap</t>
        </is>
      </c>
      <c r="H12" s="31" t="n">
        <v>4833.22</v>
      </c>
      <c r="I12" s="31" t="n">
        <v>164.14</v>
      </c>
      <c r="J12" s="31" t="n">
        <v>-0.32</v>
      </c>
      <c r="K12" s="31" t="n">
        <v>4425240</v>
      </c>
      <c r="L12" s="30" t="n">
        <v>83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69.97</v>
      </c>
      <c r="P12" s="31" t="n">
        <v>76.13</v>
      </c>
      <c r="Q12" s="31" t="n">
        <v>122.98</v>
      </c>
      <c r="R12" s="30" t="inlineStr">
        <is>
          <t>Near 52W High Breakout</t>
        </is>
      </c>
      <c r="S12" s="30" t="inlineStr">
        <is>
          <t>Nifty Pharma</t>
        </is>
      </c>
      <c r="T12" s="31" t="n">
        <v>20.76</v>
      </c>
      <c r="U12" s="31" t="n">
        <v>80.15000000000001</v>
      </c>
      <c r="V12" s="31" t="n">
        <v>49.18</v>
      </c>
      <c r="W12" s="31" t="n">
        <v>27.05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IF(B13=0,"",RANK(B13,$B$2:$B$395,0))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CHEMBONDCH</t>
        </is>
      </c>
      <c r="D13" s="30" t="inlineStr">
        <is>
          <t>Chembond Chemicals Ltd</t>
        </is>
      </c>
      <c r="E13" s="30" t="inlineStr">
        <is>
          <t>chemicals</t>
        </is>
      </c>
      <c r="F13" s="30" t="inlineStr">
        <is>
          <t>chemicals</t>
        </is>
      </c>
      <c r="G13" s="30" t="inlineStr">
        <is>
          <t>smallcap</t>
        </is>
      </c>
      <c r="H13" s="31" t="n">
        <v>670.5</v>
      </c>
      <c r="I13" s="31" t="n">
        <v>261.75</v>
      </c>
      <c r="J13" s="31" t="n">
        <v>5</v>
      </c>
      <c r="K13" s="31" t="n">
        <v>30864</v>
      </c>
      <c r="L13" s="30" t="n">
        <v>72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68.48</v>
      </c>
      <c r="P13" s="31" t="n">
        <v>44.18</v>
      </c>
      <c r="Q13" s="31" t="n">
        <v>182.25</v>
      </c>
      <c r="R13" s="30" t="inlineStr">
        <is>
          <t>Near 52W High Breakout</t>
        </is>
      </c>
      <c r="S13" s="30" t="inlineStr">
        <is>
          <t>Nifty 50</t>
        </is>
      </c>
      <c r="T13" s="31" t="n">
        <v>-0.65</v>
      </c>
      <c r="U13" s="31" t="n">
        <v>45.25</v>
      </c>
      <c r="V13" s="31" t="n">
        <v>46.2</v>
      </c>
      <c r="W13" s="31" t="n">
        <v>18.82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IF(B14=0,"",RANK(B14,$B$2:$B$395,0))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FCL</t>
        </is>
      </c>
      <c r="D14" s="30" t="inlineStr">
        <is>
          <t>Fineotex Chemical Limited</t>
        </is>
      </c>
      <c r="E14" s="30" t="inlineStr">
        <is>
          <t>chemicals</t>
        </is>
      </c>
      <c r="F14" s="30" t="inlineStr">
        <is>
          <t>chemicals</t>
        </is>
      </c>
      <c r="G14" s="30" t="inlineStr">
        <is>
          <t>smallcap</t>
        </is>
      </c>
      <c r="H14" s="31" t="n">
        <v>4950.29</v>
      </c>
      <c r="I14" s="31" t="n">
        <v>42.99</v>
      </c>
      <c r="J14" s="31" t="n">
        <v>1.13</v>
      </c>
      <c r="K14" s="31" t="n">
        <v>9101326</v>
      </c>
      <c r="L14" s="30" t="n">
        <v>87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66.98</v>
      </c>
      <c r="P14" s="31" t="n">
        <v>49.92</v>
      </c>
      <c r="Q14" s="31" t="n">
        <v>30.97</v>
      </c>
      <c r="R14" s="30" t="inlineStr">
        <is>
          <t>Near 52W High Breakout</t>
        </is>
      </c>
      <c r="S14" s="30" t="inlineStr">
        <is>
          <t>Nifty 50</t>
        </is>
      </c>
      <c r="T14" s="31" t="n">
        <v>-0.65</v>
      </c>
      <c r="U14" s="31" t="n">
        <v>84.77</v>
      </c>
      <c r="V14" s="31" t="n">
        <v>85.98</v>
      </c>
      <c r="W14" s="31" t="n">
        <v>29.57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IF(B15=0,"",RANK(B15,$B$2:$B$395,0))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PGIL</t>
        </is>
      </c>
      <c r="D15" s="30" t="inlineStr">
        <is>
          <t>Pearl Global Industries Limited</t>
        </is>
      </c>
      <c r="E15" s="30" t="inlineStr">
        <is>
          <t>consumer discretionary</t>
        </is>
      </c>
      <c r="F15" s="30" t="inlineStr">
        <is>
          <t>textiles - products</t>
        </is>
      </c>
      <c r="G15" s="30" t="inlineStr">
        <is>
          <t>midcap</t>
        </is>
      </c>
      <c r="H15" s="31" t="n">
        <v>11217.66</v>
      </c>
      <c r="I15" s="31" t="n">
        <v>2434.9</v>
      </c>
      <c r="J15" s="31" t="n">
        <v>0.25</v>
      </c>
      <c r="K15" s="31" t="n">
        <v>108038</v>
      </c>
      <c r="L15" s="30" t="n">
        <v>81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74.16</v>
      </c>
      <c r="P15" s="31" t="n">
        <v>53.76</v>
      </c>
      <c r="Q15" s="31" t="n">
        <v>1911.91</v>
      </c>
      <c r="R15" s="30" t="inlineStr">
        <is>
          <t>Near 52W High Breakout</t>
        </is>
      </c>
      <c r="S15" s="30" t="inlineStr">
        <is>
          <t>Nifty 50</t>
        </is>
      </c>
      <c r="T15" s="31" t="n">
        <v>-0.65</v>
      </c>
      <c r="U15" s="31" t="n">
        <v>95.47</v>
      </c>
      <c r="V15" s="31" t="n">
        <v>96.75</v>
      </c>
      <c r="W15" s="31" t="n">
        <v>25.38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IF(B16=0,"",RANK(B16,$B$2:$B$395,0))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SYRMA</t>
        </is>
      </c>
      <c r="D16" s="30" t="inlineStr">
        <is>
          <t>Syrma SGS Technology Ltd</t>
        </is>
      </c>
      <c r="E16" s="30" t="inlineStr">
        <is>
          <t>consumer discretionary</t>
        </is>
      </c>
      <c r="F16" s="30" t="inlineStr">
        <is>
          <t>electronics - components</t>
        </is>
      </c>
      <c r="G16" s="30" t="inlineStr">
        <is>
          <t>largecap</t>
        </is>
      </c>
      <c r="H16" s="31" t="n">
        <v>29240.81</v>
      </c>
      <c r="I16" s="31" t="n">
        <v>1494.8</v>
      </c>
      <c r="J16" s="31" t="n">
        <v>-1.42</v>
      </c>
      <c r="K16" s="31" t="n">
        <v>1508375</v>
      </c>
      <c r="L16" s="30" t="n">
        <v>84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70.40000000000001</v>
      </c>
      <c r="P16" s="31" t="n">
        <v>60.06</v>
      </c>
      <c r="Q16" s="31" t="n">
        <v>1157.49</v>
      </c>
      <c r="R16" s="30" t="inlineStr">
        <is>
          <t>Near 52W High Breakout</t>
        </is>
      </c>
      <c r="S16" s="30" t="inlineStr">
        <is>
          <t>Nifty 50</t>
        </is>
      </c>
      <c r="T16" s="31" t="n">
        <v>-0.65</v>
      </c>
      <c r="U16" s="31" t="n">
        <v>116.21</v>
      </c>
      <c r="V16" s="31" t="n">
        <v>117.62</v>
      </c>
      <c r="W16" s="31" t="n">
        <v>27.62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IF(B17=0,"",RANK(B17,$B$2:$B$395,0))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MENONBE</t>
        </is>
      </c>
      <c r="D17" s="30" t="inlineStr">
        <is>
          <t>Menon Bearings Limited</t>
        </is>
      </c>
      <c r="E17" s="30" t="inlineStr">
        <is>
          <t>auto</t>
        </is>
      </c>
      <c r="F17" s="30" t="inlineStr">
        <is>
          <t>auto ancillaries</t>
        </is>
      </c>
      <c r="G17" s="30" t="inlineStr">
        <is>
          <t>smallcap</t>
        </is>
      </c>
      <c r="H17" s="31" t="n">
        <v>1381.67</v>
      </c>
      <c r="I17" s="31" t="n">
        <v>242.95</v>
      </c>
      <c r="J17" s="31" t="n">
        <v>-1.46</v>
      </c>
      <c r="K17" s="31" t="n">
        <v>73726</v>
      </c>
      <c r="L17" s="30" t="n">
        <v>94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80.77</v>
      </c>
      <c r="P17" s="31" t="n">
        <v>54.26</v>
      </c>
      <c r="Q17" s="31" t="n">
        <v>181.09</v>
      </c>
      <c r="R17" s="30" t="inlineStr">
        <is>
          <t>Near 52W High Breakout</t>
        </is>
      </c>
      <c r="S17" s="30" t="inlineStr">
        <is>
          <t>Nifty Auto</t>
        </is>
      </c>
      <c r="T17" s="31" t="n">
        <v>23.87</v>
      </c>
      <c r="U17" s="31" t="n">
        <v>86.65000000000001</v>
      </c>
      <c r="V17" s="31" t="n">
        <v>50.68</v>
      </c>
      <c r="W17" s="31" t="n">
        <v>39.13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IF(B18=0,"",RANK(B18,$B$2:$B$395,0))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CUPID</t>
        </is>
      </c>
      <c r="D18" s="30" t="inlineStr">
        <is>
          <t>Cupid Limited</t>
        </is>
      </c>
      <c r="E18" s="30" t="inlineStr">
        <is>
          <t>fmcg</t>
        </is>
      </c>
      <c r="F18" s="30" t="inlineStr">
        <is>
          <t>personal care - indian</t>
        </is>
      </c>
      <c r="G18" s="30" t="inlineStr">
        <is>
          <t>largecap</t>
        </is>
      </c>
      <c r="H18" s="31" t="n">
        <v>35325.58</v>
      </c>
      <c r="I18" s="31" t="n">
        <v>276.65</v>
      </c>
      <c r="J18" s="31" t="n">
        <v>5.31</v>
      </c>
      <c r="K18" s="31" t="n">
        <v>37869272</v>
      </c>
      <c r="L18" s="30" t="n">
        <v>99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92.68000000000001</v>
      </c>
      <c r="P18" s="31" t="n">
        <v>70.94</v>
      </c>
      <c r="Q18" s="31" t="n">
        <v>223.01</v>
      </c>
      <c r="R18" s="30" t="inlineStr">
        <is>
          <t>Near 52W High Breakout</t>
        </is>
      </c>
      <c r="S18" s="30" t="inlineStr">
        <is>
          <t>Nifty FMCG</t>
        </is>
      </c>
      <c r="T18" s="31" t="n">
        <v>-10.61</v>
      </c>
      <c r="U18" s="31" t="n">
        <v>835.2</v>
      </c>
      <c r="V18" s="31" t="n">
        <v>946.22</v>
      </c>
      <c r="W18" s="31" t="n">
        <v>91.90000000000001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B2C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IF(B19=0,"",RANK(B19,$B$2:$B$395,0))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SENORES</t>
        </is>
      </c>
      <c r="D19" s="30" t="inlineStr">
        <is>
          <t>Senores Pharmaceuticals Ltd</t>
        </is>
      </c>
      <c r="E19" s="30" t="inlineStr">
        <is>
          <t>healthcare</t>
        </is>
      </c>
      <c r="F19" s="30" t="inlineStr">
        <is>
          <t>pharmaceuticals - indian - formulations</t>
        </is>
      </c>
      <c r="G19" s="30" t="inlineStr">
        <is>
          <t>midcap</t>
        </is>
      </c>
      <c r="H19" s="31" t="n">
        <v>6549.74</v>
      </c>
      <c r="I19" s="31" t="n">
        <v>1475.7</v>
      </c>
      <c r="J19" s="31" t="n">
        <v>3.76</v>
      </c>
      <c r="K19" s="31" t="n">
        <v>417444</v>
      </c>
      <c r="L19" s="30" t="n">
        <v>82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72.84</v>
      </c>
      <c r="P19" s="31" t="n">
        <v>61.95</v>
      </c>
      <c r="Q19" s="31" t="n">
        <v>1130.78</v>
      </c>
      <c r="R19" s="30" t="inlineStr">
        <is>
          <t>Near 52W High Breakout</t>
        </is>
      </c>
      <c r="S19" s="30" t="inlineStr">
        <is>
          <t>Nifty Pharma</t>
        </is>
      </c>
      <c r="T19" s="31" t="n">
        <v>20.76</v>
      </c>
      <c r="U19" s="31" t="n">
        <v>118.54</v>
      </c>
      <c r="V19" s="31" t="n">
        <v>80.97</v>
      </c>
      <c r="W19" s="31" t="n">
        <v>26.2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IF(B20=0,"",RANK(B20,$B$2:$B$395,0))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AUROPHARMA</t>
        </is>
      </c>
      <c r="D20" s="30" t="inlineStr">
        <is>
          <t>Aurobindo Pharma Limited</t>
        </is>
      </c>
      <c r="E20" s="30" t="inlineStr">
        <is>
          <t>healthcare</t>
        </is>
      </c>
      <c r="F20" s="30" t="inlineStr">
        <is>
          <t>pharmaceuticals - indian - bulk drugs &amp; formln</t>
        </is>
      </c>
      <c r="G20" s="30" t="inlineStr">
        <is>
          <t>largecap</t>
        </is>
      </c>
      <c r="H20" s="31" t="n">
        <v>94822.28</v>
      </c>
      <c r="I20" s="31" t="n">
        <v>1658</v>
      </c>
      <c r="J20" s="31" t="n">
        <v>0.61</v>
      </c>
      <c r="K20" s="31" t="n">
        <v>831376</v>
      </c>
      <c r="L20" s="30" t="n">
        <v>48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71.95</v>
      </c>
      <c r="P20" s="31" t="n">
        <v>42.63</v>
      </c>
      <c r="Q20" s="31" t="n">
        <v>1420.38</v>
      </c>
      <c r="R20" s="30" t="inlineStr">
        <is>
          <t>Near 52W High Breakout</t>
        </is>
      </c>
      <c r="S20" s="30" t="inlineStr">
        <is>
          <t>Nifty Pharma</t>
        </is>
      </c>
      <c r="T20" s="31" t="n">
        <v>20.76</v>
      </c>
      <c r="U20" s="31" t="n">
        <v>53.01</v>
      </c>
      <c r="V20" s="31" t="n">
        <v>26.71</v>
      </c>
      <c r="W20" s="31" t="n">
        <v>11.57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IF(B21=0,"",RANK(B21,$B$2:$B$395,0))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EMCURE</t>
        </is>
      </c>
      <c r="D21" s="30" t="inlineStr">
        <is>
          <t>Emcure Pharmaceuticals Ltd</t>
        </is>
      </c>
      <c r="E21" s="30" t="inlineStr">
        <is>
          <t>healthcare</t>
        </is>
      </c>
      <c r="F21" s="30" t="inlineStr">
        <is>
          <t>pharmaceuticals - indian - bulk drugs &amp; formln</t>
        </is>
      </c>
      <c r="G21" s="30" t="inlineStr">
        <is>
          <t>largecap</t>
        </is>
      </c>
      <c r="H21" s="31" t="n">
        <v>37844.98</v>
      </c>
      <c r="I21" s="31" t="n">
        <v>1998.7</v>
      </c>
      <c r="J21" s="31" t="n">
        <v>0.18</v>
      </c>
      <c r="K21" s="31" t="n">
        <v>97625</v>
      </c>
      <c r="L21" s="30" t="n">
        <v>46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72.09999999999999</v>
      </c>
      <c r="P21" s="31" t="n">
        <v>62.08</v>
      </c>
      <c r="Q21" s="31" t="n">
        <v>1641.27</v>
      </c>
      <c r="R21" s="30" t="inlineStr">
        <is>
          <t>Near 52W High Breakout</t>
        </is>
      </c>
      <c r="S21" s="30" t="inlineStr">
        <is>
          <t>Nifty Pharma</t>
        </is>
      </c>
      <c r="T21" s="31" t="n">
        <v>20.76</v>
      </c>
      <c r="U21" s="31" t="n">
        <v>37.39</v>
      </c>
      <c r="V21" s="31" t="n">
        <v>13.77</v>
      </c>
      <c r="W21" s="31" t="n">
        <v>10.36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IF(B22=0,"",RANK(B22,$B$2:$B$395,0))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AJANTPHARM</t>
        </is>
      </c>
      <c r="D22" s="30" t="inlineStr">
        <is>
          <t>Ajanta Pharma Limited</t>
        </is>
      </c>
      <c r="E22" s="30" t="inlineStr">
        <is>
          <t>healthcare</t>
        </is>
      </c>
      <c r="F22" s="30" t="inlineStr">
        <is>
          <t>pharmaceuticals - indian - formulations</t>
        </is>
      </c>
      <c r="G22" s="30" t="inlineStr">
        <is>
          <t>largecap</t>
        </is>
      </c>
      <c r="H22" s="31" t="n">
        <v>43804.93</v>
      </c>
      <c r="I22" s="31" t="n">
        <v>3507</v>
      </c>
      <c r="J22" s="31" t="n">
        <v>0.02</v>
      </c>
      <c r="K22" s="31" t="n">
        <v>86524</v>
      </c>
      <c r="L22" s="30" t="n">
        <v>36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71.15000000000001</v>
      </c>
      <c r="P22" s="31" t="n">
        <v>45.48</v>
      </c>
      <c r="Q22" s="31" t="n">
        <v>2942.62</v>
      </c>
      <c r="R22" s="30" t="inlineStr">
        <is>
          <t>Near 52W High Breakout</t>
        </is>
      </c>
      <c r="S22" s="30" t="inlineStr">
        <is>
          <t>Nifty Pharma</t>
        </is>
      </c>
      <c r="T22" s="31" t="n">
        <v>20.76</v>
      </c>
      <c r="U22" s="31" t="n">
        <v>33.24</v>
      </c>
      <c r="V22" s="31" t="n">
        <v>10.34</v>
      </c>
      <c r="W22" s="31" t="n">
        <v>8.460000000000001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IF(B23=0,"",RANK(B23,$B$2:$B$395,0))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BAFNAPH</t>
        </is>
      </c>
      <c r="D23" s="30" t="inlineStr">
        <is>
          <t>Bafna Pharmaceuticals Ltd</t>
        </is>
      </c>
      <c r="E23" s="30" t="inlineStr">
        <is>
          <t>healthcare</t>
        </is>
      </c>
      <c r="F23" s="30" t="inlineStr">
        <is>
          <t>pharmaceuticals - indian - formulations</t>
        </is>
      </c>
      <c r="G23" s="30" t="inlineStr">
        <is>
          <t>smallcap</t>
        </is>
      </c>
      <c r="H23" s="31" t="n">
        <v>660.72</v>
      </c>
      <c r="I23" s="31" t="n">
        <v>279.3</v>
      </c>
      <c r="J23" s="31" t="n">
        <v>-2</v>
      </c>
      <c r="K23" s="31" t="n">
        <v>23602</v>
      </c>
      <c r="L23" s="30" t="n">
        <v>96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74.43000000000001</v>
      </c>
      <c r="P23" s="31" t="n">
        <v>52.35</v>
      </c>
      <c r="Q23" s="31" t="n">
        <v>219.49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20.76</v>
      </c>
      <c r="U23" s="31" t="n">
        <v>150.18</v>
      </c>
      <c r="V23" s="31" t="n">
        <v>107.17</v>
      </c>
      <c r="W23" s="31" t="n">
        <v>49.58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IF(B24=0,"",RANK(B24,$B$2:$B$395,0))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ATHERENERG</t>
        </is>
      </c>
      <c r="D24" s="30" t="inlineStr">
        <is>
          <t>Ather Energy Ltd</t>
        </is>
      </c>
      <c r="E24" s="30" t="inlineStr">
        <is>
          <t>auto</t>
        </is>
      </c>
      <c r="F24" s="30" t="inlineStr">
        <is>
          <t>automobiles - scooters and 3 - wheelers</t>
        </is>
      </c>
      <c r="G24" s="30" t="inlineStr">
        <is>
          <t>largecap</t>
        </is>
      </c>
      <c r="H24" s="31" t="n">
        <v>57786.65</v>
      </c>
      <c r="I24" s="31" t="n">
        <v>1525.4</v>
      </c>
      <c r="J24" s="31" t="n">
        <v>4.04</v>
      </c>
      <c r="K24" s="31" t="n">
        <v>4867021</v>
      </c>
      <c r="L24" s="30" t="n">
        <v>98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81.08</v>
      </c>
      <c r="P24" s="31" t="n">
        <v>60.2</v>
      </c>
      <c r="Q24" s="31" t="n">
        <v>1193.99</v>
      </c>
      <c r="R24" s="30" t="inlineStr">
        <is>
          <t>Near 52W High Breakout</t>
        </is>
      </c>
      <c r="S24" s="30" t="inlineStr">
        <is>
          <t>Nifty Auto</t>
        </is>
      </c>
      <c r="T24" s="31" t="n">
        <v>23.87</v>
      </c>
      <c r="U24" s="31" t="n">
        <v>356.3</v>
      </c>
      <c r="V24" s="31" t="n">
        <v>268.36</v>
      </c>
      <c r="W24" s="31" t="n">
        <v>57.38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IF(B25=0,"",RANK(B25,$B$2:$B$395,0))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WSTCSTPAPR</t>
        </is>
      </c>
      <c r="D25" s="30" t="inlineStr">
        <is>
          <t>West Coast Paper Mills Limited</t>
        </is>
      </c>
      <c r="E25" s="30" t="inlineStr">
        <is>
          <t>building materials</t>
        </is>
      </c>
      <c r="F25" s="30" t="inlineStr">
        <is>
          <t>paper</t>
        </is>
      </c>
      <c r="G25" s="30" t="inlineStr">
        <is>
          <t>smallcap</t>
        </is>
      </c>
      <c r="H25" s="31" t="n">
        <v>3872.12</v>
      </c>
      <c r="I25" s="31" t="n">
        <v>597.1</v>
      </c>
      <c r="J25" s="31" t="n">
        <v>1.85</v>
      </c>
      <c r="K25" s="31" t="n">
        <v>127374</v>
      </c>
      <c r="L25" s="30" t="n">
        <v>37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68.76000000000001</v>
      </c>
      <c r="P25" s="31" t="n">
        <v>41</v>
      </c>
      <c r="Q25" s="31" t="n">
        <v>476.57</v>
      </c>
      <c r="R25" s="30" t="inlineStr">
        <is>
          <t>Near 52W High Breakout</t>
        </is>
      </c>
      <c r="S25" s="30" t="inlineStr">
        <is>
          <t>Nifty Infra</t>
        </is>
      </c>
      <c r="T25" s="31" t="n">
        <v>3.51</v>
      </c>
      <c r="U25" s="31" t="n">
        <v>11.74</v>
      </c>
      <c r="V25" s="31" t="n">
        <v>7.96</v>
      </c>
      <c r="W25" s="31" t="n">
        <v>8.539999999999999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Between 12 to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IF(B26=0,"",RANK(B26,$B$2:$B$395,0))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HFCL</t>
        </is>
      </c>
      <c r="D26" s="30" t="inlineStr">
        <is>
          <t>HFCL Ltd</t>
        </is>
      </c>
      <c r="E26" s="30" t="inlineStr">
        <is>
          <t>telecom</t>
        </is>
      </c>
      <c r="F26" s="30" t="inlineStr">
        <is>
          <t>cables - telephone</t>
        </is>
      </c>
      <c r="G26" s="30" t="inlineStr">
        <is>
          <t>largecap</t>
        </is>
      </c>
      <c r="H26" s="31" t="n">
        <v>32597.24</v>
      </c>
      <c r="I26" s="31" t="n">
        <v>214.24</v>
      </c>
      <c r="J26" s="31" t="n">
        <v>0.6</v>
      </c>
      <c r="K26" s="31" t="n">
        <v>15006611</v>
      </c>
      <c r="L26" s="30" t="n">
        <v>97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72.05</v>
      </c>
      <c r="P26" s="31" t="n">
        <v>66.02</v>
      </c>
      <c r="Q26" s="31" t="n">
        <v>159.83</v>
      </c>
      <c r="R26" s="30" t="inlineStr">
        <is>
          <t>Near 52W High Breakout</t>
        </is>
      </c>
      <c r="S26" s="30" t="inlineStr">
        <is>
          <t>Nifty Infra</t>
        </is>
      </c>
      <c r="T26" s="31" t="n">
        <v>3.51</v>
      </c>
      <c r="U26" s="31" t="n">
        <v>182.52</v>
      </c>
      <c r="V26" s="31" t="n">
        <v>172.95</v>
      </c>
      <c r="W26" s="31" t="n">
        <v>54.54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Oligopoly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IF(B27=0,"",RANK(B27,$B$2:$B$395,0))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REDINGTON</t>
        </is>
      </c>
      <c r="D27" s="30" t="inlineStr">
        <is>
          <t>Redington (india) Limited</t>
        </is>
      </c>
      <c r="E27" s="30" t="inlineStr">
        <is>
          <t>services</t>
        </is>
      </c>
      <c r="F27" s="30" t="inlineStr">
        <is>
          <t>trading</t>
        </is>
      </c>
      <c r="G27" s="30" t="inlineStr">
        <is>
          <t>largecap</t>
        </is>
      </c>
      <c r="H27" s="31" t="n">
        <v>27612.27</v>
      </c>
      <c r="I27" s="31" t="n">
        <v>354.55</v>
      </c>
      <c r="J27" s="31" t="n">
        <v>0.38</v>
      </c>
      <c r="K27" s="31" t="n">
        <v>3999369</v>
      </c>
      <c r="L27" s="30" t="n">
        <v>80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72.69</v>
      </c>
      <c r="P27" s="31" t="n">
        <v>31.67</v>
      </c>
      <c r="Q27" s="31" t="n">
        <v>276.35</v>
      </c>
      <c r="R27" s="30" t="inlineStr">
        <is>
          <t>Near 52W High Breakout</t>
        </is>
      </c>
      <c r="S27" s="30" t="inlineStr">
        <is>
          <t>Nifty 50</t>
        </is>
      </c>
      <c r="T27" s="31" t="n">
        <v>-0.65</v>
      </c>
      <c r="U27" s="31" t="n">
        <v>52.82</v>
      </c>
      <c r="V27" s="31" t="n">
        <v>53.82</v>
      </c>
      <c r="W27" s="31" t="n">
        <v>25.03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IF(B28=0,"",RANK(B28,$B$2:$B$395,0))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QUESS</t>
        </is>
      </c>
      <c r="D28" s="30" t="inlineStr">
        <is>
          <t>Quess Corp Limited</t>
        </is>
      </c>
      <c r="E28" s="30" t="inlineStr">
        <is>
          <t>miscellaneous</t>
        </is>
      </c>
      <c r="F28" s="30" t="inlineStr">
        <is>
          <t>diversified - large</t>
        </is>
      </c>
      <c r="G28" s="30" t="inlineStr">
        <is>
          <t>smallcap</t>
        </is>
      </c>
      <c r="H28" s="31" t="n">
        <v>4835.53</v>
      </c>
      <c r="I28" s="31" t="n">
        <v>324</v>
      </c>
      <c r="J28" s="31" t="n">
        <v>0.08</v>
      </c>
      <c r="K28" s="31" t="n">
        <v>530160</v>
      </c>
      <c r="L28" s="30" t="n">
        <v>73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73.03</v>
      </c>
      <c r="P28" s="31" t="n">
        <v>50.04</v>
      </c>
      <c r="Q28" s="31" t="n">
        <v>256</v>
      </c>
      <c r="R28" s="30" t="inlineStr">
        <is>
          <t>Near 52W High Breakout</t>
        </is>
      </c>
      <c r="S28" s="30" t="inlineStr">
        <is>
          <t>Nifty 50</t>
        </is>
      </c>
      <c r="T28" s="31" t="n">
        <v>-0.65</v>
      </c>
      <c r="U28" s="31" t="n">
        <v>27.64</v>
      </c>
      <c r="V28" s="31" t="n">
        <v>28.47</v>
      </c>
      <c r="W28" s="31" t="n">
        <v>20.31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IF(B29=0,"",RANK(B29,$B$2:$B$395,0))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ICIL</t>
        </is>
      </c>
      <c r="D29" s="30" t="inlineStr">
        <is>
          <t>Indo Count Industries Limited</t>
        </is>
      </c>
      <c r="E29" s="30" t="inlineStr">
        <is>
          <t>textiles</t>
        </is>
      </c>
      <c r="F29" s="30" t="inlineStr">
        <is>
          <t>textiles - cotton/blended</t>
        </is>
      </c>
      <c r="G29" s="30" t="inlineStr">
        <is>
          <t>midcap</t>
        </is>
      </c>
      <c r="H29" s="31" t="n">
        <v>8417.309999999999</v>
      </c>
      <c r="I29" s="31" t="n">
        <v>423.05</v>
      </c>
      <c r="J29" s="31" t="n">
        <v>-0.46</v>
      </c>
      <c r="K29" s="31" t="n">
        <v>394181</v>
      </c>
      <c r="L29" s="30" t="n">
        <v>77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68.31</v>
      </c>
      <c r="P29" s="31" t="n">
        <v>54.93</v>
      </c>
      <c r="Q29" s="31" t="n">
        <v>319.51</v>
      </c>
      <c r="R29" s="30" t="inlineStr">
        <is>
          <t>Near 52W High Breakout</t>
        </is>
      </c>
      <c r="S29" s="30" t="inlineStr">
        <is>
          <t>Nifty 50</t>
        </is>
      </c>
      <c r="T29" s="31" t="n">
        <v>-0.65</v>
      </c>
      <c r="U29" s="31" t="n">
        <v>72.34999999999999</v>
      </c>
      <c r="V29" s="31" t="n">
        <v>73.47</v>
      </c>
      <c r="W29" s="31" t="n">
        <v>22.27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IF(B30=0,"",RANK(B30,$B$2:$B$395,0))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STYLAMIND</t>
        </is>
      </c>
      <c r="D30" s="30" t="inlineStr">
        <is>
          <t>Stylam Industries Ltd</t>
        </is>
      </c>
      <c r="E30" s="30" t="inlineStr">
        <is>
          <t>building materials</t>
        </is>
      </c>
      <c r="F30" s="30" t="inlineStr">
        <is>
          <t>miscellaneous</t>
        </is>
      </c>
      <c r="G30" s="30" t="inlineStr">
        <is>
          <t>midcap</t>
        </is>
      </c>
      <c r="H30" s="31" t="n">
        <v>6188.08</v>
      </c>
      <c r="I30" s="31" t="n">
        <v>3569.7</v>
      </c>
      <c r="J30" s="31" t="n">
        <v>-2.23</v>
      </c>
      <c r="K30" s="31" t="n">
        <v>32486</v>
      </c>
      <c r="L30" s="30" t="n">
        <v>84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83.09999999999999</v>
      </c>
      <c r="P30" s="31" t="n">
        <v>73.95</v>
      </c>
      <c r="Q30" s="31" t="n">
        <v>2847.6</v>
      </c>
      <c r="R30" s="30" t="inlineStr">
        <is>
          <t>Near 52W High Breakout</t>
        </is>
      </c>
      <c r="S30" s="30" t="inlineStr">
        <is>
          <t>Nifty Infra</t>
        </is>
      </c>
      <c r="T30" s="31" t="n">
        <v>3.51</v>
      </c>
      <c r="U30" s="31" t="n">
        <v>89.72</v>
      </c>
      <c r="V30" s="31" t="n">
        <v>83.29000000000001</v>
      </c>
      <c r="W30" s="31" t="n">
        <v>27.52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IF(B31=0,"",RANK(B31,$B$2:$B$395,0))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SAKAR</t>
        </is>
      </c>
      <c r="D31" s="30" t="inlineStr">
        <is>
          <t>Sakar Healthcare Ltd</t>
        </is>
      </c>
      <c r="E31" s="30" t="inlineStr">
        <is>
          <t>healthcare</t>
        </is>
      </c>
      <c r="F31" s="30" t="inlineStr">
        <is>
          <t>pharmaceuticals - indian - bulk drugs &amp; formln</t>
        </is>
      </c>
      <c r="G31" s="30" t="inlineStr">
        <is>
          <t>smallcap</t>
        </is>
      </c>
      <c r="H31" s="31" t="n">
        <v>2013.17</v>
      </c>
      <c r="I31" s="31" t="n">
        <v>953.75</v>
      </c>
      <c r="J31" s="31" t="n">
        <v>5.41</v>
      </c>
      <c r="K31" s="31" t="n">
        <v>288900</v>
      </c>
      <c r="L31" s="30" t="n">
        <v>90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73.01000000000001</v>
      </c>
      <c r="P31" s="31" t="n">
        <v>55.96</v>
      </c>
      <c r="Q31" s="31" t="n">
        <v>688.15</v>
      </c>
      <c r="R31" s="30" t="inlineStr">
        <is>
          <t>Near 52W High Breakout</t>
        </is>
      </c>
      <c r="S31" s="30" t="inlineStr">
        <is>
          <t>Nifty Pharma</t>
        </is>
      </c>
      <c r="T31" s="31" t="n">
        <v>20.76</v>
      </c>
      <c r="U31" s="31" t="n">
        <v>192.88</v>
      </c>
      <c r="V31" s="31" t="n">
        <v>142.53</v>
      </c>
      <c r="W31" s="31" t="n">
        <v>32.83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IF(B32=0,"",RANK(B32,$B$2:$B$395,0))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E2E</t>
        </is>
      </c>
      <c r="D32" s="30" t="inlineStr">
        <is>
          <t>E2E Networks Ltd</t>
        </is>
      </c>
      <c r="E32" s="30" t="inlineStr">
        <is>
          <t>i.t</t>
        </is>
      </c>
      <c r="F32" s="30" t="inlineStr">
        <is>
          <t>computers - software - medium / small</t>
        </is>
      </c>
      <c r="G32" s="30" t="inlineStr">
        <is>
          <t>midcap</t>
        </is>
      </c>
      <c r="H32" s="31" t="n">
        <v>12391.45</v>
      </c>
      <c r="I32" s="31" t="n">
        <v>627.4</v>
      </c>
      <c r="J32" s="31" t="n">
        <v>4.08</v>
      </c>
      <c r="K32" s="31" t="n">
        <v>863194</v>
      </c>
      <c r="L32" s="30" t="n">
        <v>97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75.61</v>
      </c>
      <c r="P32" s="31" t="n">
        <v>48.1</v>
      </c>
      <c r="Q32" s="31" t="n">
        <v>442.78</v>
      </c>
      <c r="R32" s="30" t="inlineStr">
        <is>
          <t>Near 52W High Breakout</t>
        </is>
      </c>
      <c r="S32" s="30" t="inlineStr">
        <is>
          <t>Nifty IT</t>
        </is>
      </c>
      <c r="T32" s="31" t="n">
        <v>-8.640000000000001</v>
      </c>
      <c r="U32" s="31" t="n">
        <v>204.03</v>
      </c>
      <c r="V32" s="31" t="n">
        <v>232.79</v>
      </c>
      <c r="W32" s="31" t="n">
        <v>50.04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IF(B33=0,"",RANK(B33,$B$2:$B$395,0))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MARKSANS</t>
        </is>
      </c>
      <c r="D33" s="30" t="inlineStr">
        <is>
          <t>Marksans Pharma Limited</t>
        </is>
      </c>
      <c r="E33" s="30" t="inlineStr">
        <is>
          <t>healthcare</t>
        </is>
      </c>
      <c r="F33" s="30" t="inlineStr">
        <is>
          <t>pharmaceuticals - indian - formulations</t>
        </is>
      </c>
      <c r="G33" s="30" t="inlineStr">
        <is>
          <t>midcap</t>
        </is>
      </c>
      <c r="H33" s="31" t="n">
        <v>12301.13</v>
      </c>
      <c r="I33" s="31" t="n">
        <v>278.95</v>
      </c>
      <c r="J33" s="31" t="n">
        <v>2.76</v>
      </c>
      <c r="K33" s="31" t="n">
        <v>1435871</v>
      </c>
      <c r="L33" s="30" t="n">
        <v>66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69.16</v>
      </c>
      <c r="P33" s="31" t="n">
        <v>53.33</v>
      </c>
      <c r="Q33" s="31" t="n">
        <v>218.89</v>
      </c>
      <c r="R33" s="30" t="inlineStr">
        <is>
          <t>Near 52W High Breakout</t>
        </is>
      </c>
      <c r="S33" s="30" t="inlineStr">
        <is>
          <t>Nifty Pharma</t>
        </is>
      </c>
      <c r="T33" s="31" t="n">
        <v>20.76</v>
      </c>
      <c r="U33" s="31" t="n">
        <v>56.2</v>
      </c>
      <c r="V33" s="31" t="n">
        <v>29.35</v>
      </c>
      <c r="W33" s="31" t="n">
        <v>17.06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IF(B34=0,"",RANK(B34,$B$2:$B$395,0))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RADICO</t>
        </is>
      </c>
      <c r="D34" s="30" t="inlineStr">
        <is>
          <t>Radico Khaitan Limited</t>
        </is>
      </c>
      <c r="E34" s="30" t="inlineStr">
        <is>
          <t>fmcg</t>
        </is>
      </c>
      <c r="F34" s="30" t="inlineStr">
        <is>
          <t>breweries &amp; distilleries</t>
        </is>
      </c>
      <c r="G34" s="30" t="inlineStr">
        <is>
          <t>largecap</t>
        </is>
      </c>
      <c r="H34" s="31" t="n">
        <v>60938.76</v>
      </c>
      <c r="I34" s="31" t="n">
        <v>4545</v>
      </c>
      <c r="J34" s="31" t="n">
        <v>-0.11</v>
      </c>
      <c r="K34" s="31" t="n">
        <v>409122</v>
      </c>
      <c r="L34" s="30" t="n">
        <v>75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85.98</v>
      </c>
      <c r="P34" s="31" t="n">
        <v>62.9</v>
      </c>
      <c r="Q34" s="31" t="n">
        <v>3898.1</v>
      </c>
      <c r="R34" s="30" t="inlineStr">
        <is>
          <t>Near 52W High Breakout</t>
        </is>
      </c>
      <c r="S34" s="30" t="inlineStr">
        <is>
          <t>Nifty FMCG</t>
        </is>
      </c>
      <c r="T34" s="31" t="n">
        <v>-10.61</v>
      </c>
      <c r="U34" s="31" t="n">
        <v>68.58</v>
      </c>
      <c r="V34" s="31" t="n">
        <v>88.59</v>
      </c>
      <c r="W34" s="31" t="n">
        <v>20.92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B2C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IF(B35=0,"",RANK(B35,$B$2:$B$395,0))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SAREGAMA</t>
        </is>
      </c>
      <c r="D35" s="30" t="inlineStr">
        <is>
          <t>Saregama India Limited</t>
        </is>
      </c>
      <c r="E35" s="30" t="inlineStr">
        <is>
          <t>media</t>
        </is>
      </c>
      <c r="F35" s="30" t="inlineStr">
        <is>
          <t>entertainment / electronic media software</t>
        </is>
      </c>
      <c r="G35" s="30" t="inlineStr">
        <is>
          <t>midcap</t>
        </is>
      </c>
      <c r="H35" s="31" t="n">
        <v>10219.87</v>
      </c>
      <c r="I35" s="31" t="n">
        <v>529.1</v>
      </c>
      <c r="J35" s="31" t="n">
        <v>-0.18</v>
      </c>
      <c r="K35" s="31" t="n">
        <v>378968</v>
      </c>
      <c r="L35" s="30" t="n">
        <v>41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74.23</v>
      </c>
      <c r="P35" s="31" t="n">
        <v>51.48</v>
      </c>
      <c r="Q35" s="31" t="n">
        <v>409.06</v>
      </c>
      <c r="R35" s="30" t="inlineStr">
        <is>
          <t>Near 52W High Breakout</t>
        </is>
      </c>
      <c r="S35" s="30" t="inlineStr">
        <is>
          <t>Nifty IT</t>
        </is>
      </c>
      <c r="T35" s="31" t="n">
        <v>-8.640000000000001</v>
      </c>
      <c r="U35" s="31" t="n">
        <v>11.48</v>
      </c>
      <c r="V35" s="31" t="n">
        <v>22.03</v>
      </c>
      <c r="W35" s="31" t="n">
        <v>9.15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IF(B36=0,"",RANK(B36,$B$2:$B$395,0))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MPSLTD</t>
        </is>
      </c>
      <c r="D36" s="30" t="inlineStr">
        <is>
          <t>Mps Limited</t>
        </is>
      </c>
      <c r="E36" s="30" t="inlineStr">
        <is>
          <t>i.t</t>
        </is>
      </c>
      <c r="F36" s="30" t="inlineStr">
        <is>
          <t>computers - software - medium / small</t>
        </is>
      </c>
      <c r="G36" s="30" t="inlineStr">
        <is>
          <t>smallcap</t>
        </is>
      </c>
      <c r="H36" s="31" t="n">
        <v>4899.79</v>
      </c>
      <c r="I36" s="31" t="n">
        <v>2850</v>
      </c>
      <c r="J36" s="31" t="n">
        <v>-0.5</v>
      </c>
      <c r="K36" s="31" t="n">
        <v>32249</v>
      </c>
      <c r="L36" s="30" t="n">
        <v>76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73.52</v>
      </c>
      <c r="P36" s="31" t="n">
        <v>35.02</v>
      </c>
      <c r="Q36" s="31" t="n">
        <v>2318.71</v>
      </c>
      <c r="R36" s="30" t="inlineStr">
        <is>
          <t>Near 52W High Breakout</t>
        </is>
      </c>
      <c r="S36" s="30" t="inlineStr">
        <is>
          <t>Nifty IT</t>
        </is>
      </c>
      <c r="T36" s="31" t="n">
        <v>-8.640000000000001</v>
      </c>
      <c r="U36" s="31" t="n">
        <v>34.08</v>
      </c>
      <c r="V36" s="31" t="n">
        <v>46.76</v>
      </c>
      <c r="W36" s="31" t="n">
        <v>21.16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IF(B37=0,"",RANK(B37,$B$2:$B$395,0))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KPIL</t>
        </is>
      </c>
      <c r="D37" s="30" t="inlineStr">
        <is>
          <t>Kalpataru Projects International Ltd</t>
        </is>
      </c>
      <c r="E37" s="30" t="inlineStr">
        <is>
          <t>realty</t>
        </is>
      </c>
      <c r="F37" s="30" t="inlineStr">
        <is>
          <t>transmisson line towers / equipment</t>
        </is>
      </c>
      <c r="G37" s="30" t="inlineStr">
        <is>
          <t>largecap</t>
        </is>
      </c>
      <c r="H37" s="31" t="n">
        <v>22463.42</v>
      </c>
      <c r="I37" s="31" t="n">
        <v>1347.7</v>
      </c>
      <c r="J37" s="31" t="n">
        <v>2.46</v>
      </c>
      <c r="K37" s="31" t="n">
        <v>355391</v>
      </c>
      <c r="L37" s="30" t="n">
        <v>25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60.22</v>
      </c>
      <c r="P37" s="31" t="n">
        <v>29.01</v>
      </c>
      <c r="Q37" s="31" t="n">
        <v>1154.96</v>
      </c>
      <c r="R37" s="30" t="inlineStr">
        <is>
          <t>Near 52W High Breakout</t>
        </is>
      </c>
      <c r="S37" s="30" t="inlineStr">
        <is>
          <t>Nifty Realty</t>
        </is>
      </c>
      <c r="T37" s="31" t="n">
        <v>-6.47</v>
      </c>
      <c r="U37" s="31" t="n">
        <v>17.92</v>
      </c>
      <c r="V37" s="31" t="n">
        <v>26.08</v>
      </c>
      <c r="W37" s="31" t="n">
        <v>5.62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IF(B38=0,"",RANK(B38,$B$2:$B$395,0))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APARINDS</t>
        </is>
      </c>
      <c r="D38" s="30" t="inlineStr">
        <is>
          <t>Apar Industries Limited</t>
        </is>
      </c>
      <c r="E38" s="30" t="inlineStr">
        <is>
          <t>industrials</t>
        </is>
      </c>
      <c r="F38" s="30" t="inlineStr">
        <is>
          <t>electric equipment</t>
        </is>
      </c>
      <c r="G38" s="30" t="inlineStr">
        <is>
          <t>largecap</t>
        </is>
      </c>
      <c r="H38" s="31" t="n">
        <v>66078.58</v>
      </c>
      <c r="I38" s="31" t="n">
        <v>16748</v>
      </c>
      <c r="J38" s="31" t="n">
        <v>1.82</v>
      </c>
      <c r="K38" s="31" t="n">
        <v>168416</v>
      </c>
      <c r="L38" s="30" t="n">
        <v>76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71.7</v>
      </c>
      <c r="P38" s="31" t="n">
        <v>41.85</v>
      </c>
      <c r="Q38" s="31" t="n">
        <v>12910.86</v>
      </c>
      <c r="R38" s="30" t="inlineStr">
        <is>
          <t>Near 52W High Breakout</t>
        </is>
      </c>
      <c r="S38" s="30" t="inlineStr">
        <is>
          <t>Nifty 50</t>
        </is>
      </c>
      <c r="T38" s="31" t="n">
        <v>-0.65</v>
      </c>
      <c r="U38" s="31" t="n">
        <v>95.53</v>
      </c>
      <c r="V38" s="31" t="n">
        <v>96.8</v>
      </c>
      <c r="W38" s="31" t="n">
        <v>21.71</v>
      </c>
      <c r="X38" s="30" t="inlineStr">
        <is>
          <t>Cyclical in an Upturn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IF(B39=0,"",RANK(B39,$B$2:$B$395,0))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SJS</t>
        </is>
      </c>
      <c r="D39" s="30" t="inlineStr">
        <is>
          <t>S J S Enterprises Ltd</t>
        </is>
      </c>
      <c r="E39" s="30" t="inlineStr">
        <is>
          <t>auto</t>
        </is>
      </c>
      <c r="F39" s="30" t="inlineStr">
        <is>
          <t>plastics products</t>
        </is>
      </c>
      <c r="G39" s="30" t="inlineStr">
        <is>
          <t>midcap</t>
        </is>
      </c>
      <c r="H39" s="31" t="n">
        <v>7591.62</v>
      </c>
      <c r="I39" s="31" t="n">
        <v>2402.8</v>
      </c>
      <c r="J39" s="31" t="n">
        <v>1.3</v>
      </c>
      <c r="K39" s="31" t="n">
        <v>294658</v>
      </c>
      <c r="L39" s="30" t="n">
        <v>80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68.87</v>
      </c>
      <c r="P39" s="31" t="n">
        <v>43.58</v>
      </c>
      <c r="Q39" s="31" t="n">
        <v>1962.03</v>
      </c>
      <c r="R39" s="30" t="inlineStr">
        <is>
          <t>Near 52W High Breakout</t>
        </is>
      </c>
      <c r="S39" s="30" t="inlineStr">
        <is>
          <t>Nifty Auto</t>
        </is>
      </c>
      <c r="T39" s="31" t="n">
        <v>23.87</v>
      </c>
      <c r="U39" s="31" t="n">
        <v>92.63</v>
      </c>
      <c r="V39" s="31" t="n">
        <v>55.51</v>
      </c>
      <c r="W39" s="31" t="n">
        <v>25.11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IF(B40=0,"",RANK(B40,$B$2:$B$395,0))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BAJAJ-AUTO</t>
        </is>
      </c>
      <c r="D40" s="30" t="inlineStr">
        <is>
          <t>Bajaj Auto Limited</t>
        </is>
      </c>
      <c r="E40" s="30" t="inlineStr">
        <is>
          <t>auto</t>
        </is>
      </c>
      <c r="F40" s="30" t="inlineStr">
        <is>
          <t>automobiles - scooters and 3 - wheelers</t>
        </is>
      </c>
      <c r="G40" s="30" t="inlineStr">
        <is>
          <t>largecap</t>
        </is>
      </c>
      <c r="H40" s="31" t="n">
        <v>326369.63</v>
      </c>
      <c r="I40" s="31" t="n">
        <v>11717</v>
      </c>
      <c r="J40" s="31" t="n">
        <v>0.34</v>
      </c>
      <c r="K40" s="31" t="n">
        <v>522039</v>
      </c>
      <c r="L40" s="30" t="n">
        <v>54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73.41</v>
      </c>
      <c r="P40" s="31" t="n">
        <v>23.43</v>
      </c>
      <c r="Q40" s="31" t="n">
        <v>10229.99</v>
      </c>
      <c r="R40" s="30" t="inlineStr">
        <is>
          <t>Near 52W High Breakout</t>
        </is>
      </c>
      <c r="S40" s="30" t="inlineStr">
        <is>
          <t>Nifty Auto</t>
        </is>
      </c>
      <c r="T40" s="31" t="n">
        <v>23.87</v>
      </c>
      <c r="U40" s="31" t="n">
        <v>47.14</v>
      </c>
      <c r="V40" s="31" t="n">
        <v>18.78</v>
      </c>
      <c r="W40" s="31" t="n">
        <v>13.2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IF(B41=0,"",RANK(B41,$B$2:$B$395,0))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KDDL</t>
        </is>
      </c>
      <c r="D41" s="30" t="inlineStr">
        <is>
          <t>Kddl Limited</t>
        </is>
      </c>
      <c r="E41" s="30" t="inlineStr">
        <is>
          <t>consumer discretionary</t>
        </is>
      </c>
      <c r="F41" s="30" t="inlineStr">
        <is>
          <t>miscellaneous</t>
        </is>
      </c>
      <c r="G41" s="30" t="inlineStr">
        <is>
          <t>smallcap</t>
        </is>
      </c>
      <c r="H41" s="31" t="n">
        <v>4717.76</v>
      </c>
      <c r="I41" s="31" t="n">
        <v>3838.4</v>
      </c>
      <c r="J41" s="31" t="n">
        <v>0.07000000000000001</v>
      </c>
      <c r="K41" s="31" t="n">
        <v>41293</v>
      </c>
      <c r="L41" s="30" t="n">
        <v>82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76.48</v>
      </c>
      <c r="P41" s="31" t="n">
        <v>40.69</v>
      </c>
      <c r="Q41" s="31" t="n">
        <v>2942.3</v>
      </c>
      <c r="R41" s="30" t="inlineStr">
        <is>
          <t>Near 52W High Breakout</t>
        </is>
      </c>
      <c r="S41" s="30" t="inlineStr">
        <is>
          <t>Nifty 50</t>
        </is>
      </c>
      <c r="T41" s="31" t="n">
        <v>-0.65</v>
      </c>
      <c r="U41" s="31" t="n">
        <v>49.48</v>
      </c>
      <c r="V41" s="31" t="n">
        <v>50.46</v>
      </c>
      <c r="W41" s="31" t="n">
        <v>25.77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IF(B42=0,"",RANK(B42,$B$2:$B$395,0))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UNIVCABLES</t>
        </is>
      </c>
      <c r="D42" s="30" t="inlineStr">
        <is>
          <t>Universal Cables Limited</t>
        </is>
      </c>
      <c r="E42" s="30" t="inlineStr">
        <is>
          <t>industrials</t>
        </is>
      </c>
      <c r="F42" s="30" t="inlineStr">
        <is>
          <t>cables - power</t>
        </is>
      </c>
      <c r="G42" s="30" t="inlineStr">
        <is>
          <t>midcap</t>
        </is>
      </c>
      <c r="H42" s="31" t="n">
        <v>5875.32</v>
      </c>
      <c r="I42" s="31" t="n">
        <v>1669.4</v>
      </c>
      <c r="J42" s="31" t="n">
        <v>-1.42</v>
      </c>
      <c r="K42" s="31" t="n">
        <v>600029</v>
      </c>
      <c r="L42" s="30" t="n">
        <v>95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77.33</v>
      </c>
      <c r="P42" s="31" t="n">
        <v>58.23</v>
      </c>
      <c r="Q42" s="31" t="n">
        <v>1202.59</v>
      </c>
      <c r="R42" s="30" t="inlineStr">
        <is>
          <t>Volume Spike &amp; Near 52W High Breakout</t>
        </is>
      </c>
      <c r="S42" s="30" t="inlineStr">
        <is>
          <t>Nifty Energy</t>
        </is>
      </c>
      <c r="T42" s="31" t="n">
        <v>9.81</v>
      </c>
      <c r="U42" s="31" t="n">
        <v>125.94</v>
      </c>
      <c r="V42" s="31" t="n">
        <v>105.76</v>
      </c>
      <c r="W42" s="31" t="n">
        <v>44.3</v>
      </c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IF(B43=0,"",RANK(B43,$B$2:$B$395,0))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NRL</t>
        </is>
      </c>
      <c r="D43" s="30" t="inlineStr">
        <is>
          <t>Nupur Recyclers Ltd</t>
        </is>
      </c>
      <c r="E43" s="30" t="inlineStr">
        <is>
          <t>services</t>
        </is>
      </c>
      <c r="F43" s="30" t="inlineStr">
        <is>
          <t>trading</t>
        </is>
      </c>
      <c r="G43" s="30" t="inlineStr">
        <is>
          <t>smallcap</t>
        </is>
      </c>
      <c r="H43" s="31" t="n">
        <v>794.4299999999999</v>
      </c>
      <c r="I43" s="31" t="n">
        <v>115.02</v>
      </c>
      <c r="J43" s="31" t="n">
        <v>-1.61</v>
      </c>
      <c r="K43" s="31" t="n">
        <v>111173</v>
      </c>
      <c r="L43" s="30" t="n">
        <v>95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84.47</v>
      </c>
      <c r="P43" s="31" t="n">
        <v>54.34</v>
      </c>
      <c r="Q43" s="31" t="n">
        <v>95.38</v>
      </c>
      <c r="R43" s="30" t="inlineStr">
        <is>
          <t>Near 52W High Breakout</t>
        </is>
      </c>
      <c r="S43" s="30" t="inlineStr">
        <is>
          <t>Nifty 50</t>
        </is>
      </c>
      <c r="T43" s="31" t="n">
        <v>-0.65</v>
      </c>
      <c r="U43" s="31" t="n">
        <v>67.53</v>
      </c>
      <c r="V43" s="31" t="n">
        <v>68.62</v>
      </c>
      <c r="W43" s="31" t="n">
        <v>42.62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Between 1.5 to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IF(B44=0,"",RANK(B44,$B$2:$B$395,0))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STOVEKRAFT</t>
        </is>
      </c>
      <c r="D44" s="30" t="inlineStr">
        <is>
          <t>Stove Kraft Ltd</t>
        </is>
      </c>
      <c r="E44" s="30" t="inlineStr">
        <is>
          <t>consumer discretionary</t>
        </is>
      </c>
      <c r="F44" s="30" t="inlineStr">
        <is>
          <t>domestic appliances</t>
        </is>
      </c>
      <c r="G44" s="30" t="inlineStr">
        <is>
          <t>smallcap</t>
        </is>
      </c>
      <c r="H44" s="31" t="n">
        <v>2677.89</v>
      </c>
      <c r="I44" s="31" t="n">
        <v>792.85</v>
      </c>
      <c r="J44" s="31" t="n">
        <v>-1.98</v>
      </c>
      <c r="K44" s="31" t="n">
        <v>96213</v>
      </c>
      <c r="L44" s="30" t="n">
        <v>66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72.13</v>
      </c>
      <c r="P44" s="31" t="n">
        <v>47.93</v>
      </c>
      <c r="Q44" s="31" t="n">
        <v>620.04</v>
      </c>
      <c r="R44" s="30" t="inlineStr">
        <is>
          <t>Near 52W High Breakout</t>
        </is>
      </c>
      <c r="S44" s="30" t="inlineStr">
        <is>
          <t>Nifty 50</t>
        </is>
      </c>
      <c r="T44" s="31" t="n">
        <v>-0.65</v>
      </c>
      <c r="U44" s="31" t="n">
        <v>34</v>
      </c>
      <c r="V44" s="31" t="n">
        <v>34.87</v>
      </c>
      <c r="W44" s="31" t="n">
        <v>16.67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IF(B45=0,"",RANK(B45,$B$2:$B$395,0))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HSCL</t>
        </is>
      </c>
      <c r="D45" s="30" t="inlineStr">
        <is>
          <t>Himadri Speciality Chemical Limited</t>
        </is>
      </c>
      <c r="E45" s="30" t="inlineStr">
        <is>
          <t>chemicals</t>
        </is>
      </c>
      <c r="F45" s="30" t="inlineStr">
        <is>
          <t>chemicals</t>
        </is>
      </c>
      <c r="G45" s="30" t="inlineStr">
        <is>
          <t>largecap</t>
        </is>
      </c>
      <c r="H45" s="31" t="n">
        <v>38953.13</v>
      </c>
      <c r="I45" s="31" t="n">
        <v>755.5</v>
      </c>
      <c r="J45" s="31" t="n">
        <v>-2.14</v>
      </c>
      <c r="K45" s="31" t="n">
        <v>6815254</v>
      </c>
      <c r="L45" s="30" t="n">
        <v>65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70.39</v>
      </c>
      <c r="P45" s="31" t="n">
        <v>44.32</v>
      </c>
      <c r="Q45" s="31" t="n">
        <v>623.91</v>
      </c>
      <c r="R45" s="30" t="inlineStr">
        <is>
          <t>Near 52W High Breakout</t>
        </is>
      </c>
      <c r="S45" s="30" t="inlineStr">
        <is>
          <t>Nifty 50</t>
        </is>
      </c>
      <c r="T45" s="31" t="n">
        <v>-0.65</v>
      </c>
      <c r="U45" s="31" t="n">
        <v>62.12</v>
      </c>
      <c r="V45" s="31" t="n">
        <v>63.18</v>
      </c>
      <c r="W45" s="31" t="n">
        <v>16.54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Between 1.5 to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IF(B46=0,"",RANK(B46,$B$2:$B$395,0))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UNIPARTS</t>
        </is>
      </c>
      <c r="D46" s="30" t="inlineStr">
        <is>
          <t>Uniparts India Ltd</t>
        </is>
      </c>
      <c r="E46" s="30" t="inlineStr">
        <is>
          <t>industrials</t>
        </is>
      </c>
      <c r="F46" s="30" t="inlineStr">
        <is>
          <t>engineering</t>
        </is>
      </c>
      <c r="G46" s="30" t="inlineStr">
        <is>
          <t>smallcap</t>
        </is>
      </c>
      <c r="H46" s="31" t="n">
        <v>3723.4</v>
      </c>
      <c r="I46" s="31" t="n">
        <v>806.2</v>
      </c>
      <c r="J46" s="31" t="n">
        <v>-2.26</v>
      </c>
      <c r="K46" s="31" t="n">
        <v>183796</v>
      </c>
      <c r="L46" s="30" t="n">
        <v>85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77.15000000000001</v>
      </c>
      <c r="P46" s="31" t="n">
        <v>61.65</v>
      </c>
      <c r="Q46" s="31" t="n">
        <v>653.66</v>
      </c>
      <c r="R46" s="30" t="inlineStr">
        <is>
          <t>Near 52W High Breakout</t>
        </is>
      </c>
      <c r="S46" s="30" t="inlineStr">
        <is>
          <t>Nifty 50</t>
        </is>
      </c>
      <c r="T46" s="31" t="n">
        <v>-0.65</v>
      </c>
      <c r="U46" s="31" t="n">
        <v>113.72</v>
      </c>
      <c r="V46" s="31" t="n">
        <v>115.12</v>
      </c>
      <c r="W46" s="31" t="n">
        <v>27.81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IF(B47=0,"",RANK(B47,$B$2:$B$395,0))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LLOYDSENGG</t>
        </is>
      </c>
      <c r="D47" s="30" t="inlineStr">
        <is>
          <t>Lloyds Engineering Works Ltd</t>
        </is>
      </c>
      <c r="E47" s="30" t="inlineStr">
        <is>
          <t>industrials</t>
        </is>
      </c>
      <c r="F47" s="30" t="inlineStr">
        <is>
          <t>engineering</t>
        </is>
      </c>
      <c r="G47" s="30" t="inlineStr">
        <is>
          <t>midcap</t>
        </is>
      </c>
      <c r="H47" s="31" t="n">
        <v>14111.67</v>
      </c>
      <c r="I47" s="31" t="n">
        <v>93.04000000000001</v>
      </c>
      <c r="J47" s="31" t="n">
        <v>-2.4</v>
      </c>
      <c r="K47" s="31" t="n">
        <v>11135294</v>
      </c>
      <c r="L47" s="30" t="n">
        <v>58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70.81</v>
      </c>
      <c r="P47" s="31" t="n">
        <v>49.61</v>
      </c>
      <c r="Q47" s="31" t="n">
        <v>73.45</v>
      </c>
      <c r="R47" s="30" t="inlineStr">
        <is>
          <t>Near 52W High Breakout</t>
        </is>
      </c>
      <c r="S47" s="30" t="inlineStr">
        <is>
          <t>Nifty 50</t>
        </is>
      </c>
      <c r="T47" s="31" t="n">
        <v>-0.65</v>
      </c>
      <c r="U47" s="31" t="n">
        <v>33.97</v>
      </c>
      <c r="V47" s="31" t="n">
        <v>34.84</v>
      </c>
      <c r="W47" s="31" t="n">
        <v>14.33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IF(B48=0,"",RANK(B48,$B$2:$B$395,0))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SANSERA</t>
        </is>
      </c>
      <c r="D48" s="30" t="inlineStr">
        <is>
          <t>Sansera Engineering Ltd</t>
        </is>
      </c>
      <c r="E48" s="30" t="inlineStr">
        <is>
          <t>auto</t>
        </is>
      </c>
      <c r="F48" s="30" t="inlineStr">
        <is>
          <t>auto ancillaries</t>
        </is>
      </c>
      <c r="G48" s="30" t="inlineStr">
        <is>
          <t>largecap</t>
        </is>
      </c>
      <c r="H48" s="31" t="n">
        <v>23790.74</v>
      </c>
      <c r="I48" s="31" t="n">
        <v>3694.5</v>
      </c>
      <c r="J48" s="31" t="n">
        <v>-3.09</v>
      </c>
      <c r="K48" s="31" t="n">
        <v>339512</v>
      </c>
      <c r="L48" s="30" t="n">
        <v>90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74.95</v>
      </c>
      <c r="P48" s="31" t="n">
        <v>56.26</v>
      </c>
      <c r="Q48" s="31" t="n">
        <v>3099.66</v>
      </c>
      <c r="R48" s="30" t="inlineStr">
        <is>
          <t>Near 52W High Breakout</t>
        </is>
      </c>
      <c r="S48" s="30" t="inlineStr">
        <is>
          <t>Nifty Auto</t>
        </is>
      </c>
      <c r="T48" s="31" t="n">
        <v>23.87</v>
      </c>
      <c r="U48" s="31" t="n">
        <v>172.34</v>
      </c>
      <c r="V48" s="31" t="n">
        <v>119.86</v>
      </c>
      <c r="W48" s="31" t="n">
        <v>33.05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Between 50% to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IF(B49=0,"",RANK(B49,$B$2:$B$395,0))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BIRLACABLE</t>
        </is>
      </c>
      <c r="D49" s="30" t="inlineStr">
        <is>
          <t>Birla Cable Limited</t>
        </is>
      </c>
      <c r="E49" s="30" t="inlineStr">
        <is>
          <t>industrials</t>
        </is>
      </c>
      <c r="F49" s="30" t="inlineStr">
        <is>
          <t>cables - telephone</t>
        </is>
      </c>
      <c r="G49" s="30" t="inlineStr">
        <is>
          <t>smallcap</t>
        </is>
      </c>
      <c r="H49" s="31" t="n">
        <v>800.76</v>
      </c>
      <c r="I49" s="31" t="n">
        <v>280.26</v>
      </c>
      <c r="J49" s="31" t="n">
        <v>5</v>
      </c>
      <c r="K49" s="31" t="n">
        <v>220910</v>
      </c>
      <c r="L49" s="30" t="n">
        <v>88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71.95999999999999</v>
      </c>
      <c r="P49" s="31" t="n">
        <v>45.12</v>
      </c>
      <c r="Q49" s="31" t="n">
        <v>204.04</v>
      </c>
      <c r="R49" s="30" t="inlineStr">
        <is>
          <t>Near 52W High Breakout</t>
        </is>
      </c>
      <c r="S49" s="30" t="inlineStr">
        <is>
          <t>Nifty Infra</t>
        </is>
      </c>
      <c r="T49" s="31" t="n">
        <v>3.51</v>
      </c>
      <c r="U49" s="31" t="n">
        <v>64.73</v>
      </c>
      <c r="V49" s="31" t="n">
        <v>59.15</v>
      </c>
      <c r="W49" s="31" t="n">
        <v>31.33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IF(B50=0,"",RANK(B50,$B$2:$B$395,0))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SETL</t>
        </is>
      </c>
      <c r="D50" s="30" t="inlineStr">
        <is>
          <t>Standard Enginnering Technology Ltd</t>
        </is>
      </c>
      <c r="E50" s="30" t="inlineStr">
        <is>
          <t>industrials</t>
        </is>
      </c>
      <c r="F50" s="30" t="inlineStr">
        <is>
          <t>engineering</t>
        </is>
      </c>
      <c r="G50" s="30" t="inlineStr">
        <is>
          <t>midcap</t>
        </is>
      </c>
      <c r="H50" s="31" t="n">
        <v>5660.58</v>
      </c>
      <c r="I50" s="31" t="n">
        <v>297.3</v>
      </c>
      <c r="J50" s="31" t="n">
        <v>4.78</v>
      </c>
      <c r="K50" s="31" t="n">
        <v>2175257</v>
      </c>
      <c r="L50" s="30" t="n">
        <v>96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80.45</v>
      </c>
      <c r="P50" s="31" t="n">
        <v>47.38</v>
      </c>
      <c r="Q50" s="31" t="n">
        <v>224.53</v>
      </c>
      <c r="R50" s="30" t="inlineStr">
        <is>
          <t>Near 52W High Breakout</t>
        </is>
      </c>
      <c r="S50" s="30" t="inlineStr">
        <is>
          <t>Nifty 50</t>
        </is>
      </c>
      <c r="T50" s="31" t="n">
        <v>-0.65</v>
      </c>
      <c r="U50" s="31" t="n">
        <v>83.5</v>
      </c>
      <c r="V50" s="31" t="n">
        <v>84.69</v>
      </c>
      <c r="W50" s="31" t="n">
        <v>44.39</v>
      </c>
      <c r="X50" s="30" t="inlineStr">
        <is>
          <t>Cyclical in an Upturn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IF(B51=0,"",RANK(B51,$B$2:$B$395,0))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ORBTEXP</t>
        </is>
      </c>
      <c r="D51" s="30" t="inlineStr">
        <is>
          <t>Orbit Exports Limited</t>
        </is>
      </c>
      <c r="E51" s="30" t="inlineStr">
        <is>
          <t>textiles</t>
        </is>
      </c>
      <c r="F51" s="30" t="inlineStr">
        <is>
          <t>textiles - processing</t>
        </is>
      </c>
      <c r="G51" s="30" t="inlineStr">
        <is>
          <t>smallcap</t>
        </is>
      </c>
      <c r="H51" s="31" t="n">
        <v>703.47</v>
      </c>
      <c r="I51" s="31" t="n">
        <v>275.5</v>
      </c>
      <c r="J51" s="31" t="n">
        <v>3.83</v>
      </c>
      <c r="K51" s="31" t="n">
        <v>57888</v>
      </c>
      <c r="L51" s="30" t="n">
        <v>81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74.2</v>
      </c>
      <c r="P51" s="31" t="n">
        <v>41.65</v>
      </c>
      <c r="Q51" s="31" t="n">
        <v>205.22</v>
      </c>
      <c r="R51" s="30" t="inlineStr">
        <is>
          <t>Near 52W High Breakout</t>
        </is>
      </c>
      <c r="S51" s="30" t="inlineStr">
        <is>
          <t>Nifty 50</t>
        </is>
      </c>
      <c r="T51" s="31" t="n">
        <v>-0.65</v>
      </c>
      <c r="U51" s="31" t="n">
        <v>43.41</v>
      </c>
      <c r="V51" s="31" t="n">
        <v>44.34</v>
      </c>
      <c r="W51" s="31" t="n">
        <v>25.47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Less than 12%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IF(B52=0,"",RANK(B52,$B$2:$B$395,0))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KRYSTAL</t>
        </is>
      </c>
      <c r="D52" s="30" t="inlineStr">
        <is>
          <t>Krystal Integrated Services Ltd</t>
        </is>
      </c>
      <c r="E52" s="30" t="inlineStr">
        <is>
          <t>miscellaneous</t>
        </is>
      </c>
      <c r="F52" s="30" t="inlineStr">
        <is>
          <t>miscellaneous</t>
        </is>
      </c>
      <c r="G52" s="30" t="inlineStr">
        <is>
          <t>smallcap</t>
        </is>
      </c>
      <c r="H52" s="31" t="n">
        <v>841.88</v>
      </c>
      <c r="I52" s="31" t="n">
        <v>625</v>
      </c>
      <c r="J52" s="31" t="n">
        <v>3.73</v>
      </c>
      <c r="K52" s="31" t="n">
        <v>251309</v>
      </c>
      <c r="L52" s="30" t="n">
        <v>11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60.82</v>
      </c>
      <c r="P52" s="31" t="n">
        <v>24.77</v>
      </c>
      <c r="Q52" s="31" t="n">
        <v>532.46</v>
      </c>
      <c r="R52" s="30" t="inlineStr">
        <is>
          <t>Volume Spike / Accumulation</t>
        </is>
      </c>
      <c r="S52" s="30" t="inlineStr">
        <is>
          <t>Nifty 50</t>
        </is>
      </c>
      <c r="T52" s="31" t="n">
        <v>-0.65</v>
      </c>
      <c r="U52" s="31" t="n">
        <v>1.83</v>
      </c>
      <c r="V52" s="31" t="n">
        <v>2.5</v>
      </c>
      <c r="W52" s="31" t="n">
        <v>1.91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IF(B53=0,"",RANK(B53,$B$2:$B$395,0))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PLASTIBLEN</t>
        </is>
      </c>
      <c r="D53" s="30" t="inlineStr">
        <is>
          <t>Plastiblends India Limited</t>
        </is>
      </c>
      <c r="E53" s="30" t="inlineStr">
        <is>
          <t>chemicals</t>
        </is>
      </c>
      <c r="F53" s="30" t="inlineStr">
        <is>
          <t>chemicals</t>
        </is>
      </c>
      <c r="G53" s="30" t="inlineStr">
        <is>
          <t>smallcap</t>
        </is>
      </c>
      <c r="H53" s="31" t="n">
        <v>515.73</v>
      </c>
      <c r="I53" s="31" t="n">
        <v>204.51</v>
      </c>
      <c r="J53" s="31" t="n">
        <v>3.06</v>
      </c>
      <c r="K53" s="31" t="n">
        <v>188088</v>
      </c>
      <c r="L53" s="30" t="n">
        <v>32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68.02</v>
      </c>
      <c r="P53" s="31" t="n">
        <v>28.04</v>
      </c>
      <c r="Q53" s="31" t="n">
        <v>160.64</v>
      </c>
      <c r="R53" s="30" t="inlineStr">
        <is>
          <t>Near 52W High Breakout</t>
        </is>
      </c>
      <c r="S53" s="30" t="inlineStr">
        <is>
          <t>Nifty 50</t>
        </is>
      </c>
      <c r="T53" s="31" t="n">
        <v>-0.65</v>
      </c>
      <c r="U53" s="31" t="n">
        <v>8.67</v>
      </c>
      <c r="V53" s="31" t="n">
        <v>9.380000000000001</v>
      </c>
      <c r="W53" s="31" t="n">
        <v>7.53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IF(B54=0,"",RANK(B54,$B$2:$B$395,0))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VERANDA</t>
        </is>
      </c>
      <c r="D54" s="30" t="inlineStr">
        <is>
          <t>Veranda Learning Solutions Ltd</t>
        </is>
      </c>
      <c r="E54" s="30" t="inlineStr">
        <is>
          <t>services</t>
        </is>
      </c>
      <c r="F54" s="30" t="inlineStr">
        <is>
          <t>miscellaneous</t>
        </is>
      </c>
      <c r="G54" s="30" t="inlineStr">
        <is>
          <t>smallcap</t>
        </is>
      </c>
      <c r="H54" s="31" t="n">
        <v>2376.23</v>
      </c>
      <c r="I54" s="31" t="n">
        <v>252</v>
      </c>
      <c r="J54" s="31" t="n">
        <v>2.15</v>
      </c>
      <c r="K54" s="31" t="n">
        <v>203463</v>
      </c>
      <c r="L54" s="30" t="n">
        <v>15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59.4</v>
      </c>
      <c r="P54" s="31" t="n">
        <v>29.03</v>
      </c>
      <c r="Q54" s="31" t="n">
        <v>189.14</v>
      </c>
      <c r="R54" s="30" t="inlineStr">
        <is>
          <t>Near 52W High Breakout</t>
        </is>
      </c>
      <c r="S54" s="30" t="inlineStr">
        <is>
          <t>Nifty 50</t>
        </is>
      </c>
      <c r="T54" s="31" t="n">
        <v>-0.65</v>
      </c>
      <c r="U54" s="31" t="n">
        <v>10.57</v>
      </c>
      <c r="V54" s="31" t="n">
        <v>11.29</v>
      </c>
      <c r="W54" s="31" t="n">
        <v>3.23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IF(B55=0,"",RANK(B55,$B$2:$B$395,0))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RISHABH</t>
        </is>
      </c>
      <c r="D55" s="30" t="inlineStr">
        <is>
          <t>Rishabh Instruments Ltd</t>
        </is>
      </c>
      <c r="E55" s="30" t="inlineStr">
        <is>
          <t>industrials</t>
        </is>
      </c>
      <c r="F55" s="30" t="inlineStr">
        <is>
          <t>electric equipment</t>
        </is>
      </c>
      <c r="G55" s="30" t="inlineStr">
        <is>
          <t>smallcap</t>
        </is>
      </c>
      <c r="H55" s="31" t="n">
        <v>2589.91</v>
      </c>
      <c r="I55" s="31" t="n">
        <v>678.85</v>
      </c>
      <c r="J55" s="31" t="n">
        <v>1.03</v>
      </c>
      <c r="K55" s="31" t="n">
        <v>267950</v>
      </c>
      <c r="L55" s="30" t="n">
        <v>79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70.06</v>
      </c>
      <c r="P55" s="31" t="n">
        <v>42.63</v>
      </c>
      <c r="Q55" s="31" t="n">
        <v>505.4</v>
      </c>
      <c r="R55" s="30" t="inlineStr">
        <is>
          <t>Near 52W High Breakout</t>
        </is>
      </c>
      <c r="S55" s="30" t="inlineStr">
        <is>
          <t>Nifty 50</t>
        </is>
      </c>
      <c r="T55" s="31" t="n">
        <v>-0.65</v>
      </c>
      <c r="U55" s="31" t="n">
        <v>90.33</v>
      </c>
      <c r="V55" s="31" t="n">
        <v>91.56999999999999</v>
      </c>
      <c r="W55" s="31" t="n">
        <v>23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IF(B56=0,"",RANK(B56,$B$2:$B$395,0))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GOCLCORP</t>
        </is>
      </c>
      <c r="D56" s="30" t="inlineStr">
        <is>
          <t>Gocl Corporation Limited</t>
        </is>
      </c>
      <c r="E56" s="30" t="inlineStr">
        <is>
          <t>miscellaneous</t>
        </is>
      </c>
      <c r="F56" s="30" t="inlineStr">
        <is>
          <t>diversified - medium / small</t>
        </is>
      </c>
      <c r="G56" s="30" t="inlineStr">
        <is>
          <t>smallcap</t>
        </is>
      </c>
      <c r="H56" s="31" t="n">
        <v>2122.69</v>
      </c>
      <c r="I56" s="31" t="n">
        <v>429.55</v>
      </c>
      <c r="J56" s="31" t="n">
        <v>0.32</v>
      </c>
      <c r="K56" s="31" t="n">
        <v>74155</v>
      </c>
      <c r="L56" s="30" t="n">
        <v>58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65.04000000000001</v>
      </c>
      <c r="P56" s="31" t="n">
        <v>42.84</v>
      </c>
      <c r="Q56" s="31" t="n">
        <v>334.76</v>
      </c>
      <c r="R56" s="30" t="inlineStr">
        <is>
          <t>Near 52W High Breakout</t>
        </is>
      </c>
      <c r="S56" s="30" t="inlineStr">
        <is>
          <t>Nifty 50</t>
        </is>
      </c>
      <c r="T56" s="31" t="n">
        <v>-0.65</v>
      </c>
      <c r="U56" s="31" t="n">
        <v>20.29</v>
      </c>
      <c r="V56" s="31" t="n">
        <v>21.07</v>
      </c>
      <c r="W56" s="31" t="n">
        <v>14.31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IF(B57=0,"",RANK(B57,$B$2:$B$395,0))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HITECHCORP</t>
        </is>
      </c>
      <c r="D57" s="30" t="inlineStr">
        <is>
          <t>Hitech Corporation</t>
        </is>
      </c>
      <c r="E57" s="30" t="inlineStr">
        <is>
          <t>industrials</t>
        </is>
      </c>
      <c r="F57" s="30" t="inlineStr">
        <is>
          <t>packaging</t>
        </is>
      </c>
      <c r="G57" s="30" t="inlineStr">
        <is>
          <t>smallcap</t>
        </is>
      </c>
      <c r="H57" s="31" t="n">
        <v>554.78</v>
      </c>
      <c r="I57" s="31" t="n">
        <v>323.1</v>
      </c>
      <c r="J57" s="31" t="n">
        <v>0.03</v>
      </c>
      <c r="K57" s="31" t="n">
        <v>7125</v>
      </c>
      <c r="L57" s="30" t="n">
        <v>96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80.48999999999999</v>
      </c>
      <c r="P57" s="31" t="n">
        <v>58.64</v>
      </c>
      <c r="Q57" s="31" t="n">
        <v>262.67</v>
      </c>
      <c r="R57" s="30" t="inlineStr">
        <is>
          <t>Near 52W High Breakout</t>
        </is>
      </c>
      <c r="S57" s="30" t="inlineStr">
        <is>
          <t>Nifty 50</t>
        </is>
      </c>
      <c r="T57" s="31" t="n">
        <v>-0.65</v>
      </c>
      <c r="U57" s="31" t="n">
        <v>59.2</v>
      </c>
      <c r="V57" s="31" t="n">
        <v>60.24</v>
      </c>
      <c r="W57" s="31" t="n">
        <v>48.35</v>
      </c>
      <c r="X57" s="30" t="inlineStr">
        <is>
          <t>Cyclical in an Upturn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IF(B58=0,"",RANK(B58,$B$2:$B$395,0))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STEELCAS</t>
        </is>
      </c>
      <c r="D58" s="30" t="inlineStr">
        <is>
          <t>Steelcast Ltd</t>
        </is>
      </c>
      <c r="E58" s="30" t="inlineStr">
        <is>
          <t>industrials</t>
        </is>
      </c>
      <c r="F58" s="30" t="inlineStr">
        <is>
          <t>castings &amp; forgings</t>
        </is>
      </c>
      <c r="G58" s="30" t="inlineStr">
        <is>
          <t>smallcap</t>
        </is>
      </c>
      <c r="H58" s="31" t="n">
        <v>3365.41</v>
      </c>
      <c r="I58" s="31" t="n">
        <v>329.6</v>
      </c>
      <c r="J58" s="31" t="n">
        <v>-0.89</v>
      </c>
      <c r="K58" s="31" t="n">
        <v>94137</v>
      </c>
      <c r="L58" s="30" t="n">
        <v>55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73.06</v>
      </c>
      <c r="P58" s="31" t="n">
        <v>40.43</v>
      </c>
      <c r="Q58" s="31" t="n">
        <v>255.56</v>
      </c>
      <c r="R58" s="30" t="inlineStr">
        <is>
          <t>Near 52W High Breakout</t>
        </is>
      </c>
      <c r="S58" s="30" t="inlineStr">
        <is>
          <t>Nifty 50</t>
        </is>
      </c>
      <c r="T58" s="31" t="n">
        <v>-0.65</v>
      </c>
      <c r="U58" s="31" t="n">
        <v>58.88</v>
      </c>
      <c r="V58" s="31" t="n">
        <v>59.91</v>
      </c>
      <c r="W58" s="31" t="n">
        <v>13.39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Between 12 to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Between 1.5 to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IF(B59=0,"",RANK(B59,$B$2:$B$395,0))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CENTENKA</t>
        </is>
      </c>
      <c r="D59" s="30" t="inlineStr">
        <is>
          <t>Century Enka Limited</t>
        </is>
      </c>
      <c r="E59" s="30" t="inlineStr">
        <is>
          <t>textiles</t>
        </is>
      </c>
      <c r="F59" s="30" t="inlineStr">
        <is>
          <t>textiles - manmade</t>
        </is>
      </c>
      <c r="G59" s="30" t="inlineStr">
        <is>
          <t>smallcap</t>
        </is>
      </c>
      <c r="H59" s="31" t="n">
        <v>1333.87</v>
      </c>
      <c r="I59" s="31" t="n">
        <v>604.1</v>
      </c>
      <c r="J59" s="31" t="n">
        <v>-1.04</v>
      </c>
      <c r="K59" s="31" t="n">
        <v>64674</v>
      </c>
      <c r="L59" s="30" t="n">
        <v>54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69.40000000000001</v>
      </c>
      <c r="P59" s="31" t="n">
        <v>64.03</v>
      </c>
      <c r="Q59" s="31" t="n">
        <v>473.77</v>
      </c>
      <c r="R59" s="30" t="inlineStr">
        <is>
          <t>Near 52W High Breakout</t>
        </is>
      </c>
      <c r="S59" s="30" t="inlineStr">
        <is>
          <t>Nifty 50</t>
        </is>
      </c>
      <c r="T59" s="31" t="n">
        <v>-0.65</v>
      </c>
      <c r="U59" s="31" t="n">
        <v>21.2</v>
      </c>
      <c r="V59" s="31" t="n">
        <v>21.99</v>
      </c>
      <c r="W59" s="31" t="n">
        <v>13.01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IF(B60=0,"",RANK(B60,$B$2:$B$395,0))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ADOR</t>
        </is>
      </c>
      <c r="D60" s="30" t="inlineStr">
        <is>
          <t>Ador Welding Ltd</t>
        </is>
      </c>
      <c r="E60" s="30" t="inlineStr">
        <is>
          <t>industrials</t>
        </is>
      </c>
      <c r="F60" s="30" t="inlineStr">
        <is>
          <t>electrodes - welding equipment</t>
        </is>
      </c>
      <c r="G60" s="30" t="inlineStr">
        <is>
          <t>smallcap</t>
        </is>
      </c>
      <c r="H60" s="31" t="n">
        <v>2642.44</v>
      </c>
      <c r="I60" s="31" t="n">
        <v>1501</v>
      </c>
      <c r="J60" s="31" t="n">
        <v>-1.15</v>
      </c>
      <c r="K60" s="31" t="n">
        <v>16237</v>
      </c>
      <c r="L60" s="30" t="n">
        <v>76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80.87</v>
      </c>
      <c r="P60" s="31" t="n">
        <v>50.64</v>
      </c>
      <c r="Q60" s="31" t="n">
        <v>1217.32</v>
      </c>
      <c r="R60" s="30" t="inlineStr">
        <is>
          <t>Near 52W High Breakout</t>
        </is>
      </c>
      <c r="S60" s="30" t="inlineStr">
        <is>
          <t>Nifty 50</t>
        </is>
      </c>
      <c r="T60" s="31" t="n">
        <v>-0.65</v>
      </c>
      <c r="U60" s="31" t="n">
        <v>68.90000000000001</v>
      </c>
      <c r="V60" s="31" t="n">
        <v>70</v>
      </c>
      <c r="W60" s="31" t="n">
        <v>21.45</v>
      </c>
      <c r="X60" s="30" t="inlineStr">
        <is>
          <t>Cyclical in an Upturn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IF(B61=0,"",RANK(B61,$B$2:$B$395,0))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BHARATSE</t>
        </is>
      </c>
      <c r="D61" s="30" t="inlineStr">
        <is>
          <t>Bharat Seats Ltd</t>
        </is>
      </c>
      <c r="E61" s="30" t="inlineStr">
        <is>
          <t>auto</t>
        </is>
      </c>
      <c r="F61" s="30" t="inlineStr">
        <is>
          <t>auto ancillaries</t>
        </is>
      </c>
      <c r="G61" s="30" t="inlineStr">
        <is>
          <t>smallcap</t>
        </is>
      </c>
      <c r="H61" s="31" t="n">
        <v>1488.67</v>
      </c>
      <c r="I61" s="31" t="n">
        <v>233.77</v>
      </c>
      <c r="J61" s="31" t="n">
        <v>-1.38</v>
      </c>
      <c r="K61" s="31" t="n">
        <v>379621</v>
      </c>
      <c r="L61" s="30" t="n">
        <v>90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61.24</v>
      </c>
      <c r="P61" s="31" t="n">
        <v>33.56</v>
      </c>
      <c r="Q61" s="31" t="n">
        <v>166.36</v>
      </c>
      <c r="R61" s="30" t="inlineStr">
        <is>
          <t>Near 52W High Breakout</t>
        </is>
      </c>
      <c r="S61" s="30" t="inlineStr">
        <is>
          <t>Nifty Auto</t>
        </is>
      </c>
      <c r="T61" s="31" t="n">
        <v>23.87</v>
      </c>
      <c r="U61" s="31" t="n">
        <v>122.99</v>
      </c>
      <c r="V61" s="31" t="n">
        <v>80.02</v>
      </c>
      <c r="W61" s="31" t="n">
        <v>32.83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Between 12 to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IF(B62=0,"",RANK(B62,$B$2:$B$395,0))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PASUPTAC</t>
        </is>
      </c>
      <c r="D62" s="30" t="inlineStr">
        <is>
          <t>Pasupati Acrylon Ltd</t>
        </is>
      </c>
      <c r="E62" s="30" t="inlineStr">
        <is>
          <t>textiles</t>
        </is>
      </c>
      <c r="F62" s="30" t="inlineStr">
        <is>
          <t>textiles - manmade</t>
        </is>
      </c>
      <c r="G62" s="30" t="inlineStr">
        <is>
          <t>smallcap</t>
        </is>
      </c>
      <c r="H62" s="31" t="n">
        <v>581.77</v>
      </c>
      <c r="I62" s="31" t="n">
        <v>64.25</v>
      </c>
      <c r="J62" s="31" t="n">
        <v>-1.56</v>
      </c>
      <c r="K62" s="31" t="n">
        <v>105429</v>
      </c>
      <c r="L62" s="30" t="n">
        <v>55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59.09</v>
      </c>
      <c r="P62" s="31" t="n">
        <v>48.09</v>
      </c>
      <c r="Q62" s="31" t="n">
        <v>55.62</v>
      </c>
      <c r="R62" s="30" t="inlineStr">
        <is>
          <t>Earnings / Momentum Support</t>
        </is>
      </c>
      <c r="S62" s="30" t="inlineStr">
        <is>
          <t>Nifty 50</t>
        </is>
      </c>
      <c r="T62" s="31" t="n">
        <v>-0.65</v>
      </c>
      <c r="U62" s="31" t="n">
        <v>53.06</v>
      </c>
      <c r="V62" s="31" t="n">
        <v>54.06</v>
      </c>
      <c r="W62" s="31" t="n">
        <v>13.3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IF(B63=0,"",RANK(B63,$B$2:$B$395,0))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FILATEX</t>
        </is>
      </c>
      <c r="D63" s="30" t="inlineStr">
        <is>
          <t>Filatex India Limited</t>
        </is>
      </c>
      <c r="E63" s="30" t="inlineStr">
        <is>
          <t>textiles</t>
        </is>
      </c>
      <c r="F63" s="30" t="inlineStr">
        <is>
          <t>textiles - manmade</t>
        </is>
      </c>
      <c r="G63" s="30" t="inlineStr">
        <is>
          <t>smallcap</t>
        </is>
      </c>
      <c r="H63" s="31" t="n">
        <v>3764.73</v>
      </c>
      <c r="I63" s="31" t="n">
        <v>83.12</v>
      </c>
      <c r="J63" s="31" t="n">
        <v>-1.96</v>
      </c>
      <c r="K63" s="31" t="n">
        <v>4509636</v>
      </c>
      <c r="L63" s="30" t="n">
        <v>91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75.84999999999999</v>
      </c>
      <c r="P63" s="31" t="n">
        <v>34.22</v>
      </c>
      <c r="Q63" s="31" t="n">
        <v>63.3</v>
      </c>
      <c r="R63" s="30" t="inlineStr">
        <is>
          <t>Near 52W High Breakout</t>
        </is>
      </c>
      <c r="S63" s="30" t="inlineStr">
        <is>
          <t>Nifty 50</t>
        </is>
      </c>
      <c r="T63" s="31" t="n">
        <v>-0.65</v>
      </c>
      <c r="U63" s="31" t="n">
        <v>60.06</v>
      </c>
      <c r="V63" s="31" t="n">
        <v>61.1</v>
      </c>
      <c r="W63" s="31" t="n">
        <v>34.83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Between 12 to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IF(B64=0,"",RANK(B64,$B$2:$B$395,0))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BLISSGVS</t>
        </is>
      </c>
      <c r="D64" s="30" t="inlineStr">
        <is>
          <t>Bliss Gvs Pharma Limited</t>
        </is>
      </c>
      <c r="E64" s="30" t="inlineStr">
        <is>
          <t>healthcare</t>
        </is>
      </c>
      <c r="F64" s="30" t="inlineStr">
        <is>
          <t>pharmaceuticals - indian - formulations</t>
        </is>
      </c>
      <c r="G64" s="30" t="inlineStr">
        <is>
          <t>midcap</t>
        </is>
      </c>
      <c r="H64" s="31" t="n">
        <v>5088.58</v>
      </c>
      <c r="I64" s="31" t="n">
        <v>495</v>
      </c>
      <c r="J64" s="31" t="n">
        <v>3.17</v>
      </c>
      <c r="K64" s="31" t="n">
        <v>368326</v>
      </c>
      <c r="L64" s="30" t="n">
        <v>95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74.56999999999999</v>
      </c>
      <c r="P64" s="31" t="n">
        <v>74.61</v>
      </c>
      <c r="Q64" s="31" t="n">
        <v>397.16</v>
      </c>
      <c r="R64" s="30" t="inlineStr">
        <is>
          <t>Earnings / Momentum Support</t>
        </is>
      </c>
      <c r="S64" s="30" t="inlineStr">
        <is>
          <t>Nifty Pharma</t>
        </is>
      </c>
      <c r="T64" s="31" t="n">
        <v>20.76</v>
      </c>
      <c r="U64" s="31" t="n">
        <v>192.96</v>
      </c>
      <c r="V64" s="31" t="n">
        <v>142.59</v>
      </c>
      <c r="W64" s="31" t="n">
        <v>42.9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IF(B65=0,"",RANK(B65,$B$2:$B$395,0))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VIJAYA</t>
        </is>
      </c>
      <c r="D65" s="30" t="inlineStr">
        <is>
          <t>Vijaya Diagnostic Centre Ltd</t>
        </is>
      </c>
      <c r="E65" s="30" t="inlineStr">
        <is>
          <t>healthcare</t>
        </is>
      </c>
      <c r="F65" s="30" t="inlineStr">
        <is>
          <t>healthcare</t>
        </is>
      </c>
      <c r="G65" s="30" t="inlineStr">
        <is>
          <t>midcap</t>
        </is>
      </c>
      <c r="H65" s="31" t="n">
        <v>14329.4</v>
      </c>
      <c r="I65" s="31" t="n">
        <v>1428.2</v>
      </c>
      <c r="J65" s="31" t="n">
        <v>2.56</v>
      </c>
      <c r="K65" s="31" t="n">
        <v>179501</v>
      </c>
      <c r="L65" s="30" t="n">
        <v>38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66.81999999999999</v>
      </c>
      <c r="P65" s="31" t="n">
        <v>55.64</v>
      </c>
      <c r="Q65" s="31" t="n">
        <v>1132.9</v>
      </c>
      <c r="R65" s="30" t="inlineStr">
        <is>
          <t>Near 52W High Breakout</t>
        </is>
      </c>
      <c r="S65" s="30" t="inlineStr">
        <is>
          <t>Nifty Pharma</t>
        </is>
      </c>
      <c r="T65" s="31" t="n">
        <v>20.76</v>
      </c>
      <c r="U65" s="31" t="n">
        <v>35.88</v>
      </c>
      <c r="V65" s="31" t="n">
        <v>12.52</v>
      </c>
      <c r="W65" s="31" t="n">
        <v>8.699999999999999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IF(B66=0,"",RANK(B66,$B$2:$B$395,0))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CAPLIPOINT</t>
        </is>
      </c>
      <c r="D66" s="30" t="inlineStr">
        <is>
          <t>Caplin Point Laboratories Limited</t>
        </is>
      </c>
      <c r="E66" s="30" t="inlineStr">
        <is>
          <t>healthcare</t>
        </is>
      </c>
      <c r="F66" s="30" t="inlineStr">
        <is>
          <t>pharmaceuticals - indian - formulations</t>
        </is>
      </c>
      <c r="G66" s="30" t="inlineStr">
        <is>
          <t>midcap</t>
        </is>
      </c>
      <c r="H66" s="31" t="n">
        <v>19943.95</v>
      </c>
      <c r="I66" s="31" t="n">
        <v>2629.6</v>
      </c>
      <c r="J66" s="31" t="n">
        <v>0.22</v>
      </c>
      <c r="K66" s="31" t="n">
        <v>94009</v>
      </c>
      <c r="L66" s="30" t="n">
        <v>50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74.05</v>
      </c>
      <c r="P66" s="31" t="n">
        <v>42.73</v>
      </c>
      <c r="Q66" s="31" t="n">
        <v>2160.56</v>
      </c>
      <c r="R66" s="30" t="inlineStr">
        <is>
          <t>Near 52W High Breakout</t>
        </is>
      </c>
      <c r="S66" s="30" t="inlineStr">
        <is>
          <t>Nifty Pharma</t>
        </is>
      </c>
      <c r="T66" s="31" t="n">
        <v>20.76</v>
      </c>
      <c r="U66" s="31" t="n">
        <v>23.56</v>
      </c>
      <c r="V66" s="31" t="n">
        <v>2.32</v>
      </c>
      <c r="W66" s="31" t="n">
        <v>11.86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Between 12 to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Between 1.5 to 2</t>
        </is>
      </c>
      <c r="BU66" s="30">
        <f>IF(BT66="Above 2",0,IF(BT66="Between 1.5 to 2",5,IF(BT66="Less than 1.5",10,0)))</f>
        <v/>
      </c>
      <c r="BV66" s="30" t="inlineStr">
        <is>
          <t>Between 50% to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IF(B67=0,"",RANK(B67,$B$2:$B$395,0))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VADILALIND</t>
        </is>
      </c>
      <c r="D67" s="30" t="inlineStr">
        <is>
          <t>Vadilal Industries Limited</t>
        </is>
      </c>
      <c r="E67" s="30" t="inlineStr">
        <is>
          <t>fmcg</t>
        </is>
      </c>
      <c r="F67" s="30" t="inlineStr">
        <is>
          <t>food - processing - indian</t>
        </is>
      </c>
      <c r="G67" s="30" t="inlineStr">
        <is>
          <t>midcap</t>
        </is>
      </c>
      <c r="H67" s="31" t="n">
        <v>5304.62</v>
      </c>
      <c r="I67" s="31" t="n">
        <v>7370</v>
      </c>
      <c r="J67" s="31" t="n">
        <v>-0.14</v>
      </c>
      <c r="K67" s="31" t="n">
        <v>13138</v>
      </c>
      <c r="L67" s="30" t="n">
        <v>79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76.86</v>
      </c>
      <c r="P67" s="31" t="n">
        <v>40.77</v>
      </c>
      <c r="Q67" s="31" t="n">
        <v>5977.14</v>
      </c>
      <c r="R67" s="30" t="inlineStr">
        <is>
          <t>Near 52W High Breakout</t>
        </is>
      </c>
      <c r="S67" s="30" t="inlineStr">
        <is>
          <t>Nifty FMCG</t>
        </is>
      </c>
      <c r="T67" s="31" t="n">
        <v>-10.61</v>
      </c>
      <c r="U67" s="31" t="n">
        <v>34.56</v>
      </c>
      <c r="V67" s="31" t="n">
        <v>50.54</v>
      </c>
      <c r="W67" s="31" t="n">
        <v>23.08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B2C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IF(B68=0,"",RANK(B68,$B$2:$B$395,0))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HESTERBIO</t>
        </is>
      </c>
      <c r="D68" s="30" t="inlineStr">
        <is>
          <t>Hester Biosciences Limited</t>
        </is>
      </c>
      <c r="E68" s="30" t="inlineStr">
        <is>
          <t>healthcare</t>
        </is>
      </c>
      <c r="F68" s="30" t="inlineStr">
        <is>
          <t>pharmaceuticals - indian - formulations</t>
        </is>
      </c>
      <c r="G68" s="30" t="inlineStr">
        <is>
          <t>smallcap</t>
        </is>
      </c>
      <c r="H68" s="31" t="n">
        <v>2121.44</v>
      </c>
      <c r="I68" s="31" t="n">
        <v>2480</v>
      </c>
      <c r="J68" s="31" t="n">
        <v>-0.55</v>
      </c>
      <c r="K68" s="31" t="n">
        <v>9179</v>
      </c>
      <c r="L68" s="30" t="n">
        <v>58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71.87</v>
      </c>
      <c r="P68" s="31" t="n">
        <v>60.76</v>
      </c>
      <c r="Q68" s="31" t="n">
        <v>1897.54</v>
      </c>
      <c r="R68" s="30" t="inlineStr">
        <is>
          <t>Near 52W High Breakout</t>
        </is>
      </c>
      <c r="S68" s="30" t="inlineStr">
        <is>
          <t>Nifty Pharma</t>
        </is>
      </c>
      <c r="T68" s="31" t="n">
        <v>20.76</v>
      </c>
      <c r="U68" s="31" t="n">
        <v>31.94</v>
      </c>
      <c r="V68" s="31" t="n">
        <v>9.26</v>
      </c>
      <c r="W68" s="31" t="n">
        <v>14.35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IF(B69=0,"",RANK(B69,$B$2:$B$395,0))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GOKULAGRO</t>
        </is>
      </c>
      <c r="D69" s="30" t="inlineStr">
        <is>
          <t>Gokul Agro Resources Limited</t>
        </is>
      </c>
      <c r="E69" s="30" t="inlineStr">
        <is>
          <t>fmcg</t>
        </is>
      </c>
      <c r="F69" s="30" t="inlineStr">
        <is>
          <t>solvent extraction</t>
        </is>
      </c>
      <c r="G69" s="30" t="inlineStr">
        <is>
          <t>midcap</t>
        </is>
      </c>
      <c r="H69" s="31" t="n">
        <v>6700.24</v>
      </c>
      <c r="I69" s="31" t="n">
        <v>225.73</v>
      </c>
      <c r="J69" s="31" t="n">
        <v>-0.59</v>
      </c>
      <c r="K69" s="31" t="n">
        <v>143555</v>
      </c>
      <c r="L69" s="30" t="n">
        <v>42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58.63</v>
      </c>
      <c r="P69" s="31" t="n">
        <v>26.94</v>
      </c>
      <c r="Q69" s="31" t="n">
        <v>186.68</v>
      </c>
      <c r="R69" s="30" t="inlineStr">
        <is>
          <t>Earnings / Momentum Support</t>
        </is>
      </c>
      <c r="S69" s="30" t="inlineStr">
        <is>
          <t>Nifty FMCG</t>
        </is>
      </c>
      <c r="T69" s="31" t="n">
        <v>-10.61</v>
      </c>
      <c r="U69" s="31" t="n">
        <v>46.44</v>
      </c>
      <c r="V69" s="31" t="n">
        <v>63.83</v>
      </c>
      <c r="W69" s="31" t="n">
        <v>9.42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B2C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IF(B70=0,"",RANK(B70,$B$2:$B$395,0))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MATRIMONY</t>
        </is>
      </c>
      <c r="D70" s="30" t="inlineStr">
        <is>
          <t>Matrimony.com Ltd</t>
        </is>
      </c>
      <c r="E70" s="30" t="inlineStr">
        <is>
          <t>miscellaneous</t>
        </is>
      </c>
      <c r="F70" s="30" t="inlineStr">
        <is>
          <t>miscellaneous</t>
        </is>
      </c>
      <c r="G70" s="30" t="inlineStr">
        <is>
          <t>smallcap</t>
        </is>
      </c>
      <c r="H70" s="31" t="n">
        <v>993.05</v>
      </c>
      <c r="I70" s="31" t="n">
        <v>530</v>
      </c>
      <c r="J70" s="31" t="n">
        <v>10.34</v>
      </c>
      <c r="K70" s="31" t="n">
        <v>1199074</v>
      </c>
      <c r="L70" s="30" t="n">
        <v>32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68.70999999999999</v>
      </c>
      <c r="P70" s="31" t="n">
        <v>20.64</v>
      </c>
      <c r="Q70" s="31" t="n">
        <v>418.26</v>
      </c>
      <c r="R70" s="30" t="inlineStr">
        <is>
          <t>Volume Spike &amp; Near 52W High Breakout</t>
        </is>
      </c>
      <c r="S70" s="30" t="inlineStr">
        <is>
          <t>Nifty 50</t>
        </is>
      </c>
      <c r="T70" s="31" t="n">
        <v>-0.65</v>
      </c>
      <c r="U70" s="31" t="n">
        <v>6.61</v>
      </c>
      <c r="V70" s="31" t="n">
        <v>7.31</v>
      </c>
      <c r="W70" s="31" t="n">
        <v>7.64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Between 1.5 to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IF(B71=0,"",RANK(B71,$B$2:$B$395,0))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NILKAMAL</t>
        </is>
      </c>
      <c r="D71" s="30" t="inlineStr">
        <is>
          <t>Nilkamal Limited</t>
        </is>
      </c>
      <c r="E71" s="30" t="inlineStr">
        <is>
          <t>plastic products</t>
        </is>
      </c>
      <c r="F71" s="30" t="inlineStr">
        <is>
          <t>plastics products</t>
        </is>
      </c>
      <c r="G71" s="30" t="inlineStr">
        <is>
          <t>smallcap</t>
        </is>
      </c>
      <c r="H71" s="31" t="n">
        <v>2583.54</v>
      </c>
      <c r="I71" s="31" t="n">
        <v>1868.6</v>
      </c>
      <c r="J71" s="31" t="n">
        <v>7.93</v>
      </c>
      <c r="K71" s="31" t="n">
        <v>140018</v>
      </c>
      <c r="L71" s="30" t="n">
        <v>60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80.41</v>
      </c>
      <c r="P71" s="31" t="n">
        <v>29.29</v>
      </c>
      <c r="Q71" s="31" t="n">
        <v>1493.34</v>
      </c>
      <c r="R71" s="30" t="inlineStr">
        <is>
          <t>Near 52W High Breakout</t>
        </is>
      </c>
      <c r="S71" s="30" t="inlineStr">
        <is>
          <t>Nifty 50</t>
        </is>
      </c>
      <c r="T71" s="31" t="n">
        <v>-0.65</v>
      </c>
      <c r="U71" s="31" t="n">
        <v>20.94</v>
      </c>
      <c r="V71" s="31" t="n">
        <v>21.73</v>
      </c>
      <c r="W71" s="31" t="n">
        <v>15.12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IF(B72=0,"",RANK(B72,$B$2:$B$395,0))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NAUKRI</t>
        </is>
      </c>
      <c r="D72" s="30" t="inlineStr">
        <is>
          <t>Info Edge (india) Limited</t>
        </is>
      </c>
      <c r="E72" s="30" t="inlineStr">
        <is>
          <t>i.t</t>
        </is>
      </c>
      <c r="F72" s="30" t="inlineStr">
        <is>
          <t>miscellaneous</t>
        </is>
      </c>
      <c r="G72" s="30" t="inlineStr">
        <is>
          <t>largecap</t>
        </is>
      </c>
      <c r="H72" s="31" t="n">
        <v>83127.52</v>
      </c>
      <c r="I72" s="31" t="n">
        <v>1360</v>
      </c>
      <c r="J72" s="31" t="n">
        <v>6.08</v>
      </c>
      <c r="K72" s="31" t="n">
        <v>19850886</v>
      </c>
      <c r="L72" s="30" t="n">
        <v>50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70.34</v>
      </c>
      <c r="P72" s="31" t="n">
        <v>23.02</v>
      </c>
      <c r="Q72" s="31" t="n">
        <v>1099.79</v>
      </c>
      <c r="R72" s="30" t="inlineStr">
        <is>
          <t>Near 52W High Breakout</t>
        </is>
      </c>
      <c r="S72" s="30" t="inlineStr">
        <is>
          <t>Nifty IT</t>
        </is>
      </c>
      <c r="T72" s="31" t="n">
        <v>-8.640000000000001</v>
      </c>
      <c r="U72" s="31" t="n">
        <v>0.31</v>
      </c>
      <c r="V72" s="31" t="n">
        <v>9.800000000000001</v>
      </c>
      <c r="W72" s="31" t="n">
        <v>11.76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IF(B73=0,"",RANK(B73,$B$2:$B$395,0))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MODISONLTD</t>
        </is>
      </c>
      <c r="D73" s="30" t="inlineStr">
        <is>
          <t>Modison Ltd</t>
        </is>
      </c>
      <c r="E73" s="30" t="inlineStr">
        <is>
          <t>industrials</t>
        </is>
      </c>
      <c r="F73" s="30" t="inlineStr">
        <is>
          <t>electric equipment</t>
        </is>
      </c>
      <c r="G73" s="30" t="inlineStr">
        <is>
          <t>smallcap</t>
        </is>
      </c>
      <c r="H73" s="31" t="n">
        <v>950.3</v>
      </c>
      <c r="I73" s="31" t="n">
        <v>307.45</v>
      </c>
      <c r="J73" s="31" t="n">
        <v>4.99</v>
      </c>
      <c r="K73" s="31" t="n">
        <v>70326</v>
      </c>
      <c r="L73" s="30" t="n">
        <v>93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65.45</v>
      </c>
      <c r="P73" s="31" t="n">
        <v>55.58</v>
      </c>
      <c r="Q73" s="31" t="n">
        <v>267.94</v>
      </c>
      <c r="R73" s="30" t="inlineStr">
        <is>
          <t>Earnings / Momentum Support</t>
        </is>
      </c>
      <c r="S73" s="30" t="inlineStr">
        <is>
          <t>Nifty 50</t>
        </is>
      </c>
      <c r="T73" s="31" t="n">
        <v>-0.65</v>
      </c>
      <c r="U73" s="31" t="n">
        <v>99.89</v>
      </c>
      <c r="V73" s="31" t="n">
        <v>101.2</v>
      </c>
      <c r="W73" s="31" t="n">
        <v>37.72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IF(B74=0,"",RANK(B74,$B$2:$B$395,0))</f>
        <v/>
      </c>
      <c r="B74" s="31">
        <f>SUM(N74,Y74,AA74,AC74,AE74,AG74,AI74,AK74,AM74,AO74,AQ74,AS74,AU74,AW74,AY74,BA74,BC74,BE74,BG74,BI74,BK74,BM74,BO74,BQ74,BS74,BU74,BW74,BY74,CA74,CC74,CE74)</f>
        <v/>
      </c>
      <c r="C74" s="32" t="inlineStr">
        <is>
          <t>SREEL</t>
        </is>
      </c>
      <c r="D74" s="32" t="inlineStr">
        <is>
          <t>Sreeleathers Limited</t>
        </is>
      </c>
      <c r="E74" s="30" t="inlineStr">
        <is>
          <t>consumer discretionary</t>
        </is>
      </c>
      <c r="F74" s="30" t="inlineStr">
        <is>
          <t>trading</t>
        </is>
      </c>
      <c r="G74" s="30" t="inlineStr">
        <is>
          <t>smallcap</t>
        </is>
      </c>
      <c r="H74" s="31" t="n">
        <v>512.24</v>
      </c>
      <c r="I74" s="31" t="n">
        <v>231.8</v>
      </c>
      <c r="J74" s="31" t="n">
        <v>4.78</v>
      </c>
      <c r="K74" s="31" t="n">
        <v>64048</v>
      </c>
      <c r="L74" s="30" t="n">
        <v>18</v>
      </c>
      <c r="M74" s="30" t="inlineStr">
        <is>
          <t>Underperforming</t>
        </is>
      </c>
      <c r="N74" s="31">
        <f>IF(M74="Underperforming",-5,IF(L74&gt;=95,15,IF(L74&gt;=90,10,IF(L74&gt;=80,5,0))))</f>
        <v/>
      </c>
      <c r="O74" s="31" t="n">
        <v>63.38</v>
      </c>
      <c r="P74" s="31" t="n">
        <v>39.1</v>
      </c>
      <c r="Q74" s="31" t="n">
        <v>180.3</v>
      </c>
      <c r="R74" s="30" t="inlineStr">
        <is>
          <t>Near 52W High Breakout</t>
        </is>
      </c>
      <c r="S74" s="30" t="inlineStr">
        <is>
          <t>Nifty 50</t>
        </is>
      </c>
      <c r="T74" s="31" t="n">
        <v>-0.65</v>
      </c>
      <c r="U74" s="31" t="n">
        <v>-2.85</v>
      </c>
      <c r="V74" s="31" t="n">
        <v>-2.22</v>
      </c>
      <c r="W74" s="31" t="n">
        <v>4.28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IF(B75=0,"",RANK(B75,$B$2:$B$395,0))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ARVIND</t>
        </is>
      </c>
      <c r="D75" s="30" t="inlineStr">
        <is>
          <t>Arvind Limited</t>
        </is>
      </c>
      <c r="E75" s="30" t="inlineStr">
        <is>
          <t>textiles</t>
        </is>
      </c>
      <c r="F75" s="30" t="inlineStr">
        <is>
          <t>textiles - cotton/blended</t>
        </is>
      </c>
      <c r="G75" s="30" t="inlineStr">
        <is>
          <t>midcap</t>
        </is>
      </c>
      <c r="H75" s="31" t="n">
        <v>14434.72</v>
      </c>
      <c r="I75" s="31" t="n">
        <v>567.65</v>
      </c>
      <c r="J75" s="31" t="n">
        <v>3.09</v>
      </c>
      <c r="K75" s="31" t="n">
        <v>1045064</v>
      </c>
      <c r="L75" s="30" t="n">
        <v>73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70.53</v>
      </c>
      <c r="P75" s="31" t="n">
        <v>61.55</v>
      </c>
      <c r="Q75" s="31" t="n">
        <v>454.06</v>
      </c>
      <c r="R75" s="30" t="inlineStr">
        <is>
          <t>Near 52W High Breakout</t>
        </is>
      </c>
      <c r="S75" s="30" t="inlineStr">
        <is>
          <t>Nifty 50</t>
        </is>
      </c>
      <c r="T75" s="31" t="n">
        <v>-0.65</v>
      </c>
      <c r="U75" s="31" t="n">
        <v>97.75</v>
      </c>
      <c r="V75" s="31" t="n">
        <v>99.04000000000001</v>
      </c>
      <c r="W75" s="31" t="n">
        <v>20.1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Less than 12%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IF(B76=0,"",RANK(B76,$B$2:$B$395,0))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AETHER</t>
        </is>
      </c>
      <c r="D76" s="30" t="inlineStr">
        <is>
          <t>Aether Industries Ltd</t>
        </is>
      </c>
      <c r="E76" s="30" t="inlineStr">
        <is>
          <t>chemicals</t>
        </is>
      </c>
      <c r="F76" s="30" t="inlineStr">
        <is>
          <t>chemicals</t>
        </is>
      </c>
      <c r="G76" s="30" t="inlineStr">
        <is>
          <t>largecap</t>
        </is>
      </c>
      <c r="H76" s="31" t="n">
        <v>21200.83</v>
      </c>
      <c r="I76" s="31" t="n">
        <v>1634.2</v>
      </c>
      <c r="J76" s="31" t="n">
        <v>2.3</v>
      </c>
      <c r="K76" s="31" t="n">
        <v>214948</v>
      </c>
      <c r="L76" s="30" t="n">
        <v>84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76.29000000000001</v>
      </c>
      <c r="P76" s="31" t="n">
        <v>45.92</v>
      </c>
      <c r="Q76" s="31" t="n">
        <v>1323.04</v>
      </c>
      <c r="R76" s="30" t="inlineStr">
        <is>
          <t>Near 52W High Breakout</t>
        </is>
      </c>
      <c r="S76" s="30" t="inlineStr">
        <is>
          <t>Nifty 50</t>
        </is>
      </c>
      <c r="T76" s="31" t="n">
        <v>-0.65</v>
      </c>
      <c r="U76" s="31" t="n">
        <v>120.38</v>
      </c>
      <c r="V76" s="31" t="n">
        <v>121.81</v>
      </c>
      <c r="W76" s="31" t="n">
        <v>27.48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IF(B77=0,"",RANK(B77,$B$2:$B$395,0))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RRKABEL</t>
        </is>
      </c>
      <c r="D77" s="30" t="inlineStr">
        <is>
          <t>R R Kabel Ltd</t>
        </is>
      </c>
      <c r="E77" s="30" t="inlineStr">
        <is>
          <t>industrials</t>
        </is>
      </c>
      <c r="F77" s="30" t="inlineStr">
        <is>
          <t>cables - power</t>
        </is>
      </c>
      <c r="G77" s="30" t="inlineStr">
        <is>
          <t>largecap</t>
        </is>
      </c>
      <c r="H77" s="31" t="n">
        <v>31182.06</v>
      </c>
      <c r="I77" s="31" t="n">
        <v>2812.8</v>
      </c>
      <c r="J77" s="31" t="n">
        <v>2.03</v>
      </c>
      <c r="K77" s="31" t="n">
        <v>311904</v>
      </c>
      <c r="L77" s="30" t="n">
        <v>94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77.86</v>
      </c>
      <c r="P77" s="31" t="n">
        <v>67.23</v>
      </c>
      <c r="Q77" s="31" t="n">
        <v>2246.76</v>
      </c>
      <c r="R77" s="30" t="inlineStr">
        <is>
          <t>Near 52W High Breakout</t>
        </is>
      </c>
      <c r="S77" s="30" t="inlineStr">
        <is>
          <t>Nifty Energy</t>
        </is>
      </c>
      <c r="T77" s="31" t="n">
        <v>9.81</v>
      </c>
      <c r="U77" s="31" t="n">
        <v>102.55</v>
      </c>
      <c r="V77" s="31" t="n">
        <v>84.45999999999999</v>
      </c>
      <c r="W77" s="31" t="n">
        <v>39.15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IF(B78=0,"",RANK(B78,$B$2:$B$395,0))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FIEMIND</t>
        </is>
      </c>
      <c r="D78" s="30" t="inlineStr">
        <is>
          <t>Fiem Industries Limited</t>
        </is>
      </c>
      <c r="E78" s="30" t="inlineStr">
        <is>
          <t>auto</t>
        </is>
      </c>
      <c r="F78" s="30" t="inlineStr">
        <is>
          <t>auto ancillaries</t>
        </is>
      </c>
      <c r="G78" s="30" t="inlineStr">
        <is>
          <t>midcap</t>
        </is>
      </c>
      <c r="H78" s="31" t="n">
        <v>6683.35</v>
      </c>
      <c r="I78" s="31" t="n">
        <v>2589</v>
      </c>
      <c r="J78" s="31" t="n">
        <v>1.96</v>
      </c>
      <c r="K78" s="31" t="n">
        <v>95859</v>
      </c>
      <c r="L78" s="30" t="n">
        <v>45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72.72</v>
      </c>
      <c r="P78" s="31" t="n">
        <v>26.83</v>
      </c>
      <c r="Q78" s="31" t="n">
        <v>2149.24</v>
      </c>
      <c r="R78" s="30" t="inlineStr">
        <is>
          <t>Near 52W High Breakout</t>
        </is>
      </c>
      <c r="S78" s="30" t="inlineStr">
        <is>
          <t>Nifty Auto</t>
        </is>
      </c>
      <c r="T78" s="31" t="n">
        <v>23.87</v>
      </c>
      <c r="U78" s="31" t="n">
        <v>32.73</v>
      </c>
      <c r="V78" s="31" t="n">
        <v>7.15</v>
      </c>
      <c r="W78" s="31" t="n">
        <v>10.35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Less than 50%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IF(B79=0,"",RANK(B79,$B$2:$B$395,0))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DIVGIITTS</t>
        </is>
      </c>
      <c r="D79" s="30" t="inlineStr">
        <is>
          <t>Divgi Torqtransfer Systems Ltd</t>
        </is>
      </c>
      <c r="E79" s="30" t="inlineStr">
        <is>
          <t>auto</t>
        </is>
      </c>
      <c r="F79" s="30" t="inlineStr">
        <is>
          <t>auto ancillaries</t>
        </is>
      </c>
      <c r="G79" s="30" t="inlineStr">
        <is>
          <t>smallcap</t>
        </is>
      </c>
      <c r="H79" s="31" t="n">
        <v>3230.17</v>
      </c>
      <c r="I79" s="31" t="n">
        <v>1076.4</v>
      </c>
      <c r="J79" s="31" t="n">
        <v>1.91</v>
      </c>
      <c r="K79" s="31" t="n">
        <v>157986</v>
      </c>
      <c r="L79" s="30" t="n">
        <v>75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70.39</v>
      </c>
      <c r="P79" s="31" t="n">
        <v>44.36</v>
      </c>
      <c r="Q79" s="31" t="n">
        <v>829.1799999999999</v>
      </c>
      <c r="R79" s="30" t="inlineStr">
        <is>
          <t>Near 52W High Breakout</t>
        </is>
      </c>
      <c r="S79" s="30" t="inlineStr">
        <is>
          <t>Nifty Auto</t>
        </is>
      </c>
      <c r="T79" s="31" t="n">
        <v>23.87</v>
      </c>
      <c r="U79" s="31" t="n">
        <v>67.52</v>
      </c>
      <c r="V79" s="31" t="n">
        <v>35.24</v>
      </c>
      <c r="W79" s="31" t="n">
        <v>21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Between 50% to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IF(B80=0,"",RANK(B80,$B$2:$B$395,0))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UFBL</t>
        </is>
      </c>
      <c r="D80" s="30" t="inlineStr">
        <is>
          <t>United Foodbrands Ltd</t>
        </is>
      </c>
      <c r="E80" s="30" t="inlineStr">
        <is>
          <t>consumer discretionary</t>
        </is>
      </c>
      <c r="F80" s="30" t="inlineStr">
        <is>
          <t>hotels</t>
        </is>
      </c>
      <c r="G80" s="30" t="inlineStr">
        <is>
          <t>smallcap</t>
        </is>
      </c>
      <c r="H80" s="31" t="n">
        <v>3119.48</v>
      </c>
      <c r="I80" s="31" t="n">
        <v>810</v>
      </c>
      <c r="J80" s="31" t="n">
        <v>1.49</v>
      </c>
      <c r="K80" s="31" t="n">
        <v>110749</v>
      </c>
      <c r="L80" s="30" t="n">
        <v>98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79.94</v>
      </c>
      <c r="P80" s="31" t="n">
        <v>56.36</v>
      </c>
      <c r="Q80" s="31" t="n">
        <v>601.55</v>
      </c>
      <c r="R80" s="30" t="inlineStr">
        <is>
          <t>Near 52W High Breakout</t>
        </is>
      </c>
      <c r="S80" s="30" t="inlineStr">
        <is>
          <t>Nifty 50</t>
        </is>
      </c>
      <c r="T80" s="31" t="n">
        <v>-0.65</v>
      </c>
      <c r="U80" s="31" t="n">
        <v>218.68</v>
      </c>
      <c r="V80" s="31" t="n">
        <v>220.76</v>
      </c>
      <c r="W80" s="31" t="n">
        <v>59.82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Between 1.5 to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More than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IF(B81=0,"",RANK(B81,$B$2:$B$395,0))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THELEELA</t>
        </is>
      </c>
      <c r="D81" s="30" t="inlineStr">
        <is>
          <t>Leela Palaces Hotels &amp; Resorts Ltd</t>
        </is>
      </c>
      <c r="E81" s="30" t="inlineStr">
        <is>
          <t>services</t>
        </is>
      </c>
      <c r="F81" s="30" t="inlineStr">
        <is>
          <t>hotels</t>
        </is>
      </c>
      <c r="G81" s="30" t="inlineStr">
        <is>
          <t>midcap</t>
        </is>
      </c>
      <c r="H81" s="31" t="n">
        <v>16931.66</v>
      </c>
      <c r="I81" s="31" t="n">
        <v>512.25</v>
      </c>
      <c r="J81" s="31" t="n">
        <v>1.04</v>
      </c>
      <c r="K81" s="31" t="n">
        <v>268993</v>
      </c>
      <c r="L81" s="30" t="n">
        <v>36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63.49</v>
      </c>
      <c r="P81" s="31" t="n">
        <v>26.46</v>
      </c>
      <c r="Q81" s="31" t="n">
        <v>421.97</v>
      </c>
      <c r="R81" s="30" t="inlineStr">
        <is>
          <t>Near 52W High Breakout</t>
        </is>
      </c>
      <c r="S81" s="30" t="inlineStr">
        <is>
          <t>Nifty 50</t>
        </is>
      </c>
      <c r="T81" s="31" t="n">
        <v>-0.65</v>
      </c>
      <c r="U81" s="31" t="n">
        <v>16.63</v>
      </c>
      <c r="V81" s="31" t="n">
        <v>17.39</v>
      </c>
      <c r="W81" s="31" t="n">
        <v>8.369999999999999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IF(B82=0,"",RANK(B82,$B$2:$B$395,0))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SHRIPISTON</t>
        </is>
      </c>
      <c r="D82" s="30" t="inlineStr">
        <is>
          <t>Shriram Pistons &amp; Rings Limited</t>
        </is>
      </c>
      <c r="E82" s="30" t="inlineStr">
        <is>
          <t>auto</t>
        </is>
      </c>
      <c r="F82" s="30" t="inlineStr">
        <is>
          <t>auto ancillaries</t>
        </is>
      </c>
      <c r="G82" s="30" t="inlineStr">
        <is>
          <t>midcap</t>
        </is>
      </c>
      <c r="H82" s="31" t="n">
        <v>19428.62</v>
      </c>
      <c r="I82" s="31" t="n">
        <v>4454</v>
      </c>
      <c r="J82" s="31" t="n">
        <v>0.98</v>
      </c>
      <c r="K82" s="31" t="n">
        <v>48153</v>
      </c>
      <c r="L82" s="30" t="n">
        <v>72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73.37</v>
      </c>
      <c r="P82" s="31" t="n">
        <v>43.19</v>
      </c>
      <c r="Q82" s="31" t="n">
        <v>3554.83</v>
      </c>
      <c r="R82" s="30" t="inlineStr">
        <is>
          <t>Near 52W High Breakout</t>
        </is>
      </c>
      <c r="S82" s="30" t="inlineStr">
        <is>
          <t>Nifty Auto</t>
        </is>
      </c>
      <c r="T82" s="31" t="n">
        <v>23.87</v>
      </c>
      <c r="U82" s="31" t="n">
        <v>83.31999999999999</v>
      </c>
      <c r="V82" s="31" t="n">
        <v>47.99</v>
      </c>
      <c r="W82" s="31" t="n">
        <v>19.01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Less than 12%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IF(B83=0,"",RANK(B83,$B$2:$B$395,0))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SEAMECLTD</t>
        </is>
      </c>
      <c r="D83" s="30" t="inlineStr">
        <is>
          <t>Seamec Limited</t>
        </is>
      </c>
      <c r="E83" s="30" t="inlineStr">
        <is>
          <t>miscellaneous</t>
        </is>
      </c>
      <c r="F83" s="30" t="inlineStr">
        <is>
          <t>miscellaneous</t>
        </is>
      </c>
      <c r="G83" s="30" t="inlineStr">
        <is>
          <t>smallcap</t>
        </is>
      </c>
      <c r="H83" s="31" t="n">
        <v>3899.69</v>
      </c>
      <c r="I83" s="31" t="n">
        <v>1548.9</v>
      </c>
      <c r="J83" s="31" t="n">
        <v>0.98</v>
      </c>
      <c r="K83" s="31" t="n">
        <v>31387</v>
      </c>
      <c r="L83" s="30" t="n">
        <v>59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60.08</v>
      </c>
      <c r="P83" s="31" t="n">
        <v>24.51</v>
      </c>
      <c r="Q83" s="31" t="n">
        <v>1251.68</v>
      </c>
      <c r="R83" s="30" t="inlineStr">
        <is>
          <t>Near 52W High Breakout</t>
        </is>
      </c>
      <c r="S83" s="30" t="inlineStr">
        <is>
          <t>Nifty 50</t>
        </is>
      </c>
      <c r="T83" s="31" t="n">
        <v>-0.65</v>
      </c>
      <c r="U83" s="31" t="n">
        <v>80.58</v>
      </c>
      <c r="V83" s="31" t="n">
        <v>81.76000000000001</v>
      </c>
      <c r="W83" s="31" t="n">
        <v>14.8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IF(B84=0,"",RANK(B84,$B$2:$B$395,0))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AVALON</t>
        </is>
      </c>
      <c r="D84" s="30" t="inlineStr">
        <is>
          <t>Avalon Technologies Ltd</t>
        </is>
      </c>
      <c r="E84" s="30" t="inlineStr">
        <is>
          <t>consumer discretionary</t>
        </is>
      </c>
      <c r="F84" s="30" t="inlineStr">
        <is>
          <t>electronics - components</t>
        </is>
      </c>
      <c r="G84" s="30" t="inlineStr">
        <is>
          <t>midcap</t>
        </is>
      </c>
      <c r="H84" s="31" t="n">
        <v>12852.58</v>
      </c>
      <c r="I84" s="31" t="n">
        <v>1938.3</v>
      </c>
      <c r="J84" s="31" t="n">
        <v>0.76</v>
      </c>
      <c r="K84" s="31" t="n">
        <v>212948</v>
      </c>
      <c r="L84" s="30" t="n">
        <v>86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77.45</v>
      </c>
      <c r="P84" s="31" t="n">
        <v>58.39</v>
      </c>
      <c r="Q84" s="31" t="n">
        <v>1508.18</v>
      </c>
      <c r="R84" s="30" t="inlineStr">
        <is>
          <t>Near 52W High Breakout</t>
        </is>
      </c>
      <c r="S84" s="30" t="inlineStr">
        <is>
          <t>Nifty 50</t>
        </is>
      </c>
      <c r="T84" s="31" t="n">
        <v>-0.65</v>
      </c>
      <c r="U84" s="31" t="n">
        <v>131.37</v>
      </c>
      <c r="V84" s="31" t="n">
        <v>132.88</v>
      </c>
      <c r="W84" s="31" t="n">
        <v>28.83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IF(B85=0,"",RANK(B85,$B$2:$B$395,0))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OCCLLTD</t>
        </is>
      </c>
      <c r="D85" s="30" t="inlineStr">
        <is>
          <t>OCCL Ltd</t>
        </is>
      </c>
      <c r="E85" s="30" t="inlineStr">
        <is>
          <t>chemicals</t>
        </is>
      </c>
      <c r="F85" s="30" t="inlineStr">
        <is>
          <t>chemicals</t>
        </is>
      </c>
      <c r="G85" s="30" t="inlineStr">
        <is>
          <t>smallcap</t>
        </is>
      </c>
      <c r="H85" s="31" t="n">
        <v>780.1799999999999</v>
      </c>
      <c r="I85" s="31" t="n">
        <v>156</v>
      </c>
      <c r="J85" s="31" t="n">
        <v>-0.12</v>
      </c>
      <c r="K85" s="31" t="n">
        <v>57259</v>
      </c>
      <c r="L85" s="30" t="n">
        <v>74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75.66</v>
      </c>
      <c r="P85" s="31" t="n">
        <v>39.26</v>
      </c>
      <c r="Q85" s="31" t="n">
        <v>115.85</v>
      </c>
      <c r="R85" s="30" t="inlineStr">
        <is>
          <t>Near 52W High Breakout</t>
        </is>
      </c>
      <c r="S85" s="30" t="inlineStr">
        <is>
          <t>Nifty 50</t>
        </is>
      </c>
      <c r="T85" s="31" t="n">
        <v>-0.65</v>
      </c>
      <c r="U85" s="31" t="n">
        <v>17.23</v>
      </c>
      <c r="V85" s="31" t="n">
        <v>18</v>
      </c>
      <c r="W85" s="31" t="n">
        <v>20.82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IF(B86=0,"",RANK(B86,$B$2:$B$395,0))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WELCORP</t>
        </is>
      </c>
      <c r="D86" s="30" t="inlineStr">
        <is>
          <t>Welspun Corp Limited</t>
        </is>
      </c>
      <c r="E86" s="30" t="inlineStr">
        <is>
          <t>industrials</t>
        </is>
      </c>
      <c r="F86" s="30" t="inlineStr">
        <is>
          <t>steel - large</t>
        </is>
      </c>
      <c r="G86" s="30" t="inlineStr">
        <is>
          <t>largecap</t>
        </is>
      </c>
      <c r="H86" s="31" t="n">
        <v>48761.7</v>
      </c>
      <c r="I86" s="31" t="n">
        <v>1843.9</v>
      </c>
      <c r="J86" s="31" t="n">
        <v>-0.25</v>
      </c>
      <c r="K86" s="31" t="n">
        <v>768460</v>
      </c>
      <c r="L86" s="30" t="n">
        <v>88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87.97</v>
      </c>
      <c r="P86" s="31" t="n">
        <v>70.73</v>
      </c>
      <c r="Q86" s="31" t="n">
        <v>1531.44</v>
      </c>
      <c r="R86" s="30" t="inlineStr">
        <is>
          <t>Near 52W High Breakout</t>
        </is>
      </c>
      <c r="S86" s="30" t="inlineStr">
        <is>
          <t>Nifty Metal</t>
        </is>
      </c>
      <c r="T86" s="31" t="n">
        <v>39</v>
      </c>
      <c r="U86" s="31" t="n">
        <v>107.8</v>
      </c>
      <c r="V86" s="31" t="n">
        <v>49.5</v>
      </c>
      <c r="W86" s="31" t="n">
        <v>30.44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IF(B87=0,"",RANK(B87,$B$2:$B$395,0))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KRONOX</t>
        </is>
      </c>
      <c r="D87" s="30" t="inlineStr">
        <is>
          <t>Kronox Lab Sciences Ltd</t>
        </is>
      </c>
      <c r="E87" s="30" t="inlineStr">
        <is>
          <t>chemicals</t>
        </is>
      </c>
      <c r="F87" s="30" t="inlineStr">
        <is>
          <t>chemicals</t>
        </is>
      </c>
      <c r="G87" s="30" t="inlineStr">
        <is>
          <t>smallcap</t>
        </is>
      </c>
      <c r="H87" s="31" t="n">
        <v>622.27</v>
      </c>
      <c r="I87" s="31" t="n">
        <v>166.45</v>
      </c>
      <c r="J87" s="31" t="n">
        <v>-0.75</v>
      </c>
      <c r="K87" s="31" t="n">
        <v>125649</v>
      </c>
      <c r="L87" s="30" t="n">
        <v>30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66.11</v>
      </c>
      <c r="P87" s="31" t="n">
        <v>24.74</v>
      </c>
      <c r="Q87" s="31" t="n">
        <v>124.3</v>
      </c>
      <c r="R87" s="30" t="inlineStr">
        <is>
          <t>Near 52W High Breakout</t>
        </is>
      </c>
      <c r="S87" s="30" t="inlineStr">
        <is>
          <t>Nifty 50</t>
        </is>
      </c>
      <c r="T87" s="31" t="n">
        <v>-0.65</v>
      </c>
      <c r="U87" s="31" t="n">
        <v>3.94</v>
      </c>
      <c r="V87" s="31" t="n">
        <v>4.61</v>
      </c>
      <c r="W87" s="31" t="n">
        <v>7.28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Between 50% to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IF(B88=0,"",RANK(B88,$B$2:$B$395,0))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NETWEB</t>
        </is>
      </c>
      <c r="D88" s="30" t="inlineStr">
        <is>
          <t>Netweb Technologies India Ltd</t>
        </is>
      </c>
      <c r="E88" s="30" t="inlineStr">
        <is>
          <t>i.t</t>
        </is>
      </c>
      <c r="F88" s="30" t="inlineStr">
        <is>
          <t>computers - hardware</t>
        </is>
      </c>
      <c r="G88" s="30" t="inlineStr">
        <is>
          <t>largecap</t>
        </is>
      </c>
      <c r="H88" s="31" t="n">
        <v>27918.02</v>
      </c>
      <c r="I88" s="31" t="n">
        <v>4859.8</v>
      </c>
      <c r="J88" s="31" t="n">
        <v>-0.88</v>
      </c>
      <c r="K88" s="31" t="n">
        <v>682980</v>
      </c>
      <c r="L88" s="30" t="n">
        <v>82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61.66</v>
      </c>
      <c r="P88" s="31" t="n">
        <v>39.31</v>
      </c>
      <c r="Q88" s="31" t="n">
        <v>3748.41</v>
      </c>
      <c r="R88" s="30" t="inlineStr">
        <is>
          <t>Near 52W High Breakout</t>
        </is>
      </c>
      <c r="S88" s="30" t="inlineStr">
        <is>
          <t>Nifty IT</t>
        </is>
      </c>
      <c r="T88" s="31" t="n">
        <v>-8.640000000000001</v>
      </c>
      <c r="U88" s="31" t="n">
        <v>129.12</v>
      </c>
      <c r="V88" s="31" t="n">
        <v>150.79</v>
      </c>
      <c r="W88" s="31" t="n">
        <v>25.86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IF(B89=0,"",RANK(B89,$B$2:$B$395,0))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GARFIBRES</t>
        </is>
      </c>
      <c r="D89" s="30" t="inlineStr">
        <is>
          <t>Garware Technical Fibres Ltd</t>
        </is>
      </c>
      <c r="E89" s="30" t="inlineStr">
        <is>
          <t>textiles</t>
        </is>
      </c>
      <c r="F89" s="30" t="inlineStr">
        <is>
          <t>textiles - products</t>
        </is>
      </c>
      <c r="G89" s="30" t="inlineStr">
        <is>
          <t>midcap</t>
        </is>
      </c>
      <c r="H89" s="31" t="n">
        <v>7805.52</v>
      </c>
      <c r="I89" s="31" t="n">
        <v>791.65</v>
      </c>
      <c r="J89" s="31" t="n">
        <v>-0.96</v>
      </c>
      <c r="K89" s="31" t="n">
        <v>38619</v>
      </c>
      <c r="L89" s="30" t="n">
        <v>27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59.94</v>
      </c>
      <c r="P89" s="31" t="n">
        <v>38.49</v>
      </c>
      <c r="Q89" s="31" t="n">
        <v>631.86</v>
      </c>
      <c r="R89" s="30" t="inlineStr">
        <is>
          <t>Near 52W High Breakout</t>
        </is>
      </c>
      <c r="S89" s="30" t="inlineStr">
        <is>
          <t>Nifty 50</t>
        </is>
      </c>
      <c r="T89" s="31" t="n">
        <v>-0.65</v>
      </c>
      <c r="U89" s="31" t="n">
        <v>0.99</v>
      </c>
      <c r="V89" s="31" t="n">
        <v>1.65</v>
      </c>
      <c r="W89" s="31" t="n">
        <v>5.98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Between 1.5 to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IF(B90=0,"",RANK(B90,$B$2:$B$395,0))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HAPPYFORGE</t>
        </is>
      </c>
      <c r="D90" s="30" t="inlineStr">
        <is>
          <t>Happy Forgings Ltd</t>
        </is>
      </c>
      <c r="E90" s="30" t="inlineStr">
        <is>
          <t>industrials</t>
        </is>
      </c>
      <c r="F90" s="30" t="inlineStr">
        <is>
          <t>castings &amp; forgings</t>
        </is>
      </c>
      <c r="G90" s="30" t="inlineStr">
        <is>
          <t>midcap</t>
        </is>
      </c>
      <c r="H90" s="31" t="n">
        <v>18177.34</v>
      </c>
      <c r="I90" s="31" t="n">
        <v>1906.4</v>
      </c>
      <c r="J90" s="31" t="n">
        <v>-1.02</v>
      </c>
      <c r="K90" s="31" t="n">
        <v>141867</v>
      </c>
      <c r="L90" s="30" t="n">
        <v>79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82.39</v>
      </c>
      <c r="P90" s="31" t="n">
        <v>52.76</v>
      </c>
      <c r="Q90" s="31" t="n">
        <v>1559.17</v>
      </c>
      <c r="R90" s="30" t="inlineStr">
        <is>
          <t>Near 52W High Breakout</t>
        </is>
      </c>
      <c r="S90" s="30" t="inlineStr">
        <is>
          <t>Nifty 50</t>
        </is>
      </c>
      <c r="T90" s="31" t="n">
        <v>-0.65</v>
      </c>
      <c r="U90" s="31" t="n">
        <v>102.19</v>
      </c>
      <c r="V90" s="31" t="n">
        <v>103.51</v>
      </c>
      <c r="W90" s="31" t="n">
        <v>23.51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IF(B91=0,"",RANK(B91,$B$2:$B$395,0))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KENNAMET</t>
        </is>
      </c>
      <c r="D91" s="30" t="inlineStr">
        <is>
          <t>Kennametal India Ltd</t>
        </is>
      </c>
      <c r="E91" s="30" t="inlineStr">
        <is>
          <t>industrials</t>
        </is>
      </c>
      <c r="F91" s="30" t="inlineStr">
        <is>
          <t>castings &amp; forgings</t>
        </is>
      </c>
      <c r="G91" s="30" t="inlineStr">
        <is>
          <t>midcap</t>
        </is>
      </c>
      <c r="H91" s="31" t="n">
        <v>7346.45</v>
      </c>
      <c r="I91" s="31" t="n">
        <v>3301.9</v>
      </c>
      <c r="J91" s="31" t="n">
        <v>-1.22</v>
      </c>
      <c r="K91" s="31" t="n">
        <v>14198</v>
      </c>
      <c r="L91" s="30" t="n">
        <v>64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70.25</v>
      </c>
      <c r="P91" s="31" t="n">
        <v>43.29</v>
      </c>
      <c r="Q91" s="31" t="n">
        <v>2619.46</v>
      </c>
      <c r="R91" s="30" t="inlineStr">
        <is>
          <t>Near 52W High Breakout</t>
        </is>
      </c>
      <c r="S91" s="30" t="inlineStr">
        <is>
          <t>Nifty Infra</t>
        </is>
      </c>
      <c r="T91" s="31" t="n">
        <v>3.51</v>
      </c>
      <c r="U91" s="31" t="n">
        <v>46.19</v>
      </c>
      <c r="V91" s="31" t="n">
        <v>41.24</v>
      </c>
      <c r="W91" s="31" t="n">
        <v>16.29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IF(B92=0,"",RANK(B92,$B$2:$B$395,0))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SSWL</t>
        </is>
      </c>
      <c r="D92" s="30" t="inlineStr">
        <is>
          <t>Steel Strips Wheels Limited</t>
        </is>
      </c>
      <c r="E92" s="30" t="inlineStr">
        <is>
          <t>auto</t>
        </is>
      </c>
      <c r="F92" s="30" t="inlineStr">
        <is>
          <t>auto ancillaries</t>
        </is>
      </c>
      <c r="G92" s="30" t="inlineStr">
        <is>
          <t>midcap</t>
        </is>
      </c>
      <c r="H92" s="31" t="n">
        <v>5054.92</v>
      </c>
      <c r="I92" s="31" t="n">
        <v>317.4</v>
      </c>
      <c r="J92" s="31" t="n">
        <v>-1.31</v>
      </c>
      <c r="K92" s="31" t="n">
        <v>354982</v>
      </c>
      <c r="L92" s="30" t="n">
        <v>72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76.93000000000001</v>
      </c>
      <c r="P92" s="31" t="n">
        <v>28.51</v>
      </c>
      <c r="Q92" s="31" t="n">
        <v>253.21</v>
      </c>
      <c r="R92" s="30" t="inlineStr">
        <is>
          <t>Near 52W High Breakout</t>
        </is>
      </c>
      <c r="S92" s="30" t="inlineStr">
        <is>
          <t>Nifty Auto</t>
        </is>
      </c>
      <c r="T92" s="31" t="n">
        <v>23.87</v>
      </c>
      <c r="U92" s="31" t="n">
        <v>32.52</v>
      </c>
      <c r="V92" s="31" t="n">
        <v>6.99</v>
      </c>
      <c r="W92" s="31" t="n">
        <v>18.91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IF(B93=0,"",RANK(B93,$B$2:$B$395,0))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GHCLTEXTIL</t>
        </is>
      </c>
      <c r="D93" s="30" t="inlineStr">
        <is>
          <t>GHCL Textiles Ltd</t>
        </is>
      </c>
      <c r="E93" s="30" t="inlineStr">
        <is>
          <t>textiles</t>
        </is>
      </c>
      <c r="F93" s="30" t="inlineStr">
        <is>
          <t>textiles - spinning - synthetic / blended</t>
        </is>
      </c>
      <c r="G93" s="30" t="inlineStr">
        <is>
          <t>smallcap</t>
        </is>
      </c>
      <c r="H93" s="31" t="n">
        <v>1155.25</v>
      </c>
      <c r="I93" s="31" t="n">
        <v>119.27</v>
      </c>
      <c r="J93" s="31" t="n">
        <v>-1.32</v>
      </c>
      <c r="K93" s="31" t="n">
        <v>475979</v>
      </c>
      <c r="L93" s="30" t="n">
        <v>67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70.59999999999999</v>
      </c>
      <c r="P93" s="31" t="n">
        <v>32.92</v>
      </c>
      <c r="Q93" s="31" t="n">
        <v>94.47</v>
      </c>
      <c r="R93" s="30" t="inlineStr">
        <is>
          <t>Near 52W High Breakout</t>
        </is>
      </c>
      <c r="S93" s="30" t="inlineStr">
        <is>
          <t>Nifty 50</t>
        </is>
      </c>
      <c r="T93" s="31" t="n">
        <v>-0.65</v>
      </c>
      <c r="U93" s="31" t="n">
        <v>55.36</v>
      </c>
      <c r="V93" s="31" t="n">
        <v>56.37</v>
      </c>
      <c r="W93" s="31" t="n">
        <v>17.45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IF(B94=0,"",RANK(B94,$B$2:$B$395,0))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PDSL</t>
        </is>
      </c>
      <c r="D94" s="30" t="inlineStr">
        <is>
          <t>PDS Ltd</t>
        </is>
      </c>
      <c r="E94" s="30" t="inlineStr">
        <is>
          <t>textiles</t>
        </is>
      </c>
      <c r="F94" s="30" t="inlineStr">
        <is>
          <t>trading</t>
        </is>
      </c>
      <c r="G94" s="30" t="inlineStr">
        <is>
          <t>midcap</t>
        </is>
      </c>
      <c r="H94" s="31" t="n">
        <v>5406.63</v>
      </c>
      <c r="I94" s="31" t="n">
        <v>376.5</v>
      </c>
      <c r="J94" s="31" t="n">
        <v>-1.5</v>
      </c>
      <c r="K94" s="31" t="n">
        <v>112403</v>
      </c>
      <c r="L94" s="30" t="n">
        <v>52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62.3</v>
      </c>
      <c r="P94" s="31" t="n">
        <v>33.83</v>
      </c>
      <c r="Q94" s="31" t="n">
        <v>277.99</v>
      </c>
      <c r="R94" s="30" t="inlineStr">
        <is>
          <t>Near 52W High Breakout</t>
        </is>
      </c>
      <c r="S94" s="30" t="inlineStr">
        <is>
          <t>Nifty 50</t>
        </is>
      </c>
      <c r="T94" s="31" t="n">
        <v>-0.65</v>
      </c>
      <c r="U94" s="31" t="n">
        <v>20.07</v>
      </c>
      <c r="V94" s="31" t="n">
        <v>20.85</v>
      </c>
      <c r="W94" s="31" t="n">
        <v>12.64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IF(B95=0,"",RANK(B95,$B$2:$B$395,0))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SONACOMS</t>
        </is>
      </c>
      <c r="D95" s="30" t="inlineStr">
        <is>
          <t>Sona BLW Precision Forgings Ltd</t>
        </is>
      </c>
      <c r="E95" s="30" t="inlineStr">
        <is>
          <t>auto</t>
        </is>
      </c>
      <c r="F95" s="30" t="inlineStr">
        <is>
          <t>auto ancillaries</t>
        </is>
      </c>
      <c r="G95" s="30" t="inlineStr">
        <is>
          <t>largecap</t>
        </is>
      </c>
      <c r="H95" s="31" t="n">
        <v>50540.33</v>
      </c>
      <c r="I95" s="31" t="n">
        <v>800</v>
      </c>
      <c r="J95" s="31" t="n">
        <v>-1.54</v>
      </c>
      <c r="K95" s="31" t="n">
        <v>4064713</v>
      </c>
      <c r="L95" s="30" t="n">
        <v>75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78.36</v>
      </c>
      <c r="P95" s="31" t="n">
        <v>49.59</v>
      </c>
      <c r="Q95" s="31" t="n">
        <v>696</v>
      </c>
      <c r="R95" s="30" t="inlineStr">
        <is>
          <t>Near 52W High Breakout</t>
        </is>
      </c>
      <c r="S95" s="30" t="inlineStr">
        <is>
          <t>Nifty Auto</t>
        </is>
      </c>
      <c r="T95" s="31" t="n">
        <v>23.87</v>
      </c>
      <c r="U95" s="31" t="n">
        <v>71.45999999999999</v>
      </c>
      <c r="V95" s="31" t="n">
        <v>38.42</v>
      </c>
      <c r="W95" s="31" t="n">
        <v>21.12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Above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Between 1.5 to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IF(B96=0,"",RANK(B96,$B$2:$B$395,0))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NRBBEARING</t>
        </is>
      </c>
      <c r="D96" s="30" t="inlineStr">
        <is>
          <t>Nrb Bearing Limited</t>
        </is>
      </c>
      <c r="E96" s="30" t="inlineStr">
        <is>
          <t>industrials</t>
        </is>
      </c>
      <c r="F96" s="30" t="inlineStr">
        <is>
          <t>bearings</t>
        </is>
      </c>
      <c r="G96" s="30" t="inlineStr">
        <is>
          <t>smallcap</t>
        </is>
      </c>
      <c r="H96" s="31" t="n">
        <v>4635.32</v>
      </c>
      <c r="I96" s="31" t="n">
        <v>455.25</v>
      </c>
      <c r="J96" s="31" t="n">
        <v>-4.81</v>
      </c>
      <c r="K96" s="31" t="n">
        <v>693250</v>
      </c>
      <c r="L96" s="30" t="n">
        <v>69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72.62</v>
      </c>
      <c r="P96" s="31" t="n">
        <v>49.51</v>
      </c>
      <c r="Q96" s="31" t="n">
        <v>355.39</v>
      </c>
      <c r="R96" s="30" t="inlineStr">
        <is>
          <t>Near 52W High Breakout</t>
        </is>
      </c>
      <c r="S96" s="30" t="inlineStr">
        <is>
          <t>Nifty 50</t>
        </is>
      </c>
      <c r="T96" s="31" t="n">
        <v>-0.65</v>
      </c>
      <c r="U96" s="31" t="n">
        <v>68.23</v>
      </c>
      <c r="V96" s="31" t="n">
        <v>69.33</v>
      </c>
      <c r="W96" s="31" t="n">
        <v>17.96</v>
      </c>
      <c r="X96" s="30" t="inlineStr">
        <is>
          <t>Cyclical in an Upturn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Between 12 to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IF(B97=0,"",RANK(B97,$B$2:$B$395,0))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SPECTRUM</t>
        </is>
      </c>
      <c r="D97" s="30" t="inlineStr">
        <is>
          <t>Spectrum Electrical Industries Ltd</t>
        </is>
      </c>
      <c r="E97" s="30" t="inlineStr">
        <is>
          <t>industrials</t>
        </is>
      </c>
      <c r="F97" s="30" t="inlineStr">
        <is>
          <t>electric equipment</t>
        </is>
      </c>
      <c r="G97" s="30" t="inlineStr">
        <is>
          <t>smallcap</t>
        </is>
      </c>
      <c r="H97" s="31" t="n">
        <v>3975.92</v>
      </c>
      <c r="I97" s="31" t="n">
        <v>2403.7</v>
      </c>
      <c r="J97" s="31" t="n">
        <v>-5</v>
      </c>
      <c r="K97" s="31" t="n">
        <v>3647</v>
      </c>
      <c r="L97" s="30" t="n">
        <v>93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75.31999999999999</v>
      </c>
      <c r="P97" s="31" t="n">
        <v>58.16</v>
      </c>
      <c r="Q97" s="31" t="n">
        <v>1750.12</v>
      </c>
      <c r="R97" s="30" t="inlineStr">
        <is>
          <t>Near 52W High Breakout</t>
        </is>
      </c>
      <c r="S97" s="30" t="inlineStr">
        <is>
          <t>Nifty Infra</t>
        </is>
      </c>
      <c r="T97" s="31" t="n">
        <v>3.51</v>
      </c>
      <c r="U97" s="31" t="n">
        <v>53.57</v>
      </c>
      <c r="V97" s="31" t="n">
        <v>48.37</v>
      </c>
      <c r="W97" s="31" t="n">
        <v>38.76</v>
      </c>
      <c r="X97" s="30" t="inlineStr">
        <is>
          <t>Cyclical in an Upturn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Between 0.7 to 1.2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IF(B98=0,"",RANK(B98,$B$2:$B$395,0))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GLAND</t>
        </is>
      </c>
      <c r="D98" s="30" t="inlineStr">
        <is>
          <t>Gland Pharma Ltd</t>
        </is>
      </c>
      <c r="E98" s="30" t="inlineStr">
        <is>
          <t>healthcare</t>
        </is>
      </c>
      <c r="F98" s="30" t="inlineStr">
        <is>
          <t>pharmaceuticals - indian - formulations</t>
        </is>
      </c>
      <c r="G98" s="30" t="inlineStr">
        <is>
          <t>largecap</t>
        </is>
      </c>
      <c r="H98" s="31" t="n">
        <v>43999.7</v>
      </c>
      <c r="I98" s="31" t="n">
        <v>2924.4</v>
      </c>
      <c r="J98" s="31" t="n">
        <v>9.640000000000001</v>
      </c>
      <c r="K98" s="31" t="n">
        <v>8760097</v>
      </c>
      <c r="L98" s="30" t="n">
        <v>77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79.20999999999999</v>
      </c>
      <c r="P98" s="31" t="n">
        <v>58.86</v>
      </c>
      <c r="Q98" s="31" t="n">
        <v>2394.35</v>
      </c>
      <c r="R98" s="30" t="inlineStr">
        <is>
          <t>Volume Spike &amp; Near 52W High Breakout</t>
        </is>
      </c>
      <c r="S98" s="30" t="inlineStr">
        <is>
          <t>Nifty Pharma</t>
        </is>
      </c>
      <c r="T98" s="31" t="n">
        <v>20.76</v>
      </c>
      <c r="U98" s="31" t="n">
        <v>49.13</v>
      </c>
      <c r="V98" s="31" t="n">
        <v>23.49</v>
      </c>
      <c r="W98" s="31" t="n">
        <v>22.05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Above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Less than 1.5</t>
        </is>
      </c>
      <c r="BU98" s="30">
        <f>IF(BT98="Above 2",0,IF(BT98="Between 1.5 to 2",5,IF(BT98="Less than 1.5",10,0)))</f>
        <v/>
      </c>
      <c r="BV98" s="30" t="inlineStr">
        <is>
          <t>Between 50% to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IF(B99=0,"",RANK(B99,$B$2:$B$395,0))</f>
        <v/>
      </c>
      <c r="B99" s="31">
        <f>SUM(N99,Y99,AA99,AC99,AE99,AG99,AI99,AK99,AM99,AO99,AQ99,AS99,AU99,AW99,AY99,BA99,BC99,BE99,BG99,BI99,BK99,BM99,BO99,BQ99,BS99,BU99,BW99,BY99,CA99,CC99,CE99)</f>
        <v/>
      </c>
      <c r="C99" s="32" t="inlineStr">
        <is>
          <t>INNOVACAP</t>
        </is>
      </c>
      <c r="D99" s="32" t="inlineStr">
        <is>
          <t>Innova Captab Ltd</t>
        </is>
      </c>
      <c r="E99" s="30" t="inlineStr">
        <is>
          <t>healthcare</t>
        </is>
      </c>
      <c r="F99" s="30" t="inlineStr">
        <is>
          <t>pharmaceuticals - indian - bulk drugs &amp; formln</t>
        </is>
      </c>
      <c r="G99" s="30" t="inlineStr">
        <is>
          <t>midcap</t>
        </is>
      </c>
      <c r="H99" s="31" t="n">
        <v>5528.5</v>
      </c>
      <c r="I99" s="31" t="n">
        <v>1029</v>
      </c>
      <c r="J99" s="31" t="n">
        <v>6.51</v>
      </c>
      <c r="K99" s="31" t="n">
        <v>167481</v>
      </c>
      <c r="L99" s="30" t="n">
        <v>31</v>
      </c>
      <c r="M99" s="30" t="inlineStr">
        <is>
          <t>Underperforming</t>
        </is>
      </c>
      <c r="N99" s="31">
        <f>IF(M99="Underperforming",-5,IF(L99&gt;=95,15,IF(L99&gt;=90,10,IF(L99&gt;=80,5,0))))</f>
        <v/>
      </c>
      <c r="O99" s="31" t="n">
        <v>70.2</v>
      </c>
      <c r="P99" s="31" t="n">
        <v>58.23</v>
      </c>
      <c r="Q99" s="31" t="n">
        <v>814.22</v>
      </c>
      <c r="R99" s="30" t="inlineStr">
        <is>
          <t>Near 52W High Breakout</t>
        </is>
      </c>
      <c r="S99" s="30" t="inlineStr">
        <is>
          <t>Nifty Pharma</t>
        </is>
      </c>
      <c r="T99" s="31" t="n">
        <v>20.76</v>
      </c>
      <c r="U99" s="31" t="n">
        <v>12.84</v>
      </c>
      <c r="V99" s="31" t="n">
        <v>-6.56</v>
      </c>
      <c r="W99" s="31" t="n">
        <v>7.49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Yes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Annuity, Lower One Time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Above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Yes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Between 50% to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IF(B100=0,"",RANK(B100,$B$2:$B$395,0))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THYROCARE</t>
        </is>
      </c>
      <c r="D100" s="30" t="inlineStr">
        <is>
          <t>Thyrocare Technologies Limited</t>
        </is>
      </c>
      <c r="E100" s="30" t="inlineStr">
        <is>
          <t>healthcare</t>
        </is>
      </c>
      <c r="F100" s="30" t="inlineStr">
        <is>
          <t>healthcare</t>
        </is>
      </c>
      <c r="G100" s="30" t="inlineStr">
        <is>
          <t>midcap</t>
        </is>
      </c>
      <c r="H100" s="31" t="n">
        <v>9901.67</v>
      </c>
      <c r="I100" s="31" t="n">
        <v>649.35</v>
      </c>
      <c r="J100" s="31" t="n">
        <v>4.38</v>
      </c>
      <c r="K100" s="31" t="n">
        <v>616069</v>
      </c>
      <c r="L100" s="30" t="n">
        <v>69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75.5</v>
      </c>
      <c r="P100" s="31" t="n">
        <v>57.43</v>
      </c>
      <c r="Q100" s="31" t="n">
        <v>507.1</v>
      </c>
      <c r="R100" s="30" t="inlineStr">
        <is>
          <t>Near 52W High Breakout</t>
        </is>
      </c>
      <c r="S100" s="30" t="inlineStr">
        <is>
          <t>Nifty Pharma</t>
        </is>
      </c>
      <c r="T100" s="31" t="n">
        <v>20.76</v>
      </c>
      <c r="U100" s="31" t="n">
        <v>43.42</v>
      </c>
      <c r="V100" s="31" t="n">
        <v>18.77</v>
      </c>
      <c r="W100" s="31" t="n">
        <v>18.06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Yes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Annuity, Lower One Time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Between 1.5 to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IF(B101=0,"",RANK(B101,$B$2:$B$395,0))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SHILPAMED</t>
        </is>
      </c>
      <c r="D101" s="30" t="inlineStr">
        <is>
          <t>Shilpa Medicare Limited</t>
        </is>
      </c>
      <c r="E101" s="30" t="inlineStr">
        <is>
          <t>healthcare</t>
        </is>
      </c>
      <c r="F101" s="30" t="inlineStr">
        <is>
          <t>pharmaceuticals - indian - formulations</t>
        </is>
      </c>
      <c r="G101" s="30" t="inlineStr">
        <is>
          <t>midcap</t>
        </is>
      </c>
      <c r="H101" s="31" t="n">
        <v>15794.21</v>
      </c>
      <c r="I101" s="31" t="n">
        <v>819.7</v>
      </c>
      <c r="J101" s="31" t="n">
        <v>1.5</v>
      </c>
      <c r="K101" s="31" t="n">
        <v>2415553</v>
      </c>
      <c r="L101" s="30" t="n">
        <v>89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88.8</v>
      </c>
      <c r="P101" s="31" t="n">
        <v>73.13</v>
      </c>
      <c r="Q101" s="31" t="n">
        <v>658.78</v>
      </c>
      <c r="R101" s="30" t="inlineStr">
        <is>
          <t>Near 52W High Breakout</t>
        </is>
      </c>
      <c r="S101" s="30" t="inlineStr">
        <is>
          <t>Nifty Pharma</t>
        </is>
      </c>
      <c r="T101" s="31" t="n">
        <v>20.76</v>
      </c>
      <c r="U101" s="31" t="n">
        <v>80.64</v>
      </c>
      <c r="V101" s="31" t="n">
        <v>49.59</v>
      </c>
      <c r="W101" s="31" t="n">
        <v>31.76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Yes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Annuity, Lower One Time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Above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IF(B102=0,"",RANK(B102,$B$2:$B$395,0))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PICCADIL</t>
        </is>
      </c>
      <c r="D102" s="30" t="inlineStr">
        <is>
          <t>Piccadily Agro Industries Ltd</t>
        </is>
      </c>
      <c r="E102" s="30" t="inlineStr">
        <is>
          <t>fmcg</t>
        </is>
      </c>
      <c r="F102" s="30" t="inlineStr">
        <is>
          <t>breweries &amp; distilleries</t>
        </is>
      </c>
      <c r="G102" s="30" t="inlineStr">
        <is>
          <t>midcap</t>
        </is>
      </c>
      <c r="H102" s="31" t="n">
        <v>7578.23</v>
      </c>
      <c r="I102" s="31" t="n">
        <v>778.25</v>
      </c>
      <c r="J102" s="31" t="n">
        <v>1.23</v>
      </c>
      <c r="K102" s="31" t="n">
        <v>772512</v>
      </c>
      <c r="L102" s="30" t="n">
        <v>46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72.37</v>
      </c>
      <c r="P102" s="31" t="n">
        <v>45.75</v>
      </c>
      <c r="Q102" s="31" t="n">
        <v>610.48</v>
      </c>
      <c r="R102" s="30" t="inlineStr">
        <is>
          <t>Near 52W High Breakout</t>
        </is>
      </c>
      <c r="S102" s="30" t="inlineStr">
        <is>
          <t>Nifty FMCG</t>
        </is>
      </c>
      <c r="T102" s="31" t="n">
        <v>-10.61</v>
      </c>
      <c r="U102" s="31" t="n">
        <v>28</v>
      </c>
      <c r="V102" s="31" t="n">
        <v>43.2</v>
      </c>
      <c r="W102" s="31" t="n">
        <v>10.4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B2C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Annuity, Lower One Time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Less than 12%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Between 50% to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IF(B103=0,"",RANK(B103,$B$2:$B$395,0))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ALIVUS</t>
        </is>
      </c>
      <c r="D103" s="30" t="inlineStr">
        <is>
          <t>Alivus Life Sciences Ltd</t>
        </is>
      </c>
      <c r="E103" s="30" t="inlineStr">
        <is>
          <t>healthcare</t>
        </is>
      </c>
      <c r="F103" s="30" t="inlineStr">
        <is>
          <t>pharmaceuticals - indian - bulk drugs &amp; formln</t>
        </is>
      </c>
      <c r="G103" s="30" t="inlineStr">
        <is>
          <t>midcap</t>
        </is>
      </c>
      <c r="H103" s="31" t="n">
        <v>16870.11</v>
      </c>
      <c r="I103" s="31" t="n">
        <v>1385.2</v>
      </c>
      <c r="J103" s="31" t="n">
        <v>0.78</v>
      </c>
      <c r="K103" s="31" t="n">
        <v>188900</v>
      </c>
      <c r="L103" s="30" t="n">
        <v>62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78.73999999999999</v>
      </c>
      <c r="P103" s="31" t="n">
        <v>39.82</v>
      </c>
      <c r="Q103" s="31" t="n">
        <v>1137.74</v>
      </c>
      <c r="R103" s="30" t="inlineStr">
        <is>
          <t>Near 52W High Breakout</t>
        </is>
      </c>
      <c r="S103" s="30" t="inlineStr">
        <is>
          <t>Nifty Pharma</t>
        </is>
      </c>
      <c r="T103" s="31" t="n">
        <v>20.76</v>
      </c>
      <c r="U103" s="31" t="n">
        <v>48.4</v>
      </c>
      <c r="V103" s="31" t="n">
        <v>22.89</v>
      </c>
      <c r="W103" s="31" t="n">
        <v>15.68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Yes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Annuity, Lower One Time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Above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Less than 1.5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IF(B104=0,"",RANK(B104,$B$2:$B$395,0))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LAURUSLABS</t>
        </is>
      </c>
      <c r="D104" s="30" t="inlineStr">
        <is>
          <t>Laurus Labs Limited</t>
        </is>
      </c>
      <c r="E104" s="30" t="inlineStr">
        <is>
          <t>healthcare</t>
        </is>
      </c>
      <c r="F104" s="30" t="inlineStr">
        <is>
          <t>pharmaceuticals - indian - bulk drugs &amp; formln</t>
        </is>
      </c>
      <c r="G104" s="30" t="inlineStr">
        <is>
          <t>largecap</t>
        </is>
      </c>
      <c r="H104" s="31" t="n">
        <v>100162.27</v>
      </c>
      <c r="I104" s="31" t="n">
        <v>1858</v>
      </c>
      <c r="J104" s="31" t="n">
        <v>0.22</v>
      </c>
      <c r="K104" s="31" t="n">
        <v>2985295</v>
      </c>
      <c r="L104" s="30" t="n">
        <v>82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86.59</v>
      </c>
      <c r="P104" s="31" t="n">
        <v>64.89</v>
      </c>
      <c r="Q104" s="31" t="n">
        <v>1606.28</v>
      </c>
      <c r="R104" s="30" t="inlineStr">
        <is>
          <t>Near 52W High Breakout</t>
        </is>
      </c>
      <c r="S104" s="30" t="inlineStr">
        <is>
          <t>Nifty Pharma</t>
        </is>
      </c>
      <c r="T104" s="31" t="n">
        <v>20.76</v>
      </c>
      <c r="U104" s="31" t="n">
        <v>116.52</v>
      </c>
      <c r="V104" s="31" t="n">
        <v>79.29000000000001</v>
      </c>
      <c r="W104" s="31" t="n">
        <v>25.86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Yes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Annuity, Lower One Time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Above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IF(B105=0,"",RANK(B105,$B$2:$B$395,0))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TECHM</t>
        </is>
      </c>
      <c r="D105" s="30" t="inlineStr">
        <is>
          <t>Tech Mahindra Limited</t>
        </is>
      </c>
      <c r="E105" s="30" t="inlineStr">
        <is>
          <t>i.t</t>
        </is>
      </c>
      <c r="F105" s="30" t="inlineStr">
        <is>
          <t>computers - software - large</t>
        </is>
      </c>
      <c r="G105" s="30" t="inlineStr">
        <is>
          <t>largecap</t>
        </is>
      </c>
      <c r="H105" s="31" t="n">
        <v>160729.51</v>
      </c>
      <c r="I105" s="31" t="n">
        <v>1643</v>
      </c>
      <c r="J105" s="31" t="n">
        <v>0.18</v>
      </c>
      <c r="K105" s="31" t="n">
        <v>3730751</v>
      </c>
      <c r="L105" s="30" t="n">
        <v>34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63.89</v>
      </c>
      <c r="P105" s="31" t="n">
        <v>15.9</v>
      </c>
      <c r="Q105" s="31" t="n">
        <v>1371.84</v>
      </c>
      <c r="R105" s="30" t="inlineStr">
        <is>
          <t>Near 52W High Breakout</t>
        </is>
      </c>
      <c r="S105" s="30" t="inlineStr">
        <is>
          <t>Nifty IT</t>
        </is>
      </c>
      <c r="T105" s="31" t="n">
        <v>-8.640000000000001</v>
      </c>
      <c r="U105" s="31" t="n">
        <v>14.57</v>
      </c>
      <c r="V105" s="31" t="n">
        <v>25.41</v>
      </c>
      <c r="W105" s="31" t="n">
        <v>7.95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Annuity, Lower One Time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0 to 20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IF(B106=0,"",RANK(B106,$B$2:$B$395,0))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ORCHPHARMA</t>
        </is>
      </c>
      <c r="D106" s="30" t="inlineStr">
        <is>
          <t>Orchid Pharma Ltd</t>
        </is>
      </c>
      <c r="E106" s="30" t="inlineStr">
        <is>
          <t>healthcare</t>
        </is>
      </c>
      <c r="F106" s="30" t="inlineStr">
        <is>
          <t>pharmaceuticals - indian - bulk drugs &amp; formln</t>
        </is>
      </c>
      <c r="G106" s="30" t="inlineStr">
        <is>
          <t>midcap</t>
        </is>
      </c>
      <c r="H106" s="31" t="n">
        <v>5473.35</v>
      </c>
      <c r="I106" s="31" t="n">
        <v>1078.55</v>
      </c>
      <c r="J106" s="31" t="n">
        <v>-0.06</v>
      </c>
      <c r="K106" s="31" t="n">
        <v>188232</v>
      </c>
      <c r="L106" s="30" t="n">
        <v>73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73.83</v>
      </c>
      <c r="P106" s="31" t="n">
        <v>48.4</v>
      </c>
      <c r="Q106" s="31" t="n">
        <v>805.6900000000001</v>
      </c>
      <c r="R106" s="30" t="inlineStr">
        <is>
          <t>Near 52W High Breakout</t>
        </is>
      </c>
      <c r="S106" s="30" t="inlineStr">
        <is>
          <t>Nifty Pharma</t>
        </is>
      </c>
      <c r="T106" s="31" t="n">
        <v>20.76</v>
      </c>
      <c r="U106" s="31" t="n">
        <v>44.14</v>
      </c>
      <c r="V106" s="31" t="n">
        <v>19.36</v>
      </c>
      <c r="W106" s="31" t="n">
        <v>20.01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Yes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Annuity, Lower One Time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IF(B107=0,"",RANK(B107,$B$2:$B$395,0))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63MOONS</t>
        </is>
      </c>
      <c r="D107" s="30" t="inlineStr">
        <is>
          <t>63 Moons Technologies Ltd</t>
        </is>
      </c>
      <c r="E107" s="30" t="inlineStr">
        <is>
          <t>i.t</t>
        </is>
      </c>
      <c r="F107" s="30" t="inlineStr">
        <is>
          <t>computers - software - medium / small</t>
        </is>
      </c>
      <c r="G107" s="30" t="inlineStr">
        <is>
          <t>smallcap</t>
        </is>
      </c>
      <c r="H107" s="31" t="n">
        <v>3967.82</v>
      </c>
      <c r="I107" s="31" t="n">
        <v>858.65</v>
      </c>
      <c r="J107" s="31" t="n">
        <v>-0.28</v>
      </c>
      <c r="K107" s="31" t="n">
        <v>169990</v>
      </c>
      <c r="L107" s="30" t="n">
        <v>28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65.79000000000001</v>
      </c>
      <c r="P107" s="31" t="n">
        <v>20.6</v>
      </c>
      <c r="Q107" s="31" t="n">
        <v>631.1900000000001</v>
      </c>
      <c r="R107" s="30" t="inlineStr">
        <is>
          <t>Earnings / Momentum Support</t>
        </is>
      </c>
      <c r="S107" s="30" t="inlineStr">
        <is>
          <t>Nifty IT</t>
        </is>
      </c>
      <c r="T107" s="31" t="n">
        <v>-8.640000000000001</v>
      </c>
      <c r="U107" s="31" t="n">
        <v>-7.56</v>
      </c>
      <c r="V107" s="31" t="n">
        <v>1.18</v>
      </c>
      <c r="W107" s="31" t="n">
        <v>6.47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No</t>
        </is>
      </c>
      <c r="AQ107" s="30">
        <f>IF(AP107="Yes",10,0)</f>
        <v/>
      </c>
      <c r="AR107" s="30" t="inlineStr">
        <is>
          <t>Higher Annuity, Lower One Time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Less than 1.5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IF(B108=0,"",RANK(B108,$B$2:$B$395,0))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DIAMONDYD</t>
        </is>
      </c>
      <c r="D108" s="30" t="inlineStr">
        <is>
          <t>Prataap Snacks Ltd</t>
        </is>
      </c>
      <c r="E108" s="30" t="inlineStr">
        <is>
          <t>fmcg</t>
        </is>
      </c>
      <c r="F108" s="30" t="inlineStr">
        <is>
          <t>food - processing - indian</t>
        </is>
      </c>
      <c r="G108" s="30" t="inlineStr">
        <is>
          <t>smallcap</t>
        </is>
      </c>
      <c r="H108" s="31" t="n">
        <v>2884.57</v>
      </c>
      <c r="I108" s="31" t="n">
        <v>1202</v>
      </c>
      <c r="J108" s="31" t="n">
        <v>-0.36</v>
      </c>
      <c r="K108" s="31" t="n">
        <v>86815</v>
      </c>
      <c r="L108" s="30" t="n">
        <v>38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60.98</v>
      </c>
      <c r="P108" s="31" t="n">
        <v>27.1</v>
      </c>
      <c r="Q108" s="31" t="n">
        <v>985.77</v>
      </c>
      <c r="R108" s="30" t="inlineStr">
        <is>
          <t>Near 52W High Breakout</t>
        </is>
      </c>
      <c r="S108" s="30" t="inlineStr">
        <is>
          <t>Nifty FMCG</t>
        </is>
      </c>
      <c r="T108" s="31" t="n">
        <v>-10.61</v>
      </c>
      <c r="U108" s="31" t="n">
        <v>21.39</v>
      </c>
      <c r="V108" s="31" t="n">
        <v>35.81</v>
      </c>
      <c r="W108" s="31" t="n">
        <v>8.74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B2C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Annuity, Lower One Time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Between 50% to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IF(B109=0,"",RANK(B109,$B$2:$B$395,0))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HTMEDIA</t>
        </is>
      </c>
      <c r="D109" s="30" t="inlineStr">
        <is>
          <t>Ht Media Limited</t>
        </is>
      </c>
      <c r="E109" s="30" t="inlineStr">
        <is>
          <t>media</t>
        </is>
      </c>
      <c r="F109" s="30" t="inlineStr">
        <is>
          <t>entertainment / electronic media software</t>
        </is>
      </c>
      <c r="G109" s="30" t="inlineStr">
        <is>
          <t>smallcap</t>
        </is>
      </c>
      <c r="H109" s="31" t="n">
        <v>643.85</v>
      </c>
      <c r="I109" s="31" t="n">
        <v>27.35</v>
      </c>
      <c r="J109" s="31" t="n">
        <v>-1.12</v>
      </c>
      <c r="K109" s="31" t="n">
        <v>110224</v>
      </c>
      <c r="L109" s="30" t="n">
        <v>38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64.23999999999999</v>
      </c>
      <c r="P109" s="31" t="n">
        <v>20.3</v>
      </c>
      <c r="Q109" s="31" t="n">
        <v>20.05</v>
      </c>
      <c r="R109" s="30" t="inlineStr">
        <is>
          <t>Near 52W High Breakout</t>
        </is>
      </c>
      <c r="S109" s="30" t="inlineStr">
        <is>
          <t>Nifty IT</t>
        </is>
      </c>
      <c r="T109" s="31" t="n">
        <v>-8.640000000000001</v>
      </c>
      <c r="U109" s="31" t="n">
        <v>10.51</v>
      </c>
      <c r="V109" s="31" t="n">
        <v>20.96</v>
      </c>
      <c r="W109" s="31" t="n">
        <v>8.77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Annuity, Lower One Time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IF(B110=0,"",RANK(B110,$B$2:$B$395,0))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BALRAMCHIN</t>
        </is>
      </c>
      <c r="D110" s="30" t="inlineStr">
        <is>
          <t>Balrampur Chini Mills Limited</t>
        </is>
      </c>
      <c r="E110" s="30" t="inlineStr">
        <is>
          <t>fmcg</t>
        </is>
      </c>
      <c r="F110" s="30" t="inlineStr">
        <is>
          <t>sugar</t>
        </is>
      </c>
      <c r="G110" s="30" t="inlineStr">
        <is>
          <t>midcap</t>
        </is>
      </c>
      <c r="H110" s="31" t="n">
        <v>13843.28</v>
      </c>
      <c r="I110" s="31" t="n">
        <v>627.8</v>
      </c>
      <c r="J110" s="31" t="n">
        <v>-4.19</v>
      </c>
      <c r="K110" s="31" t="n">
        <v>647209</v>
      </c>
      <c r="L110" s="30" t="n">
        <v>31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72.81999999999999</v>
      </c>
      <c r="P110" s="31" t="n">
        <v>45.08</v>
      </c>
      <c r="Q110" s="31" t="n">
        <v>516.79</v>
      </c>
      <c r="R110" s="30" t="inlineStr">
        <is>
          <t>Near 52W High Breakout</t>
        </is>
      </c>
      <c r="S110" s="30" t="inlineStr">
        <is>
          <t>Nifty FMCG</t>
        </is>
      </c>
      <c r="T110" s="31" t="n">
        <v>-10.61</v>
      </c>
      <c r="U110" s="31" t="n">
        <v>7.36</v>
      </c>
      <c r="V110" s="31" t="n">
        <v>20.1</v>
      </c>
      <c r="W110" s="31" t="n">
        <v>7.34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B2C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Annuity, Lower One Time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Less than 12%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Between 0.7 to 1.2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IF(B111=0,"",RANK(B111,$B$2:$B$395,0))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2" t="inlineStr">
        <is>
          <t>ROLEXRINGS</t>
        </is>
      </c>
      <c r="D111" s="32" t="inlineStr">
        <is>
          <t>Rolex Rings Ltd</t>
        </is>
      </c>
      <c r="E111" s="30" t="inlineStr">
        <is>
          <t>auto</t>
        </is>
      </c>
      <c r="F111" s="30" t="inlineStr">
        <is>
          <t>auto ancillaries</t>
        </is>
      </c>
      <c r="G111" s="30" t="inlineStr">
        <is>
          <t>smallcap</t>
        </is>
      </c>
      <c r="H111" s="31" t="n">
        <v>4228.24</v>
      </c>
      <c r="I111" s="31" t="n">
        <v>177.29</v>
      </c>
      <c r="J111" s="31" t="n">
        <v>14.19</v>
      </c>
      <c r="K111" s="31" t="n">
        <v>56026330</v>
      </c>
      <c r="L111" s="30" t="n">
        <v>33</v>
      </c>
      <c r="M111" s="30" t="inlineStr">
        <is>
          <t>Underperforming</t>
        </is>
      </c>
      <c r="N111" s="31">
        <f>IF(M111="Underperforming",-5,IF(L111&gt;=95,15,IF(L111&gt;=90,10,IF(L111&gt;=80,5,0))))</f>
        <v/>
      </c>
      <c r="O111" s="31" t="n">
        <v>65.8</v>
      </c>
      <c r="P111" s="31" t="n">
        <v>35.53</v>
      </c>
      <c r="Q111" s="31" t="n">
        <v>135.71</v>
      </c>
      <c r="R111" s="30" t="inlineStr">
        <is>
          <t>Volume Spike &amp; Near 52W High Breakout</t>
        </is>
      </c>
      <c r="S111" s="30" t="inlineStr">
        <is>
          <t>Nifty Auto</t>
        </is>
      </c>
      <c r="T111" s="31" t="n">
        <v>23.87</v>
      </c>
      <c r="U111" s="31" t="n">
        <v>20.31</v>
      </c>
      <c r="V111" s="31" t="n">
        <v>-2.87</v>
      </c>
      <c r="W111" s="31" t="n">
        <v>7.69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Between 1.5 to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IF(B112=0,"",RANK(B112,$B$2:$B$395,0))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2" t="inlineStr">
        <is>
          <t>DYCL</t>
        </is>
      </c>
      <c r="D112" s="32" t="inlineStr">
        <is>
          <t>Dynamic Cables Ltd</t>
        </is>
      </c>
      <c r="E112" s="30" t="inlineStr">
        <is>
          <t>industrials</t>
        </is>
      </c>
      <c r="F112" s="30" t="inlineStr">
        <is>
          <t>cables - power</t>
        </is>
      </c>
      <c r="G112" s="30" t="inlineStr">
        <is>
          <t>smallcap</t>
        </is>
      </c>
      <c r="H112" s="31" t="n">
        <v>2049.07</v>
      </c>
      <c r="I112" s="31" t="n">
        <v>441.2</v>
      </c>
      <c r="J112" s="31" t="n">
        <v>4.34</v>
      </c>
      <c r="K112" s="31" t="n">
        <v>860071</v>
      </c>
      <c r="L112" s="30" t="n">
        <v>39</v>
      </c>
      <c r="M112" s="30" t="inlineStr">
        <is>
          <t>Underperforming</t>
        </is>
      </c>
      <c r="N112" s="31">
        <f>IF(M112="Underperforming",-5,IF(L112&gt;=95,15,IF(L112&gt;=90,10,IF(L112&gt;=80,5,0))))</f>
        <v/>
      </c>
      <c r="O112" s="31" t="n">
        <v>64.97</v>
      </c>
      <c r="P112" s="31" t="n">
        <v>22</v>
      </c>
      <c r="Q112" s="31" t="n">
        <v>309.76</v>
      </c>
      <c r="R112" s="30" t="inlineStr">
        <is>
          <t>Near 52W High Breakout</t>
        </is>
      </c>
      <c r="S112" s="30" t="inlineStr">
        <is>
          <t>Nifty Energy</t>
        </is>
      </c>
      <c r="T112" s="31" t="n">
        <v>9.81</v>
      </c>
      <c r="U112" s="31" t="n">
        <v>8.06</v>
      </c>
      <c r="V112" s="31" t="n">
        <v>-1.59</v>
      </c>
      <c r="W112" s="31" t="n">
        <v>8.94</v>
      </c>
      <c r="X112" s="30" t="inlineStr">
        <is>
          <t>Cyclical in an Upturn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IF(B113=0,"",RANK(B113,$B$2:$B$395,0))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KERNEX</t>
        </is>
      </c>
      <c r="D113" s="30" t="inlineStr">
        <is>
          <t>Kernex Microsystems (india) Limited</t>
        </is>
      </c>
      <c r="E113" s="30" t="inlineStr">
        <is>
          <t>consumer discretionary</t>
        </is>
      </c>
      <c r="F113" s="30" t="inlineStr">
        <is>
          <t>electronics - components</t>
        </is>
      </c>
      <c r="G113" s="30" t="inlineStr">
        <is>
          <t>smallcap</t>
        </is>
      </c>
      <c r="H113" s="31" t="n">
        <v>3881.8</v>
      </c>
      <c r="I113" s="31" t="n">
        <v>2387.3</v>
      </c>
      <c r="J113" s="31" t="n">
        <v>3.34</v>
      </c>
      <c r="K113" s="31" t="n">
        <v>227825</v>
      </c>
      <c r="L113" s="30" t="n">
        <v>91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69.68000000000001</v>
      </c>
      <c r="P113" s="31" t="n">
        <v>62.78</v>
      </c>
      <c r="Q113" s="31" t="n">
        <v>1771.39</v>
      </c>
      <c r="R113" s="30" t="inlineStr">
        <is>
          <t>Near 52W High Breakout</t>
        </is>
      </c>
      <c r="S113" s="30" t="inlineStr">
        <is>
          <t>Nifty 50</t>
        </is>
      </c>
      <c r="T113" s="31" t="n">
        <v>-0.65</v>
      </c>
      <c r="U113" s="31" t="n">
        <v>115.65</v>
      </c>
      <c r="V113" s="31" t="n">
        <v>117.06</v>
      </c>
      <c r="W113" s="31" t="n">
        <v>33.36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Yes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Negative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IF(B114=0,"",RANK(B114,$B$2:$B$395,0))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KKCL</t>
        </is>
      </c>
      <c r="D114" s="30" t="inlineStr">
        <is>
          <t>Kewal Kiran Clothing Limited</t>
        </is>
      </c>
      <c r="E114" s="30" t="inlineStr">
        <is>
          <t>consumer discretionary</t>
        </is>
      </c>
      <c r="F114" s="30" t="inlineStr">
        <is>
          <t>textiles - products</t>
        </is>
      </c>
      <c r="G114" s="30" t="inlineStr">
        <is>
          <t>smallcap</t>
        </is>
      </c>
      <c r="H114" s="31" t="n">
        <v>3182.94</v>
      </c>
      <c r="I114" s="31" t="n">
        <v>533.25</v>
      </c>
      <c r="J114" s="31" t="n">
        <v>3.24</v>
      </c>
      <c r="K114" s="31" t="n">
        <v>84171</v>
      </c>
      <c r="L114" s="30" t="n">
        <v>26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62.42</v>
      </c>
      <c r="P114" s="31" t="n">
        <v>20.05</v>
      </c>
      <c r="Q114" s="31" t="n">
        <v>431.74</v>
      </c>
      <c r="R114" s="30" t="inlineStr">
        <is>
          <t>Earnings / Momentum Support</t>
        </is>
      </c>
      <c r="S114" s="30" t="inlineStr">
        <is>
          <t>Nifty 50</t>
        </is>
      </c>
      <c r="T114" s="31" t="n">
        <v>-0.65</v>
      </c>
      <c r="U114" s="31" t="n">
        <v>8.82</v>
      </c>
      <c r="V114" s="31" t="n">
        <v>9.529999999999999</v>
      </c>
      <c r="W114" s="31" t="n">
        <v>5.84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No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IF(B115=0,"",RANK(B115,$B$2:$B$395,0))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HUHTAMAKI</t>
        </is>
      </c>
      <c r="D115" s="30" t="inlineStr">
        <is>
          <t>Huhtamaki India Ltd</t>
        </is>
      </c>
      <c r="E115" s="30" t="inlineStr">
        <is>
          <t>industrials</t>
        </is>
      </c>
      <c r="F115" s="30" t="inlineStr">
        <is>
          <t>packaging</t>
        </is>
      </c>
      <c r="G115" s="30" t="inlineStr">
        <is>
          <t>smallcap</t>
        </is>
      </c>
      <c r="H115" s="31" t="n">
        <v>2150.11</v>
      </c>
      <c r="I115" s="31" t="n">
        <v>293.65</v>
      </c>
      <c r="J115" s="31" t="n">
        <v>3.14</v>
      </c>
      <c r="K115" s="31" t="n">
        <v>414857</v>
      </c>
      <c r="L115" s="30" t="n">
        <v>83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68.28</v>
      </c>
      <c r="P115" s="31" t="n">
        <v>33.37</v>
      </c>
      <c r="Q115" s="31" t="n">
        <v>240.84</v>
      </c>
      <c r="R115" s="30" t="inlineStr">
        <is>
          <t>Earnings / Momentum Support</t>
        </is>
      </c>
      <c r="S115" s="30" t="inlineStr">
        <is>
          <t>Nifty 50</t>
        </is>
      </c>
      <c r="T115" s="31" t="n">
        <v>-0.65</v>
      </c>
      <c r="U115" s="31" t="n">
        <v>38.66</v>
      </c>
      <c r="V115" s="31" t="n">
        <v>39.56</v>
      </c>
      <c r="W115" s="31" t="n">
        <v>26.47</v>
      </c>
      <c r="X115" s="30" t="inlineStr">
        <is>
          <t>Cyclical in an Upturn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No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Less than 1.5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IF(B116=0,"",RANK(B116,$B$2:$B$395,0))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SHAILY</t>
        </is>
      </c>
      <c r="D116" s="30" t="inlineStr">
        <is>
          <t>Shaily Engineering Plastics Ltd</t>
        </is>
      </c>
      <c r="E116" s="30" t="inlineStr">
        <is>
          <t>plastic products</t>
        </is>
      </c>
      <c r="F116" s="30" t="inlineStr">
        <is>
          <t>plastics products</t>
        </is>
      </c>
      <c r="G116" s="30" t="inlineStr">
        <is>
          <t>midcap</t>
        </is>
      </c>
      <c r="H116" s="31" t="n">
        <v>15488.44</v>
      </c>
      <c r="I116" s="31" t="n">
        <v>3457.9</v>
      </c>
      <c r="J116" s="31" t="n">
        <v>2.69</v>
      </c>
      <c r="K116" s="31" t="n">
        <v>712478</v>
      </c>
      <c r="L116" s="30" t="n">
        <v>76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72.03</v>
      </c>
      <c r="P116" s="31" t="n">
        <v>29.37</v>
      </c>
      <c r="Q116" s="31" t="n">
        <v>2582.78</v>
      </c>
      <c r="R116" s="30" t="inlineStr">
        <is>
          <t>Near 52W High Breakout</t>
        </is>
      </c>
      <c r="S116" s="30" t="inlineStr">
        <is>
          <t>Nifty 50</t>
        </is>
      </c>
      <c r="T116" s="31" t="n">
        <v>-0.65</v>
      </c>
      <c r="U116" s="31" t="n">
        <v>88.73999999999999</v>
      </c>
      <c r="V116" s="31" t="n">
        <v>89.97</v>
      </c>
      <c r="W116" s="31" t="n">
        <v>21.51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IF(B117=0,"",RANK(B117,$B$2:$B$395,0))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CYIENTDLM</t>
        </is>
      </c>
      <c r="D117" s="30" t="inlineStr">
        <is>
          <t>Cyient DLM Ltd</t>
        </is>
      </c>
      <c r="E117" s="30" t="inlineStr">
        <is>
          <t>consumer discretionary</t>
        </is>
      </c>
      <c r="F117" s="30" t="inlineStr">
        <is>
          <t>electronics - components</t>
        </is>
      </c>
      <c r="G117" s="30" t="inlineStr">
        <is>
          <t>midcap</t>
        </is>
      </c>
      <c r="H117" s="31" t="n">
        <v>5489.36</v>
      </c>
      <c r="I117" s="31" t="n">
        <v>709</v>
      </c>
      <c r="J117" s="31" t="n">
        <v>2.53</v>
      </c>
      <c r="K117" s="31" t="n">
        <v>708485</v>
      </c>
      <c r="L117" s="30" t="n">
        <v>85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84.86</v>
      </c>
      <c r="P117" s="31" t="n">
        <v>60.09</v>
      </c>
      <c r="Q117" s="31" t="n">
        <v>553.01</v>
      </c>
      <c r="R117" s="30" t="inlineStr">
        <is>
          <t>Near 52W High Breakout</t>
        </is>
      </c>
      <c r="S117" s="30" t="inlineStr">
        <is>
          <t>Nifty 50</t>
        </is>
      </c>
      <c r="T117" s="31" t="n">
        <v>-0.65</v>
      </c>
      <c r="U117" s="31" t="n">
        <v>69.06999999999999</v>
      </c>
      <c r="V117" s="31" t="n">
        <v>70.17</v>
      </c>
      <c r="W117" s="31" t="n">
        <v>28.44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Above 40</t>
        </is>
      </c>
      <c r="AY117" s="30">
        <f>IF(AX117="Above 40",20,IF(AX117="20 to 40",10,IF(AX117="0 to 20",-5,0)))</f>
        <v/>
      </c>
      <c r="AZ117" s="30" t="inlineStr">
        <is>
          <t>Above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IF(B118=0,"",RANK(B118,$B$2:$B$395,0))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IRISDOREME</t>
        </is>
      </c>
      <c r="D118" s="30" t="inlineStr">
        <is>
          <t>Iris Clothings Ltd</t>
        </is>
      </c>
      <c r="E118" s="30" t="inlineStr">
        <is>
          <t>consumer discretionary</t>
        </is>
      </c>
      <c r="F118" s="30" t="inlineStr">
        <is>
          <t>textiles - products</t>
        </is>
      </c>
      <c r="G118" s="30" t="inlineStr">
        <is>
          <t>smallcap</t>
        </is>
      </c>
      <c r="H118" s="31" t="n">
        <v>1061.48</v>
      </c>
      <c r="I118" s="31" t="n">
        <v>56.75</v>
      </c>
      <c r="J118" s="31" t="n">
        <v>1.76</v>
      </c>
      <c r="K118" s="31" t="n">
        <v>2461416</v>
      </c>
      <c r="L118" s="30" t="n">
        <v>80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83.8</v>
      </c>
      <c r="P118" s="31" t="n">
        <v>39.35</v>
      </c>
      <c r="Q118" s="31" t="n">
        <v>43.35</v>
      </c>
      <c r="R118" s="30" t="inlineStr">
        <is>
          <t>Volume Spike &amp; Near 52W High Breakout</t>
        </is>
      </c>
      <c r="S118" s="30" t="inlineStr">
        <is>
          <t>Nifty 50</t>
        </is>
      </c>
      <c r="T118" s="31" t="n">
        <v>-0.65</v>
      </c>
      <c r="U118" s="31" t="n">
        <v>67.62</v>
      </c>
      <c r="V118" s="31" t="n">
        <v>68.70999999999999</v>
      </c>
      <c r="W118" s="31" t="n">
        <v>24.45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Above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IF(B119=0,"",RANK(B119,$B$2:$B$395,0))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KINGFA</t>
        </is>
      </c>
      <c r="D119" s="30" t="inlineStr">
        <is>
          <t>Kingfa Science &amp; Technology (india) Limited</t>
        </is>
      </c>
      <c r="E119" s="30" t="inlineStr">
        <is>
          <t>plastic products</t>
        </is>
      </c>
      <c r="F119" s="30" t="inlineStr">
        <is>
          <t>plastics products</t>
        </is>
      </c>
      <c r="G119" s="30" t="inlineStr">
        <is>
          <t>midcap</t>
        </is>
      </c>
      <c r="H119" s="31" t="n">
        <v>7619.26</v>
      </c>
      <c r="I119" s="31" t="n">
        <v>5720</v>
      </c>
      <c r="J119" s="31" t="n">
        <v>1.73</v>
      </c>
      <c r="K119" s="31" t="n">
        <v>13171</v>
      </c>
      <c r="L119" s="30" t="n">
        <v>46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66.3</v>
      </c>
      <c r="P119" s="31" t="n">
        <v>30.55</v>
      </c>
      <c r="Q119" s="31" t="n">
        <v>4579.7</v>
      </c>
      <c r="R119" s="30" t="inlineStr">
        <is>
          <t>Near 52W High Breakout</t>
        </is>
      </c>
      <c r="S119" s="30" t="inlineStr">
        <is>
          <t>Nifty 50</t>
        </is>
      </c>
      <c r="T119" s="31" t="n">
        <v>-0.65</v>
      </c>
      <c r="U119" s="31" t="n">
        <v>49.51</v>
      </c>
      <c r="V119" s="31" t="n">
        <v>50.49</v>
      </c>
      <c r="W119" s="31" t="n">
        <v>10.69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Between 1.5 to 2</t>
        </is>
      </c>
      <c r="BU119" s="30">
        <f>IF(BT119="Above 2",0,IF(BT119="Between 1.5 to 2",5,IF(BT119="Less than 1.5",10,0)))</f>
        <v/>
      </c>
      <c r="BV119" s="30" t="inlineStr">
        <is>
          <t>Less than 50%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IF(B120=0,"",RANK(B120,$B$2:$B$395,0))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MOTHERSON</t>
        </is>
      </c>
      <c r="D120" s="30" t="inlineStr">
        <is>
          <t>Samvardhana Motherson International Ltd</t>
        </is>
      </c>
      <c r="E120" s="30" t="inlineStr">
        <is>
          <t>auto</t>
        </is>
      </c>
      <c r="F120" s="30" t="inlineStr">
        <is>
          <t>auto ancillaries</t>
        </is>
      </c>
      <c r="G120" s="30" t="inlineStr">
        <is>
          <t>largecap</t>
        </is>
      </c>
      <c r="H120" s="31" t="n">
        <v>177304.08</v>
      </c>
      <c r="I120" s="31" t="n">
        <v>169.26</v>
      </c>
      <c r="J120" s="31" t="n">
        <v>0.76</v>
      </c>
      <c r="K120" s="31" t="n">
        <v>33922277</v>
      </c>
      <c r="L120" s="30" t="n">
        <v>71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74.84999999999999</v>
      </c>
      <c r="P120" s="31" t="n">
        <v>37.34</v>
      </c>
      <c r="Q120" s="31" t="n">
        <v>139.9</v>
      </c>
      <c r="R120" s="30" t="inlineStr">
        <is>
          <t>Near 52W High Breakout</t>
        </is>
      </c>
      <c r="S120" s="30" t="inlineStr">
        <is>
          <t>Nifty Auto</t>
        </is>
      </c>
      <c r="T120" s="31" t="n">
        <v>23.87</v>
      </c>
      <c r="U120" s="31" t="n">
        <v>69.5</v>
      </c>
      <c r="V120" s="31" t="n">
        <v>36.84</v>
      </c>
      <c r="W120" s="31" t="n">
        <v>18.8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IF(B121=0,"",RANK(B121,$B$2:$B$395,0))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TATVA</t>
        </is>
      </c>
      <c r="D121" s="30" t="inlineStr">
        <is>
          <t>Tatva Chintan Pharma Chem Ltd</t>
        </is>
      </c>
      <c r="E121" s="30" t="inlineStr">
        <is>
          <t>chemicals</t>
        </is>
      </c>
      <c r="F121" s="30" t="inlineStr">
        <is>
          <t>chemicals</t>
        </is>
      </c>
      <c r="G121" s="30" t="inlineStr">
        <is>
          <t>smallcap</t>
        </is>
      </c>
      <c r="H121" s="31" t="n">
        <v>4153.49</v>
      </c>
      <c r="I121" s="31" t="n">
        <v>1785.5</v>
      </c>
      <c r="J121" s="31" t="n">
        <v>0.5600000000000001</v>
      </c>
      <c r="K121" s="31" t="n">
        <v>39485</v>
      </c>
      <c r="L121" s="30" t="n">
        <v>75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72.43000000000001</v>
      </c>
      <c r="P121" s="31" t="n">
        <v>26.15</v>
      </c>
      <c r="Q121" s="31" t="n">
        <v>1368.52</v>
      </c>
      <c r="R121" s="30" t="inlineStr">
        <is>
          <t>Near 52W High Breakout</t>
        </is>
      </c>
      <c r="S121" s="30" t="inlineStr">
        <is>
          <t>Nifty 50</t>
        </is>
      </c>
      <c r="T121" s="31" t="n">
        <v>-0.65</v>
      </c>
      <c r="U121" s="31" t="n">
        <v>71.06</v>
      </c>
      <c r="V121" s="31" t="n">
        <v>72.18000000000001</v>
      </c>
      <c r="W121" s="31" t="n">
        <v>20.86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IF(B122=0,"",RANK(B122,$B$2:$B$395,0))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BELRISE</t>
        </is>
      </c>
      <c r="D122" s="30" t="inlineStr">
        <is>
          <t>Belrise Industries Ltd</t>
        </is>
      </c>
      <c r="E122" s="30" t="inlineStr">
        <is>
          <t>auto</t>
        </is>
      </c>
      <c r="F122" s="30" t="inlineStr">
        <is>
          <t>auto ancillaries</t>
        </is>
      </c>
      <c r="G122" s="30" t="inlineStr">
        <is>
          <t>largecap</t>
        </is>
      </c>
      <c r="H122" s="31" t="n">
        <v>24446.7</v>
      </c>
      <c r="I122" s="31" t="n">
        <v>253.97</v>
      </c>
      <c r="J122" s="31" t="n">
        <v>0.47</v>
      </c>
      <c r="K122" s="31" t="n">
        <v>2949047</v>
      </c>
      <c r="L122" s="30" t="n">
        <v>71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71.39</v>
      </c>
      <c r="P122" s="31" t="n">
        <v>45.44</v>
      </c>
      <c r="Q122" s="31" t="n">
        <v>207.92</v>
      </c>
      <c r="R122" s="30" t="inlineStr">
        <is>
          <t>Near 52W High Breakout</t>
        </is>
      </c>
      <c r="S122" s="30" t="inlineStr">
        <is>
          <t>Nifty Auto</t>
        </is>
      </c>
      <c r="T122" s="31" t="n">
        <v>23.87</v>
      </c>
      <c r="U122" s="31" t="n">
        <v>94.8</v>
      </c>
      <c r="V122" s="31" t="n">
        <v>57.26</v>
      </c>
      <c r="W122" s="31" t="n">
        <v>18.73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Less than 12%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IF(B123=0,"",RANK(B123,$B$2:$B$395,0))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CRAFTSMAN</t>
        </is>
      </c>
      <c r="D123" s="30" t="inlineStr">
        <is>
          <t>Craftsman Automation Ltd</t>
        </is>
      </c>
      <c r="E123" s="30" t="inlineStr">
        <is>
          <t>auto</t>
        </is>
      </c>
      <c r="F123" s="30" t="inlineStr">
        <is>
          <t>auto ancillaries</t>
        </is>
      </c>
      <c r="G123" s="30" t="inlineStr">
        <is>
          <t>largecap</t>
        </is>
      </c>
      <c r="H123" s="31" t="n">
        <v>26893.3</v>
      </c>
      <c r="I123" s="31" t="n">
        <v>10300</v>
      </c>
      <c r="J123" s="31" t="n">
        <v>0.17</v>
      </c>
      <c r="K123" s="31" t="n">
        <v>10648</v>
      </c>
      <c r="L123" s="30" t="n">
        <v>70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67.94</v>
      </c>
      <c r="P123" s="31" t="n">
        <v>62.39</v>
      </c>
      <c r="Q123" s="31" t="n">
        <v>8539.200000000001</v>
      </c>
      <c r="R123" s="30" t="inlineStr">
        <is>
          <t>Near 52W High Breakout</t>
        </is>
      </c>
      <c r="S123" s="30" t="inlineStr">
        <is>
          <t>Nifty Auto</t>
        </is>
      </c>
      <c r="T123" s="31" t="n">
        <v>23.87</v>
      </c>
      <c r="U123" s="31" t="n">
        <v>64.20999999999999</v>
      </c>
      <c r="V123" s="31" t="n">
        <v>32.56</v>
      </c>
      <c r="W123" s="31" t="n">
        <v>18.35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Above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Between 0.7 to 1.2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IF(B124=0,"",RANK(B124,$B$2:$B$395,0))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PIDILITIND</t>
        </is>
      </c>
      <c r="D124" s="30" t="inlineStr">
        <is>
          <t>Pidilite Industries Limited</t>
        </is>
      </c>
      <c r="E124" s="30" t="inlineStr">
        <is>
          <t>chemicals</t>
        </is>
      </c>
      <c r="F124" s="30" t="inlineStr">
        <is>
          <t>chemicals</t>
        </is>
      </c>
      <c r="G124" s="30" t="inlineStr">
        <is>
          <t>largecap</t>
        </is>
      </c>
      <c r="H124" s="31" t="n">
        <v>171495.15</v>
      </c>
      <c r="I124" s="31" t="n">
        <v>1685.8</v>
      </c>
      <c r="J124" s="31" t="n">
        <v>0.05</v>
      </c>
      <c r="K124" s="31" t="n">
        <v>2156774</v>
      </c>
      <c r="L124" s="30" t="n">
        <v>23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73.06</v>
      </c>
      <c r="P124" s="31" t="n">
        <v>27.59</v>
      </c>
      <c r="Q124" s="31" t="n">
        <v>1487.83</v>
      </c>
      <c r="R124" s="30" t="inlineStr">
        <is>
          <t>Near 52W High Breakout</t>
        </is>
      </c>
      <c r="S124" s="30" t="inlineStr">
        <is>
          <t>Nifty 50</t>
        </is>
      </c>
      <c r="T124" s="31" t="n">
        <v>-0.65</v>
      </c>
      <c r="U124" s="31" t="n">
        <v>10.06</v>
      </c>
      <c r="V124" s="31" t="n">
        <v>10.78</v>
      </c>
      <c r="W124" s="31" t="n">
        <v>5.31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IF(B125=0,"",RANK(B125,$B$2:$B$395,0))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LODHA</t>
        </is>
      </c>
      <c r="D125" s="30" t="inlineStr">
        <is>
          <t>Lodha Developers Ltd</t>
        </is>
      </c>
      <c r="E125" s="30" t="inlineStr">
        <is>
          <t>realty</t>
        </is>
      </c>
      <c r="F125" s="30" t="inlineStr">
        <is>
          <t>construction</t>
        </is>
      </c>
      <c r="G125" s="30" t="inlineStr">
        <is>
          <t>largecap</t>
        </is>
      </c>
      <c r="H125" s="31" t="n">
        <v>121190.15</v>
      </c>
      <c r="I125" s="31" t="n">
        <v>1212</v>
      </c>
      <c r="J125" s="31" t="n">
        <v>-0.08</v>
      </c>
      <c r="K125" s="31" t="n">
        <v>1576372</v>
      </c>
      <c r="L125" s="30" t="n">
        <v>45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62.3</v>
      </c>
      <c r="P125" s="31" t="n">
        <v>20.78</v>
      </c>
      <c r="Q125" s="31" t="n">
        <v>971.47</v>
      </c>
      <c r="R125" s="30" t="inlineStr">
        <is>
          <t>Near 52W High Breakout</t>
        </is>
      </c>
      <c r="S125" s="30" t="inlineStr">
        <is>
          <t>Nifty Realty</t>
        </is>
      </c>
      <c r="T125" s="31" t="n">
        <v>-6.47</v>
      </c>
      <c r="U125" s="31" t="n">
        <v>-4.62</v>
      </c>
      <c r="V125" s="31" t="n">
        <v>1.98</v>
      </c>
      <c r="W125" s="31" t="n">
        <v>10.29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IF(B126=0,"",RANK(B126,$B$2:$B$395,0))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AIAENG</t>
        </is>
      </c>
      <c r="D126" s="30" t="inlineStr">
        <is>
          <t>Aia Engineering Limited</t>
        </is>
      </c>
      <c r="E126" s="30" t="inlineStr">
        <is>
          <t>industrials</t>
        </is>
      </c>
      <c r="F126" s="30" t="inlineStr">
        <is>
          <t>castings &amp; forgings</t>
        </is>
      </c>
      <c r="G126" s="30" t="inlineStr">
        <is>
          <t>largecap</t>
        </is>
      </c>
      <c r="H126" s="31" t="n">
        <v>44703.26</v>
      </c>
      <c r="I126" s="31" t="n">
        <v>4781.6</v>
      </c>
      <c r="J126" s="31" t="n">
        <v>-0.18</v>
      </c>
      <c r="K126" s="31" t="n">
        <v>32387</v>
      </c>
      <c r="L126" s="30" t="n">
        <v>57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65.19</v>
      </c>
      <c r="P126" s="31" t="n">
        <v>36.34</v>
      </c>
      <c r="Q126" s="31" t="n">
        <v>3964.55</v>
      </c>
      <c r="R126" s="30" t="inlineStr">
        <is>
          <t>Near 52W High Breakout</t>
        </is>
      </c>
      <c r="S126" s="30" t="inlineStr">
        <is>
          <t>Nifty 50</t>
        </is>
      </c>
      <c r="T126" s="31" t="n">
        <v>-0.65</v>
      </c>
      <c r="U126" s="31" t="n">
        <v>54.13</v>
      </c>
      <c r="V126" s="31" t="n">
        <v>55.13</v>
      </c>
      <c r="W126" s="31" t="n">
        <v>14.29</v>
      </c>
      <c r="X126" s="30" t="inlineStr">
        <is>
          <t>Cyclical in an Upturn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Less than 1.5</t>
        </is>
      </c>
      <c r="BU126" s="30">
        <f>IF(BT126="Above 2",0,IF(BT126="Between 1.5 to 2",5,IF(BT126="Less than 1.5",10,0)))</f>
        <v/>
      </c>
      <c r="BV126" s="30" t="inlineStr">
        <is>
          <t>Less than 50%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IF(B127=0,"",RANK(B127,$B$2:$B$395,0))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SOLARINDS</t>
        </is>
      </c>
      <c r="D127" s="30" t="inlineStr">
        <is>
          <t>Solar Industries India Limited</t>
        </is>
      </c>
      <c r="E127" s="30" t="inlineStr">
        <is>
          <t>aerospace &amp; defence</t>
        </is>
      </c>
      <c r="F127" s="30" t="inlineStr">
        <is>
          <t>chemicals</t>
        </is>
      </c>
      <c r="G127" s="30" t="inlineStr">
        <is>
          <t>largecap</t>
        </is>
      </c>
      <c r="H127" s="31" t="n">
        <v>170302.28</v>
      </c>
      <c r="I127" s="31" t="n">
        <v>18770</v>
      </c>
      <c r="J127" s="31" t="n">
        <v>-0.27</v>
      </c>
      <c r="K127" s="31" t="n">
        <v>161107</v>
      </c>
      <c r="L127" s="30" t="n">
        <v>30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65.16</v>
      </c>
      <c r="P127" s="31" t="n">
        <v>39.15</v>
      </c>
      <c r="Q127" s="31" t="n">
        <v>15467.63</v>
      </c>
      <c r="R127" s="30" t="inlineStr">
        <is>
          <t>Near 52W High Breakout</t>
        </is>
      </c>
      <c r="S127" s="30" t="inlineStr">
        <is>
          <t>Nifty 50</t>
        </is>
      </c>
      <c r="T127" s="31" t="n">
        <v>-0.65</v>
      </c>
      <c r="U127" s="31" t="n">
        <v>24.38</v>
      </c>
      <c r="V127" s="31" t="n">
        <v>25.19</v>
      </c>
      <c r="W127" s="31" t="n">
        <v>7.12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Less than 50%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IF(B128=0,"",RANK(B128,$B$2:$B$395,0))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EXIDEIND</t>
        </is>
      </c>
      <c r="D128" s="30" t="inlineStr">
        <is>
          <t>Exide Industries Limited</t>
        </is>
      </c>
      <c r="E128" s="30" t="inlineStr">
        <is>
          <t>auto</t>
        </is>
      </c>
      <c r="F128" s="30" t="inlineStr">
        <is>
          <t>auto ancillaries</t>
        </is>
      </c>
      <c r="G128" s="30" t="inlineStr">
        <is>
          <t>largecap</t>
        </is>
      </c>
      <c r="H128" s="31" t="n">
        <v>41259</v>
      </c>
      <c r="I128" s="31" t="n">
        <v>483.35</v>
      </c>
      <c r="J128" s="31" t="n">
        <v>-0.42</v>
      </c>
      <c r="K128" s="31" t="n">
        <v>4289159</v>
      </c>
      <c r="L128" s="30" t="n">
        <v>59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75.8</v>
      </c>
      <c r="P128" s="31" t="n">
        <v>42.53</v>
      </c>
      <c r="Q128" s="31" t="n">
        <v>408.99</v>
      </c>
      <c r="R128" s="30" t="inlineStr">
        <is>
          <t>Near 52W High Breakout</t>
        </is>
      </c>
      <c r="S128" s="30" t="inlineStr">
        <is>
          <t>Nifty Auto</t>
        </is>
      </c>
      <c r="T128" s="31" t="n">
        <v>23.87</v>
      </c>
      <c r="U128" s="31" t="n">
        <v>27.61</v>
      </c>
      <c r="V128" s="31" t="n">
        <v>3.01</v>
      </c>
      <c r="W128" s="31" t="n">
        <v>14.91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Above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Between 1.5 to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IF(B129=0,"",RANK(B129,$B$2:$B$395,0))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JKPAPER</t>
        </is>
      </c>
      <c r="D129" s="30" t="inlineStr">
        <is>
          <t>Jk Paper Limited</t>
        </is>
      </c>
      <c r="E129" s="30" t="inlineStr">
        <is>
          <t>building materials</t>
        </is>
      </c>
      <c r="F129" s="30" t="inlineStr">
        <is>
          <t>paper</t>
        </is>
      </c>
      <c r="G129" s="30" t="inlineStr">
        <is>
          <t>midcap</t>
        </is>
      </c>
      <c r="H129" s="31" t="n">
        <v>7120.39</v>
      </c>
      <c r="I129" s="31" t="n">
        <v>390.65</v>
      </c>
      <c r="J129" s="31" t="n">
        <v>-0.52</v>
      </c>
      <c r="K129" s="31" t="n">
        <v>350967</v>
      </c>
      <c r="L129" s="30" t="n">
        <v>15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58.51</v>
      </c>
      <c r="P129" s="31" t="n">
        <v>24.83</v>
      </c>
      <c r="Q129" s="31" t="n">
        <v>322.48</v>
      </c>
      <c r="R129" s="30" t="inlineStr">
        <is>
          <t>Earnings / Momentum Support</t>
        </is>
      </c>
      <c r="S129" s="30" t="inlineStr">
        <is>
          <t>Nifty Infra</t>
        </is>
      </c>
      <c r="T129" s="31" t="n">
        <v>3.51</v>
      </c>
      <c r="U129" s="31" t="n">
        <v>5.9</v>
      </c>
      <c r="V129" s="31" t="n">
        <v>2.31</v>
      </c>
      <c r="W129" s="31" t="n">
        <v>3.02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No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IF(B130=0,"",RANK(B130,$B$2:$B$395,0))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RPEL</t>
        </is>
      </c>
      <c r="D130" s="30" t="inlineStr">
        <is>
          <t>Raghav Productivity Enhancers Ltd</t>
        </is>
      </c>
      <c r="E130" s="30" t="inlineStr">
        <is>
          <t>building materials</t>
        </is>
      </c>
      <c r="F130" s="30" t="inlineStr">
        <is>
          <t>refractories / intermediates</t>
        </is>
      </c>
      <c r="G130" s="30" t="inlineStr">
        <is>
          <t>midcap</t>
        </is>
      </c>
      <c r="H130" s="31" t="n">
        <v>6033.23</v>
      </c>
      <c r="I130" s="31" t="n">
        <v>1301.9</v>
      </c>
      <c r="J130" s="31" t="n">
        <v>-0.91</v>
      </c>
      <c r="K130" s="31" t="n">
        <v>40929</v>
      </c>
      <c r="L130" s="30" t="n">
        <v>93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74.13</v>
      </c>
      <c r="P130" s="31" t="n">
        <v>52.62</v>
      </c>
      <c r="Q130" s="31" t="n">
        <v>1039.24</v>
      </c>
      <c r="R130" s="30" t="inlineStr">
        <is>
          <t>Near 52W High Breakout</t>
        </is>
      </c>
      <c r="S130" s="30" t="inlineStr">
        <is>
          <t>Nifty Infra</t>
        </is>
      </c>
      <c r="T130" s="31" t="n">
        <v>3.51</v>
      </c>
      <c r="U130" s="31" t="n">
        <v>97.17</v>
      </c>
      <c r="V130" s="31" t="n">
        <v>90.48999999999999</v>
      </c>
      <c r="W130" s="31" t="n">
        <v>37.3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Above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Negative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Blue sky scenario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Less than 1.5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IF(B131=0,"",RANK(B131,$B$2:$B$395,0))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RAMCOIND</t>
        </is>
      </c>
      <c r="D131" s="30" t="inlineStr">
        <is>
          <t>Ramco Industries Limited</t>
        </is>
      </c>
      <c r="E131" s="30" t="inlineStr">
        <is>
          <t>building materials</t>
        </is>
      </c>
      <c r="F131" s="30" t="inlineStr">
        <is>
          <t>cement products</t>
        </is>
      </c>
      <c r="G131" s="30" t="inlineStr">
        <is>
          <t>smallcap</t>
        </is>
      </c>
      <c r="H131" s="31" t="n">
        <v>3275.66</v>
      </c>
      <c r="I131" s="31" t="n">
        <v>370.6</v>
      </c>
      <c r="J131" s="31" t="n">
        <v>-1.75</v>
      </c>
      <c r="K131" s="31" t="n">
        <v>2586377</v>
      </c>
      <c r="L131" s="30" t="n">
        <v>59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64.31</v>
      </c>
      <c r="P131" s="31" t="n">
        <v>32.6</v>
      </c>
      <c r="Q131" s="31" t="n">
        <v>279.84</v>
      </c>
      <c r="R131" s="30" t="inlineStr">
        <is>
          <t>Volume Spike / Accumulation</t>
        </is>
      </c>
      <c r="S131" s="30" t="inlineStr">
        <is>
          <t>Nifty Infra</t>
        </is>
      </c>
      <c r="T131" s="31" t="n">
        <v>3.51</v>
      </c>
      <c r="U131" s="31" t="n">
        <v>30</v>
      </c>
      <c r="V131" s="31" t="n">
        <v>25.59</v>
      </c>
      <c r="W131" s="31" t="n">
        <v>14.73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IF(B132=0,"",RANK(B132,$B$2:$B$395,0))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SWANDEF</t>
        </is>
      </c>
      <c r="D132" s="30" t="inlineStr">
        <is>
          <t>Swan Defence and Heavy Industries Ltd</t>
        </is>
      </c>
      <c r="E132" s="30" t="inlineStr">
        <is>
          <t>transportation</t>
        </is>
      </c>
      <c r="F132" s="30" t="inlineStr">
        <is>
          <t>miscellaneous</t>
        </is>
      </c>
      <c r="G132" s="30" t="inlineStr">
        <is>
          <t>midcap</t>
        </is>
      </c>
      <c r="H132" s="31" t="n">
        <v>13815.89</v>
      </c>
      <c r="I132" s="31" t="n">
        <v>2573.8</v>
      </c>
      <c r="J132" s="31" t="n">
        <v>-1.86</v>
      </c>
      <c r="K132" s="31" t="n">
        <v>21649</v>
      </c>
      <c r="L132" s="30" t="n">
        <v>98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68.89</v>
      </c>
      <c r="P132" s="31" t="n">
        <v>54.48</v>
      </c>
      <c r="Q132" s="31" t="n">
        <v>2093.87</v>
      </c>
      <c r="R132" s="30" t="inlineStr">
        <is>
          <t>Near 52W High Breakout</t>
        </is>
      </c>
      <c r="S132" s="30" t="inlineStr">
        <is>
          <t>Nifty 50</t>
        </is>
      </c>
      <c r="T132" s="31" t="n">
        <v>-0.65</v>
      </c>
      <c r="U132" s="31" t="n">
        <v>626.04</v>
      </c>
      <c r="V132" s="31" t="n">
        <v>630.77</v>
      </c>
      <c r="W132" s="31" t="n">
        <v>67.62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Blue sky scenario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Negative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More than 1.2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IF(B133=0,"",RANK(B133,$B$2:$B$395,0))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MINDACORP</t>
        </is>
      </c>
      <c r="D133" s="30" t="inlineStr">
        <is>
          <t>Minda Corporation Limited</t>
        </is>
      </c>
      <c r="E133" s="30" t="inlineStr">
        <is>
          <t>auto</t>
        </is>
      </c>
      <c r="F133" s="30" t="inlineStr">
        <is>
          <t>auto ancillaries</t>
        </is>
      </c>
      <c r="G133" s="30" t="inlineStr">
        <is>
          <t>midcap</t>
        </is>
      </c>
      <c r="H133" s="31" t="n">
        <v>17598.64</v>
      </c>
      <c r="I133" s="31" t="n">
        <v>721.45</v>
      </c>
      <c r="J133" s="31" t="n">
        <v>-1.99</v>
      </c>
      <c r="K133" s="31" t="n">
        <v>297610</v>
      </c>
      <c r="L133" s="30" t="n">
        <v>62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70.62</v>
      </c>
      <c r="P133" s="31" t="n">
        <v>35.75</v>
      </c>
      <c r="Q133" s="31" t="n">
        <v>598.0700000000001</v>
      </c>
      <c r="R133" s="30" t="inlineStr">
        <is>
          <t>Near 52W High Breakout</t>
        </is>
      </c>
      <c r="S133" s="30" t="inlineStr">
        <is>
          <t>Nifty Auto</t>
        </is>
      </c>
      <c r="T133" s="31" t="n">
        <v>23.87</v>
      </c>
      <c r="U133" s="31" t="n">
        <v>41.6</v>
      </c>
      <c r="V133" s="31" t="n">
        <v>14.31</v>
      </c>
      <c r="W133" s="31" t="n">
        <v>15.53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Blue sky scenario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IF(B134=0,"",RANK(B134,$B$2:$B$395,0))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HONASA</t>
        </is>
      </c>
      <c r="D134" s="30" t="inlineStr">
        <is>
          <t>Honasa Consumer Ltd</t>
        </is>
      </c>
      <c r="E134" s="30" t="inlineStr">
        <is>
          <t>services</t>
        </is>
      </c>
      <c r="F134" s="30" t="inlineStr">
        <is>
          <t>trading</t>
        </is>
      </c>
      <c r="G134" s="30" t="inlineStr">
        <is>
          <t>midcap</t>
        </is>
      </c>
      <c r="H134" s="31" t="n">
        <v>15554.62</v>
      </c>
      <c r="I134" s="31" t="n">
        <v>467.3</v>
      </c>
      <c r="J134" s="31" t="n">
        <v>-2.05</v>
      </c>
      <c r="K134" s="31" t="n">
        <v>838786</v>
      </c>
      <c r="L134" s="30" t="n">
        <v>68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71.59</v>
      </c>
      <c r="P134" s="31" t="n">
        <v>57.85</v>
      </c>
      <c r="Q134" s="31" t="n">
        <v>390.44</v>
      </c>
      <c r="R134" s="30" t="inlineStr">
        <is>
          <t>Near 52W High Breakout</t>
        </is>
      </c>
      <c r="S134" s="30" t="inlineStr">
        <is>
          <t>Nifty 50</t>
        </is>
      </c>
      <c r="T134" s="31" t="n">
        <v>-0.65</v>
      </c>
      <c r="U134" s="31" t="n">
        <v>67.19</v>
      </c>
      <c r="V134" s="31" t="n">
        <v>68.28</v>
      </c>
      <c r="W134" s="31" t="n">
        <v>17.83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Above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Between 50% to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IF(B135=0,"",RANK(B135,$B$2:$B$395,0))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UNIMECH</t>
        </is>
      </c>
      <c r="D135" s="30" t="inlineStr">
        <is>
          <t>Unimech Aerospace and Manufacturing Ltd</t>
        </is>
      </c>
      <c r="E135" s="30" t="inlineStr">
        <is>
          <t>aerospace &amp; defence</t>
        </is>
      </c>
      <c r="F135" s="30" t="inlineStr">
        <is>
          <t>engineering</t>
        </is>
      </c>
      <c r="G135" s="30" t="inlineStr">
        <is>
          <t>midcap</t>
        </is>
      </c>
      <c r="H135" s="31" t="n">
        <v>7385.95</v>
      </c>
      <c r="I135" s="31" t="n">
        <v>1421.4</v>
      </c>
      <c r="J135" s="31" t="n">
        <v>-2.13</v>
      </c>
      <c r="K135" s="31" t="n">
        <v>164201</v>
      </c>
      <c r="L135" s="30" t="n">
        <v>69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68.56999999999999</v>
      </c>
      <c r="P135" s="31" t="n">
        <v>33.12</v>
      </c>
      <c r="Q135" s="31" t="n">
        <v>1087.06</v>
      </c>
      <c r="R135" s="30" t="inlineStr">
        <is>
          <t>Near 52W High Breakout</t>
        </is>
      </c>
      <c r="S135" s="30" t="inlineStr">
        <is>
          <t>Nifty 50</t>
        </is>
      </c>
      <c r="T135" s="31" t="n">
        <v>-0.65</v>
      </c>
      <c r="U135" s="31" t="n">
        <v>33.29</v>
      </c>
      <c r="V135" s="31" t="n">
        <v>34.16</v>
      </c>
      <c r="W135" s="31" t="n">
        <v>17.99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IF(B136=0,"",RANK(B136,$B$2:$B$395,0))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AZAD</t>
        </is>
      </c>
      <c r="D136" s="30" t="inlineStr">
        <is>
          <t>Azad Engineering Ltd</t>
        </is>
      </c>
      <c r="E136" s="30" t="inlineStr">
        <is>
          <t>aerospace &amp; defence</t>
        </is>
      </c>
      <c r="F136" s="30" t="inlineStr">
        <is>
          <t>engineering</t>
        </is>
      </c>
      <c r="G136" s="30" t="inlineStr">
        <is>
          <t>midcap</t>
        </is>
      </c>
      <c r="H136" s="31" t="n">
        <v>16466.41</v>
      </c>
      <c r="I136" s="31" t="n">
        <v>2472.1</v>
      </c>
      <c r="J136" s="31" t="n">
        <v>-3.04</v>
      </c>
      <c r="K136" s="31" t="n">
        <v>367152</v>
      </c>
      <c r="L136" s="30" t="n">
        <v>57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62.87</v>
      </c>
      <c r="P136" s="31" t="n">
        <v>31.25</v>
      </c>
      <c r="Q136" s="31" t="n">
        <v>1861.9</v>
      </c>
      <c r="R136" s="30" t="inlineStr">
        <is>
          <t>Near 52W High Breakout</t>
        </is>
      </c>
      <c r="S136" s="30" t="inlineStr">
        <is>
          <t>Nifty 50</t>
        </is>
      </c>
      <c r="T136" s="31" t="n">
        <v>-0.65</v>
      </c>
      <c r="U136" s="31" t="n">
        <v>59.41</v>
      </c>
      <c r="V136" s="31" t="n">
        <v>60.45</v>
      </c>
      <c r="W136" s="31" t="n">
        <v>14.09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IF(B137=0,"",RANK(B137,$B$2:$B$395,0))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VISAKAIND</t>
        </is>
      </c>
      <c r="D137" s="30" t="inlineStr">
        <is>
          <t>Visaka Industries Limited</t>
        </is>
      </c>
      <c r="E137" s="30" t="inlineStr">
        <is>
          <t>building materials</t>
        </is>
      </c>
      <c r="F137" s="30" t="inlineStr">
        <is>
          <t>cement products</t>
        </is>
      </c>
      <c r="G137" s="30" t="inlineStr">
        <is>
          <t>smallcap</t>
        </is>
      </c>
      <c r="H137" s="31" t="n">
        <v>894.46</v>
      </c>
      <c r="I137" s="31" t="n">
        <v>100.21</v>
      </c>
      <c r="J137" s="31" t="n">
        <v>-3.2</v>
      </c>
      <c r="K137" s="31" t="n">
        <v>862792</v>
      </c>
      <c r="L137" s="30" t="n">
        <v>70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80.18000000000001</v>
      </c>
      <c r="P137" s="31" t="n">
        <v>41.36</v>
      </c>
      <c r="Q137" s="31" t="n">
        <v>79.23999999999999</v>
      </c>
      <c r="R137" s="30" t="inlineStr">
        <is>
          <t>Volume Spike &amp; Near 52W High Breakout</t>
        </is>
      </c>
      <c r="S137" s="30" t="inlineStr">
        <is>
          <t>Nifty Infra</t>
        </is>
      </c>
      <c r="T137" s="31" t="n">
        <v>3.51</v>
      </c>
      <c r="U137" s="31" t="n">
        <v>22.5</v>
      </c>
      <c r="V137" s="31" t="n">
        <v>18.35</v>
      </c>
      <c r="W137" s="31" t="n">
        <v>18.66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Above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IF(B138=0,"",RANK(B138,$B$2:$B$395,0))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ARVSMART</t>
        </is>
      </c>
      <c r="D138" s="30" t="inlineStr">
        <is>
          <t>Arvind Smartspaces Limited</t>
        </is>
      </c>
      <c r="E138" s="30" t="inlineStr">
        <is>
          <t>realty</t>
        </is>
      </c>
      <c r="F138" s="30" t="inlineStr">
        <is>
          <t>construction</t>
        </is>
      </c>
      <c r="G138" s="30" t="inlineStr">
        <is>
          <t>smallcap</t>
        </is>
      </c>
      <c r="H138" s="31" t="n">
        <v>3022.4</v>
      </c>
      <c r="I138" s="31" t="n">
        <v>636.4</v>
      </c>
      <c r="J138" s="31" t="n">
        <v>-3.42</v>
      </c>
      <c r="K138" s="31" t="n">
        <v>121226</v>
      </c>
      <c r="L138" s="30" t="n">
        <v>11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56.85</v>
      </c>
      <c r="P138" s="31" t="n">
        <v>25.99</v>
      </c>
      <c r="Q138" s="31" t="n">
        <v>511.4</v>
      </c>
      <c r="R138" s="30" t="inlineStr">
        <is>
          <t>Near 52W High Breakout</t>
        </is>
      </c>
      <c r="S138" s="30" t="inlineStr">
        <is>
          <t>Nifty Realty</t>
        </is>
      </c>
      <c r="T138" s="31" t="n">
        <v>-6.47</v>
      </c>
      <c r="U138" s="31" t="n">
        <v>1.83</v>
      </c>
      <c r="V138" s="31" t="n">
        <v>8.880000000000001</v>
      </c>
      <c r="W138" s="31" t="n">
        <v>2.07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IF(B139=0,"",RANK(B139,$B$2:$B$395,0))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2" t="inlineStr">
        <is>
          <t>ENTERO</t>
        </is>
      </c>
      <c r="D139" s="32" t="inlineStr">
        <is>
          <t>Entero Healthcare Solutions Ltd</t>
        </is>
      </c>
      <c r="E139" s="30" t="inlineStr">
        <is>
          <t>healthcare</t>
        </is>
      </c>
      <c r="F139" s="30" t="inlineStr">
        <is>
          <t>trading</t>
        </is>
      </c>
      <c r="G139" s="30" t="inlineStr">
        <is>
          <t>midcap</t>
        </is>
      </c>
      <c r="H139" s="31" t="n">
        <v>5723.72</v>
      </c>
      <c r="I139" s="31" t="n">
        <v>1427.2</v>
      </c>
      <c r="J139" s="31" t="n">
        <v>8.52</v>
      </c>
      <c r="K139" s="31" t="n">
        <v>613776</v>
      </c>
      <c r="L139" s="30" t="n">
        <v>33</v>
      </c>
      <c r="M139" s="30" t="inlineStr">
        <is>
          <t>Underperforming</t>
        </is>
      </c>
      <c r="N139" s="31">
        <f>IF(M139="Underperforming",-5,IF(L139&gt;=95,15,IF(L139&gt;=90,10,IF(L139&gt;=80,5,0))))</f>
        <v/>
      </c>
      <c r="O139" s="31" t="n">
        <v>65.45999999999999</v>
      </c>
      <c r="P139" s="31" t="n">
        <v>22.3</v>
      </c>
      <c r="Q139" s="31" t="n">
        <v>1104.6</v>
      </c>
      <c r="R139" s="30" t="inlineStr">
        <is>
          <t>Volume Spike &amp; Near 52W High Breakout</t>
        </is>
      </c>
      <c r="S139" s="30" t="inlineStr">
        <is>
          <t>Nifty Pharma</t>
        </is>
      </c>
      <c r="T139" s="31" t="n">
        <v>20.76</v>
      </c>
      <c r="U139" s="31" t="n">
        <v>18.3</v>
      </c>
      <c r="V139" s="31" t="n">
        <v>-2.03</v>
      </c>
      <c r="W139" s="31" t="n">
        <v>7.72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Yes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Annuity, Lower One Time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Less than 1.5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IF(B140=0,"",RANK(B140,$B$2:$B$395,0))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DIVISLAB</t>
        </is>
      </c>
      <c r="D140" s="30" t="inlineStr">
        <is>
          <t>Divi's Laboratories Limited</t>
        </is>
      </c>
      <c r="E140" s="30" t="inlineStr">
        <is>
          <t>healthcare</t>
        </is>
      </c>
      <c r="F140" s="30" t="inlineStr">
        <is>
          <t>pharmaceuticals - indian - bulk drugs</t>
        </is>
      </c>
      <c r="G140" s="30" t="inlineStr">
        <is>
          <t>largecap</t>
        </is>
      </c>
      <c r="H140" s="31" t="n">
        <v>220338.92</v>
      </c>
      <c r="I140" s="31" t="n">
        <v>8578.5</v>
      </c>
      <c r="J140" s="31" t="n">
        <v>3.36</v>
      </c>
      <c r="K140" s="31" t="n">
        <v>1203514</v>
      </c>
      <c r="L140" s="30" t="n">
        <v>54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84.28</v>
      </c>
      <c r="P140" s="31" t="n">
        <v>31.33</v>
      </c>
      <c r="Q140" s="31" t="n">
        <v>7483.79</v>
      </c>
      <c r="R140" s="30" t="inlineStr">
        <is>
          <t>Near 52W High Breakout</t>
        </is>
      </c>
      <c r="S140" s="30" t="inlineStr">
        <is>
          <t>Nifty Pharma</t>
        </is>
      </c>
      <c r="T140" s="31" t="n">
        <v>20.76</v>
      </c>
      <c r="U140" s="31" t="n">
        <v>40.46</v>
      </c>
      <c r="V140" s="31" t="n">
        <v>16.32</v>
      </c>
      <c r="W140" s="31" t="n">
        <v>13.07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Yes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Annuity, Lower One Time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Above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IF(B141=0,"",RANK(B141,$B$2:$B$395,0))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NEULANDLAB</t>
        </is>
      </c>
      <c r="D141" s="30" t="inlineStr">
        <is>
          <t>Neuland Laboratories Limited</t>
        </is>
      </c>
      <c r="E141" s="30" t="inlineStr">
        <is>
          <t>healthcare</t>
        </is>
      </c>
      <c r="F141" s="30" t="inlineStr">
        <is>
          <t>pharmaceuticals - indian - bulk drugs</t>
        </is>
      </c>
      <c r="G141" s="30" t="inlineStr">
        <is>
          <t>largecap</t>
        </is>
      </c>
      <c r="H141" s="31" t="n">
        <v>28502.88</v>
      </c>
      <c r="I141" s="31" t="n">
        <v>22955</v>
      </c>
      <c r="J141" s="31" t="n">
        <v>3.33</v>
      </c>
      <c r="K141" s="31" t="n">
        <v>105020</v>
      </c>
      <c r="L141" s="30" t="n">
        <v>77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76.81</v>
      </c>
      <c r="P141" s="31" t="n">
        <v>52.39</v>
      </c>
      <c r="Q141" s="31" t="n">
        <v>18476.61</v>
      </c>
      <c r="R141" s="30" t="inlineStr">
        <is>
          <t>Near 52W High Breakout</t>
        </is>
      </c>
      <c r="S141" s="30" t="inlineStr">
        <is>
          <t>Nifty Pharma</t>
        </is>
      </c>
      <c r="T141" s="31" t="n">
        <v>20.76</v>
      </c>
      <c r="U141" s="31" t="n">
        <v>73.2</v>
      </c>
      <c r="V141" s="31" t="n">
        <v>43.43</v>
      </c>
      <c r="W141" s="31" t="n">
        <v>22.12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Yes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Annuity, Lower One Time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Above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IF(B142=0,"",RANK(B142,$B$2:$B$395,0))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SUBEXLTD</t>
        </is>
      </c>
      <c r="D142" s="30" t="inlineStr">
        <is>
          <t>Subex Ltd</t>
        </is>
      </c>
      <c r="E142" s="30" t="inlineStr">
        <is>
          <t>i.t</t>
        </is>
      </c>
      <c r="F142" s="30" t="inlineStr">
        <is>
          <t>computers - software - medium / small</t>
        </is>
      </c>
      <c r="G142" s="30" t="inlineStr">
        <is>
          <t>smallcap</t>
        </is>
      </c>
      <c r="H142" s="31" t="n">
        <v>780.62</v>
      </c>
      <c r="I142" s="31" t="n">
        <v>14.05</v>
      </c>
      <c r="J142" s="31" t="n">
        <v>1.15</v>
      </c>
      <c r="K142" s="31" t="n">
        <v>623284</v>
      </c>
      <c r="L142" s="30" t="n">
        <v>37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63.22</v>
      </c>
      <c r="P142" s="31" t="n">
        <v>24.62</v>
      </c>
      <c r="Q142" s="31" t="n">
        <v>9.83</v>
      </c>
      <c r="R142" s="30" t="inlineStr">
        <is>
          <t>Near 52W High Breakout</t>
        </is>
      </c>
      <c r="S142" s="30" t="inlineStr">
        <is>
          <t>Nifty IT</t>
        </is>
      </c>
      <c r="T142" s="31" t="n">
        <v>-8.640000000000001</v>
      </c>
      <c r="U142" s="31" t="n">
        <v>1.6</v>
      </c>
      <c r="V142" s="31" t="n">
        <v>11.21</v>
      </c>
      <c r="W142" s="31" t="n">
        <v>8.529999999999999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Annuity, Lower One Time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Between 12 to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IF(B143=0,"",RANK(B143,$B$2:$B$395,0))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NGLFINE</t>
        </is>
      </c>
      <c r="D143" s="30" t="inlineStr">
        <is>
          <t>NGL Fine Chem Ltd</t>
        </is>
      </c>
      <c r="E143" s="30" t="inlineStr">
        <is>
          <t>healthcare</t>
        </is>
      </c>
      <c r="F143" s="30" t="inlineStr">
        <is>
          <t>pharmaceuticals - indian - bulk drugs</t>
        </is>
      </c>
      <c r="G143" s="30" t="inlineStr">
        <is>
          <t>smallcap</t>
        </is>
      </c>
      <c r="H143" s="31" t="n">
        <v>2136.24</v>
      </c>
      <c r="I143" s="31" t="n">
        <v>3450</v>
      </c>
      <c r="J143" s="31" t="n">
        <v>-0.23</v>
      </c>
      <c r="K143" s="31" t="n">
        <v>5006</v>
      </c>
      <c r="L143" s="30" t="n">
        <v>89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80.47</v>
      </c>
      <c r="P143" s="31" t="n">
        <v>68.03</v>
      </c>
      <c r="Q143" s="31" t="n">
        <v>2518.78</v>
      </c>
      <c r="R143" s="30" t="inlineStr">
        <is>
          <t>Near 52W High Breakout</t>
        </is>
      </c>
      <c r="S143" s="30" t="inlineStr">
        <is>
          <t>Nifty Pharma</t>
        </is>
      </c>
      <c r="T143" s="31" t="n">
        <v>20.76</v>
      </c>
      <c r="U143" s="31" t="n">
        <v>151.07</v>
      </c>
      <c r="V143" s="31" t="n">
        <v>107.91</v>
      </c>
      <c r="W143" s="31" t="n">
        <v>32.33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Yes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Annuity, Lower One Time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Above 40</t>
        </is>
      </c>
      <c r="AY143" s="30">
        <f>IF(AX143="Above 40",20,IF(AX143="20 to 40",10,IF(AX143="0 to 20",-5,0)))</f>
        <v/>
      </c>
      <c r="AZ143" s="30" t="inlineStr">
        <is>
          <t>Above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Between 50% to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IF(B144=0,"",RANK(B144,$B$2:$B$395,0))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KEI</t>
        </is>
      </c>
      <c r="D144" s="30" t="inlineStr">
        <is>
          <t>Kei Industries Limited</t>
        </is>
      </c>
      <c r="E144" s="30" t="inlineStr">
        <is>
          <t>industrials</t>
        </is>
      </c>
      <c r="F144" s="30" t="inlineStr">
        <is>
          <t>cables - power</t>
        </is>
      </c>
      <c r="G144" s="30" t="inlineStr">
        <is>
          <t>largecap</t>
        </is>
      </c>
      <c r="H144" s="31" t="n">
        <v>54108.02</v>
      </c>
      <c r="I144" s="31" t="n">
        <v>5645</v>
      </c>
      <c r="J144" s="31" t="n">
        <v>-0.26</v>
      </c>
      <c r="K144" s="31" t="n">
        <v>823095</v>
      </c>
      <c r="L144" s="30" t="n">
        <v>51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64.8</v>
      </c>
      <c r="P144" s="31" t="n">
        <v>25.4</v>
      </c>
      <c r="Q144" s="31" t="n">
        <v>4555.81</v>
      </c>
      <c r="R144" s="30" t="inlineStr">
        <is>
          <t>Near 52W High Breakout</t>
        </is>
      </c>
      <c r="S144" s="30" t="inlineStr">
        <is>
          <t>Nifty Energy</t>
        </is>
      </c>
      <c r="T144" s="31" t="n">
        <v>9.81</v>
      </c>
      <c r="U144" s="31" t="n">
        <v>45.59</v>
      </c>
      <c r="V144" s="31" t="n">
        <v>32.59</v>
      </c>
      <c r="W144" s="31" t="n">
        <v>11.93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Fully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Above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Yes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Less than 1.5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Yes, More Than 10%</t>
        </is>
      </c>
      <c r="CE144" s="30">
        <f>IF(CD144="Yes, more than 10%",-10,IF(CD144="No",10,0))</f>
        <v/>
      </c>
    </row>
    <row r="145">
      <c r="A145" s="30">
        <f>IF(B145=0,"",RANK(B145,$B$2:$B$395,0))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ASTERDM</t>
        </is>
      </c>
      <c r="D145" s="30" t="inlineStr">
        <is>
          <t>Aster DM Healthcare Ltd</t>
        </is>
      </c>
      <c r="E145" s="30" t="inlineStr">
        <is>
          <t>healthcare</t>
        </is>
      </c>
      <c r="F145" s="30" t="inlineStr">
        <is>
          <t>healthcare</t>
        </is>
      </c>
      <c r="G145" s="30" t="inlineStr">
        <is>
          <t>largecap</t>
        </is>
      </c>
      <c r="H145" s="31" t="n">
        <v>75587.08</v>
      </c>
      <c r="I145" s="31" t="n">
        <v>855</v>
      </c>
      <c r="J145" s="31" t="n">
        <v>-1.4</v>
      </c>
      <c r="K145" s="31" t="n">
        <v>1001491</v>
      </c>
      <c r="L145" s="30" t="n">
        <v>47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66.51000000000001</v>
      </c>
      <c r="P145" s="31" t="n">
        <v>48.78</v>
      </c>
      <c r="Q145" s="31" t="n">
        <v>716.79</v>
      </c>
      <c r="R145" s="30" t="inlineStr">
        <is>
          <t>Near 52W High Breakout</t>
        </is>
      </c>
      <c r="S145" s="30" t="inlineStr">
        <is>
          <t>Nifty Pharma</t>
        </is>
      </c>
      <c r="T145" s="31" t="n">
        <v>20.76</v>
      </c>
      <c r="U145" s="31" t="n">
        <v>42.02</v>
      </c>
      <c r="V145" s="31" t="n">
        <v>17.61</v>
      </c>
      <c r="W145" s="31" t="n">
        <v>10.73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Yes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Annuity, Lower One Time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Above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Blue sky scenario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Less than 12%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IF(B146=0,"",RANK(B146,$B$2:$B$395,0))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DALMIASUG</t>
        </is>
      </c>
      <c r="D146" s="30" t="inlineStr">
        <is>
          <t>Dalmia Bharat Sugar And Industries Limited</t>
        </is>
      </c>
      <c r="E146" s="30" t="inlineStr">
        <is>
          <t>fmcg</t>
        </is>
      </c>
      <c r="F146" s="30" t="inlineStr">
        <is>
          <t>sugar</t>
        </is>
      </c>
      <c r="G146" s="30" t="inlineStr">
        <is>
          <t>smallcap</t>
        </is>
      </c>
      <c r="H146" s="31" t="n">
        <v>3390.95</v>
      </c>
      <c r="I146" s="31" t="n">
        <v>408.3</v>
      </c>
      <c r="J146" s="31" t="n">
        <v>-2.54</v>
      </c>
      <c r="K146" s="31" t="n">
        <v>252739</v>
      </c>
      <c r="L146" s="30" t="n">
        <v>24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65.59</v>
      </c>
      <c r="P146" s="31" t="n">
        <v>23.48</v>
      </c>
      <c r="Q146" s="31" t="n">
        <v>305.81</v>
      </c>
      <c r="R146" s="30" t="inlineStr">
        <is>
          <t>Near 52W High Breakout</t>
        </is>
      </c>
      <c r="S146" s="30" t="inlineStr">
        <is>
          <t>Nifty FMCG</t>
        </is>
      </c>
      <c r="T146" s="31" t="n">
        <v>-10.61</v>
      </c>
      <c r="U146" s="31" t="n">
        <v>9.98</v>
      </c>
      <c r="V146" s="31" t="n">
        <v>23.04</v>
      </c>
      <c r="W146" s="31" t="n">
        <v>5.61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B2C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Annuity, Lower One Time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Less than 12%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IF(B147=0,"",RANK(B147,$B$2:$B$395,0))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MOREPENLAB</t>
        </is>
      </c>
      <c r="D147" s="30" t="inlineStr">
        <is>
          <t>Morepen Laboratories Limited</t>
        </is>
      </c>
      <c r="E147" s="30" t="inlineStr">
        <is>
          <t>healthcare</t>
        </is>
      </c>
      <c r="F147" s="30" t="inlineStr">
        <is>
          <t>pharmaceuticals - indian - bulk drugs &amp; formln</t>
        </is>
      </c>
      <c r="G147" s="30" t="inlineStr">
        <is>
          <t>smallcap</t>
        </is>
      </c>
      <c r="H147" s="31" t="n">
        <v>4337.6</v>
      </c>
      <c r="I147" s="31" t="n">
        <v>76.89</v>
      </c>
      <c r="J147" s="31" t="n">
        <v>-2.87</v>
      </c>
      <c r="K147" s="31" t="n">
        <v>9409447</v>
      </c>
      <c r="L147" s="30" t="n">
        <v>89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73.56</v>
      </c>
      <c r="P147" s="31" t="n">
        <v>34.43</v>
      </c>
      <c r="Q147" s="31" t="n">
        <v>59.43</v>
      </c>
      <c r="R147" s="30" t="inlineStr">
        <is>
          <t>Near 52W High Breakout</t>
        </is>
      </c>
      <c r="S147" s="30" t="inlineStr">
        <is>
          <t>Nifty Pharma</t>
        </is>
      </c>
      <c r="T147" s="31" t="n">
        <v>20.76</v>
      </c>
      <c r="U147" s="31" t="n">
        <v>66.45999999999999</v>
      </c>
      <c r="V147" s="31" t="n">
        <v>37.84</v>
      </c>
      <c r="W147" s="31" t="n">
        <v>31.79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Yes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Annuity, Lower One Time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IF(B148=0,"",RANK(B148,$B$2:$B$395,0))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SBCL</t>
        </is>
      </c>
      <c r="D148" s="30" t="inlineStr">
        <is>
          <t>Shivalik Bimetal Controls Ltd</t>
        </is>
      </c>
      <c r="E148" s="30" t="inlineStr">
        <is>
          <t>metals &amp; mining</t>
        </is>
      </c>
      <c r="F148" s="30" t="inlineStr">
        <is>
          <t>mining / minerals / metals</t>
        </is>
      </c>
      <c r="G148" s="30" t="inlineStr">
        <is>
          <t>midcap</t>
        </is>
      </c>
      <c r="H148" s="31" t="n">
        <v>6365.55</v>
      </c>
      <c r="I148" s="31" t="n">
        <v>1039.2</v>
      </c>
      <c r="J148" s="31" t="n">
        <v>-5.96</v>
      </c>
      <c r="K148" s="31" t="n">
        <v>1830534</v>
      </c>
      <c r="L148" s="30" t="n">
        <v>91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80.67</v>
      </c>
      <c r="P148" s="31" t="n">
        <v>46.52</v>
      </c>
      <c r="Q148" s="31" t="n">
        <v>796.4</v>
      </c>
      <c r="R148" s="30" t="inlineStr">
        <is>
          <t>Volume Spike &amp; Near 52W High Breakout</t>
        </is>
      </c>
      <c r="S148" s="30" t="inlineStr">
        <is>
          <t>Nifty Metal</t>
        </is>
      </c>
      <c r="T148" s="31" t="n">
        <v>39</v>
      </c>
      <c r="U148" s="31" t="n">
        <v>88.93000000000001</v>
      </c>
      <c r="V148" s="31" t="n">
        <v>35.92</v>
      </c>
      <c r="W148" s="31" t="n">
        <v>33.52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Monopoly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Shallow Cyclical (2 to 3 Years Growth)</t>
        </is>
      </c>
      <c r="AG148" s="30">
        <f>IF(AF148="Structural (10 Years Consistency)",10,IF(AF148="Shallow Cyclical (2 to 3 years growth)",5,0))</f>
        <v/>
      </c>
      <c r="AH148" s="30" t="inlineStr">
        <is>
          <t>Yes due to Product Mix change or Operating Leverage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Fully One Time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Yes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Between 1.5 to 2</t>
        </is>
      </c>
      <c r="BU148" s="30">
        <f>IF(BT148="Above 2",0,IF(BT148="Between 1.5 to 2",5,IF(BT148="Less than 1.5",10,0)))</f>
        <v/>
      </c>
      <c r="BV148" s="30" t="inlineStr">
        <is>
          <t>Less than 50%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IF(B149=0,"",RANK(B149,$B$2:$B$395,0))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YASHO</t>
        </is>
      </c>
      <c r="D149" s="30" t="inlineStr">
        <is>
          <t>Yasho Industries Ltd</t>
        </is>
      </c>
      <c r="E149" s="30" t="inlineStr">
        <is>
          <t>chemicals</t>
        </is>
      </c>
      <c r="F149" s="30" t="inlineStr">
        <is>
          <t>chemicals</t>
        </is>
      </c>
      <c r="G149" s="30" t="inlineStr">
        <is>
          <t>midcap</t>
        </is>
      </c>
      <c r="H149" s="31" t="n">
        <v>5065.55</v>
      </c>
      <c r="I149" s="31" t="n">
        <v>4306.4</v>
      </c>
      <c r="J149" s="31" t="n">
        <v>2.5</v>
      </c>
      <c r="K149" s="31" t="n">
        <v>43670</v>
      </c>
      <c r="L149" s="30" t="n">
        <v>98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92.11</v>
      </c>
      <c r="P149" s="31" t="n">
        <v>65.09</v>
      </c>
      <c r="Q149" s="31" t="n">
        <v>3324.28</v>
      </c>
      <c r="R149" s="30" t="inlineStr">
        <is>
          <t>Near 52W High Breakout</t>
        </is>
      </c>
      <c r="S149" s="30" t="inlineStr">
        <is>
          <t>Nifty 50</t>
        </is>
      </c>
      <c r="T149" s="31" t="n">
        <v>-0.65</v>
      </c>
      <c r="U149" s="31" t="n">
        <v>147.09</v>
      </c>
      <c r="V149" s="31" t="n">
        <v>148.7</v>
      </c>
      <c r="W149" s="31" t="n">
        <v>62.04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Above 40</t>
        </is>
      </c>
      <c r="AY149" s="30">
        <f>IF(AX149="Above 40",20,IF(AX149="20 to 40",10,IF(AX149="0 to 20",-5,0)))</f>
        <v/>
      </c>
      <c r="AZ149" s="30" t="inlineStr">
        <is>
          <t>Above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More than 1.2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IF(B150=0,"",RANK(B150,$B$2:$B$395,0))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TBZ</t>
        </is>
      </c>
      <c r="D150" s="30" t="inlineStr">
        <is>
          <t>Tribhovandas Bhimji Zaveri Limited</t>
        </is>
      </c>
      <c r="E150" s="30" t="inlineStr">
        <is>
          <t>consumer discretionary</t>
        </is>
      </c>
      <c r="F150" s="30" t="inlineStr">
        <is>
          <t>diamond cutting / jewellery</t>
        </is>
      </c>
      <c r="G150" s="30" t="inlineStr">
        <is>
          <t>smallcap</t>
        </is>
      </c>
      <c r="H150" s="31" t="n">
        <v>1842.1</v>
      </c>
      <c r="I150" s="31" t="n">
        <v>282.05</v>
      </c>
      <c r="J150" s="31" t="n">
        <v>2.17</v>
      </c>
      <c r="K150" s="31" t="n">
        <v>1576487</v>
      </c>
      <c r="L150" s="30" t="n">
        <v>94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80.15000000000001</v>
      </c>
      <c r="P150" s="31" t="n">
        <v>42.87</v>
      </c>
      <c r="Q150" s="31" t="n">
        <v>212.79</v>
      </c>
      <c r="R150" s="30" t="inlineStr">
        <is>
          <t>Near 52W High Breakout</t>
        </is>
      </c>
      <c r="S150" s="30" t="inlineStr">
        <is>
          <t>Nifty 50</t>
        </is>
      </c>
      <c r="T150" s="31" t="n">
        <v>-0.65</v>
      </c>
      <c r="U150" s="31" t="n">
        <v>51.78</v>
      </c>
      <c r="V150" s="31" t="n">
        <v>52.77</v>
      </c>
      <c r="W150" s="31" t="n">
        <v>40.89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Above 40</t>
        </is>
      </c>
      <c r="AY150" s="30">
        <f>IF(AX150="Above 40",20,IF(AX150="20 to 40",10,IF(AX150="0 to 20",-5,0)))</f>
        <v/>
      </c>
      <c r="AZ150" s="30" t="inlineStr">
        <is>
          <t>Above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Less than 1.5</t>
        </is>
      </c>
      <c r="BU150" s="30">
        <f>IF(BT150="Above 2",0,IF(BT150="Between 1.5 to 2",5,IF(BT150="Less than 1.5",10,0)))</f>
        <v/>
      </c>
      <c r="BV150" s="30" t="inlineStr">
        <is>
          <t>Less than 50% and Borrowings are increasing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Between 0.7 to 1.2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IF(B151=0,"",RANK(B151,$B$2:$B$395,0))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KRISHANA</t>
        </is>
      </c>
      <c r="D151" s="30" t="inlineStr">
        <is>
          <t>Krishana Phoschem Ltd</t>
        </is>
      </c>
      <c r="E151" s="30" t="inlineStr">
        <is>
          <t>chemicals</t>
        </is>
      </c>
      <c r="F151" s="30" t="inlineStr">
        <is>
          <t>fertilizers</t>
        </is>
      </c>
      <c r="G151" s="30" t="inlineStr">
        <is>
          <t>smallcap</t>
        </is>
      </c>
      <c r="H151" s="31" t="n">
        <v>1134.78</v>
      </c>
      <c r="I151" s="31" t="n">
        <v>186.45</v>
      </c>
      <c r="J151" s="31" t="n">
        <v>1.59</v>
      </c>
      <c r="K151" s="31" t="n">
        <v>567817</v>
      </c>
      <c r="L151" s="30" t="n">
        <v>74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78.48999999999999</v>
      </c>
      <c r="P151" s="31" t="n">
        <v>46.21</v>
      </c>
      <c r="Q151" s="31" t="n">
        <v>146.73</v>
      </c>
      <c r="R151" s="30" t="inlineStr">
        <is>
          <t>Near 52W High Breakout</t>
        </is>
      </c>
      <c r="S151" s="30" t="inlineStr">
        <is>
          <t>Nifty 50</t>
        </is>
      </c>
      <c r="T151" s="31" t="n">
        <v>-0.65</v>
      </c>
      <c r="U151" s="31" t="n">
        <v>71.5</v>
      </c>
      <c r="V151" s="31" t="n">
        <v>72.62</v>
      </c>
      <c r="W151" s="31" t="n">
        <v>20.69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Above 40</t>
        </is>
      </c>
      <c r="AY151" s="30">
        <f>IF(AX151="Above 40",20,IF(AX151="20 to 40",10,IF(AX151="0 to 20",-5,0)))</f>
        <v/>
      </c>
      <c r="AZ151" s="30" t="inlineStr">
        <is>
          <t>Above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Less than 1.5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More than 1.2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IF(B152=0,"",RANK(B152,$B$2:$B$395,0))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AYMSYNTEX</t>
        </is>
      </c>
      <c r="D152" s="30" t="inlineStr">
        <is>
          <t>Aym Syntex Limited</t>
        </is>
      </c>
      <c r="E152" s="30" t="inlineStr">
        <is>
          <t>textiles</t>
        </is>
      </c>
      <c r="F152" s="30" t="inlineStr">
        <is>
          <t>textiles - processing</t>
        </is>
      </c>
      <c r="G152" s="30" t="inlineStr">
        <is>
          <t>smallcap</t>
        </is>
      </c>
      <c r="H152" s="31" t="n">
        <v>1507.12</v>
      </c>
      <c r="I152" s="31" t="n">
        <v>258.95</v>
      </c>
      <c r="J152" s="31" t="n">
        <v>0.92</v>
      </c>
      <c r="K152" s="31" t="n">
        <v>74206</v>
      </c>
      <c r="L152" s="30" t="n">
        <v>40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61.35</v>
      </c>
      <c r="P152" s="31" t="n">
        <v>32.11</v>
      </c>
      <c r="Q152" s="31" t="n">
        <v>184.87</v>
      </c>
      <c r="R152" s="30" t="inlineStr">
        <is>
          <t>Near 52W High Breakout</t>
        </is>
      </c>
      <c r="S152" s="30" t="inlineStr">
        <is>
          <t>Nifty 50</t>
        </is>
      </c>
      <c r="T152" s="31" t="n">
        <v>-0.65</v>
      </c>
      <c r="U152" s="31" t="n">
        <v>33.08</v>
      </c>
      <c r="V152" s="31" t="n">
        <v>33.95</v>
      </c>
      <c r="W152" s="31" t="n">
        <v>8.949999999999999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IF(B153=0,"",RANK(B153,$B$2:$B$395,0))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BHAGCHEM</t>
        </is>
      </c>
      <c r="D153" s="30" t="inlineStr">
        <is>
          <t>Bhagiradha Chemicals &amp; Industries Ltd</t>
        </is>
      </c>
      <c r="E153" s="30" t="inlineStr">
        <is>
          <t>chemicals</t>
        </is>
      </c>
      <c r="F153" s="30" t="inlineStr">
        <is>
          <t>pesticides / agrochemicals - indian</t>
        </is>
      </c>
      <c r="G153" s="30" t="inlineStr">
        <is>
          <t>smallcap</t>
        </is>
      </c>
      <c r="H153" s="31" t="n">
        <v>3700.11</v>
      </c>
      <c r="I153" s="31" t="n">
        <v>286.6</v>
      </c>
      <c r="J153" s="31" t="n">
        <v>0.44</v>
      </c>
      <c r="K153" s="31" t="n">
        <v>175498</v>
      </c>
      <c r="L153" s="30" t="n">
        <v>18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61.71</v>
      </c>
      <c r="P153" s="31" t="n">
        <v>25.41</v>
      </c>
      <c r="Q153" s="31" t="n">
        <v>220.55</v>
      </c>
      <c r="R153" s="30" t="inlineStr">
        <is>
          <t>Near 52W High Breakout</t>
        </is>
      </c>
      <c r="S153" s="30" t="inlineStr">
        <is>
          <t>Nifty 50</t>
        </is>
      </c>
      <c r="T153" s="31" t="n">
        <v>-0.65</v>
      </c>
      <c r="U153" s="31" t="n">
        <v>2.47</v>
      </c>
      <c r="V153" s="31" t="n">
        <v>3.14</v>
      </c>
      <c r="W153" s="31" t="n">
        <v>4.35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IF(B154=0,"",RANK(B154,$B$2:$B$395,0))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2" t="inlineStr">
        <is>
          <t>SUPRAJIT</t>
        </is>
      </c>
      <c r="D154" s="32" t="inlineStr">
        <is>
          <t>Suprajit Engineering Limited</t>
        </is>
      </c>
      <c r="E154" s="30" t="inlineStr">
        <is>
          <t>auto</t>
        </is>
      </c>
      <c r="F154" s="30" t="inlineStr">
        <is>
          <t>auto ancillaries</t>
        </is>
      </c>
      <c r="G154" s="30" t="inlineStr">
        <is>
          <t>midcap</t>
        </is>
      </c>
      <c r="H154" s="31" t="n">
        <v>7259.78</v>
      </c>
      <c r="I154" s="31" t="n">
        <v>531.5</v>
      </c>
      <c r="J154" s="31" t="n">
        <v>0.43</v>
      </c>
      <c r="K154" s="31" t="n">
        <v>114685</v>
      </c>
      <c r="L154" s="30" t="n">
        <v>39</v>
      </c>
      <c r="M154" s="30" t="inlineStr">
        <is>
          <t>Underperforming</t>
        </is>
      </c>
      <c r="N154" s="31">
        <f>IF(M154="Underperforming",-5,IF(L154&gt;=95,15,IF(L154&gt;=90,10,IF(L154&gt;=80,5,0))))</f>
        <v/>
      </c>
      <c r="O154" s="31" t="n">
        <v>65.76000000000001</v>
      </c>
      <c r="P154" s="31" t="n">
        <v>42.82</v>
      </c>
      <c r="Q154" s="31" t="n">
        <v>428.86</v>
      </c>
      <c r="R154" s="30" t="inlineStr">
        <is>
          <t>Near 52W High Breakout</t>
        </is>
      </c>
      <c r="S154" s="30" t="inlineStr">
        <is>
          <t>Nifty Auto</t>
        </is>
      </c>
      <c r="T154" s="31" t="n">
        <v>23.87</v>
      </c>
      <c r="U154" s="31" t="n">
        <v>14.7</v>
      </c>
      <c r="V154" s="31" t="n">
        <v>-7.4</v>
      </c>
      <c r="W154" s="31" t="n">
        <v>8.91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Above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Less than 12%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IF(B155=0,"",RANK(B155,$B$2:$B$395,0))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KALYANKJIL</t>
        </is>
      </c>
      <c r="D155" s="30" t="inlineStr">
        <is>
          <t>Kalyan Jewellers India Ltd</t>
        </is>
      </c>
      <c r="E155" s="30" t="inlineStr">
        <is>
          <t>consumer discretionary</t>
        </is>
      </c>
      <c r="F155" s="30" t="inlineStr">
        <is>
          <t>diamond cutting / jewellery</t>
        </is>
      </c>
      <c r="G155" s="30" t="inlineStr">
        <is>
          <t>largecap</t>
        </is>
      </c>
      <c r="H155" s="31" t="n">
        <v>61990.23</v>
      </c>
      <c r="I155" s="31" t="n">
        <v>602.2</v>
      </c>
      <c r="J155" s="31" t="n">
        <v>0.32</v>
      </c>
      <c r="K155" s="31" t="n">
        <v>19484633</v>
      </c>
      <c r="L155" s="30" t="n">
        <v>74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70.84</v>
      </c>
      <c r="P155" s="31" t="n">
        <v>33.13</v>
      </c>
      <c r="Q155" s="31" t="n">
        <v>466.47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-0.65</v>
      </c>
      <c r="U155" s="31" t="n">
        <v>13.21</v>
      </c>
      <c r="V155" s="31" t="n">
        <v>13.95</v>
      </c>
      <c r="W155" s="31" t="n">
        <v>20.62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Less than 1.5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Between 0.7 to 1.2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IF(B156=0,"",RANK(B156,$B$2:$B$395,0))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EICHERMOT</t>
        </is>
      </c>
      <c r="D156" s="30" t="inlineStr">
        <is>
          <t>Eicher Motors Limited</t>
        </is>
      </c>
      <c r="E156" s="30" t="inlineStr">
        <is>
          <t>auto</t>
        </is>
      </c>
      <c r="F156" s="30" t="inlineStr">
        <is>
          <t>automobiles - motorcycles / mopeds</t>
        </is>
      </c>
      <c r="G156" s="30" t="inlineStr">
        <is>
          <t>largecap</t>
        </is>
      </c>
      <c r="H156" s="31" t="n">
        <v>218911.78</v>
      </c>
      <c r="I156" s="31" t="n">
        <v>8000</v>
      </c>
      <c r="J156" s="31" t="n">
        <v>0.31</v>
      </c>
      <c r="K156" s="31" t="n">
        <v>1180402</v>
      </c>
      <c r="L156" s="30" t="n">
        <v>50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64.44</v>
      </c>
      <c r="P156" s="31" t="n">
        <v>8.76</v>
      </c>
      <c r="Q156" s="31" t="n">
        <v>6907.47</v>
      </c>
      <c r="R156" s="30" t="inlineStr">
        <is>
          <t>Near 52W High Breakout</t>
        </is>
      </c>
      <c r="S156" s="30" t="inlineStr">
        <is>
          <t>Nifty Auto</t>
        </is>
      </c>
      <c r="T156" s="31" t="n">
        <v>23.87</v>
      </c>
      <c r="U156" s="31" t="n">
        <v>50.72</v>
      </c>
      <c r="V156" s="31" t="n">
        <v>21.67</v>
      </c>
      <c r="W156" s="31" t="n">
        <v>11.76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0 to 20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Between 1.5 to 2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IF(B157=0,"",RANK(B157,$B$2:$B$395,0))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ATUL</t>
        </is>
      </c>
      <c r="D157" s="30" t="inlineStr">
        <is>
          <t>Atul Limited</t>
        </is>
      </c>
      <c r="E157" s="30" t="inlineStr">
        <is>
          <t>chemicals</t>
        </is>
      </c>
      <c r="F157" s="30" t="inlineStr">
        <is>
          <t>chemicals</t>
        </is>
      </c>
      <c r="G157" s="30" t="inlineStr">
        <is>
          <t>largecap</t>
        </is>
      </c>
      <c r="H157" s="31" t="n">
        <v>20179.38</v>
      </c>
      <c r="I157" s="31" t="n">
        <v>6850</v>
      </c>
      <c r="J157" s="31" t="n">
        <v>-0.06</v>
      </c>
      <c r="K157" s="31" t="n">
        <v>53467</v>
      </c>
      <c r="L157" s="30" t="n">
        <v>9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58.46</v>
      </c>
      <c r="P157" s="31" t="n">
        <v>12.41</v>
      </c>
      <c r="Q157" s="31" t="n">
        <v>5969.32</v>
      </c>
      <c r="R157" s="30" t="inlineStr">
        <is>
          <t>Near 52W High Breakout</t>
        </is>
      </c>
      <c r="S157" s="30" t="inlineStr">
        <is>
          <t>Nifty 50</t>
        </is>
      </c>
      <c r="T157" s="31" t="n">
        <v>-0.65</v>
      </c>
      <c r="U157" s="31" t="n">
        <v>8.42</v>
      </c>
      <c r="V157" s="31" t="n">
        <v>9.130000000000001</v>
      </c>
      <c r="W157" s="31" t="n">
        <v>1.25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0 to 20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Less than 1.5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IF(B158=0,"",RANK(B158,$B$2:$B$395,0))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ENRIN</t>
        </is>
      </c>
      <c r="D158" s="30" t="inlineStr">
        <is>
          <t>Siemens Energy India Ltd</t>
        </is>
      </c>
      <c r="E158" s="30" t="inlineStr">
        <is>
          <t>power &amp; utilities</t>
        </is>
      </c>
      <c r="F158" s="30" t="inlineStr">
        <is>
          <t>power generation and supply</t>
        </is>
      </c>
      <c r="G158" s="30" t="inlineStr">
        <is>
          <t>largecap</t>
        </is>
      </c>
      <c r="H158" s="31" t="n">
        <v>127038.87</v>
      </c>
      <c r="I158" s="31" t="n">
        <v>3563.8</v>
      </c>
      <c r="J158" s="31" t="n">
        <v>-0.1</v>
      </c>
      <c r="K158" s="31" t="n">
        <v>260185</v>
      </c>
      <c r="L158" s="30" t="n">
        <v>27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56.59</v>
      </c>
      <c r="P158" s="31" t="n">
        <v>23.54</v>
      </c>
      <c r="Q158" s="31" t="n">
        <v>2982.76</v>
      </c>
      <c r="R158" s="30" t="inlineStr">
        <is>
          <t>Earnings / Momentum Support</t>
        </is>
      </c>
      <c r="S158" s="30" t="inlineStr">
        <is>
          <t>Nifty IT</t>
        </is>
      </c>
      <c r="T158" s="31" t="n">
        <v>-8.640000000000001</v>
      </c>
      <c r="U158" s="31" t="n">
        <v>12.49</v>
      </c>
      <c r="V158" s="31" t="n">
        <v>23.13</v>
      </c>
      <c r="W158" s="31" t="n">
        <v>6.1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No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Less than 1.5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IF(B159=0,"",RANK(B159,$B$2:$B$395,0))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2" t="inlineStr">
        <is>
          <t>DPABHUSHAN</t>
        </is>
      </c>
      <c r="D159" s="32" t="inlineStr">
        <is>
          <t>D.P. Abhushan Ltd</t>
        </is>
      </c>
      <c r="E159" s="30" t="inlineStr">
        <is>
          <t>consumer discretionary</t>
        </is>
      </c>
      <c r="F159" s="30" t="inlineStr">
        <is>
          <t>diamond cutting / jewellery</t>
        </is>
      </c>
      <c r="G159" s="30" t="inlineStr">
        <is>
          <t>smallcap</t>
        </is>
      </c>
      <c r="H159" s="31" t="n">
        <v>3365.52</v>
      </c>
      <c r="I159" s="31" t="n">
        <v>1470</v>
      </c>
      <c r="J159" s="31" t="n">
        <v>-0.29</v>
      </c>
      <c r="K159" s="31" t="n">
        <v>11856</v>
      </c>
      <c r="L159" s="30" t="n">
        <v>55</v>
      </c>
      <c r="M159" s="30" t="inlineStr">
        <is>
          <t>Underperforming</t>
        </is>
      </c>
      <c r="N159" s="31">
        <f>IF(M159="Underperforming",-5,IF(L159&gt;=95,15,IF(L159&gt;=90,10,IF(L159&gt;=80,5,0))))</f>
        <v/>
      </c>
      <c r="O159" s="31" t="n">
        <v>67.69</v>
      </c>
      <c r="P159" s="31" t="n">
        <v>33.81</v>
      </c>
      <c r="Q159" s="31" t="n">
        <v>1079.98</v>
      </c>
      <c r="R159" s="30" t="inlineStr">
        <is>
          <t>Earnings / Momentum Support</t>
        </is>
      </c>
      <c r="S159" s="30" t="inlineStr">
        <is>
          <t>Nifty 50</t>
        </is>
      </c>
      <c r="T159" s="31" t="n">
        <v>-0.65</v>
      </c>
      <c r="U159" s="31" t="n">
        <v>-9.449999999999999</v>
      </c>
      <c r="V159" s="31" t="n">
        <v>-8.859999999999999</v>
      </c>
      <c r="W159" s="31" t="n">
        <v>13.37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No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Less than 1.5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IF(B160=0,"",RANK(B160,$B$2:$B$395,0))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SIGMAADV</t>
        </is>
      </c>
      <c r="D160" s="30" t="inlineStr">
        <is>
          <t>Sigma Advanced System Ltd</t>
        </is>
      </c>
      <c r="E160" s="30" t="inlineStr">
        <is>
          <t>aerospace &amp; defence</t>
        </is>
      </c>
      <c r="F160" s="30" t="inlineStr">
        <is>
          <t>electronics - components</t>
        </is>
      </c>
      <c r="G160" s="30" t="inlineStr">
        <is>
          <t>midcap</t>
        </is>
      </c>
      <c r="H160" s="31" t="n">
        <v>13339.58</v>
      </c>
      <c r="I160" s="31" t="n">
        <v>701.8</v>
      </c>
      <c r="J160" s="31" t="n">
        <v>-0.31</v>
      </c>
      <c r="K160" s="31" t="n">
        <v>150689</v>
      </c>
      <c r="L160" s="30" t="n">
        <v>98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78.33</v>
      </c>
      <c r="P160" s="31" t="n">
        <v>67.42</v>
      </c>
      <c r="Q160" s="31" t="n">
        <v>527.41</v>
      </c>
      <c r="R160" s="30" t="inlineStr">
        <is>
          <t>Near 52W High Breakout</t>
        </is>
      </c>
      <c r="S160" s="30" t="inlineStr">
        <is>
          <t>Nifty 50</t>
        </is>
      </c>
      <c r="T160" s="31" t="n">
        <v>-0.65</v>
      </c>
      <c r="U160" s="31" t="n">
        <v>521.14</v>
      </c>
      <c r="V160" s="31" t="n">
        <v>525.1900000000001</v>
      </c>
      <c r="W160" s="31" t="n">
        <v>76.22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Above 40</t>
        </is>
      </c>
      <c r="AY160" s="30">
        <f>IF(AX160="Above 40",20,IF(AX160="20 to 40",10,IF(AX160="0 to 20",-5,0)))</f>
        <v/>
      </c>
      <c r="AZ160" s="30" t="inlineStr">
        <is>
          <t>Above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Blue sky scenario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Negative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Between 0.7 to 1.2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IF(B161=0,"",RANK(B161,$B$2:$B$395,0))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HAL</t>
        </is>
      </c>
      <c r="D161" s="30" t="inlineStr">
        <is>
          <t>Hindustan Aeronautics Ltd</t>
        </is>
      </c>
      <c r="E161" s="30" t="inlineStr">
        <is>
          <t>aerospace &amp; defence</t>
        </is>
      </c>
      <c r="F161" s="30" t="inlineStr">
        <is>
          <t>engineering</t>
        </is>
      </c>
      <c r="G161" s="30" t="inlineStr">
        <is>
          <t>largecap</t>
        </is>
      </c>
      <c r="H161" s="31" t="n">
        <v>329572.32</v>
      </c>
      <c r="I161" s="31" t="n">
        <v>4909</v>
      </c>
      <c r="J161" s="31" t="n">
        <v>-0.39</v>
      </c>
      <c r="K161" s="31" t="n">
        <v>881896</v>
      </c>
      <c r="L161" s="30" t="n">
        <v>18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65.3</v>
      </c>
      <c r="P161" s="31" t="n">
        <v>23.19</v>
      </c>
      <c r="Q161" s="31" t="n">
        <v>4197.52</v>
      </c>
      <c r="R161" s="30" t="inlineStr">
        <is>
          <t>Near 52W High Breakout</t>
        </is>
      </c>
      <c r="S161" s="30" t="inlineStr">
        <is>
          <t>Nifty 50</t>
        </is>
      </c>
      <c r="T161" s="31" t="n">
        <v>-0.65</v>
      </c>
      <c r="U161" s="31" t="n">
        <v>9.029999999999999</v>
      </c>
      <c r="V161" s="31" t="n">
        <v>9.74</v>
      </c>
      <c r="W161" s="31" t="n">
        <v>4.42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Less than 12%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IF(B162=0,"",RANK(B162,$B$2:$B$395,0))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NAHARSPING</t>
        </is>
      </c>
      <c r="D162" s="30" t="inlineStr">
        <is>
          <t>Nahar Spinning Mills Limited</t>
        </is>
      </c>
      <c r="E162" s="30" t="inlineStr">
        <is>
          <t>textiles</t>
        </is>
      </c>
      <c r="F162" s="30" t="inlineStr">
        <is>
          <t>textiles - cotton/blended</t>
        </is>
      </c>
      <c r="G162" s="30" t="inlineStr">
        <is>
          <t>smallcap</t>
        </is>
      </c>
      <c r="H162" s="31" t="n">
        <v>1107.57</v>
      </c>
      <c r="I162" s="31" t="n">
        <v>305.2</v>
      </c>
      <c r="J162" s="31" t="n">
        <v>-0.62</v>
      </c>
      <c r="K162" s="31" t="n">
        <v>28067</v>
      </c>
      <c r="L162" s="30" t="n">
        <v>56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67.97</v>
      </c>
      <c r="P162" s="31" t="n">
        <v>27.64</v>
      </c>
      <c r="Q162" s="31" t="n">
        <v>246.01</v>
      </c>
      <c r="R162" s="30" t="inlineStr">
        <is>
          <t>Near 52W High Breakout</t>
        </is>
      </c>
      <c r="S162" s="30" t="inlineStr">
        <is>
          <t>Nifty 50</t>
        </is>
      </c>
      <c r="T162" s="31" t="n">
        <v>-0.65</v>
      </c>
      <c r="U162" s="31" t="n">
        <v>55.09</v>
      </c>
      <c r="V162" s="31" t="n">
        <v>56.1</v>
      </c>
      <c r="W162" s="31" t="n">
        <v>13.6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IF(B163=0,"",RANK(B163,$B$2:$B$395,0))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OAL</t>
        </is>
      </c>
      <c r="D163" s="30" t="inlineStr">
        <is>
          <t>Oriental Aromatics Ltd</t>
        </is>
      </c>
      <c r="E163" s="30" t="inlineStr">
        <is>
          <t>chemicals</t>
        </is>
      </c>
      <c r="F163" s="30" t="inlineStr">
        <is>
          <t>chemicals</t>
        </is>
      </c>
      <c r="G163" s="30" t="inlineStr">
        <is>
          <t>smallcap</t>
        </is>
      </c>
      <c r="H163" s="31" t="n">
        <v>1273.28</v>
      </c>
      <c r="I163" s="31" t="n">
        <v>375.5</v>
      </c>
      <c r="J163" s="31" t="n">
        <v>-0.75</v>
      </c>
      <c r="K163" s="31" t="n">
        <v>24090</v>
      </c>
      <c r="L163" s="30" t="n">
        <v>37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65.3</v>
      </c>
      <c r="P163" s="31" t="n">
        <v>27.05</v>
      </c>
      <c r="Q163" s="31" t="n">
        <v>284.79</v>
      </c>
      <c r="R163" s="30" t="inlineStr">
        <is>
          <t>Near 52W High Breakout</t>
        </is>
      </c>
      <c r="S163" s="30" t="inlineStr">
        <is>
          <t>Nifty 50</t>
        </is>
      </c>
      <c r="T163" s="31" t="n">
        <v>-0.65</v>
      </c>
      <c r="U163" s="31" t="n">
        <v>16.43</v>
      </c>
      <c r="V163" s="31" t="n">
        <v>17.19</v>
      </c>
      <c r="W163" s="31" t="n">
        <v>8.67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IF(B164=0,"",RANK(B164,$B$2:$B$395,0))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HEG</t>
        </is>
      </c>
      <c r="D164" s="30" t="inlineStr">
        <is>
          <t>Heg Limited</t>
        </is>
      </c>
      <c r="E164" s="30" t="inlineStr">
        <is>
          <t>industrials</t>
        </is>
      </c>
      <c r="F164" s="30" t="inlineStr">
        <is>
          <t>electrodes - graphites</t>
        </is>
      </c>
      <c r="G164" s="30" t="inlineStr">
        <is>
          <t>midcap</t>
        </is>
      </c>
      <c r="H164" s="31" t="n">
        <v>13191.94</v>
      </c>
      <c r="I164" s="31" t="n">
        <v>678.25</v>
      </c>
      <c r="J164" s="31" t="n">
        <v>-0.78</v>
      </c>
      <c r="K164" s="31" t="n">
        <v>761806</v>
      </c>
      <c r="L164" s="30" t="n">
        <v>35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65.93000000000001</v>
      </c>
      <c r="P164" s="31" t="n">
        <v>26.81</v>
      </c>
      <c r="Q164" s="31" t="n">
        <v>526.1900000000001</v>
      </c>
      <c r="R164" s="30" t="inlineStr">
        <is>
          <t>Near 52W High Breakout</t>
        </is>
      </c>
      <c r="S164" s="30" t="inlineStr">
        <is>
          <t>Nifty 50</t>
        </is>
      </c>
      <c r="T164" s="31" t="n">
        <v>-0.65</v>
      </c>
      <c r="U164" s="31" t="n">
        <v>35.25</v>
      </c>
      <c r="V164" s="31" t="n">
        <v>36.14</v>
      </c>
      <c r="W164" s="31" t="n">
        <v>8.279999999999999</v>
      </c>
      <c r="X164" s="30" t="inlineStr">
        <is>
          <t>Cyclical in an Upturn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Between 12 to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IF(B165=0,"",RANK(B165,$B$2:$B$395,0))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2" t="inlineStr">
        <is>
          <t>MIDHANI</t>
        </is>
      </c>
      <c r="D165" s="32" t="inlineStr">
        <is>
          <t>Mishra Dhatu Nigam Ltd</t>
        </is>
      </c>
      <c r="E165" s="30" t="inlineStr">
        <is>
          <t>aerospace &amp; defence</t>
        </is>
      </c>
      <c r="F165" s="30" t="inlineStr">
        <is>
          <t>steel - medium / small</t>
        </is>
      </c>
      <c r="G165" s="30" t="inlineStr">
        <is>
          <t>midcap</t>
        </is>
      </c>
      <c r="H165" s="31" t="n">
        <v>8133.37</v>
      </c>
      <c r="I165" s="31" t="n">
        <v>427.75</v>
      </c>
      <c r="J165" s="31" t="n">
        <v>-1.47</v>
      </c>
      <c r="K165" s="31" t="n">
        <v>414962</v>
      </c>
      <c r="L165" s="30" t="n">
        <v>19</v>
      </c>
      <c r="M165" s="30" t="inlineStr">
        <is>
          <t>Underperforming</t>
        </is>
      </c>
      <c r="N165" s="31">
        <f>IF(M165="Underperforming",-5,IF(L165&gt;=95,15,IF(L165&gt;=90,10,IF(L165&gt;=80,5,0))))</f>
        <v/>
      </c>
      <c r="O165" s="31" t="n">
        <v>58.53</v>
      </c>
      <c r="P165" s="31" t="n">
        <v>26.64</v>
      </c>
      <c r="Q165" s="31" t="n">
        <v>337.71</v>
      </c>
      <c r="R165" s="30" t="inlineStr">
        <is>
          <t>Near 52W High Breakout</t>
        </is>
      </c>
      <c r="S165" s="30" t="inlineStr">
        <is>
          <t>Nifty Metal</t>
        </is>
      </c>
      <c r="T165" s="31" t="n">
        <v>39</v>
      </c>
      <c r="U165" s="31" t="n">
        <v>6.11</v>
      </c>
      <c r="V165" s="31" t="n">
        <v>-23.66</v>
      </c>
      <c r="W165" s="31" t="n">
        <v>4.53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Between 1.5 to 2</t>
        </is>
      </c>
      <c r="BU165" s="30">
        <f>IF(BT165="Above 2",0,IF(BT165="Between 1.5 to 2",5,IF(BT165="Less than 1.5",10,0)))</f>
        <v/>
      </c>
      <c r="BV165" s="30" t="inlineStr">
        <is>
          <t>Between 50% to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IF(B166=0,"",RANK(B166,$B$2:$B$395,0))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NRAIL</t>
        </is>
      </c>
      <c r="D166" s="30" t="inlineStr">
        <is>
          <t>N R Agarwal Industries Ltd</t>
        </is>
      </c>
      <c r="E166" s="30" t="inlineStr">
        <is>
          <t>building materials</t>
        </is>
      </c>
      <c r="F166" s="30" t="inlineStr">
        <is>
          <t>paper</t>
        </is>
      </c>
      <c r="G166" s="30" t="inlineStr">
        <is>
          <t>smallcap</t>
        </is>
      </c>
      <c r="H166" s="31" t="n">
        <v>898.1799999999999</v>
      </c>
      <c r="I166" s="31" t="n">
        <v>519.1</v>
      </c>
      <c r="J166" s="31" t="n">
        <v>-1.64</v>
      </c>
      <c r="K166" s="31" t="n">
        <v>8056</v>
      </c>
      <c r="L166" s="30" t="n">
        <v>49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58.48</v>
      </c>
      <c r="P166" s="31" t="n">
        <v>23.65</v>
      </c>
      <c r="Q166" s="31" t="n">
        <v>390.43</v>
      </c>
      <c r="R166" s="30" t="inlineStr">
        <is>
          <t>Near 52W High Breakout</t>
        </is>
      </c>
      <c r="S166" s="30" t="inlineStr">
        <is>
          <t>Nifty Infra</t>
        </is>
      </c>
      <c r="T166" s="31" t="n">
        <v>3.51</v>
      </c>
      <c r="U166" s="31" t="n">
        <v>51.02</v>
      </c>
      <c r="V166" s="31" t="n">
        <v>45.9</v>
      </c>
      <c r="W166" s="31" t="n">
        <v>11.65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Between 0.7 to 1.2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IF(B167=0,"",RANK(B167,$B$2:$B$395,0))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LMW</t>
        </is>
      </c>
      <c r="D167" s="30" t="inlineStr">
        <is>
          <t>LMW Ltd</t>
        </is>
      </c>
      <c r="E167" s="30" t="inlineStr">
        <is>
          <t>industrials</t>
        </is>
      </c>
      <c r="F167" s="30" t="inlineStr">
        <is>
          <t>textile machinery</t>
        </is>
      </c>
      <c r="G167" s="30" t="inlineStr">
        <is>
          <t>midcap</t>
        </is>
      </c>
      <c r="H167" s="31" t="n">
        <v>18839.47</v>
      </c>
      <c r="I167" s="31" t="n">
        <v>17323</v>
      </c>
      <c r="J167" s="31" t="n">
        <v>-1.77</v>
      </c>
      <c r="K167" s="31" t="n">
        <v>5064</v>
      </c>
      <c r="L167" s="30" t="n">
        <v>31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65.31999999999999</v>
      </c>
      <c r="P167" s="31" t="n">
        <v>33.62</v>
      </c>
      <c r="Q167" s="31" t="n">
        <v>14188.77</v>
      </c>
      <c r="R167" s="30" t="inlineStr">
        <is>
          <t>Near 52W High Breakout</t>
        </is>
      </c>
      <c r="S167" s="30" t="inlineStr">
        <is>
          <t>Nifty 50</t>
        </is>
      </c>
      <c r="T167" s="31" t="n">
        <v>-0.65</v>
      </c>
      <c r="U167" s="31" t="n">
        <v>16.82</v>
      </c>
      <c r="V167" s="31" t="n">
        <v>17.58</v>
      </c>
      <c r="W167" s="31" t="n">
        <v>7.33</v>
      </c>
      <c r="X167" s="30" t="inlineStr">
        <is>
          <t>Cyclical in an Upturn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IF(B168=0,"",RANK(B168,$B$2:$B$395,0))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STLTECH</t>
        </is>
      </c>
      <c r="D168" s="30" t="inlineStr">
        <is>
          <t>Sterlite Technologies Limited</t>
        </is>
      </c>
      <c r="E168" s="30" t="inlineStr">
        <is>
          <t>industrials</t>
        </is>
      </c>
      <c r="F168" s="30" t="inlineStr">
        <is>
          <t>cables - telephone</t>
        </is>
      </c>
      <c r="G168" s="30" t="inlineStr">
        <is>
          <t>largecap</t>
        </is>
      </c>
      <c r="H168" s="31" t="n">
        <v>32773.73</v>
      </c>
      <c r="I168" s="31" t="n">
        <v>620</v>
      </c>
      <c r="J168" s="31" t="n">
        <v>-2.78</v>
      </c>
      <c r="K168" s="31" t="n">
        <v>1089116</v>
      </c>
      <c r="L168" s="30" t="n">
        <v>99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70.84999999999999</v>
      </c>
      <c r="P168" s="31" t="n">
        <v>80.19</v>
      </c>
      <c r="Q168" s="31" t="n">
        <v>461.38</v>
      </c>
      <c r="R168" s="30" t="inlineStr">
        <is>
          <t>Earnings / Momentum Support</t>
        </is>
      </c>
      <c r="S168" s="30" t="inlineStr">
        <is>
          <t>Nifty Infra</t>
        </is>
      </c>
      <c r="T168" s="31" t="n">
        <v>3.51</v>
      </c>
      <c r="U168" s="31" t="n">
        <v>428.6</v>
      </c>
      <c r="V168" s="31" t="n">
        <v>410.69</v>
      </c>
      <c r="W168" s="31" t="n">
        <v>88.56</v>
      </c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No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Between 0.7 to 1.2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IF(B169=0,"",RANK(B169,$B$2:$B$395,0))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PRECWIRE</t>
        </is>
      </c>
      <c r="D169" s="30" t="inlineStr">
        <is>
          <t>Precision Wires India Limited</t>
        </is>
      </c>
      <c r="E169" s="30" t="inlineStr">
        <is>
          <t>metals &amp; mining</t>
        </is>
      </c>
      <c r="F169" s="30" t="inlineStr">
        <is>
          <t>mining / minerals / metals</t>
        </is>
      </c>
      <c r="G169" s="30" t="inlineStr">
        <is>
          <t>midcap</t>
        </is>
      </c>
      <c r="H169" s="31" t="n">
        <v>7921.07</v>
      </c>
      <c r="I169" s="31" t="n">
        <v>414.2</v>
      </c>
      <c r="J169" s="31" t="n">
        <v>-4.41</v>
      </c>
      <c r="K169" s="31" t="n">
        <v>1291382</v>
      </c>
      <c r="L169" s="30" t="n">
        <v>77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60.83</v>
      </c>
      <c r="P169" s="31" t="n">
        <v>43.37</v>
      </c>
      <c r="Q169" s="31" t="n">
        <v>301.33</v>
      </c>
      <c r="R169" s="30" t="inlineStr">
        <is>
          <t>Near 52W High Breakout</t>
        </is>
      </c>
      <c r="S169" s="30" t="inlineStr">
        <is>
          <t>Nifty Metal</t>
        </is>
      </c>
      <c r="T169" s="31" t="n">
        <v>39</v>
      </c>
      <c r="U169" s="31" t="n">
        <v>128.61</v>
      </c>
      <c r="V169" s="31" t="n">
        <v>64.47</v>
      </c>
      <c r="W169" s="31" t="n">
        <v>22.4</v>
      </c>
      <c r="X169" s="30" t="inlineStr">
        <is>
          <t>Cyclical in an Upturn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Cyclical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Volatile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Above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Less than 1.5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IF(B170=0,"",RANK(B170,$B$2:$B$395,0))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AKUMS</t>
        </is>
      </c>
      <c r="D170" s="30" t="inlineStr">
        <is>
          <t>Akums Drugs &amp; Pharmaceuticals Ltd</t>
        </is>
      </c>
      <c r="E170" s="30" t="inlineStr">
        <is>
          <t>healthcare</t>
        </is>
      </c>
      <c r="F170" s="30" t="inlineStr">
        <is>
          <t>pharmaceuticals - indian - bulk drugs &amp; formln</t>
        </is>
      </c>
      <c r="G170" s="30" t="inlineStr">
        <is>
          <t>midcap</t>
        </is>
      </c>
      <c r="H170" s="31" t="n">
        <v>11491.34</v>
      </c>
      <c r="I170" s="31" t="n">
        <v>760.95</v>
      </c>
      <c r="J170" s="31" t="n">
        <v>4.23</v>
      </c>
      <c r="K170" s="31" t="n">
        <v>1147819</v>
      </c>
      <c r="L170" s="30" t="n">
        <v>76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73.62</v>
      </c>
      <c r="P170" s="31" t="n">
        <v>50.7</v>
      </c>
      <c r="Q170" s="31" t="n">
        <v>617.11</v>
      </c>
      <c r="R170" s="30" t="inlineStr">
        <is>
          <t>Volume Spike &amp; Near 52W High Breakout</t>
        </is>
      </c>
      <c r="S170" s="30" t="inlineStr">
        <is>
          <t>Nifty Pharma</t>
        </is>
      </c>
      <c r="T170" s="31" t="n">
        <v>20.76</v>
      </c>
      <c r="U170" s="31" t="n">
        <v>62.45</v>
      </c>
      <c r="V170" s="31" t="n">
        <v>34.52</v>
      </c>
      <c r="W170" s="31" t="n">
        <v>21.37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Yes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Annuity, Lower One Time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Above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Less than 12%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IF(B171=0,"",RANK(B171,$B$2:$B$395,0))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UNITDSPR</t>
        </is>
      </c>
      <c r="D171" s="30" t="inlineStr">
        <is>
          <t>United Spirits Ltd</t>
        </is>
      </c>
      <c r="E171" s="30" t="inlineStr">
        <is>
          <t>fmcg</t>
        </is>
      </c>
      <c r="F171" s="30" t="inlineStr">
        <is>
          <t>breweries &amp; distilleries</t>
        </is>
      </c>
      <c r="G171" s="30" t="inlineStr">
        <is>
          <t>largecap</t>
        </is>
      </c>
      <c r="H171" s="31" t="n">
        <v>110702.8</v>
      </c>
      <c r="I171" s="31" t="n">
        <v>1548.7</v>
      </c>
      <c r="J171" s="31" t="n">
        <v>1.75</v>
      </c>
      <c r="K171" s="31" t="n">
        <v>1067662</v>
      </c>
      <c r="L171" s="30" t="n">
        <v>28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68.42</v>
      </c>
      <c r="P171" s="31" t="n">
        <v>21.63</v>
      </c>
      <c r="Q171" s="31" t="n">
        <v>1343.5</v>
      </c>
      <c r="R171" s="30" t="inlineStr">
        <is>
          <t>Near 52W High Breakout</t>
        </is>
      </c>
      <c r="S171" s="30" t="inlineStr">
        <is>
          <t>Nifty FMCG</t>
        </is>
      </c>
      <c r="T171" s="31" t="n">
        <v>-10.61</v>
      </c>
      <c r="U171" s="31" t="n">
        <v>20.43</v>
      </c>
      <c r="V171" s="31" t="n">
        <v>34.72</v>
      </c>
      <c r="W171" s="31" t="n">
        <v>6.32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B2C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Annuity, Lower One Time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Less than 12%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Yes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IF(B172=0,"",RANK(B172,$B$2:$B$395,0))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BLSE</t>
        </is>
      </c>
      <c r="D172" s="30" t="inlineStr">
        <is>
          <t>BLS E-Services Ltd</t>
        </is>
      </c>
      <c r="E172" s="30" t="inlineStr">
        <is>
          <t>i.t</t>
        </is>
      </c>
      <c r="F172" s="30" t="inlineStr">
        <is>
          <t>computers - software - medium / small</t>
        </is>
      </c>
      <c r="G172" s="30" t="inlineStr">
        <is>
          <t>smallcap</t>
        </is>
      </c>
      <c r="H172" s="31" t="n">
        <v>2857.44</v>
      </c>
      <c r="I172" s="31" t="n">
        <v>317.65</v>
      </c>
      <c r="J172" s="31" t="n">
        <v>1</v>
      </c>
      <c r="K172" s="31" t="n">
        <v>275655</v>
      </c>
      <c r="L172" s="30" t="n">
        <v>86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83.76000000000001</v>
      </c>
      <c r="P172" s="31" t="n">
        <v>45.88</v>
      </c>
      <c r="Q172" s="31" t="n">
        <v>253.63</v>
      </c>
      <c r="R172" s="30" t="inlineStr">
        <is>
          <t>Near 52W High Breakout</t>
        </is>
      </c>
      <c r="S172" s="30" t="inlineStr">
        <is>
          <t>Nifty IT</t>
        </is>
      </c>
      <c r="T172" s="31" t="n">
        <v>-8.640000000000001</v>
      </c>
      <c r="U172" s="31" t="n">
        <v>78.2</v>
      </c>
      <c r="V172" s="31" t="n">
        <v>95.06</v>
      </c>
      <c r="W172" s="31" t="n">
        <v>28.77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Annuity, Lower One Time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Above 40</t>
        </is>
      </c>
      <c r="AY172" s="30">
        <f>IF(AX172="Above 40",20,IF(AX172="20 to 40",10,IF(AX172="0 to 20",-5,0)))</f>
        <v/>
      </c>
      <c r="AZ172" s="30" t="inlineStr">
        <is>
          <t>Above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Less than 12%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Between 50% to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IF(B173=0,"",RANK(B173,$B$2:$B$395,0))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GRANULES</t>
        </is>
      </c>
      <c r="D173" s="30" t="inlineStr">
        <is>
          <t>Granules India Limited</t>
        </is>
      </c>
      <c r="E173" s="30" t="inlineStr">
        <is>
          <t>healthcare</t>
        </is>
      </c>
      <c r="F173" s="30" t="inlineStr">
        <is>
          <t>pharmaceuticals - indian - bulk drugs &amp; formln</t>
        </is>
      </c>
      <c r="G173" s="30" t="inlineStr">
        <is>
          <t>largecap</t>
        </is>
      </c>
      <c r="H173" s="31" t="n">
        <v>21190.35</v>
      </c>
      <c r="I173" s="31" t="n">
        <v>861</v>
      </c>
      <c r="J173" s="31" t="n">
        <v>0.68</v>
      </c>
      <c r="K173" s="31" t="n">
        <v>377281</v>
      </c>
      <c r="L173" s="30" t="n">
        <v>67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67.79000000000001</v>
      </c>
      <c r="P173" s="31" t="n">
        <v>48.21</v>
      </c>
      <c r="Q173" s="31" t="n">
        <v>741.17</v>
      </c>
      <c r="R173" s="30" t="inlineStr">
        <is>
          <t>Near 52W High Breakout</t>
        </is>
      </c>
      <c r="S173" s="30" t="inlineStr">
        <is>
          <t>Nifty Pharma</t>
        </is>
      </c>
      <c r="T173" s="31" t="n">
        <v>20.76</v>
      </c>
      <c r="U173" s="31" t="n">
        <v>87.81</v>
      </c>
      <c r="V173" s="31" t="n">
        <v>55.52</v>
      </c>
      <c r="W173" s="31" t="n">
        <v>17.44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Yes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Annuity, Lower One Time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Above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Negative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Blue sky scenario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Less than 1.5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IF(B174=0,"",RANK(B174,$B$2:$B$395,0))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2" t="inlineStr">
        <is>
          <t>PPLPHARMA</t>
        </is>
      </c>
      <c r="D174" s="32" t="inlineStr">
        <is>
          <t>Piramal Pharma Ltd</t>
        </is>
      </c>
      <c r="E174" s="30" t="inlineStr">
        <is>
          <t>healthcare</t>
        </is>
      </c>
      <c r="F174" s="30" t="inlineStr">
        <is>
          <t>pharmaceuticals - indian - bulk drugs &amp; formln</t>
        </is>
      </c>
      <c r="G174" s="30" t="inlineStr">
        <is>
          <t>largecap</t>
        </is>
      </c>
      <c r="H174" s="31" t="n">
        <v>28438.93</v>
      </c>
      <c r="I174" s="31" t="n">
        <v>214.19</v>
      </c>
      <c r="J174" s="31" t="n">
        <v>0.27</v>
      </c>
      <c r="K174" s="31" t="n">
        <v>3675808</v>
      </c>
      <c r="L174" s="30" t="n">
        <v>32</v>
      </c>
      <c r="M174" s="30" t="inlineStr">
        <is>
          <t>Underperforming</t>
        </is>
      </c>
      <c r="N174" s="31">
        <f>IF(M174="Underperforming",-5,IF(L174&gt;=95,15,IF(L174&gt;=90,10,IF(L174&gt;=80,5,0))))</f>
        <v/>
      </c>
      <c r="O174" s="31" t="n">
        <v>72.69</v>
      </c>
      <c r="P174" s="31" t="n">
        <v>25.59</v>
      </c>
      <c r="Q174" s="31" t="n">
        <v>171.88</v>
      </c>
      <c r="R174" s="30" t="inlineStr">
        <is>
          <t>Near 52W High Breakout</t>
        </is>
      </c>
      <c r="S174" s="30" t="inlineStr">
        <is>
          <t>Nifty Pharma</t>
        </is>
      </c>
      <c r="T174" s="31" t="n">
        <v>20.76</v>
      </c>
      <c r="U174" s="31" t="n">
        <v>12.71</v>
      </c>
      <c r="V174" s="31" t="n">
        <v>-6.67</v>
      </c>
      <c r="W174" s="31" t="n">
        <v>7.59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Yes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Annuity, Lower One Time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IF(B175=0,"",RANK(B175,$B$2:$B$395,0))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2" t="inlineStr">
        <is>
          <t>LALPATHLAB</t>
        </is>
      </c>
      <c r="D175" s="32" t="inlineStr">
        <is>
          <t>Dr. Lal Path Labs Ltd.</t>
        </is>
      </c>
      <c r="E175" s="30" t="inlineStr">
        <is>
          <t>healthcare</t>
        </is>
      </c>
      <c r="F175" s="30" t="inlineStr">
        <is>
          <t>healthcare</t>
        </is>
      </c>
      <c r="G175" s="30" t="inlineStr">
        <is>
          <t>largecap</t>
        </is>
      </c>
      <c r="H175" s="31" t="n">
        <v>32756.42</v>
      </c>
      <c r="I175" s="31" t="n">
        <v>1950</v>
      </c>
      <c r="J175" s="31" t="n">
        <v>-0.2</v>
      </c>
      <c r="K175" s="31" t="n">
        <v>198678</v>
      </c>
      <c r="L175" s="30" t="n">
        <v>37</v>
      </c>
      <c r="M175" s="30" t="inlineStr">
        <is>
          <t>Underperforming</t>
        </is>
      </c>
      <c r="N175" s="31">
        <f>IF(M175="Underperforming",-5,IF(L175&gt;=95,15,IF(L175&gt;=90,10,IF(L175&gt;=80,5,0))))</f>
        <v/>
      </c>
      <c r="O175" s="31" t="n">
        <v>75.43000000000001</v>
      </c>
      <c r="P175" s="31" t="n">
        <v>41.86</v>
      </c>
      <c r="Q175" s="31" t="n">
        <v>1629.18</v>
      </c>
      <c r="R175" s="30" t="inlineStr">
        <is>
          <t>Near 52W High Breakout</t>
        </is>
      </c>
      <c r="S175" s="30" t="inlineStr">
        <is>
          <t>Nifty Pharma</t>
        </is>
      </c>
      <c r="T175" s="31" t="n">
        <v>20.76</v>
      </c>
      <c r="U175" s="31" t="n">
        <v>17.64</v>
      </c>
      <c r="V175" s="31" t="n">
        <v>-2.59</v>
      </c>
      <c r="W175" s="31" t="n">
        <v>8.49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Yes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Annuity, Lower One Time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Above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Blue sky scenario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IF(B176=0,"",RANK(B176,$B$2:$B$395,0))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GUFICBIO</t>
        </is>
      </c>
      <c r="D176" s="30" t="inlineStr">
        <is>
          <t>Gufic Biosciences Limited</t>
        </is>
      </c>
      <c r="E176" s="30" t="inlineStr">
        <is>
          <t>healthcare</t>
        </is>
      </c>
      <c r="F176" s="30" t="inlineStr">
        <is>
          <t>pharmaceuticals - indian - bulk drugs &amp; formln</t>
        </is>
      </c>
      <c r="G176" s="30" t="inlineStr">
        <is>
          <t>smallcap</t>
        </is>
      </c>
      <c r="H176" s="31" t="n">
        <v>4342.23</v>
      </c>
      <c r="I176" s="31" t="n">
        <v>431.1</v>
      </c>
      <c r="J176" s="31" t="n">
        <v>-0.44</v>
      </c>
      <c r="K176" s="31" t="n">
        <v>122005</v>
      </c>
      <c r="L176" s="30" t="n">
        <v>66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72.23</v>
      </c>
      <c r="P176" s="31" t="n">
        <v>47.86</v>
      </c>
      <c r="Q176" s="31" t="n">
        <v>338.13</v>
      </c>
      <c r="R176" s="30" t="inlineStr">
        <is>
          <t>Near 52W High Breakout</t>
        </is>
      </c>
      <c r="S176" s="30" t="inlineStr">
        <is>
          <t>Nifty Pharma</t>
        </is>
      </c>
      <c r="T176" s="31" t="n">
        <v>20.76</v>
      </c>
      <c r="U176" s="31" t="n">
        <v>20.96</v>
      </c>
      <c r="V176" s="31" t="n">
        <v>0.16</v>
      </c>
      <c r="W176" s="31" t="n">
        <v>16.68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Yes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Annuity, Lower One Time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Above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Less than 50%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IF(B177=0,"",RANK(B177,$B$2:$B$395,0))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ARTEMISMED</t>
        </is>
      </c>
      <c r="D177" s="30" t="inlineStr">
        <is>
          <t>Artemis Medicare Services Ltd</t>
        </is>
      </c>
      <c r="E177" s="30" t="inlineStr">
        <is>
          <t>healthcare</t>
        </is>
      </c>
      <c r="F177" s="30" t="inlineStr">
        <is>
          <t>healthcare</t>
        </is>
      </c>
      <c r="G177" s="30" t="inlineStr">
        <is>
          <t>midcap</t>
        </is>
      </c>
      <c r="H177" s="31" t="n">
        <v>5001.69</v>
      </c>
      <c r="I177" s="31" t="n">
        <v>313.5</v>
      </c>
      <c r="J177" s="31" t="n">
        <v>-0.78</v>
      </c>
      <c r="K177" s="31" t="n">
        <v>173395</v>
      </c>
      <c r="L177" s="30" t="n">
        <v>36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69.63</v>
      </c>
      <c r="P177" s="31" t="n">
        <v>27.85</v>
      </c>
      <c r="Q177" s="31" t="n">
        <v>258.49</v>
      </c>
      <c r="R177" s="30" t="inlineStr">
        <is>
          <t>Near 52W High Breakout</t>
        </is>
      </c>
      <c r="S177" s="30" t="inlineStr">
        <is>
          <t>Nifty Pharma</t>
        </is>
      </c>
      <c r="T177" s="31" t="n">
        <v>20.76</v>
      </c>
      <c r="U177" s="31" t="n">
        <v>30.57</v>
      </c>
      <c r="V177" s="31" t="n">
        <v>8.119999999999999</v>
      </c>
      <c r="W177" s="31" t="n">
        <v>8.43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Yes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Annuity, Lower One Time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IF(B178=0,"",RANK(B178,$B$2:$B$395,0))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2" t="inlineStr">
        <is>
          <t>AGARWALEYE</t>
        </is>
      </c>
      <c r="D178" s="32" t="inlineStr">
        <is>
          <t>Dr Agarwals Health Care Ltd</t>
        </is>
      </c>
      <c r="E178" s="30" t="inlineStr">
        <is>
          <t>healthcare</t>
        </is>
      </c>
      <c r="F178" s="30" t="inlineStr">
        <is>
          <t>healthcare</t>
        </is>
      </c>
      <c r="G178" s="30" t="inlineStr">
        <is>
          <t>midcap</t>
        </is>
      </c>
      <c r="H178" s="31" t="n">
        <v>17773.24</v>
      </c>
      <c r="I178" s="31" t="n">
        <v>542.3</v>
      </c>
      <c r="J178" s="31" t="n">
        <v>-3.28</v>
      </c>
      <c r="K178" s="31" t="n">
        <v>218413</v>
      </c>
      <c r="L178" s="30" t="n">
        <v>33</v>
      </c>
      <c r="M178" s="30" t="inlineStr">
        <is>
          <t>Underperforming</t>
        </is>
      </c>
      <c r="N178" s="31">
        <f>IF(M178="Underperforming",-5,IF(L178&gt;=95,15,IF(L178&gt;=90,10,IF(L178&gt;=80,5,0))))</f>
        <v/>
      </c>
      <c r="O178" s="31" t="n">
        <v>67.62</v>
      </c>
      <c r="P178" s="31" t="n">
        <v>24.36</v>
      </c>
      <c r="Q178" s="31" t="n">
        <v>445.15</v>
      </c>
      <c r="R178" s="30" t="inlineStr">
        <is>
          <t>Near 52W High Breakout</t>
        </is>
      </c>
      <c r="S178" s="30" t="inlineStr">
        <is>
          <t>Nifty Pharma</t>
        </is>
      </c>
      <c r="T178" s="31" t="n">
        <v>20.76</v>
      </c>
      <c r="U178" s="31" t="n">
        <v>15.59</v>
      </c>
      <c r="V178" s="31" t="n">
        <v>-4.28</v>
      </c>
      <c r="W178" s="31" t="n">
        <v>7.66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Yes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Annuity, Lower One Time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IF(B179=0,"",RANK(B179,$B$2:$B$395,0))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JBCHEPHARM</t>
        </is>
      </c>
      <c r="D179" s="30" t="inlineStr">
        <is>
          <t>Jb Chemicals &amp; Pharmaceuticals Limited</t>
        </is>
      </c>
      <c r="E179" s="30" t="inlineStr">
        <is>
          <t>healthcare</t>
        </is>
      </c>
      <c r="F179" s="30" t="inlineStr">
        <is>
          <t>pharmaceuticals - indian - bulk drugs &amp; formln</t>
        </is>
      </c>
      <c r="G179" s="30" t="inlineStr">
        <is>
          <t>largecap</t>
        </is>
      </c>
      <c r="H179" s="31" t="n">
        <v>38676.99</v>
      </c>
      <c r="I179" s="31" t="n">
        <v>2408.9</v>
      </c>
      <c r="J179" s="31" t="n">
        <v>-3.87</v>
      </c>
      <c r="K179" s="31" t="n">
        <v>4779224</v>
      </c>
      <c r="L179" s="30" t="n">
        <v>50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73.05</v>
      </c>
      <c r="P179" s="31" t="n">
        <v>47.41</v>
      </c>
      <c r="Q179" s="31" t="n">
        <v>2117.26</v>
      </c>
      <c r="R179" s="30" t="inlineStr">
        <is>
          <t>Near 52W High Breakout</t>
        </is>
      </c>
      <c r="S179" s="30" t="inlineStr">
        <is>
          <t>Nifty Pharma</t>
        </is>
      </c>
      <c r="T179" s="31" t="n">
        <v>12.73</v>
      </c>
      <c r="U179" s="31" t="n">
        <v>43.13</v>
      </c>
      <c r="V179" s="31" t="n">
        <v>26.97</v>
      </c>
      <c r="W179" s="31" t="n">
        <v>11.82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Yes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Annuity, Lower One Time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Above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Less than 12%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Between 50% to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IF(B180=0,"",RANK(B180,$B$2:$B$395,0))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CHENNPETRO</t>
        </is>
      </c>
      <c r="D180" s="30" t="inlineStr">
        <is>
          <t>Chennai Petroleum Corporation Limited</t>
        </is>
      </c>
      <c r="E180" s="30" t="inlineStr">
        <is>
          <t>energy</t>
        </is>
      </c>
      <c r="F180" s="30" t="inlineStr">
        <is>
          <t>refineries</t>
        </is>
      </c>
      <c r="G180" s="30" t="inlineStr">
        <is>
          <t>midcap</t>
        </is>
      </c>
      <c r="H180" s="31" t="n">
        <v>18466.5</v>
      </c>
      <c r="I180" s="31" t="n">
        <v>1426.1</v>
      </c>
      <c r="J180" s="31" t="n">
        <v>15</v>
      </c>
      <c r="K180" s="31" t="n">
        <v>17236108</v>
      </c>
      <c r="L180" s="30" t="n">
        <v>83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76.33</v>
      </c>
      <c r="P180" s="31" t="n">
        <v>49.4</v>
      </c>
      <c r="Q180" s="31" t="n">
        <v>1072.8</v>
      </c>
      <c r="R180" s="30" t="inlineStr">
        <is>
          <t>Volume Spike &amp; Near 52W High Breakout</t>
        </is>
      </c>
      <c r="S180" s="30" t="inlineStr">
        <is>
          <t>Nifty Energy</t>
        </is>
      </c>
      <c r="T180" s="31" t="n">
        <v>9.81</v>
      </c>
      <c r="U180" s="31" t="n">
        <v>119.77</v>
      </c>
      <c r="V180" s="31" t="n">
        <v>100.14</v>
      </c>
      <c r="W180" s="31" t="n">
        <v>26.73</v>
      </c>
      <c r="X180" s="30" t="inlineStr">
        <is>
          <t>Cyclical in an Upturn</t>
        </is>
      </c>
      <c r="Y180" s="30">
        <f>IF(X180="Growing Industry",10,IF(X180="Cyclical in an Upturn",5,0))</f>
        <v/>
      </c>
      <c r="Z180" s="30" t="inlineStr">
        <is>
          <t>Oligopoly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Yes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Cyclical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Volatile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Above 40</t>
        </is>
      </c>
      <c r="AY180" s="30">
        <f>IF(AX180="Above 40",20,IF(AX180="20 to 40",10,IF(AX180="0 to 20",-5,0)))</f>
        <v/>
      </c>
      <c r="AZ180" s="30" t="inlineStr">
        <is>
          <t>Above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IF(B181=0,"",RANK(B181,$B$2:$B$395,0))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2" t="inlineStr">
        <is>
          <t>ARE&amp;M</t>
        </is>
      </c>
      <c r="D181" s="32" t="inlineStr">
        <is>
          <t>Amara Raja Energy &amp; Mobility Ltd</t>
        </is>
      </c>
      <c r="E181" s="30" t="inlineStr">
        <is>
          <t>auto</t>
        </is>
      </c>
      <c r="F181" s="30" t="inlineStr">
        <is>
          <t>auto ancillaries</t>
        </is>
      </c>
      <c r="G181" s="30" t="inlineStr">
        <is>
          <t>midcap</t>
        </is>
      </c>
      <c r="H181" s="31" t="n">
        <v>16430.19</v>
      </c>
      <c r="I181" s="31" t="n">
        <v>970.25</v>
      </c>
      <c r="J181" s="31" t="n">
        <v>8.08</v>
      </c>
      <c r="K181" s="31" t="n">
        <v>8417269</v>
      </c>
      <c r="L181" s="30" t="n">
        <v>14</v>
      </c>
      <c r="M181" s="30" t="inlineStr">
        <is>
          <t>Underperforming</t>
        </is>
      </c>
      <c r="N181" s="31">
        <f>IF(M181="Underperforming",-5,IF(L181&gt;=95,15,IF(L181&gt;=90,10,IF(L181&gt;=80,5,0))))</f>
        <v/>
      </c>
      <c r="O181" s="31" t="n">
        <v>63.2</v>
      </c>
      <c r="P181" s="31" t="n">
        <v>13.48</v>
      </c>
      <c r="Q181" s="31" t="n">
        <v>795.84</v>
      </c>
      <c r="R181" s="30" t="inlineStr">
        <is>
          <t>Volume Spike &amp; Near 52W High Breakout</t>
        </is>
      </c>
      <c r="S181" s="30" t="inlineStr">
        <is>
          <t>Nifty Auto</t>
        </is>
      </c>
      <c r="T181" s="31" t="n">
        <v>23.87</v>
      </c>
      <c r="U181" s="31" t="n">
        <v>-0.79</v>
      </c>
      <c r="V181" s="31" t="n">
        <v>-19.91</v>
      </c>
      <c r="W181" s="31" t="n">
        <v>2.46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0 to 20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IF(B182=0,"",RANK(B182,$B$2:$B$395,0))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VRLLOG</t>
        </is>
      </c>
      <c r="D182" s="30" t="inlineStr">
        <is>
          <t>Vrl Logistics Limited</t>
        </is>
      </c>
      <c r="E182" s="30" t="inlineStr">
        <is>
          <t>transportation</t>
        </is>
      </c>
      <c r="F182" s="30" t="inlineStr">
        <is>
          <t>miscellaneous</t>
        </is>
      </c>
      <c r="G182" s="30" t="inlineStr">
        <is>
          <t>smallcap</t>
        </is>
      </c>
      <c r="H182" s="31" t="n">
        <v>4983.95</v>
      </c>
      <c r="I182" s="31" t="n">
        <v>305.25</v>
      </c>
      <c r="J182" s="31" t="n">
        <v>7.14</v>
      </c>
      <c r="K182" s="31" t="n">
        <v>1925689</v>
      </c>
      <c r="L182" s="30" t="n">
        <v>31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68.88</v>
      </c>
      <c r="P182" s="31" t="n">
        <v>13.17</v>
      </c>
      <c r="Q182" s="31" t="n">
        <v>249.52</v>
      </c>
      <c r="R182" s="30" t="inlineStr">
        <is>
          <t>Near 52W High Breakout</t>
        </is>
      </c>
      <c r="S182" s="30" t="inlineStr">
        <is>
          <t>Nifty 50</t>
        </is>
      </c>
      <c r="T182" s="31" t="n">
        <v>-0.65</v>
      </c>
      <c r="U182" s="31" t="n">
        <v>10.76</v>
      </c>
      <c r="V182" s="31" t="n">
        <v>11.48</v>
      </c>
      <c r="W182" s="31" t="n">
        <v>7.4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0 to 20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Blue sky scenario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Less than 1.5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Between 0.7 to 1.2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IF(B183=0,"",RANK(B183,$B$2:$B$395,0))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FAZE3Q</t>
        </is>
      </c>
      <c r="D183" s="30" t="inlineStr">
        <is>
          <t>Faze Three Ltd</t>
        </is>
      </c>
      <c r="E183" s="30" t="inlineStr">
        <is>
          <t>textiles</t>
        </is>
      </c>
      <c r="F183" s="30" t="inlineStr">
        <is>
          <t>textiles - processing</t>
        </is>
      </c>
      <c r="G183" s="30" t="inlineStr">
        <is>
          <t>smallcap</t>
        </is>
      </c>
      <c r="H183" s="31" t="n">
        <v>1387.64</v>
      </c>
      <c r="I183" s="31" t="n">
        <v>610</v>
      </c>
      <c r="J183" s="31" t="n">
        <v>6.91</v>
      </c>
      <c r="K183" s="31" t="n">
        <v>157079</v>
      </c>
      <c r="L183" s="30" t="n">
        <v>58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61.17</v>
      </c>
      <c r="P183" s="31" t="n">
        <v>24.44</v>
      </c>
      <c r="Q183" s="31" t="n">
        <v>457.93</v>
      </c>
      <c r="R183" s="30" t="inlineStr">
        <is>
          <t>Volume Spike &amp; Near 52W High Breakout</t>
        </is>
      </c>
      <c r="S183" s="30" t="inlineStr">
        <is>
          <t>Nifty 50</t>
        </is>
      </c>
      <c r="T183" s="31" t="n">
        <v>-0.65</v>
      </c>
      <c r="U183" s="31" t="n">
        <v>28.77</v>
      </c>
      <c r="V183" s="31" t="n">
        <v>29.61</v>
      </c>
      <c r="W183" s="31" t="n">
        <v>14.51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Between 12 to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IF(B184=0,"",RANK(B184,$B$2:$B$395,0))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SPECIALITY</t>
        </is>
      </c>
      <c r="D184" s="30" t="inlineStr">
        <is>
          <t>Speciality Restaurants Limited</t>
        </is>
      </c>
      <c r="E184" s="30" t="inlineStr">
        <is>
          <t>services</t>
        </is>
      </c>
      <c r="F184" s="30" t="inlineStr">
        <is>
          <t>hotels</t>
        </is>
      </c>
      <c r="G184" s="30" t="inlineStr">
        <is>
          <t>smallcap</t>
        </is>
      </c>
      <c r="H184" s="31" t="n">
        <v>724.26</v>
      </c>
      <c r="I184" s="31" t="n">
        <v>158.2</v>
      </c>
      <c r="J184" s="31" t="n">
        <v>5.36</v>
      </c>
      <c r="K184" s="31" t="n">
        <v>653635</v>
      </c>
      <c r="L184" s="30" t="n">
        <v>73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73.12</v>
      </c>
      <c r="P184" s="31" t="n">
        <v>26.46</v>
      </c>
      <c r="Q184" s="31" t="n">
        <v>118.54</v>
      </c>
      <c r="R184" s="30" t="inlineStr">
        <is>
          <t>Volume Spike &amp; Near 52W High Breakout</t>
        </is>
      </c>
      <c r="S184" s="30" t="inlineStr">
        <is>
          <t>Nifty 50</t>
        </is>
      </c>
      <c r="T184" s="31" t="n">
        <v>-0.65</v>
      </c>
      <c r="U184" s="31" t="n">
        <v>29.35</v>
      </c>
      <c r="V184" s="31" t="n">
        <v>30.19</v>
      </c>
      <c r="W184" s="31" t="n">
        <v>19.64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Less than 12%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IF(B185=0,"",RANK(B185,$B$2:$B$395,0))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CARBORUNIV</t>
        </is>
      </c>
      <c r="D185" s="30" t="inlineStr">
        <is>
          <t>Carborundum Universal Limited</t>
        </is>
      </c>
      <c r="E185" s="30" t="inlineStr">
        <is>
          <t>industrials</t>
        </is>
      </c>
      <c r="F185" s="30" t="inlineStr">
        <is>
          <t>abrasives and grinding wheels</t>
        </is>
      </c>
      <c r="G185" s="30" t="inlineStr">
        <is>
          <t>largecap</t>
        </is>
      </c>
      <c r="H185" s="31" t="n">
        <v>21354.32</v>
      </c>
      <c r="I185" s="31" t="n">
        <v>1173.8</v>
      </c>
      <c r="J185" s="31" t="n">
        <v>4.71</v>
      </c>
      <c r="K185" s="31" t="n">
        <v>356443</v>
      </c>
      <c r="L185" s="30" t="n">
        <v>39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64.73999999999999</v>
      </c>
      <c r="P185" s="31" t="n">
        <v>47.34</v>
      </c>
      <c r="Q185" s="31" t="n">
        <v>987.84</v>
      </c>
      <c r="R185" s="30" t="inlineStr">
        <is>
          <t>Earnings / Momentum Support</t>
        </is>
      </c>
      <c r="S185" s="30" t="inlineStr">
        <is>
          <t>Nifty 50</t>
        </is>
      </c>
      <c r="T185" s="31" t="n">
        <v>-0.65</v>
      </c>
      <c r="U185" s="31" t="n">
        <v>38.49</v>
      </c>
      <c r="V185" s="31" t="n">
        <v>39.39</v>
      </c>
      <c r="W185" s="31" t="n">
        <v>8.890000000000001</v>
      </c>
      <c r="X185" s="30" t="inlineStr">
        <is>
          <t>Cyclical in an Upturn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No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Above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IF(B186=0,"",RANK(B186,$B$2:$B$395,0))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POLYPLEX</t>
        </is>
      </c>
      <c r="D186" s="30" t="inlineStr">
        <is>
          <t>Polyplex Corporation Limited</t>
        </is>
      </c>
      <c r="E186" s="30" t="inlineStr">
        <is>
          <t>industrials</t>
        </is>
      </c>
      <c r="F186" s="30" t="inlineStr">
        <is>
          <t>packaging</t>
        </is>
      </c>
      <c r="G186" s="30" t="inlineStr">
        <is>
          <t>smallcap</t>
        </is>
      </c>
      <c r="H186" s="31" t="n">
        <v>3703.37</v>
      </c>
      <c r="I186" s="31" t="n">
        <v>1229.6</v>
      </c>
      <c r="J186" s="31" t="n">
        <v>4.23</v>
      </c>
      <c r="K186" s="31" t="n">
        <v>461853</v>
      </c>
      <c r="L186" s="30" t="n">
        <v>49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75.02</v>
      </c>
      <c r="P186" s="31" t="n">
        <v>48.5</v>
      </c>
      <c r="Q186" s="31" t="n">
        <v>1003.66</v>
      </c>
      <c r="R186" s="30" t="inlineStr">
        <is>
          <t>Near 52W High Breakout</t>
        </is>
      </c>
      <c r="S186" s="30" t="inlineStr">
        <is>
          <t>Nifty 50</t>
        </is>
      </c>
      <c r="T186" s="31" t="n">
        <v>-0.65</v>
      </c>
      <c r="U186" s="31" t="n">
        <v>15.33</v>
      </c>
      <c r="V186" s="31" t="n">
        <v>16.08</v>
      </c>
      <c r="W186" s="31" t="n">
        <v>11.66</v>
      </c>
      <c r="X186" s="30" t="inlineStr">
        <is>
          <t>Cyclical in an Upturn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Above 40</t>
        </is>
      </c>
      <c r="AY186" s="30">
        <f>IF(AX186="Above 40",20,IF(AX186="20 to 40",10,IF(AX186="0 to 20",-5,0)))</f>
        <v/>
      </c>
      <c r="AZ186" s="30" t="inlineStr">
        <is>
          <t>Above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IF(B187=0,"",RANK(B187,$B$2:$B$395,0))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EBGNG</t>
        </is>
      </c>
      <c r="D187" s="30" t="inlineStr">
        <is>
          <t>GNG Electronics Ltd</t>
        </is>
      </c>
      <c r="E187" s="30" t="inlineStr">
        <is>
          <t>services</t>
        </is>
      </c>
      <c r="F187" s="30" t="inlineStr">
        <is>
          <t>trading</t>
        </is>
      </c>
      <c r="G187" s="30" t="inlineStr">
        <is>
          <t>midcap</t>
        </is>
      </c>
      <c r="H187" s="31" t="n">
        <v>6335.05</v>
      </c>
      <c r="I187" s="31" t="n">
        <v>572.55</v>
      </c>
      <c r="J187" s="31" t="n">
        <v>3.04</v>
      </c>
      <c r="K187" s="31" t="n">
        <v>777784</v>
      </c>
      <c r="L187" s="30" t="n">
        <v>74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62.59</v>
      </c>
      <c r="P187" s="31" t="n">
        <v>32.66</v>
      </c>
      <c r="Q187" s="31" t="n">
        <v>463.78</v>
      </c>
      <c r="R187" s="30" t="inlineStr">
        <is>
          <t>Earnings / Momentum Support</t>
        </is>
      </c>
      <c r="S187" s="30" t="inlineStr">
        <is>
          <t>Nifty 50</t>
        </is>
      </c>
      <c r="T187" s="31" t="n">
        <v>-0.65</v>
      </c>
      <c r="U187" s="31" t="n">
        <v>77.78</v>
      </c>
      <c r="V187" s="31" t="n">
        <v>78.94</v>
      </c>
      <c r="W187" s="31" t="n">
        <v>20.45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No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Between 1.5 to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IF(B188=0,"",RANK(B188,$B$2:$B$395,0))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GABRIEL</t>
        </is>
      </c>
      <c r="D188" s="30" t="inlineStr">
        <is>
          <t>Gabriel India Limited</t>
        </is>
      </c>
      <c r="E188" s="30" t="inlineStr">
        <is>
          <t>auto</t>
        </is>
      </c>
      <c r="F188" s="30" t="inlineStr">
        <is>
          <t>auto ancillaries</t>
        </is>
      </c>
      <c r="G188" s="30" t="inlineStr">
        <is>
          <t>largecap</t>
        </is>
      </c>
      <c r="H188" s="31" t="n">
        <v>26049.27</v>
      </c>
      <c r="I188" s="31" t="n">
        <v>1505.5</v>
      </c>
      <c r="J188" s="31" t="n">
        <v>2.43</v>
      </c>
      <c r="K188" s="31" t="n">
        <v>280027</v>
      </c>
      <c r="L188" s="30" t="n">
        <v>79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75.09999999999999</v>
      </c>
      <c r="P188" s="31" t="n">
        <v>35.95</v>
      </c>
      <c r="Q188" s="31" t="n">
        <v>1181.14</v>
      </c>
      <c r="R188" s="30" t="inlineStr">
        <is>
          <t>Near 52W High Breakout</t>
        </is>
      </c>
      <c r="S188" s="30" t="inlineStr">
        <is>
          <t>Nifty Auto</t>
        </is>
      </c>
      <c r="T188" s="31" t="n">
        <v>23.87</v>
      </c>
      <c r="U188" s="31" t="n">
        <v>51.87</v>
      </c>
      <c r="V188" s="31" t="n">
        <v>22.6</v>
      </c>
      <c r="W188" s="31" t="n">
        <v>22.9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Above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Blue sky scenario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IF(B189=0,"",RANK(B189,$B$2:$B$395,0))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SIS</t>
        </is>
      </c>
      <c r="D189" s="30" t="inlineStr">
        <is>
          <t>Security &amp; Intelligence Services India</t>
        </is>
      </c>
      <c r="E189" s="30" t="inlineStr">
        <is>
          <t>miscellaneous</t>
        </is>
      </c>
      <c r="F189" s="30" t="inlineStr">
        <is>
          <t>miscellaneous</t>
        </is>
      </c>
      <c r="G189" s="30" t="inlineStr">
        <is>
          <t>midcap</t>
        </is>
      </c>
      <c r="H189" s="31" t="n">
        <v>6038.49</v>
      </c>
      <c r="I189" s="31" t="n">
        <v>437.55</v>
      </c>
      <c r="J189" s="31" t="n">
        <v>2.39</v>
      </c>
      <c r="K189" s="31" t="n">
        <v>116692</v>
      </c>
      <c r="L189" s="30" t="n">
        <v>32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70.02</v>
      </c>
      <c r="P189" s="31" t="n">
        <v>56.3</v>
      </c>
      <c r="Q189" s="31" t="n">
        <v>357.47</v>
      </c>
      <c r="R189" s="30" t="inlineStr">
        <is>
          <t>Near 52W High Breakout</t>
        </is>
      </c>
      <c r="S189" s="30" t="inlineStr">
        <is>
          <t>Nifty 50</t>
        </is>
      </c>
      <c r="T189" s="31" t="n">
        <v>-0.65</v>
      </c>
      <c r="U189" s="31" t="n">
        <v>26.69</v>
      </c>
      <c r="V189" s="31" t="n">
        <v>27.52</v>
      </c>
      <c r="W189" s="31" t="n">
        <v>7.64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Above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Blue sky scenario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Less than 12%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Between 0.7 to 1.2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IF(B190=0,"",RANK(B190,$B$2:$B$395,0))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2" t="inlineStr">
        <is>
          <t>GULFOILLUB</t>
        </is>
      </c>
      <c r="D190" s="32" t="inlineStr">
        <is>
          <t>Gulf Oil Lubricants India Limited</t>
        </is>
      </c>
      <c r="E190" s="30" t="inlineStr">
        <is>
          <t>chemicals</t>
        </is>
      </c>
      <c r="F190" s="30" t="inlineStr">
        <is>
          <t>chemicals</t>
        </is>
      </c>
      <c r="G190" s="30" t="inlineStr">
        <is>
          <t>midcap</t>
        </is>
      </c>
      <c r="H190" s="31" t="n">
        <v>5830.11</v>
      </c>
      <c r="I190" s="31" t="n">
        <v>1196</v>
      </c>
      <c r="J190" s="31" t="n">
        <v>1.58</v>
      </c>
      <c r="K190" s="31" t="n">
        <v>62351</v>
      </c>
      <c r="L190" s="30" t="n">
        <v>23</v>
      </c>
      <c r="M190" s="30" t="inlineStr">
        <is>
          <t>Underperforming</t>
        </is>
      </c>
      <c r="N190" s="31">
        <f>IF(M190="Underperforming",-5,IF(L190&gt;=95,15,IF(L190&gt;=90,10,IF(L190&gt;=80,5,0))))</f>
        <v/>
      </c>
      <c r="O190" s="31" t="n">
        <v>63.83</v>
      </c>
      <c r="P190" s="31" t="n">
        <v>19.81</v>
      </c>
      <c r="Q190" s="31" t="n">
        <v>972.8099999999999</v>
      </c>
      <c r="R190" s="30" t="inlineStr">
        <is>
          <t>Near 52W High Breakout</t>
        </is>
      </c>
      <c r="S190" s="30" t="inlineStr">
        <is>
          <t>Nifty Energy</t>
        </is>
      </c>
      <c r="T190" s="31" t="n">
        <v>9.81</v>
      </c>
      <c r="U190" s="31" t="n">
        <v>0.78</v>
      </c>
      <c r="V190" s="31" t="n">
        <v>-8.220000000000001</v>
      </c>
      <c r="W190" s="31" t="n">
        <v>5.4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0 to 20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IF(B191=0,"",RANK(B191,$B$2:$B$395,0))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RBZJEWEL</t>
        </is>
      </c>
      <c r="D191" s="30" t="inlineStr">
        <is>
          <t>RBZ Jewellers Ltd</t>
        </is>
      </c>
      <c r="E191" s="30" t="inlineStr">
        <is>
          <t>consumer discretionary</t>
        </is>
      </c>
      <c r="F191" s="30" t="inlineStr">
        <is>
          <t>diamond cutting / jewellery</t>
        </is>
      </c>
      <c r="G191" s="30" t="inlineStr">
        <is>
          <t>smallcap</t>
        </is>
      </c>
      <c r="H191" s="31" t="n">
        <v>609.08</v>
      </c>
      <c r="I191" s="31" t="n">
        <v>154.46</v>
      </c>
      <c r="J191" s="31" t="n">
        <v>1.44</v>
      </c>
      <c r="K191" s="31" t="n">
        <v>88252</v>
      </c>
      <c r="L191" s="30" t="n">
        <v>40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58.15</v>
      </c>
      <c r="P191" s="31" t="n">
        <v>27.09</v>
      </c>
      <c r="Q191" s="31" t="n">
        <v>111.33</v>
      </c>
      <c r="R191" s="30" t="inlineStr">
        <is>
          <t>Near 52W High Breakout</t>
        </is>
      </c>
      <c r="S191" s="30" t="inlineStr">
        <is>
          <t>Nifty 50</t>
        </is>
      </c>
      <c r="T191" s="31" t="n">
        <v>-0.65</v>
      </c>
      <c r="U191" s="31" t="n">
        <v>16.86</v>
      </c>
      <c r="V191" s="31" t="n">
        <v>17.62</v>
      </c>
      <c r="W191" s="31" t="n">
        <v>9.050000000000001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Negative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IF(B192=0,"",RANK(B192,$B$2:$B$395,0))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AARTIIND</t>
        </is>
      </c>
      <c r="D192" s="30" t="inlineStr">
        <is>
          <t>Aarti Industries Limited</t>
        </is>
      </c>
      <c r="E192" s="30" t="inlineStr">
        <is>
          <t>chemicals</t>
        </is>
      </c>
      <c r="F192" s="30" t="inlineStr">
        <is>
          <t>chemicals</t>
        </is>
      </c>
      <c r="G192" s="30" t="inlineStr">
        <is>
          <t>midcap</t>
        </is>
      </c>
      <c r="H192" s="31" t="n">
        <v>18156.28</v>
      </c>
      <c r="I192" s="31" t="n">
        <v>505.3</v>
      </c>
      <c r="J192" s="31" t="n">
        <v>0.95</v>
      </c>
      <c r="K192" s="31" t="n">
        <v>1309459</v>
      </c>
      <c r="L192" s="30" t="n">
        <v>34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61.44</v>
      </c>
      <c r="P192" s="31" t="n">
        <v>22.2</v>
      </c>
      <c r="Q192" s="31" t="n">
        <v>402.57</v>
      </c>
      <c r="R192" s="30" t="inlineStr">
        <is>
          <t>Near 52W High Breakout</t>
        </is>
      </c>
      <c r="S192" s="30" t="inlineStr">
        <is>
          <t>Nifty 50</t>
        </is>
      </c>
      <c r="T192" s="31" t="n">
        <v>-0.65</v>
      </c>
      <c r="U192" s="31" t="n">
        <v>34.71</v>
      </c>
      <c r="V192" s="31" t="n">
        <v>35.59</v>
      </c>
      <c r="W192" s="31" t="n">
        <v>7.91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Between 0.7 to 1.2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IF(B193=0,"",RANK(B193,$B$2:$B$395,0))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KMEW</t>
        </is>
      </c>
      <c r="D193" s="30" t="inlineStr">
        <is>
          <t>Knowledge Marine &amp; Engineering Works Ltd</t>
        </is>
      </c>
      <c r="E193" s="30" t="inlineStr">
        <is>
          <t>transportation</t>
        </is>
      </c>
      <c r="F193" s="30" t="inlineStr">
        <is>
          <t>miscellaneous</t>
        </is>
      </c>
      <c r="G193" s="30" t="inlineStr">
        <is>
          <t>midcap</t>
        </is>
      </c>
      <c r="H193" s="31" t="n">
        <v>6347.65</v>
      </c>
      <c r="I193" s="31" t="n">
        <v>2621.1</v>
      </c>
      <c r="J193" s="31" t="n">
        <v>0.9399999999999999</v>
      </c>
      <c r="K193" s="31" t="n">
        <v>58904</v>
      </c>
      <c r="L193" s="30" t="n">
        <v>91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75.11</v>
      </c>
      <c r="P193" s="31" t="n">
        <v>50.18</v>
      </c>
      <c r="Q193" s="31" t="n">
        <v>1930.5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-0.65</v>
      </c>
      <c r="U193" s="31" t="n">
        <v>214.07</v>
      </c>
      <c r="V193" s="31" t="n">
        <v>216.12</v>
      </c>
      <c r="W193" s="31" t="n">
        <v>33.71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Above 40</t>
        </is>
      </c>
      <c r="AY193" s="30">
        <f>IF(AX193="Above 40",20,IF(AX193="20 to 40",10,IF(AX193="0 to 20",-5,0)))</f>
        <v/>
      </c>
      <c r="AZ193" s="30" t="inlineStr">
        <is>
          <t>Above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Blue sky scenario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Negative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IF(B194=0,"",RANK(B194,$B$2:$B$395,0))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PARACABLES</t>
        </is>
      </c>
      <c r="D194" s="30" t="inlineStr">
        <is>
          <t>Paramount Communications Limited</t>
        </is>
      </c>
      <c r="E194" s="30" t="inlineStr">
        <is>
          <t>industrials</t>
        </is>
      </c>
      <c r="F194" s="30" t="inlineStr">
        <is>
          <t>cables - power</t>
        </is>
      </c>
      <c r="G194" s="30" t="inlineStr">
        <is>
          <t>smallcap</t>
        </is>
      </c>
      <c r="H194" s="31" t="n">
        <v>2204.4</v>
      </c>
      <c r="I194" s="31" t="n">
        <v>67.89</v>
      </c>
      <c r="J194" s="31" t="n">
        <v>0.77</v>
      </c>
      <c r="K194" s="31" t="n">
        <v>1069561</v>
      </c>
      <c r="L194" s="30" t="n">
        <v>83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63.17</v>
      </c>
      <c r="P194" s="31" t="n">
        <v>54.09</v>
      </c>
      <c r="Q194" s="31" t="n">
        <v>52.59</v>
      </c>
      <c r="R194" s="30" t="inlineStr">
        <is>
          <t>Earnings / Momentum Support</t>
        </is>
      </c>
      <c r="S194" s="30" t="inlineStr">
        <is>
          <t>Nifty Energy</t>
        </is>
      </c>
      <c r="T194" s="31" t="n">
        <v>9.81</v>
      </c>
      <c r="U194" s="31" t="n">
        <v>16.85</v>
      </c>
      <c r="V194" s="31" t="n">
        <v>6.41</v>
      </c>
      <c r="W194" s="31" t="n">
        <v>26.72</v>
      </c>
      <c r="X194" s="30" t="inlineStr">
        <is>
          <t>Cyclical in an Upturn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Above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IF(B195=0,"",RANK(B195,$B$2:$B$395,0))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TITAN</t>
        </is>
      </c>
      <c r="D195" s="30" t="inlineStr">
        <is>
          <t>Titan Company Limited</t>
        </is>
      </c>
      <c r="E195" s="30" t="inlineStr">
        <is>
          <t>consumer discretionary</t>
        </is>
      </c>
      <c r="F195" s="30" t="inlineStr">
        <is>
          <t>diamond cutting / jewellery</t>
        </is>
      </c>
      <c r="G195" s="30" t="inlineStr">
        <is>
          <t>largecap</t>
        </is>
      </c>
      <c r="H195" s="31" t="n">
        <v>451883.16</v>
      </c>
      <c r="I195" s="31" t="n">
        <v>5128</v>
      </c>
      <c r="J195" s="31" t="n">
        <v>0.75</v>
      </c>
      <c r="K195" s="31" t="n">
        <v>3277829</v>
      </c>
      <c r="L195" s="30" t="n">
        <v>54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72.90000000000001</v>
      </c>
      <c r="P195" s="31" t="n">
        <v>23.92</v>
      </c>
      <c r="Q195" s="31" t="n">
        <v>4479.37</v>
      </c>
      <c r="R195" s="30" t="inlineStr">
        <is>
          <t>Near 52W High Breakout</t>
        </is>
      </c>
      <c r="S195" s="30" t="inlineStr">
        <is>
          <t>Nifty 50</t>
        </is>
      </c>
      <c r="T195" s="31" t="n">
        <v>-0.65</v>
      </c>
      <c r="U195" s="31" t="n">
        <v>47.44</v>
      </c>
      <c r="V195" s="31" t="n">
        <v>48.4</v>
      </c>
      <c r="W195" s="31" t="n">
        <v>13.09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Blue sky scenario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Less than 1.5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More than 1.2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IF(B196=0,"",RANK(B196,$B$2:$B$395,0))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PAYTM</t>
        </is>
      </c>
      <c r="D196" s="30" t="inlineStr">
        <is>
          <t>One 97 Communications Ltd</t>
        </is>
      </c>
      <c r="E196" s="30" t="inlineStr">
        <is>
          <t>i.t</t>
        </is>
      </c>
      <c r="F196" s="30" t="inlineStr">
        <is>
          <t>miscellaneous</t>
        </is>
      </c>
      <c r="G196" s="30" t="inlineStr">
        <is>
          <t>largecap</t>
        </is>
      </c>
      <c r="H196" s="31" t="n">
        <v>101435.79</v>
      </c>
      <c r="I196" s="31" t="n">
        <v>1593.7</v>
      </c>
      <c r="J196" s="31" t="n">
        <v>0.61</v>
      </c>
      <c r="K196" s="31" t="n">
        <v>16788510</v>
      </c>
      <c r="L196" s="30" t="n">
        <v>65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73.2</v>
      </c>
      <c r="P196" s="31" t="n">
        <v>18.51</v>
      </c>
      <c r="Q196" s="31" t="n">
        <v>1271.36</v>
      </c>
      <c r="R196" s="30" t="inlineStr">
        <is>
          <t>Volume Spike &amp; Near 52W High Breakout</t>
        </is>
      </c>
      <c r="S196" s="30" t="inlineStr">
        <is>
          <t>Nifty IT</t>
        </is>
      </c>
      <c r="T196" s="31" t="n">
        <v>-8.640000000000001</v>
      </c>
      <c r="U196" s="31" t="n">
        <v>38.43</v>
      </c>
      <c r="V196" s="31" t="n">
        <v>51.52</v>
      </c>
      <c r="W196" s="31" t="n">
        <v>16.35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0 to 20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Blue sky scenario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Between 1.5 to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IF(B197=0,"",RANK(B197,$B$2:$B$395,0))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DIACABS</t>
        </is>
      </c>
      <c r="D197" s="30" t="inlineStr">
        <is>
          <t>Diamond Power Infrastructure Ltd</t>
        </is>
      </c>
      <c r="E197" s="30" t="inlineStr">
        <is>
          <t>industrials</t>
        </is>
      </c>
      <c r="F197" s="30" t="inlineStr">
        <is>
          <t>cables - power</t>
        </is>
      </c>
      <c r="G197" s="30" t="inlineStr">
        <is>
          <t>midcap</t>
        </is>
      </c>
      <c r="H197" s="31" t="n">
        <v>18997.31</v>
      </c>
      <c r="I197" s="31" t="n">
        <v>362</v>
      </c>
      <c r="J197" s="31" t="n">
        <v>0.42</v>
      </c>
      <c r="K197" s="31" t="n">
        <v>1119222</v>
      </c>
      <c r="L197" s="30" t="n">
        <v>97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87.73</v>
      </c>
      <c r="P197" s="31" t="n">
        <v>62.7</v>
      </c>
      <c r="Q197" s="31" t="n">
        <v>282.78</v>
      </c>
      <c r="R197" s="30" t="inlineStr">
        <is>
          <t>Near 52W High Breakout</t>
        </is>
      </c>
      <c r="S197" s="30" t="inlineStr">
        <is>
          <t>Nifty Energy</t>
        </is>
      </c>
      <c r="T197" s="31" t="n">
        <v>9.81</v>
      </c>
      <c r="U197" s="31" t="n">
        <v>122.26</v>
      </c>
      <c r="V197" s="31" t="n">
        <v>102.41</v>
      </c>
      <c r="W197" s="31" t="n">
        <v>50.57</v>
      </c>
      <c r="X197" s="30" t="inlineStr">
        <is>
          <t>Cyclical in an Upturn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Above 40</t>
        </is>
      </c>
      <c r="AY197" s="30">
        <f>IF(AX197="Above 40",20,IF(AX197="20 to 40",10,IF(AX197="0 to 20",-5,0)))</f>
        <v/>
      </c>
      <c r="AZ197" s="30" t="inlineStr">
        <is>
          <t>Above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Blue sky scenario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Negative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IF(B198=0,"",RANK(B198,$B$2:$B$395,0))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2" t="inlineStr">
        <is>
          <t>COSMOFIRST</t>
        </is>
      </c>
      <c r="D198" s="32" t="inlineStr">
        <is>
          <t>Cosmo First Ltd</t>
        </is>
      </c>
      <c r="E198" s="30" t="inlineStr">
        <is>
          <t>industrials</t>
        </is>
      </c>
      <c r="F198" s="30" t="inlineStr">
        <is>
          <t>packaging</t>
        </is>
      </c>
      <c r="G198" s="30" t="inlineStr">
        <is>
          <t>smallcap</t>
        </is>
      </c>
      <c r="H198" s="31" t="n">
        <v>2433.74</v>
      </c>
      <c r="I198" s="31" t="n">
        <v>930.3</v>
      </c>
      <c r="J198" s="31" t="n">
        <v>0.34</v>
      </c>
      <c r="K198" s="31" t="n">
        <v>130167</v>
      </c>
      <c r="L198" s="30" t="n">
        <v>30</v>
      </c>
      <c r="M198" s="30" t="inlineStr">
        <is>
          <t>Underperforming</t>
        </is>
      </c>
      <c r="N198" s="31">
        <f>IF(M198="Underperforming",-5,IF(L198&gt;=95,15,IF(L198&gt;=90,10,IF(L198&gt;=80,5,0))))</f>
        <v/>
      </c>
      <c r="O198" s="31" t="n">
        <v>67.87</v>
      </c>
      <c r="P198" s="31" t="n">
        <v>43.19</v>
      </c>
      <c r="Q198" s="31" t="n">
        <v>713.99</v>
      </c>
      <c r="R198" s="30" t="inlineStr">
        <is>
          <t>Earnings / Momentum Support</t>
        </is>
      </c>
      <c r="S198" s="30" t="inlineStr">
        <is>
          <t>Nifty Infra</t>
        </is>
      </c>
      <c r="T198" s="31" t="n">
        <v>3.51</v>
      </c>
      <c r="U198" s="31" t="n">
        <v>-12.92</v>
      </c>
      <c r="V198" s="31" t="n">
        <v>-15.87</v>
      </c>
      <c r="W198" s="31" t="n">
        <v>7.18</v>
      </c>
      <c r="X198" s="30" t="inlineStr">
        <is>
          <t>Cyclical in an Upturn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Above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Between 0.7 to 1.2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IF(B199=0,"",RANK(B199,$B$2:$B$395,0))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2" t="inlineStr">
        <is>
          <t>KAMDHENU</t>
        </is>
      </c>
      <c r="D199" s="32" t="inlineStr">
        <is>
          <t>Kamdhenu Limited</t>
        </is>
      </c>
      <c r="E199" s="30" t="inlineStr">
        <is>
          <t>metals &amp; mining</t>
        </is>
      </c>
      <c r="F199" s="30" t="inlineStr">
        <is>
          <t>steel - medium / small</t>
        </is>
      </c>
      <c r="G199" s="30" t="inlineStr">
        <is>
          <t>smallcap</t>
        </is>
      </c>
      <c r="H199" s="31" t="n">
        <v>991.95</v>
      </c>
      <c r="I199" s="31" t="n">
        <v>35.24</v>
      </c>
      <c r="J199" s="31" t="n">
        <v>0.14</v>
      </c>
      <c r="K199" s="31" t="n">
        <v>374865</v>
      </c>
      <c r="L199" s="30" t="n">
        <v>71</v>
      </c>
      <c r="M199" s="30" t="inlineStr">
        <is>
          <t>Underperforming</t>
        </is>
      </c>
      <c r="N199" s="31">
        <f>IF(M199="Underperforming",-5,IF(L199&gt;=95,15,IF(L199&gt;=90,10,IF(L199&gt;=80,5,0))))</f>
        <v/>
      </c>
      <c r="O199" s="31" t="n">
        <v>67.58</v>
      </c>
      <c r="P199" s="31" t="n">
        <v>41.6</v>
      </c>
      <c r="Q199" s="31" t="n">
        <v>27.43</v>
      </c>
      <c r="R199" s="30" t="inlineStr">
        <is>
          <t>Near 52W High Breakout</t>
        </is>
      </c>
      <c r="S199" s="30" t="inlineStr">
        <is>
          <t>Nifty Metal</t>
        </is>
      </c>
      <c r="T199" s="31" t="n">
        <v>39</v>
      </c>
      <c r="U199" s="31" t="n">
        <v>18.19</v>
      </c>
      <c r="V199" s="31" t="n">
        <v>-14.97</v>
      </c>
      <c r="W199" s="31" t="n">
        <v>18.76</v>
      </c>
      <c r="X199" s="30" t="inlineStr">
        <is>
          <t>Cyclical in an Upturn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Cyclical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Volatile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Above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Less than 1.5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IF(B200=0,"",RANK(B200,$B$2:$B$395,0))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2" t="inlineStr">
        <is>
          <t>TNPL</t>
        </is>
      </c>
      <c r="D200" s="32" t="inlineStr">
        <is>
          <t>Tamil Nadu Newsprint &amp; Papers Limited</t>
        </is>
      </c>
      <c r="E200" s="30" t="inlineStr">
        <is>
          <t>building materials</t>
        </is>
      </c>
      <c r="F200" s="30" t="inlineStr">
        <is>
          <t>paper</t>
        </is>
      </c>
      <c r="G200" s="30" t="inlineStr">
        <is>
          <t>smallcap</t>
        </is>
      </c>
      <c r="H200" s="31" t="n">
        <v>1065.01</v>
      </c>
      <c r="I200" s="31" t="n">
        <v>154.02</v>
      </c>
      <c r="J200" s="31" t="n">
        <v>0.09</v>
      </c>
      <c r="K200" s="31" t="n">
        <v>207979</v>
      </c>
      <c r="L200" s="30" t="n">
        <v>9</v>
      </c>
      <c r="M200" s="30" t="inlineStr">
        <is>
          <t>Underperforming</t>
        </is>
      </c>
      <c r="N200" s="31">
        <f>IF(M200="Underperforming",-5,IF(L200&gt;=95,15,IF(L200&gt;=90,10,IF(L200&gt;=80,5,0))))</f>
        <v/>
      </c>
      <c r="O200" s="31" t="n">
        <v>58.83</v>
      </c>
      <c r="P200" s="31" t="n">
        <v>13.49</v>
      </c>
      <c r="Q200" s="31" t="n">
        <v>129.03</v>
      </c>
      <c r="R200" s="30" t="inlineStr">
        <is>
          <t>Near 52W High Breakout</t>
        </is>
      </c>
      <c r="S200" s="30" t="inlineStr">
        <is>
          <t>Nifty Infra</t>
        </is>
      </c>
      <c r="T200" s="31" t="n">
        <v>3.51</v>
      </c>
      <c r="U200" s="31" t="n">
        <v>-4.88</v>
      </c>
      <c r="V200" s="31" t="n">
        <v>-8.1</v>
      </c>
      <c r="W200" s="31" t="n">
        <v>1.29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0 to 20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Less than 1.5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IF(B201=0,"",RANK(B201,$B$2:$B$395,0))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KABRAEXTRU</t>
        </is>
      </c>
      <c r="D201" s="30" t="inlineStr">
        <is>
          <t>Kabra Extrusion Technik Limited</t>
        </is>
      </c>
      <c r="E201" s="30" t="inlineStr">
        <is>
          <t>industrials</t>
        </is>
      </c>
      <c r="F201" s="30" t="inlineStr">
        <is>
          <t>engineering</t>
        </is>
      </c>
      <c r="G201" s="30" t="inlineStr">
        <is>
          <t>smallcap</t>
        </is>
      </c>
      <c r="H201" s="31" t="n">
        <v>1786.24</v>
      </c>
      <c r="I201" s="31" t="n">
        <v>508.7</v>
      </c>
      <c r="J201" s="31" t="n">
        <v>-0.4</v>
      </c>
      <c r="K201" s="31" t="n">
        <v>431943</v>
      </c>
      <c r="L201" s="30" t="n">
        <v>94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84.34999999999999</v>
      </c>
      <c r="P201" s="31" t="n">
        <v>33.69</v>
      </c>
      <c r="Q201" s="31" t="n">
        <v>381.47</v>
      </c>
      <c r="R201" s="30" t="inlineStr">
        <is>
          <t>Volume Spike &amp; Near 52W High Breakout</t>
        </is>
      </c>
      <c r="S201" s="30" t="inlineStr">
        <is>
          <t>Nifty Infra</t>
        </is>
      </c>
      <c r="T201" s="31" t="n">
        <v>3.51</v>
      </c>
      <c r="U201" s="31" t="n">
        <v>74.93000000000001</v>
      </c>
      <c r="V201" s="31" t="n">
        <v>69</v>
      </c>
      <c r="W201" s="31" t="n">
        <v>41.46</v>
      </c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Above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IF(B202=0,"",RANK(B202,$B$2:$B$395,0))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CENTUM</t>
        </is>
      </c>
      <c r="D202" s="30" t="inlineStr">
        <is>
          <t>Centum Electronics Limited</t>
        </is>
      </c>
      <c r="E202" s="30" t="inlineStr">
        <is>
          <t>aerospace &amp; defence</t>
        </is>
      </c>
      <c r="F202" s="30" t="inlineStr">
        <is>
          <t>electronics - components</t>
        </is>
      </c>
      <c r="G202" s="30" t="inlineStr">
        <is>
          <t>midcap</t>
        </is>
      </c>
      <c r="H202" s="31" t="n">
        <v>5698.75</v>
      </c>
      <c r="I202" s="31" t="n">
        <v>3828.7</v>
      </c>
      <c r="J202" s="31" t="n">
        <v>-0.84</v>
      </c>
      <c r="K202" s="31" t="n">
        <v>23797</v>
      </c>
      <c r="L202" s="30" t="n">
        <v>61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66.8</v>
      </c>
      <c r="P202" s="31" t="n">
        <v>59.64</v>
      </c>
      <c r="Q202" s="31" t="n">
        <v>2936.37</v>
      </c>
      <c r="R202" s="30" t="inlineStr">
        <is>
          <t>Near 52W High Breakout</t>
        </is>
      </c>
      <c r="S202" s="30" t="inlineStr">
        <is>
          <t>Nifty 50</t>
        </is>
      </c>
      <c r="T202" s="31" t="n">
        <v>-0.65</v>
      </c>
      <c r="U202" s="31" t="n">
        <v>54.04</v>
      </c>
      <c r="V202" s="31" t="n">
        <v>55.05</v>
      </c>
      <c r="W202" s="31" t="n">
        <v>15.5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Above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Less than 12%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Less than 50%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IF(B203=0,"",RANK(B203,$B$2:$B$395,0))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NELCO</t>
        </is>
      </c>
      <c r="D203" s="30" t="inlineStr">
        <is>
          <t>Nelco Limited</t>
        </is>
      </c>
      <c r="E203" s="30" t="inlineStr">
        <is>
          <t>telecom</t>
        </is>
      </c>
      <c r="F203" s="30" t="inlineStr">
        <is>
          <t>telecommunications - service provider</t>
        </is>
      </c>
      <c r="G203" s="30" t="inlineStr">
        <is>
          <t>smallcap</t>
        </is>
      </c>
      <c r="H203" s="31" t="n">
        <v>2299.18</v>
      </c>
      <c r="I203" s="31" t="n">
        <v>995.1</v>
      </c>
      <c r="J203" s="31" t="n">
        <v>-1.24</v>
      </c>
      <c r="K203" s="31" t="n">
        <v>291942</v>
      </c>
      <c r="L203" s="30" t="n">
        <v>61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64.95999999999999</v>
      </c>
      <c r="P203" s="31" t="n">
        <v>32.13</v>
      </c>
      <c r="Q203" s="31" t="n">
        <v>768.86</v>
      </c>
      <c r="R203" s="30" t="inlineStr">
        <is>
          <t>Near 52W High Breakout</t>
        </is>
      </c>
      <c r="S203" s="30" t="inlineStr">
        <is>
          <t>Nifty 50</t>
        </is>
      </c>
      <c r="T203" s="31" t="n">
        <v>-0.65</v>
      </c>
      <c r="U203" s="31" t="n">
        <v>17.47</v>
      </c>
      <c r="V203" s="31" t="n">
        <v>18.24</v>
      </c>
      <c r="W203" s="31" t="n">
        <v>15.47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Oligopoly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Yes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IF(B204=0,"",RANK(B204,$B$2:$B$395,0))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2" t="inlineStr">
        <is>
          <t>JINDALSAW</t>
        </is>
      </c>
      <c r="D204" s="32" t="inlineStr">
        <is>
          <t>Jindal Saw Limited</t>
        </is>
      </c>
      <c r="E204" s="30" t="inlineStr">
        <is>
          <t>industrials</t>
        </is>
      </c>
      <c r="F204" s="30" t="inlineStr">
        <is>
          <t>steel - large</t>
        </is>
      </c>
      <c r="G204" s="30" t="inlineStr">
        <is>
          <t>midcap</t>
        </is>
      </c>
      <c r="H204" s="31" t="n">
        <v>17845.48</v>
      </c>
      <c r="I204" s="31" t="n">
        <v>273.55</v>
      </c>
      <c r="J204" s="31" t="n">
        <v>-1.97</v>
      </c>
      <c r="K204" s="31" t="n">
        <v>1020422</v>
      </c>
      <c r="L204" s="30" t="n">
        <v>39</v>
      </c>
      <c r="M204" s="30" t="inlineStr">
        <is>
          <t>Underperforming</t>
        </is>
      </c>
      <c r="N204" s="31">
        <f>IF(M204="Underperforming",-5,IF(L204&gt;=95,15,IF(L204&gt;=90,10,IF(L204&gt;=80,5,0))))</f>
        <v/>
      </c>
      <c r="O204" s="31" t="n">
        <v>64.08</v>
      </c>
      <c r="P204" s="31" t="n">
        <v>40.34</v>
      </c>
      <c r="Q204" s="31" t="n">
        <v>214.88</v>
      </c>
      <c r="R204" s="30" t="inlineStr">
        <is>
          <t>Near 52W High Breakout</t>
        </is>
      </c>
      <c r="S204" s="30" t="inlineStr">
        <is>
          <t>Nifty Metal</t>
        </is>
      </c>
      <c r="T204" s="31" t="n">
        <v>39</v>
      </c>
      <c r="U204" s="31" t="n">
        <v>23.89</v>
      </c>
      <c r="V204" s="31" t="n">
        <v>-10.87</v>
      </c>
      <c r="W204" s="31" t="n">
        <v>8.94</v>
      </c>
      <c r="X204" s="30" t="inlineStr">
        <is>
          <t>Cyclical in an Upturn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Above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No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IF(B205=0,"",RANK(B205,$B$2:$B$395,0))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MACPOWER</t>
        </is>
      </c>
      <c r="D205" s="30" t="inlineStr">
        <is>
          <t>Macpower CNC Machines Ltd</t>
        </is>
      </c>
      <c r="E205" s="30" t="inlineStr">
        <is>
          <t>industrials</t>
        </is>
      </c>
      <c r="F205" s="30" t="inlineStr">
        <is>
          <t>engineering</t>
        </is>
      </c>
      <c r="G205" s="30" t="inlineStr">
        <is>
          <t>smallcap</t>
        </is>
      </c>
      <c r="H205" s="31" t="n">
        <v>1825.06</v>
      </c>
      <c r="I205" s="31" t="n">
        <v>1785</v>
      </c>
      <c r="J205" s="31" t="n">
        <v>-2.15</v>
      </c>
      <c r="K205" s="31" t="n">
        <v>54067</v>
      </c>
      <c r="L205" s="30" t="n">
        <v>87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75.17</v>
      </c>
      <c r="P205" s="31" t="n">
        <v>31.31</v>
      </c>
      <c r="Q205" s="31" t="n">
        <v>1261.05</v>
      </c>
      <c r="R205" s="30" t="inlineStr">
        <is>
          <t>Near 52W High Breakout</t>
        </is>
      </c>
      <c r="S205" s="30" t="inlineStr">
        <is>
          <t>Nifty 50</t>
        </is>
      </c>
      <c r="T205" s="31" t="n">
        <v>-0.65</v>
      </c>
      <c r="U205" s="31" t="n">
        <v>106.03</v>
      </c>
      <c r="V205" s="31" t="n">
        <v>107.38</v>
      </c>
      <c r="W205" s="31" t="n">
        <v>29.81</v>
      </c>
      <c r="X205" s="30" t="inlineStr">
        <is>
          <t>Cyclical in an Upturn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Above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IF(B206=0,"",RANK(B206,$B$2:$B$395,0))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BEPL</t>
        </is>
      </c>
      <c r="D206" s="30" t="inlineStr">
        <is>
          <t>Bhansali Engineering Polymers Limited</t>
        </is>
      </c>
      <c r="E206" s="30" t="inlineStr">
        <is>
          <t>energy</t>
        </is>
      </c>
      <c r="F206" s="30" t="inlineStr">
        <is>
          <t>petrochemicals</t>
        </is>
      </c>
      <c r="G206" s="30" t="inlineStr">
        <is>
          <t>smallcap</t>
        </is>
      </c>
      <c r="H206" s="31" t="n">
        <v>3139.1</v>
      </c>
      <c r="I206" s="31" t="n">
        <v>122.53</v>
      </c>
      <c r="J206" s="31" t="n">
        <v>-2.86</v>
      </c>
      <c r="K206" s="31" t="n">
        <v>1266711</v>
      </c>
      <c r="L206" s="30" t="n">
        <v>43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67.92</v>
      </c>
      <c r="P206" s="31" t="n">
        <v>47.25</v>
      </c>
      <c r="Q206" s="31" t="n">
        <v>96.08</v>
      </c>
      <c r="R206" s="30" t="inlineStr">
        <is>
          <t>Near 52W High Breakout</t>
        </is>
      </c>
      <c r="S206" s="30" t="inlineStr">
        <is>
          <t>Nifty Energy</t>
        </is>
      </c>
      <c r="T206" s="31" t="n">
        <v>9.81</v>
      </c>
      <c r="U206" s="31" t="n">
        <v>18.74</v>
      </c>
      <c r="V206" s="31" t="n">
        <v>8.130000000000001</v>
      </c>
      <c r="W206" s="31" t="n">
        <v>9.859999999999999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Oligopoly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Yes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Cyclical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Volatile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Above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Less than 1.5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IF(B207=0,"",RANK(B207,$B$2:$B$395,0))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POWERINDIA</t>
        </is>
      </c>
      <c r="D207" s="30" t="inlineStr">
        <is>
          <t>Hitachi Energy India Ltd</t>
        </is>
      </c>
      <c r="E207" s="30" t="inlineStr">
        <is>
          <t>industrials</t>
        </is>
      </c>
      <c r="F207" s="30" t="inlineStr">
        <is>
          <t>electric equipment</t>
        </is>
      </c>
      <c r="G207" s="30" t="inlineStr">
        <is>
          <t>largecap</t>
        </is>
      </c>
      <c r="H207" s="31" t="n">
        <v>160683.37</v>
      </c>
      <c r="I207" s="31" t="n">
        <v>35000</v>
      </c>
      <c r="J207" s="31" t="n">
        <v>-2.91</v>
      </c>
      <c r="K207" s="31" t="n">
        <v>427895</v>
      </c>
      <c r="L207" s="30" t="n">
        <v>57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61.26</v>
      </c>
      <c r="P207" s="31" t="n">
        <v>41.57</v>
      </c>
      <c r="Q207" s="31" t="n">
        <v>30282.66</v>
      </c>
      <c r="R207" s="30" t="inlineStr">
        <is>
          <t>Earnings / Momentum Support</t>
        </is>
      </c>
      <c r="S207" s="30" t="inlineStr">
        <is>
          <t>Nifty 50</t>
        </is>
      </c>
      <c r="T207" s="31" t="n">
        <v>-0.65</v>
      </c>
      <c r="U207" s="31" t="n">
        <v>71.61</v>
      </c>
      <c r="V207" s="31" t="n">
        <v>72.73</v>
      </c>
      <c r="W207" s="31" t="n">
        <v>13.99</v>
      </c>
      <c r="X207" s="30" t="inlineStr">
        <is>
          <t>Cyclical in an Upturn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Above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IF(B208=0,"",RANK(B208,$B$2:$B$395,0))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2" t="inlineStr">
        <is>
          <t>AARTIPHARM</t>
        </is>
      </c>
      <c r="D208" s="32" t="inlineStr">
        <is>
          <t>Aarti Pharmalabs Ltd</t>
        </is>
      </c>
      <c r="E208" s="30" t="inlineStr">
        <is>
          <t>healthcare</t>
        </is>
      </c>
      <c r="F208" s="30" t="inlineStr">
        <is>
          <t>pharmaceuticals - indian - bulk drugs &amp; formln</t>
        </is>
      </c>
      <c r="G208" s="30" t="inlineStr">
        <is>
          <t>midcap</t>
        </is>
      </c>
      <c r="H208" s="31" t="n">
        <v>7462.95</v>
      </c>
      <c r="I208" s="31" t="n">
        <v>883.7</v>
      </c>
      <c r="J208" s="31" t="n">
        <v>7.38</v>
      </c>
      <c r="K208" s="31" t="n">
        <v>14873286</v>
      </c>
      <c r="L208" s="30" t="n">
        <v>37</v>
      </c>
      <c r="M208" s="30" t="inlineStr">
        <is>
          <t>Underperforming</t>
        </is>
      </c>
      <c r="N208" s="31">
        <f>IF(M208="Underperforming",-5,IF(L208&gt;=95,15,IF(L208&gt;=90,10,IF(L208&gt;=80,5,0))))</f>
        <v/>
      </c>
      <c r="O208" s="31" t="n">
        <v>68.92</v>
      </c>
      <c r="P208" s="31" t="n">
        <v>10.38</v>
      </c>
      <c r="Q208" s="31" t="n">
        <v>683.08</v>
      </c>
      <c r="R208" s="30" t="inlineStr">
        <is>
          <t>Volume Spike &amp; Near 52W High Breakout</t>
        </is>
      </c>
      <c r="S208" s="30" t="inlineStr">
        <is>
          <t>Nifty Pharma</t>
        </is>
      </c>
      <c r="T208" s="31" t="n">
        <v>20.76</v>
      </c>
      <c r="U208" s="31" t="n">
        <v>17.22</v>
      </c>
      <c r="V208" s="31" t="n">
        <v>-2.93</v>
      </c>
      <c r="W208" s="31" t="n">
        <v>8.550000000000001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Yes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Annuity, Lower One Time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0 to 20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IF(B209=0,"",RANK(B209,$B$2:$B$395,0))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2" t="inlineStr">
        <is>
          <t>ZYDUSLIFE</t>
        </is>
      </c>
      <c r="D209" s="32" t="inlineStr">
        <is>
          <t>Zydus Lifesciences Ltd</t>
        </is>
      </c>
      <c r="E209" s="30" t="inlineStr">
        <is>
          <t>healthcare</t>
        </is>
      </c>
      <c r="F209" s="30" t="inlineStr">
        <is>
          <t>pharmaceuticals - indian - bulk drugs &amp; formln</t>
        </is>
      </c>
      <c r="G209" s="30" t="inlineStr">
        <is>
          <t>largecap</t>
        </is>
      </c>
      <c r="H209" s="31" t="n">
        <v>111620.68</v>
      </c>
      <c r="I209" s="31" t="n">
        <v>1191</v>
      </c>
      <c r="J209" s="31" t="n">
        <v>6.43</v>
      </c>
      <c r="K209" s="31" t="n">
        <v>16331145</v>
      </c>
      <c r="L209" s="30" t="n">
        <v>33</v>
      </c>
      <c r="M209" s="30" t="inlineStr">
        <is>
          <t>Underperforming</t>
        </is>
      </c>
      <c r="N209" s="31">
        <f>IF(M209="Underperforming",-5,IF(L209&gt;=95,15,IF(L209&gt;=90,10,IF(L209&gt;=80,5,0))))</f>
        <v/>
      </c>
      <c r="O209" s="31" t="n">
        <v>71.92</v>
      </c>
      <c r="P209" s="31" t="n">
        <v>41.81</v>
      </c>
      <c r="Q209" s="31" t="n">
        <v>1023.99</v>
      </c>
      <c r="R209" s="30" t="inlineStr">
        <is>
          <t>Near 52W High Breakout</t>
        </is>
      </c>
      <c r="S209" s="30" t="inlineStr">
        <is>
          <t>Nifty Pharma</t>
        </is>
      </c>
      <c r="T209" s="31" t="n">
        <v>20.76</v>
      </c>
      <c r="U209" s="31" t="n">
        <v>20.56</v>
      </c>
      <c r="V209" s="31" t="n">
        <v>-0.17</v>
      </c>
      <c r="W209" s="31" t="n">
        <v>7.76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Yes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Annuity, Lower One Time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Above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Blue sky scenario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Less than 50%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IF(B210=0,"",RANK(B210,$B$2:$B$395,0))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COFORGE</t>
        </is>
      </c>
      <c r="D210" s="30" t="inlineStr">
        <is>
          <t>Coforge (Niit Tech) Ltd</t>
        </is>
      </c>
      <c r="E210" s="30" t="inlineStr">
        <is>
          <t>i.t</t>
        </is>
      </c>
      <c r="F210" s="30" t="inlineStr">
        <is>
          <t>computers - software - large</t>
        </is>
      </c>
      <c r="G210" s="30" t="inlineStr">
        <is>
          <t>largecap</t>
        </is>
      </c>
      <c r="H210" s="31" t="n">
        <v>80127.03999999999</v>
      </c>
      <c r="I210" s="31" t="n">
        <v>1819</v>
      </c>
      <c r="J210" s="31" t="n">
        <v>0.5</v>
      </c>
      <c r="K210" s="31" t="n">
        <v>3352464</v>
      </c>
      <c r="L210" s="30" t="n">
        <v>53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68.2</v>
      </c>
      <c r="P210" s="31" t="n">
        <v>11.26</v>
      </c>
      <c r="Q210" s="31" t="n">
        <v>1442.9</v>
      </c>
      <c r="R210" s="30" t="inlineStr">
        <is>
          <t>Earnings / Momentum Support</t>
        </is>
      </c>
      <c r="S210" s="30" t="inlineStr">
        <is>
          <t>Nifty IT</t>
        </is>
      </c>
      <c r="T210" s="31" t="n">
        <v>-8.640000000000001</v>
      </c>
      <c r="U210" s="31" t="n">
        <v>11.81</v>
      </c>
      <c r="V210" s="31" t="n">
        <v>22.38</v>
      </c>
      <c r="W210" s="31" t="n">
        <v>12.98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No</t>
        </is>
      </c>
      <c r="AQ210" s="30">
        <f>IF(AP210="Yes",10,0)</f>
        <v/>
      </c>
      <c r="AR210" s="30" t="inlineStr">
        <is>
          <t>Higher Annuity, Lower One Time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0 to 20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Less than 1.5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IF(B211=0,"",RANK(B211,$B$2:$B$395,0))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2" t="inlineStr">
        <is>
          <t>KILITCH</t>
        </is>
      </c>
      <c r="D211" s="32" t="inlineStr">
        <is>
          <t>Kilitch Drugs (india) Limited</t>
        </is>
      </c>
      <c r="E211" s="30" t="inlineStr">
        <is>
          <t>healthcare</t>
        </is>
      </c>
      <c r="F211" s="30" t="inlineStr">
        <is>
          <t>pharmaceuticals - indian - formulations</t>
        </is>
      </c>
      <c r="G211" s="30" t="inlineStr">
        <is>
          <t>smallcap</t>
        </is>
      </c>
      <c r="H211" s="31" t="n">
        <v>671.96</v>
      </c>
      <c r="I211" s="31" t="n">
        <v>192.99</v>
      </c>
      <c r="J211" s="31" t="n">
        <v>0.41</v>
      </c>
      <c r="K211" s="31" t="n">
        <v>18242</v>
      </c>
      <c r="L211" s="30" t="n">
        <v>17</v>
      </c>
      <c r="M211" s="30" t="inlineStr">
        <is>
          <t>Underperforming</t>
        </is>
      </c>
      <c r="N211" s="31">
        <f>IF(M211="Underperforming",-5,IF(L211&gt;=95,15,IF(L211&gt;=90,10,IF(L211&gt;=80,5,0))))</f>
        <v/>
      </c>
      <c r="O211" s="31" t="n">
        <v>59.37</v>
      </c>
      <c r="P211" s="31" t="n">
        <v>30.8</v>
      </c>
      <c r="Q211" s="31" t="n">
        <v>138.68</v>
      </c>
      <c r="R211" s="30" t="inlineStr">
        <is>
          <t>Earnings / Momentum Support</t>
        </is>
      </c>
      <c r="S211" s="30" t="inlineStr">
        <is>
          <t>Nifty Pharma</t>
        </is>
      </c>
      <c r="T211" s="31" t="n">
        <v>20.76</v>
      </c>
      <c r="U211" s="31" t="n">
        <v>-10</v>
      </c>
      <c r="V211" s="31" t="n">
        <v>-25.47</v>
      </c>
      <c r="W211" s="31" t="n">
        <v>3.73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Yes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Annuity, Lower One Time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Less than 1.5</t>
        </is>
      </c>
      <c r="BU211" s="30">
        <f>IF(BT211="Above 2",0,IF(BT211="Between 1.5 to 2",5,IF(BT211="Less than 1.5",10,0)))</f>
        <v/>
      </c>
      <c r="BV211" s="30" t="inlineStr">
        <is>
          <t>Between 50% to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IF(B212=0,"",RANK(B212,$B$2:$B$395,0))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2" t="inlineStr">
        <is>
          <t>LTFOODS</t>
        </is>
      </c>
      <c r="D212" s="32" t="inlineStr">
        <is>
          <t>L T Foods Ltd</t>
        </is>
      </c>
      <c r="E212" s="30" t="inlineStr">
        <is>
          <t>fmcg</t>
        </is>
      </c>
      <c r="F212" s="30" t="inlineStr">
        <is>
          <t>food - processing - indian</t>
        </is>
      </c>
      <c r="G212" s="30" t="inlineStr">
        <is>
          <t>midcap</t>
        </is>
      </c>
      <c r="H212" s="31" t="n">
        <v>14680.12</v>
      </c>
      <c r="I212" s="31" t="n">
        <v>419.3</v>
      </c>
      <c r="J212" s="31" t="n">
        <v>-0.82</v>
      </c>
      <c r="K212" s="31" t="n">
        <v>358642</v>
      </c>
      <c r="L212" s="30" t="n">
        <v>1</v>
      </c>
      <c r="M212" s="30" t="inlineStr">
        <is>
          <t>Underperforming</t>
        </is>
      </c>
      <c r="N212" s="31">
        <f>IF(M212="Underperforming",-5,IF(L212&gt;=95,15,IF(L212&gt;=90,10,IF(L212&gt;=80,5,0))))</f>
        <v/>
      </c>
      <c r="O212" s="31" t="n">
        <v>56.78</v>
      </c>
      <c r="P212" s="31" t="n">
        <v>14.68</v>
      </c>
      <c r="Q212" s="31" t="n">
        <v>348.27</v>
      </c>
      <c r="R212" s="30" t="inlineStr">
        <is>
          <t>Earnings / Momentum Support</t>
        </is>
      </c>
      <c r="S212" s="30" t="inlineStr">
        <is>
          <t>Nifty FMCG</t>
        </is>
      </c>
      <c r="T212" s="31" t="n">
        <v>-10.61</v>
      </c>
      <c r="U212" s="31" t="n">
        <v>-13.53</v>
      </c>
      <c r="V212" s="31" t="n">
        <v>-3.26</v>
      </c>
      <c r="W212" s="31" t="n">
        <v>-1.96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B2C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Annuity, Lower One Time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0 to 20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Less than 1.5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IF(B213=0,"",RANK(B213,$B$2:$B$395,0))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TATATECH</t>
        </is>
      </c>
      <c r="D213" s="30" t="inlineStr">
        <is>
          <t>Tata Technologies Ltd</t>
        </is>
      </c>
      <c r="E213" s="30" t="inlineStr">
        <is>
          <t>i.t</t>
        </is>
      </c>
      <c r="F213" s="30" t="inlineStr">
        <is>
          <t>computers - software - medium / small</t>
        </is>
      </c>
      <c r="G213" s="30" t="inlineStr">
        <is>
          <t>largecap</t>
        </is>
      </c>
      <c r="H213" s="31" t="n">
        <v>35698.05</v>
      </c>
      <c r="I213" s="31" t="n">
        <v>865.2</v>
      </c>
      <c r="J213" s="31" t="n">
        <v>-1.59</v>
      </c>
      <c r="K213" s="31" t="n">
        <v>1561457</v>
      </c>
      <c r="L213" s="30" t="n">
        <v>61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71.54000000000001</v>
      </c>
      <c r="P213" s="31" t="n">
        <v>33.2</v>
      </c>
      <c r="Q213" s="31" t="n">
        <v>701.04</v>
      </c>
      <c r="R213" s="30" t="inlineStr">
        <is>
          <t>Near 52W High Breakout</t>
        </is>
      </c>
      <c r="S213" s="30" t="inlineStr">
        <is>
          <t>Nifty IT</t>
        </is>
      </c>
      <c r="T213" s="31" t="n">
        <v>-8.640000000000001</v>
      </c>
      <c r="U213" s="31" t="n">
        <v>32.43</v>
      </c>
      <c r="V213" s="31" t="n">
        <v>44.96</v>
      </c>
      <c r="W213" s="31" t="n">
        <v>15.47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Annuity, Lower One Time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IF(B214=0,"",RANK(B214,$B$2:$B$395,0))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DBOL</t>
        </is>
      </c>
      <c r="D214" s="30" t="inlineStr">
        <is>
          <t>Dhampur Bio Organics Ltd</t>
        </is>
      </c>
      <c r="E214" s="30" t="inlineStr">
        <is>
          <t>fmcg</t>
        </is>
      </c>
      <c r="F214" s="30" t="inlineStr">
        <is>
          <t>sugar</t>
        </is>
      </c>
      <c r="G214" s="30" t="inlineStr">
        <is>
          <t>smallcap</t>
        </is>
      </c>
      <c r="H214" s="31" t="n">
        <v>774.8099999999999</v>
      </c>
      <c r="I214" s="31" t="n">
        <v>114.2</v>
      </c>
      <c r="J214" s="31" t="n">
        <v>-2.15</v>
      </c>
      <c r="K214" s="31" t="n">
        <v>83355</v>
      </c>
      <c r="L214" s="30" t="n">
        <v>27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57.52</v>
      </c>
      <c r="P214" s="31" t="n">
        <v>34.44</v>
      </c>
      <c r="Q214" s="31" t="n">
        <v>83.05</v>
      </c>
      <c r="R214" s="30" t="inlineStr">
        <is>
          <t>Earnings / Momentum Support</t>
        </is>
      </c>
      <c r="S214" s="30" t="inlineStr">
        <is>
          <t>Nifty FMCG</t>
        </is>
      </c>
      <c r="T214" s="31" t="n">
        <v>-10.61</v>
      </c>
      <c r="U214" s="31" t="n">
        <v>31.49</v>
      </c>
      <c r="V214" s="31" t="n">
        <v>47.1</v>
      </c>
      <c r="W214" s="31" t="n">
        <v>6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B2C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Annuity, Lower One Time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Between 0.7 to 1.2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IF(B215=0,"",RANK(B215,$B$2:$B$395,0))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TANLA</t>
        </is>
      </c>
      <c r="D215" s="30" t="inlineStr">
        <is>
          <t>Tanla Solutions Limited</t>
        </is>
      </c>
      <c r="E215" s="30" t="inlineStr">
        <is>
          <t>i.t</t>
        </is>
      </c>
      <c r="F215" s="30" t="inlineStr">
        <is>
          <t>computers - software - medium / small</t>
        </is>
      </c>
      <c r="G215" s="30" t="inlineStr">
        <is>
          <t>midcap</t>
        </is>
      </c>
      <c r="H215" s="31" t="n">
        <v>8382.74</v>
      </c>
      <c r="I215" s="31" t="n">
        <v>616.65</v>
      </c>
      <c r="J215" s="31" t="n">
        <v>-2.44</v>
      </c>
      <c r="K215" s="31" t="n">
        <v>799037</v>
      </c>
      <c r="L215" s="30" t="n">
        <v>29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66.70999999999999</v>
      </c>
      <c r="P215" s="31" t="n">
        <v>18.96</v>
      </c>
      <c r="Q215" s="31" t="n">
        <v>476.7</v>
      </c>
      <c r="R215" s="30" t="inlineStr">
        <is>
          <t>Earnings / Momentum Support</t>
        </is>
      </c>
      <c r="S215" s="30" t="inlineStr">
        <is>
          <t>Nifty IT</t>
        </is>
      </c>
      <c r="T215" s="31" t="n">
        <v>-8.640000000000001</v>
      </c>
      <c r="U215" s="31" t="n">
        <v>3.4</v>
      </c>
      <c r="V215" s="31" t="n">
        <v>13.18</v>
      </c>
      <c r="W215" s="31" t="n">
        <v>6.66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Annuity, Lower One Time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0 to 20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Less than 1.5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IF(B216=0,"",RANK(B216,$B$2:$B$395,0))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YATHARTH</t>
        </is>
      </c>
      <c r="D216" s="30" t="inlineStr">
        <is>
          <t>Yatharth Hospital &amp; Trauma Care Services Ltd</t>
        </is>
      </c>
      <c r="E216" s="30" t="inlineStr">
        <is>
          <t>healthcare</t>
        </is>
      </c>
      <c r="F216" s="30" t="inlineStr">
        <is>
          <t>healthcare</t>
        </is>
      </c>
      <c r="G216" s="30" t="inlineStr">
        <is>
          <t>midcap</t>
        </is>
      </c>
      <c r="H216" s="31" t="n">
        <v>8659.85</v>
      </c>
      <c r="I216" s="31" t="n">
        <v>865.7</v>
      </c>
      <c r="J216" s="31" t="n">
        <v>-3.68</v>
      </c>
      <c r="K216" s="31" t="n">
        <v>1063773</v>
      </c>
      <c r="L216" s="30" t="n">
        <v>25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59.91</v>
      </c>
      <c r="P216" s="31" t="n">
        <v>34.44</v>
      </c>
      <c r="Q216" s="31" t="n">
        <v>689.52</v>
      </c>
      <c r="R216" s="30" t="inlineStr">
        <is>
          <t>Volume Spike &amp; Near 52W High Breakout</t>
        </is>
      </c>
      <c r="S216" s="30" t="inlineStr">
        <is>
          <t>Nifty Pharma</t>
        </is>
      </c>
      <c r="T216" s="31" t="n">
        <v>20.76</v>
      </c>
      <c r="U216" s="31" t="n">
        <v>21.53</v>
      </c>
      <c r="V216" s="31" t="n">
        <v>0.64</v>
      </c>
      <c r="W216" s="31" t="n">
        <v>5.82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Yes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Annuity, Lower One Time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Blue sky scenario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Less than 12%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Yes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IF(B217=0,"",RANK(B217,$B$2:$B$395,0))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LUMAXTECH</t>
        </is>
      </c>
      <c r="D217" s="30" t="inlineStr">
        <is>
          <t>Lumax Auto Technologies Limited</t>
        </is>
      </c>
      <c r="E217" s="30" t="inlineStr">
        <is>
          <t>auto</t>
        </is>
      </c>
      <c r="F217" s="30" t="inlineStr">
        <is>
          <t>auto ancillaries</t>
        </is>
      </c>
      <c r="G217" s="30" t="inlineStr">
        <is>
          <t>midcap</t>
        </is>
      </c>
      <c r="H217" s="31" t="n">
        <v>11847.17</v>
      </c>
      <c r="I217" s="31" t="n">
        <v>2076.3</v>
      </c>
      <c r="J217" s="31" t="n">
        <v>19.45</v>
      </c>
      <c r="K217" s="31" t="n">
        <v>5661267</v>
      </c>
      <c r="L217" s="30" t="n">
        <v>72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68.83</v>
      </c>
      <c r="P217" s="31" t="n">
        <v>14.37</v>
      </c>
      <c r="Q217" s="31" t="n">
        <v>1571.85</v>
      </c>
      <c r="R217" s="30" t="inlineStr">
        <is>
          <t>Volume Spike &amp; Near 52W High Breakout</t>
        </is>
      </c>
      <c r="S217" s="30" t="inlineStr">
        <is>
          <t>Nifty Auto</t>
        </is>
      </c>
      <c r="T217" s="31" t="n">
        <v>23.87</v>
      </c>
      <c r="U217" s="31" t="n">
        <v>101.76</v>
      </c>
      <c r="V217" s="31" t="n">
        <v>62.88</v>
      </c>
      <c r="W217" s="31" t="n">
        <v>19.56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0 to 20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Blue sky scenario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Less than 1.5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Between 0.7 to 1.2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IF(B218=0,"",RANK(B218,$B$2:$B$395,0))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FINCABLES</t>
        </is>
      </c>
      <c r="D218" s="30" t="inlineStr">
        <is>
          <t>Finolex Cables Limited</t>
        </is>
      </c>
      <c r="E218" s="30" t="inlineStr">
        <is>
          <t>industrials</t>
        </is>
      </c>
      <c r="F218" s="30" t="inlineStr">
        <is>
          <t>cables - power</t>
        </is>
      </c>
      <c r="G218" s="30" t="inlineStr">
        <is>
          <t>midcap</t>
        </is>
      </c>
      <c r="H218" s="31" t="n">
        <v>16181.75</v>
      </c>
      <c r="I218" s="31" t="n">
        <v>1207.85</v>
      </c>
      <c r="J218" s="31" t="n">
        <v>14.16</v>
      </c>
      <c r="K218" s="31" t="n">
        <v>8840419</v>
      </c>
      <c r="L218" s="30" t="n">
        <v>52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63.85</v>
      </c>
      <c r="P218" s="31" t="n">
        <v>34.67</v>
      </c>
      <c r="Q218" s="31" t="n">
        <v>913.2</v>
      </c>
      <c r="R218" s="30" t="inlineStr">
        <is>
          <t>Volume Spike &amp; Near 52W High Breakout</t>
        </is>
      </c>
      <c r="S218" s="30" t="inlineStr">
        <is>
          <t>Nifty Energy</t>
        </is>
      </c>
      <c r="T218" s="31" t="n">
        <v>9.81</v>
      </c>
      <c r="U218" s="31" t="n">
        <v>35.7</v>
      </c>
      <c r="V218" s="31" t="n">
        <v>23.58</v>
      </c>
      <c r="W218" s="31" t="n">
        <v>12.65</v>
      </c>
      <c r="X218" s="30" t="inlineStr">
        <is>
          <t>Cyclical in an Upturn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Between 12 to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Between 1.5 to 2</t>
        </is>
      </c>
      <c r="BU218" s="30">
        <f>IF(BT218="Above 2",0,IF(BT218="Between 1.5 to 2",5,IF(BT218="Less than 1.5",10,0)))</f>
        <v/>
      </c>
      <c r="BV218" s="30" t="inlineStr">
        <is>
          <t>Less than 50%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IF(B219=0,"",RANK(B219,$B$2:$B$395,0))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PANACHE</t>
        </is>
      </c>
      <c r="D219" s="30" t="inlineStr">
        <is>
          <t>Panache Digilife Ltd</t>
        </is>
      </c>
      <c r="E219" s="30" t="inlineStr">
        <is>
          <t>i.t</t>
        </is>
      </c>
      <c r="F219" s="30" t="inlineStr">
        <is>
          <t>computers - hardware</t>
        </is>
      </c>
      <c r="G219" s="30" t="inlineStr">
        <is>
          <t>smallcap</t>
        </is>
      </c>
      <c r="H219" s="31" t="n">
        <v>770.99</v>
      </c>
      <c r="I219" s="31" t="n">
        <v>505.5</v>
      </c>
      <c r="J219" s="31" t="n">
        <v>5</v>
      </c>
      <c r="K219" s="31" t="n">
        <v>49967</v>
      </c>
      <c r="L219" s="30" t="n">
        <v>85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70.41</v>
      </c>
      <c r="P219" s="31" t="n">
        <v>24.82</v>
      </c>
      <c r="Q219" s="31" t="n">
        <v>376.88</v>
      </c>
      <c r="R219" s="30" t="inlineStr">
        <is>
          <t>Near 52W High Breakout</t>
        </is>
      </c>
      <c r="S219" s="30" t="inlineStr">
        <is>
          <t>Nifty IT</t>
        </is>
      </c>
      <c r="T219" s="31" t="n">
        <v>-8.640000000000001</v>
      </c>
      <c r="U219" s="31" t="n">
        <v>108.99</v>
      </c>
      <c r="V219" s="31" t="n">
        <v>128.76</v>
      </c>
      <c r="W219" s="31" t="n">
        <v>28.6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Blue sky scenario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Negative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IF(B220=0,"",RANK(B220,$B$2:$B$395,0))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2" t="inlineStr">
        <is>
          <t>BOSCHLTD</t>
        </is>
      </c>
      <c r="D220" s="32" t="inlineStr">
        <is>
          <t>Bosch Limited</t>
        </is>
      </c>
      <c r="E220" s="30" t="inlineStr">
        <is>
          <t>auto</t>
        </is>
      </c>
      <c r="F220" s="30" t="inlineStr">
        <is>
          <t>auto ancillaries</t>
        </is>
      </c>
      <c r="G220" s="30" t="inlineStr">
        <is>
          <t>largecap</t>
        </is>
      </c>
      <c r="H220" s="31" t="n">
        <v>128322.78</v>
      </c>
      <c r="I220" s="31" t="n">
        <v>45185</v>
      </c>
      <c r="J220" s="31" t="n">
        <v>3.86</v>
      </c>
      <c r="K220" s="31" t="n">
        <v>300806</v>
      </c>
      <c r="L220" s="30" t="n">
        <v>42</v>
      </c>
      <c r="M220" s="30" t="inlineStr">
        <is>
          <t>Underperforming</t>
        </is>
      </c>
      <c r="N220" s="31">
        <f>IF(M220="Underperforming",-5,IF(L220&gt;=95,15,IF(L220&gt;=90,10,IF(L220&gt;=80,5,0))))</f>
        <v/>
      </c>
      <c r="O220" s="31" t="n">
        <v>71.34</v>
      </c>
      <c r="P220" s="31" t="n">
        <v>30.84</v>
      </c>
      <c r="Q220" s="31" t="n">
        <v>38249.5</v>
      </c>
      <c r="R220" s="30" t="inlineStr">
        <is>
          <t>Near 52W High Breakout</t>
        </is>
      </c>
      <c r="S220" s="30" t="inlineStr">
        <is>
          <t>Nifty Auto</t>
        </is>
      </c>
      <c r="T220" s="31" t="n">
        <v>23.87</v>
      </c>
      <c r="U220" s="31" t="n">
        <v>21.86</v>
      </c>
      <c r="V220" s="31" t="n">
        <v>-1.62</v>
      </c>
      <c r="W220" s="31" t="n">
        <v>9.35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Blue sky scenario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Less than 12%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IF(B221=0,"",RANK(B221,$B$2:$B$395,0))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TDPOWERSYS</t>
        </is>
      </c>
      <c r="D221" s="30" t="inlineStr">
        <is>
          <t>Td Power Systems Limited</t>
        </is>
      </c>
      <c r="E221" s="30" t="inlineStr">
        <is>
          <t>industrials</t>
        </is>
      </c>
      <c r="F221" s="30" t="inlineStr">
        <is>
          <t>electric equipment</t>
        </is>
      </c>
      <c r="G221" s="30" t="inlineStr">
        <is>
          <t>midcap</t>
        </is>
      </c>
      <c r="H221" s="31" t="n">
        <v>19316.08</v>
      </c>
      <c r="I221" s="31" t="n">
        <v>1275.6</v>
      </c>
      <c r="J221" s="31" t="n">
        <v>3.17</v>
      </c>
      <c r="K221" s="31" t="n">
        <v>1262968</v>
      </c>
      <c r="L221" s="30" t="n">
        <v>78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62.6</v>
      </c>
      <c r="P221" s="31" t="n">
        <v>30.84</v>
      </c>
      <c r="Q221" s="31" t="n">
        <v>943.88</v>
      </c>
      <c r="R221" s="30" t="inlineStr">
        <is>
          <t>Near 52W High Breakout</t>
        </is>
      </c>
      <c r="S221" s="30" t="inlineStr">
        <is>
          <t>Nifty 50</t>
        </is>
      </c>
      <c r="T221" s="31" t="n">
        <v>-0.65</v>
      </c>
      <c r="U221" s="31" t="n">
        <v>151.38</v>
      </c>
      <c r="V221" s="31" t="n">
        <v>153.02</v>
      </c>
      <c r="W221" s="31" t="n">
        <v>22.56</v>
      </c>
      <c r="X221" s="30" t="inlineStr">
        <is>
          <t>Cyclical in an Upturn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Blue sky scenario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Less than 50%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IF(B222=0,"",RANK(B222,$B$2:$B$395,0))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PANAMAPET</t>
        </is>
      </c>
      <c r="D222" s="30" t="inlineStr">
        <is>
          <t>Panama Petrochem Limited</t>
        </is>
      </c>
      <c r="E222" s="30" t="inlineStr">
        <is>
          <t>energy</t>
        </is>
      </c>
      <c r="F222" s="30" t="inlineStr">
        <is>
          <t>petrochemicals</t>
        </is>
      </c>
      <c r="G222" s="30" t="inlineStr">
        <is>
          <t>smallcap</t>
        </is>
      </c>
      <c r="H222" s="31" t="n">
        <v>3199.2</v>
      </c>
      <c r="I222" s="31" t="n">
        <v>545.5</v>
      </c>
      <c r="J222" s="31" t="n">
        <v>3.15</v>
      </c>
      <c r="K222" s="31" t="n">
        <v>443464</v>
      </c>
      <c r="L222" s="30" t="n">
        <v>92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69.48</v>
      </c>
      <c r="P222" s="31" t="n">
        <v>52.86</v>
      </c>
      <c r="Q222" s="31" t="n">
        <v>394.3</v>
      </c>
      <c r="R222" s="30" t="inlineStr">
        <is>
          <t>Near 52W High Breakout</t>
        </is>
      </c>
      <c r="S222" s="30" t="inlineStr">
        <is>
          <t>Nifty Energy</t>
        </is>
      </c>
      <c r="T222" s="31" t="n">
        <v>9.81</v>
      </c>
      <c r="U222" s="31" t="n">
        <v>59.85</v>
      </c>
      <c r="V222" s="31" t="n">
        <v>45.57</v>
      </c>
      <c r="W222" s="31" t="n">
        <v>36.25</v>
      </c>
      <c r="X222" s="30" t="inlineStr">
        <is>
          <t>Cyclical in an Upturn</t>
        </is>
      </c>
      <c r="Y222" s="30">
        <f>IF(X222="Growing Industry",10,IF(X222="Cyclical in an Upturn",5,0))</f>
        <v/>
      </c>
      <c r="Z222" s="30" t="inlineStr">
        <is>
          <t>Oligopoly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Yes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Cyclical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Volatile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Above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Blue sky scenario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Less than 1.5</t>
        </is>
      </c>
      <c r="BU222" s="30">
        <f>IF(BT222="Above 2",0,IF(BT222="Between 1.5 to 2",5,IF(BT222="Less than 1.5",10,0)))</f>
        <v/>
      </c>
      <c r="BV222" s="30" t="inlineStr">
        <is>
          <t>Negative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IF(B223=0,"",RANK(B223,$B$2:$B$395,0))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GANDHAR</t>
        </is>
      </c>
      <c r="D223" s="30" t="inlineStr">
        <is>
          <t>Gandhar Oil Refinery (India) Ltd</t>
        </is>
      </c>
      <c r="E223" s="30" t="inlineStr">
        <is>
          <t>energy</t>
        </is>
      </c>
      <c r="F223" s="30" t="inlineStr">
        <is>
          <t>refineries</t>
        </is>
      </c>
      <c r="G223" s="30" t="inlineStr">
        <is>
          <t>smallcap</t>
        </is>
      </c>
      <c r="H223" s="31" t="n">
        <v>2317.98</v>
      </c>
      <c r="I223" s="31" t="n">
        <v>243.41</v>
      </c>
      <c r="J223" s="31" t="n">
        <v>2.78</v>
      </c>
      <c r="K223" s="31" t="n">
        <v>1899845</v>
      </c>
      <c r="L223" s="30" t="n">
        <v>86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65.94</v>
      </c>
      <c r="P223" s="31" t="n">
        <v>61.7</v>
      </c>
      <c r="Q223" s="31" t="n">
        <v>208.52</v>
      </c>
      <c r="R223" s="30" t="inlineStr">
        <is>
          <t>Earnings / Momentum Support</t>
        </is>
      </c>
      <c r="S223" s="30" t="inlineStr">
        <is>
          <t>Nifty Energy</t>
        </is>
      </c>
      <c r="T223" s="31" t="n">
        <v>9.81</v>
      </c>
      <c r="U223" s="31" t="n">
        <v>47.91</v>
      </c>
      <c r="V223" s="31" t="n">
        <v>34.7</v>
      </c>
      <c r="W223" s="31" t="n">
        <v>28.77</v>
      </c>
      <c r="X223" s="30" t="inlineStr">
        <is>
          <t>Cyclical in an Upturn</t>
        </is>
      </c>
      <c r="Y223" s="30">
        <f>IF(X223="Growing Industry",10,IF(X223="Cyclical in an Upturn",5,0))</f>
        <v/>
      </c>
      <c r="Z223" s="30" t="inlineStr">
        <is>
          <t>Oligopoly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Yes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Cyclical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Volatile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Above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Less than 1.5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IF(B224=0,"",RANK(B224,$B$2:$B$395,0))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PRIMO</t>
        </is>
      </c>
      <c r="D224" s="32" t="inlineStr">
        <is>
          <t>Primo Chemicals Ltd</t>
        </is>
      </c>
      <c r="E224" s="30" t="inlineStr">
        <is>
          <t>chemicals</t>
        </is>
      </c>
      <c r="F224" s="30" t="inlineStr">
        <is>
          <t>chlor alkali / soda ash</t>
        </is>
      </c>
      <c r="G224" s="30" t="inlineStr">
        <is>
          <t>smallcap</t>
        </is>
      </c>
      <c r="H224" s="31" t="n">
        <v>580.65</v>
      </c>
      <c r="I224" s="31" t="n">
        <v>24.5</v>
      </c>
      <c r="J224" s="31" t="n">
        <v>2.25</v>
      </c>
      <c r="K224" s="31" t="n">
        <v>125187</v>
      </c>
      <c r="L224" s="30" t="n">
        <v>1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52.65</v>
      </c>
      <c r="P224" s="31" t="n">
        <v>22.07</v>
      </c>
      <c r="Q224" s="31" t="n">
        <v>18.38</v>
      </c>
      <c r="R224" s="30" t="inlineStr">
        <is>
          <t>Earnings / Momentum Support</t>
        </is>
      </c>
      <c r="S224" s="30" t="inlineStr">
        <is>
          <t>Nifty IT</t>
        </is>
      </c>
      <c r="T224" s="31" t="n">
        <v>-8.640000000000001</v>
      </c>
      <c r="U224" s="31" t="n">
        <v>-10.33</v>
      </c>
      <c r="V224" s="31" t="n">
        <v>-1.85</v>
      </c>
      <c r="W224" s="31" t="n">
        <v>-1.52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IF(B225=0,"",RANK(B225,$B$2:$B$395,0))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VARROC</t>
        </is>
      </c>
      <c r="D225" s="30" t="inlineStr">
        <is>
          <t>Varroc Engineering Ltd</t>
        </is>
      </c>
      <c r="E225" s="30" t="inlineStr">
        <is>
          <t>auto</t>
        </is>
      </c>
      <c r="F225" s="30" t="inlineStr">
        <is>
          <t>auto ancillaries</t>
        </is>
      </c>
      <c r="G225" s="30" t="inlineStr">
        <is>
          <t>midcap</t>
        </is>
      </c>
      <c r="H225" s="31" t="n">
        <v>12619.39</v>
      </c>
      <c r="I225" s="31" t="n">
        <v>842.15</v>
      </c>
      <c r="J225" s="31" t="n">
        <v>1.96</v>
      </c>
      <c r="K225" s="31" t="n">
        <v>823462</v>
      </c>
      <c r="L225" s="30" t="n">
        <v>81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81.04000000000001</v>
      </c>
      <c r="P225" s="31" t="n">
        <v>39.27</v>
      </c>
      <c r="Q225" s="31" t="n">
        <v>687.47</v>
      </c>
      <c r="R225" s="30" t="inlineStr">
        <is>
          <t>Near 52W High Breakout</t>
        </is>
      </c>
      <c r="S225" s="30" t="inlineStr">
        <is>
          <t>Nifty Auto</t>
        </is>
      </c>
      <c r="T225" s="31" t="n">
        <v>23.87</v>
      </c>
      <c r="U225" s="31" t="n">
        <v>57.02</v>
      </c>
      <c r="V225" s="31" t="n">
        <v>26.76</v>
      </c>
      <c r="W225" s="31" t="n">
        <v>25.23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Above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Blue sky scenario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Less than 12%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IF(B226=0,"",RANK(B226,$B$2:$B$395,0))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FINEORG</t>
        </is>
      </c>
      <c r="D226" s="30" t="inlineStr">
        <is>
          <t>Fine Organic Industries Ltd</t>
        </is>
      </c>
      <c r="E226" s="30" t="inlineStr">
        <is>
          <t>chemicals</t>
        </is>
      </c>
      <c r="F226" s="30" t="inlineStr">
        <is>
          <t>chemicals</t>
        </is>
      </c>
      <c r="G226" s="30" t="inlineStr">
        <is>
          <t>midcap</t>
        </is>
      </c>
      <c r="H226" s="31" t="n">
        <v>15415.22</v>
      </c>
      <c r="I226" s="31" t="n">
        <v>5118</v>
      </c>
      <c r="J226" s="31" t="n">
        <v>1.79</v>
      </c>
      <c r="K226" s="31" t="n">
        <v>232633</v>
      </c>
      <c r="L226" s="30" t="n">
        <v>16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59.05</v>
      </c>
      <c r="P226" s="31" t="n">
        <v>11.54</v>
      </c>
      <c r="Q226" s="31" t="n">
        <v>4271.79</v>
      </c>
      <c r="R226" s="30" t="inlineStr">
        <is>
          <t>Volume Spike &amp; Near 52W High Breakout</t>
        </is>
      </c>
      <c r="S226" s="30" t="inlineStr">
        <is>
          <t>Nifty 50</t>
        </is>
      </c>
      <c r="T226" s="31" t="n">
        <v>-0.65</v>
      </c>
      <c r="U226" s="31" t="n">
        <v>6.87</v>
      </c>
      <c r="V226" s="31" t="n">
        <v>7.56</v>
      </c>
      <c r="W226" s="31" t="n">
        <v>3.66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0 to 20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Between 12 to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Between 1.5 to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IF(B227=0,"",RANK(B227,$B$2:$B$395,0))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SKYGOLD</t>
        </is>
      </c>
      <c r="D227" s="30" t="inlineStr">
        <is>
          <t>Sky Gold Ltd</t>
        </is>
      </c>
      <c r="E227" s="30" t="inlineStr">
        <is>
          <t>consumer discretionary</t>
        </is>
      </c>
      <c r="F227" s="30" t="inlineStr">
        <is>
          <t>diamond cutting / jewellery</t>
        </is>
      </c>
      <c r="G227" s="30" t="inlineStr">
        <is>
          <t>midcap</t>
        </is>
      </c>
      <c r="H227" s="31" t="n">
        <v>12073.97</v>
      </c>
      <c r="I227" s="31" t="n">
        <v>790.05</v>
      </c>
      <c r="J227" s="31" t="n">
        <v>1.34</v>
      </c>
      <c r="K227" s="31" t="n">
        <v>1562876</v>
      </c>
      <c r="L227" s="30" t="n">
        <v>95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80.84999999999999</v>
      </c>
      <c r="P227" s="31" t="n">
        <v>61.03</v>
      </c>
      <c r="Q227" s="31" t="n">
        <v>607.24</v>
      </c>
      <c r="R227" s="30" t="inlineStr">
        <is>
          <t>Volume Spike &amp; Near 52W High Breakout</t>
        </is>
      </c>
      <c r="S227" s="30" t="inlineStr">
        <is>
          <t>Nifty 50</t>
        </is>
      </c>
      <c r="T227" s="31" t="n">
        <v>-0.65</v>
      </c>
      <c r="U227" s="31" t="n">
        <v>189.24</v>
      </c>
      <c r="V227" s="31" t="n">
        <v>191.12</v>
      </c>
      <c r="W227" s="31" t="n">
        <v>41.66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Above 40</t>
        </is>
      </c>
      <c r="AY227" s="30">
        <f>IF(AX227="Above 40",20,IF(AX227="20 to 40",10,IF(AX227="0 to 20",-5,0)))</f>
        <v/>
      </c>
      <c r="AZ227" s="30" t="inlineStr">
        <is>
          <t>Above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Blue sky scenario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Negative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Between 0.7 to 1.2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IF(B228=0,"",RANK(B228,$B$2:$B$395,0))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ARROWGREEN</t>
        </is>
      </c>
      <c r="D228" s="30" t="inlineStr">
        <is>
          <t>Arrow Greentech Limited</t>
        </is>
      </c>
      <c r="E228" s="30" t="inlineStr">
        <is>
          <t>plastic products</t>
        </is>
      </c>
      <c r="F228" s="30" t="inlineStr">
        <is>
          <t>plastics products</t>
        </is>
      </c>
      <c r="G228" s="30" t="inlineStr">
        <is>
          <t>smallcap</t>
        </is>
      </c>
      <c r="H228" s="31" t="n">
        <v>1165.24</v>
      </c>
      <c r="I228" s="31" t="n">
        <v>780</v>
      </c>
      <c r="J228" s="31" t="n">
        <v>1</v>
      </c>
      <c r="K228" s="31" t="n">
        <v>11312</v>
      </c>
      <c r="L228" s="30" t="n">
        <v>78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71.58</v>
      </c>
      <c r="P228" s="31" t="n">
        <v>35.03</v>
      </c>
      <c r="Q228" s="31" t="n">
        <v>587.02</v>
      </c>
      <c r="R228" s="30" t="inlineStr">
        <is>
          <t>Near 52W High Breakout</t>
        </is>
      </c>
      <c r="S228" s="30" t="inlineStr">
        <is>
          <t>Nifty 50</t>
        </is>
      </c>
      <c r="T228" s="31" t="n">
        <v>-0.65</v>
      </c>
      <c r="U228" s="31" t="n">
        <v>42.22</v>
      </c>
      <c r="V228" s="31" t="n">
        <v>43.14</v>
      </c>
      <c r="W228" s="31" t="n">
        <v>22.66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Less than 12%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Between 50% to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IF(B229=0,"",RANK(B229,$B$2:$B$395,0))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UEL</t>
        </is>
      </c>
      <c r="D229" s="30" t="inlineStr">
        <is>
          <t>Ujaas Energy Ltd</t>
        </is>
      </c>
      <c r="E229" s="30" t="inlineStr">
        <is>
          <t>power &amp; utilities</t>
        </is>
      </c>
      <c r="F229" s="30" t="inlineStr">
        <is>
          <t>power generation and supply</t>
        </is>
      </c>
      <c r="G229" s="30" t="inlineStr">
        <is>
          <t>smallcap</t>
        </is>
      </c>
      <c r="H229" s="31" t="n">
        <v>3610.68</v>
      </c>
      <c r="I229" s="31" t="n">
        <v>273.12</v>
      </c>
      <c r="J229" s="31" t="n">
        <v>0.91</v>
      </c>
      <c r="K229" s="31" t="n">
        <v>135937</v>
      </c>
      <c r="L229" s="30" t="n">
        <v>94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79.45999999999999</v>
      </c>
      <c r="P229" s="31" t="n">
        <v>15.59</v>
      </c>
      <c r="Q229" s="31" t="n">
        <v>200.22</v>
      </c>
      <c r="R229" s="30" t="inlineStr">
        <is>
          <t>Volume Spike &amp; Near 52W High Breakout</t>
        </is>
      </c>
      <c r="S229" s="30" t="inlineStr">
        <is>
          <t>Nifty IT</t>
        </is>
      </c>
      <c r="T229" s="31" t="n">
        <v>-8.640000000000001</v>
      </c>
      <c r="U229" s="31" t="n">
        <v>123.47</v>
      </c>
      <c r="V229" s="31" t="n">
        <v>144.61</v>
      </c>
      <c r="W229" s="31" t="n">
        <v>40.23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0 to 20</t>
        </is>
      </c>
      <c r="AY229" s="30">
        <f>IF(AX229="Above 40",20,IF(AX229="20 to 40",10,IF(AX229="0 to 20",-5,0)))</f>
        <v/>
      </c>
      <c r="AZ229" s="30" t="inlineStr">
        <is>
          <t>Above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Blue sky scenario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IF(B230=0,"",RANK(B230,$B$2:$B$395,0))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NAZARA</t>
        </is>
      </c>
      <c r="D230" s="30" t="inlineStr">
        <is>
          <t>Nazara Technologies Ltd</t>
        </is>
      </c>
      <c r="E230" s="30" t="inlineStr">
        <is>
          <t>i.t</t>
        </is>
      </c>
      <c r="F230" s="30" t="inlineStr">
        <is>
          <t>telecommunications - service provider</t>
        </is>
      </c>
      <c r="G230" s="30" t="inlineStr">
        <is>
          <t>midcap</t>
        </is>
      </c>
      <c r="H230" s="31" t="n">
        <v>13132.99</v>
      </c>
      <c r="I230" s="31" t="n">
        <v>355.4</v>
      </c>
      <c r="J230" s="31" t="n">
        <v>0.25</v>
      </c>
      <c r="K230" s="31" t="n">
        <v>690825</v>
      </c>
      <c r="L230" s="30" t="n">
        <v>21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73.04000000000001</v>
      </c>
      <c r="P230" s="31" t="n">
        <v>19.55</v>
      </c>
      <c r="Q230" s="31" t="n">
        <v>288.97</v>
      </c>
      <c r="R230" s="30" t="inlineStr">
        <is>
          <t>Near 52W High Breakout</t>
        </is>
      </c>
      <c r="S230" s="30" t="inlineStr">
        <is>
          <t>Nifty IT</t>
        </is>
      </c>
      <c r="T230" s="31" t="n">
        <v>-8.640000000000001</v>
      </c>
      <c r="U230" s="31" t="n">
        <v>0.49</v>
      </c>
      <c r="V230" s="31" t="n">
        <v>10</v>
      </c>
      <c r="W230" s="31" t="n">
        <v>4.76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Oligopoly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Yes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0 to 20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Blue sky scenario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IF(B231=0,"",RANK(B231,$B$2:$B$395,0))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MAHLOG</t>
        </is>
      </c>
      <c r="D231" s="30" t="inlineStr">
        <is>
          <t>Mahindra Logistics Ltd</t>
        </is>
      </c>
      <c r="E231" s="30" t="inlineStr">
        <is>
          <t>transportation</t>
        </is>
      </c>
      <c r="F231" s="30" t="inlineStr">
        <is>
          <t>miscellaneous</t>
        </is>
      </c>
      <c r="G231" s="30" t="inlineStr">
        <is>
          <t>smallcap</t>
        </is>
      </c>
      <c r="H231" s="31" t="n">
        <v>4081.52</v>
      </c>
      <c r="I231" s="31" t="n">
        <v>411</v>
      </c>
      <c r="J231" s="31" t="n">
        <v>-0.09</v>
      </c>
      <c r="K231" s="31" t="n">
        <v>161828</v>
      </c>
      <c r="L231" s="30" t="n">
        <v>35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59.49</v>
      </c>
      <c r="P231" s="31" t="n">
        <v>20.13</v>
      </c>
      <c r="Q231" s="31" t="n">
        <v>326.18</v>
      </c>
      <c r="R231" s="30" t="inlineStr">
        <is>
          <t>Near 52W High Breakout</t>
        </is>
      </c>
      <c r="S231" s="30" t="inlineStr">
        <is>
          <t>Nifty 50</t>
        </is>
      </c>
      <c r="T231" s="31" t="n">
        <v>-0.65</v>
      </c>
      <c r="U231" s="31" t="n">
        <v>27.85</v>
      </c>
      <c r="V231" s="31" t="n">
        <v>28.68</v>
      </c>
      <c r="W231" s="31" t="n">
        <v>8.359999999999999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Headwind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IF(B232=0,"",RANK(B232,$B$2:$B$395,0))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JGCHEM</t>
        </is>
      </c>
      <c r="D232" s="30" t="inlineStr">
        <is>
          <t>J.G.Chemicals Ltd</t>
        </is>
      </c>
      <c r="E232" s="30" t="inlineStr">
        <is>
          <t>chemicals</t>
        </is>
      </c>
      <c r="F232" s="30" t="inlineStr">
        <is>
          <t>chemicals</t>
        </is>
      </c>
      <c r="G232" s="30" t="inlineStr">
        <is>
          <t>smallcap</t>
        </is>
      </c>
      <c r="H232" s="31" t="n">
        <v>2438.16</v>
      </c>
      <c r="I232" s="31" t="n">
        <v>621</v>
      </c>
      <c r="J232" s="31" t="n">
        <v>-0.19</v>
      </c>
      <c r="K232" s="31" t="n">
        <v>2150986</v>
      </c>
      <c r="L232" s="30" t="n">
        <v>71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78.7</v>
      </c>
      <c r="P232" s="31" t="n">
        <v>31.29</v>
      </c>
      <c r="Q232" s="31" t="n">
        <v>487.38</v>
      </c>
      <c r="R232" s="30" t="inlineStr">
        <is>
          <t>Volume Spike &amp; Near 52W High Breakout</t>
        </is>
      </c>
      <c r="S232" s="30" t="inlineStr">
        <is>
          <t>Nifty 50</t>
        </is>
      </c>
      <c r="T232" s="31" t="n">
        <v>-0.65</v>
      </c>
      <c r="U232" s="31" t="n">
        <v>22.46</v>
      </c>
      <c r="V232" s="31" t="n">
        <v>23.26</v>
      </c>
      <c r="W232" s="31" t="n">
        <v>18.73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Above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Blue sky scenario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Between 12 to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Between 50% to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IF(B233=0,"",RANK(B233,$B$2:$B$395,0))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ASKAUTOLTD</t>
        </is>
      </c>
      <c r="D233" s="30" t="inlineStr">
        <is>
          <t>ASK Automotive Ltd</t>
        </is>
      </c>
      <c r="E233" s="30" t="inlineStr">
        <is>
          <t>auto</t>
        </is>
      </c>
      <c r="F233" s="30" t="inlineStr">
        <is>
          <t>auto ancillaries</t>
        </is>
      </c>
      <c r="G233" s="30" t="inlineStr">
        <is>
          <t>midcap</t>
        </is>
      </c>
      <c r="H233" s="31" t="n">
        <v>12924.67</v>
      </c>
      <c r="I233" s="31" t="n">
        <v>654.25</v>
      </c>
      <c r="J233" s="31" t="n">
        <v>-0.21</v>
      </c>
      <c r="K233" s="31" t="n">
        <v>276433</v>
      </c>
      <c r="L233" s="30" t="n">
        <v>69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80.94</v>
      </c>
      <c r="P233" s="31" t="n">
        <v>19.56</v>
      </c>
      <c r="Q233" s="31" t="n">
        <v>529.71</v>
      </c>
      <c r="R233" s="30" t="inlineStr">
        <is>
          <t>Near 52W High Breakout</t>
        </is>
      </c>
      <c r="S233" s="30" t="inlineStr">
        <is>
          <t>Nifty Auto</t>
        </is>
      </c>
      <c r="T233" s="31" t="n">
        <v>23.87</v>
      </c>
      <c r="U233" s="31" t="n">
        <v>29.18</v>
      </c>
      <c r="V233" s="31" t="n">
        <v>4.29</v>
      </c>
      <c r="W233" s="31" t="n">
        <v>18.1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0 to 20</t>
        </is>
      </c>
      <c r="AY233" s="30">
        <f>IF(AX233="Above 40",20,IF(AX233="20 to 40",10,IF(AX233="0 to 20",-5,0)))</f>
        <v/>
      </c>
      <c r="AZ233" s="30" t="inlineStr">
        <is>
          <t>Above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Blue sky scenario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Less than 1.5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IF(B234=0,"",RANK(B234,$B$2:$B$395,0))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RAYMOND</t>
        </is>
      </c>
      <c r="D234" s="30" t="inlineStr">
        <is>
          <t>Raymond Limited</t>
        </is>
      </c>
      <c r="E234" s="30" t="inlineStr">
        <is>
          <t>transportation</t>
        </is>
      </c>
      <c r="F234" s="30" t="inlineStr">
        <is>
          <t>transport - airlines</t>
        </is>
      </c>
      <c r="G234" s="30" t="inlineStr">
        <is>
          <t>smallcap</t>
        </is>
      </c>
      <c r="H234" s="31" t="n">
        <v>4174.17</v>
      </c>
      <c r="I234" s="31" t="n">
        <v>624.3</v>
      </c>
      <c r="J234" s="31" t="n">
        <v>-0.43</v>
      </c>
      <c r="K234" s="31" t="n">
        <v>275238</v>
      </c>
      <c r="L234" s="30" t="n">
        <v>44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62.61</v>
      </c>
      <c r="P234" s="31" t="n">
        <v>39.68</v>
      </c>
      <c r="Q234" s="31" t="n">
        <v>483.21</v>
      </c>
      <c r="R234" s="30" t="inlineStr">
        <is>
          <t>Near 52W High Breakout</t>
        </is>
      </c>
      <c r="S234" s="30" t="inlineStr">
        <is>
          <t>Nifty 50</t>
        </is>
      </c>
      <c r="T234" s="31" t="n">
        <v>-0.65</v>
      </c>
      <c r="U234" s="31" t="n">
        <v>2.02</v>
      </c>
      <c r="V234" s="31" t="n">
        <v>2.68</v>
      </c>
      <c r="W234" s="31" t="n">
        <v>10.16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IF(B235=0,"",RANK(B235,$B$2:$B$395,0))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VMART</t>
        </is>
      </c>
      <c r="D235" s="30" t="inlineStr">
        <is>
          <t>V-mart Retail Limited</t>
        </is>
      </c>
      <c r="E235" s="30" t="inlineStr">
        <is>
          <t>consumer discretionary</t>
        </is>
      </c>
      <c r="F235" s="30" t="inlineStr">
        <is>
          <t>trading</t>
        </is>
      </c>
      <c r="G235" s="30" t="inlineStr">
        <is>
          <t>midcap</t>
        </is>
      </c>
      <c r="H235" s="31" t="n">
        <v>6510.21</v>
      </c>
      <c r="I235" s="31" t="n">
        <v>814.05</v>
      </c>
      <c r="J235" s="31" t="n">
        <v>-0.53</v>
      </c>
      <c r="K235" s="31" t="n">
        <v>78316</v>
      </c>
      <c r="L235" s="30" t="n">
        <v>40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63.68</v>
      </c>
      <c r="P235" s="31" t="n">
        <v>26.8</v>
      </c>
      <c r="Q235" s="31" t="n">
        <v>638.02</v>
      </c>
      <c r="R235" s="30" t="inlineStr">
        <is>
          <t>Earnings / Momentum Support</t>
        </is>
      </c>
      <c r="S235" s="30" t="inlineStr">
        <is>
          <t>Nifty 50</t>
        </is>
      </c>
      <c r="T235" s="31" t="n">
        <v>-0.65</v>
      </c>
      <c r="U235" s="31" t="n">
        <v>10.06</v>
      </c>
      <c r="V235" s="31" t="n">
        <v>10.78</v>
      </c>
      <c r="W235" s="31" t="n">
        <v>8.99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No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Less than 1.5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Between 0.7 to 1.2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IF(B236=0,"",RANK(B236,$B$2:$B$395,0))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COMSYN</t>
        </is>
      </c>
      <c r="D236" s="30" t="inlineStr">
        <is>
          <t>Commercial Syn Bags Ltd</t>
        </is>
      </c>
      <c r="E236" s="30" t="inlineStr">
        <is>
          <t>industrials</t>
        </is>
      </c>
      <c r="F236" s="30" t="inlineStr">
        <is>
          <t>packaging</t>
        </is>
      </c>
      <c r="G236" s="30" t="inlineStr">
        <is>
          <t>smallcap</t>
        </is>
      </c>
      <c r="H236" s="31" t="n">
        <v>1085.25</v>
      </c>
      <c r="I236" s="31" t="n">
        <v>267.55</v>
      </c>
      <c r="J236" s="31" t="n">
        <v>-0.55</v>
      </c>
      <c r="K236" s="31" t="n">
        <v>2417982</v>
      </c>
      <c r="L236" s="30" t="n">
        <v>89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79.31999999999999</v>
      </c>
      <c r="P236" s="31" t="n">
        <v>59.52</v>
      </c>
      <c r="Q236" s="31" t="n">
        <v>198.3</v>
      </c>
      <c r="R236" s="30" t="inlineStr">
        <is>
          <t>Volume Spike &amp; Near 52W High Breakout</t>
        </is>
      </c>
      <c r="S236" s="30" t="inlineStr">
        <is>
          <t>Nifty 50</t>
        </is>
      </c>
      <c r="T236" s="31" t="n">
        <v>-0.65</v>
      </c>
      <c r="U236" s="31" t="n">
        <v>89.54000000000001</v>
      </c>
      <c r="V236" s="31" t="n">
        <v>90.78</v>
      </c>
      <c r="W236" s="31" t="n">
        <v>32.62</v>
      </c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Above 40</t>
        </is>
      </c>
      <c r="AY236" s="30">
        <f>IF(AX236="Above 40",20,IF(AX236="20 to 40",10,IF(AX236="0 to 20",-5,0)))</f>
        <v/>
      </c>
      <c r="AZ236" s="30" t="inlineStr">
        <is>
          <t>Above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Blue sky scenario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Less than 12%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Between 0.7 to 1.2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IF(B237=0,"",RANK(B237,$B$2:$B$395,0))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NAHARINDUS</t>
        </is>
      </c>
      <c r="D237" s="30" t="inlineStr">
        <is>
          <t>Nahar Industrial Enterprises Limited</t>
        </is>
      </c>
      <c r="E237" s="30" t="inlineStr">
        <is>
          <t>textiles</t>
        </is>
      </c>
      <c r="F237" s="30" t="inlineStr">
        <is>
          <t>textiles - cotton/blended</t>
        </is>
      </c>
      <c r="G237" s="30" t="inlineStr">
        <is>
          <t>smallcap</t>
        </is>
      </c>
      <c r="H237" s="31" t="n">
        <v>563.5700000000001</v>
      </c>
      <c r="I237" s="31" t="n">
        <v>129</v>
      </c>
      <c r="J237" s="31" t="n">
        <v>-1.1</v>
      </c>
      <c r="K237" s="31" t="n">
        <v>13975</v>
      </c>
      <c r="L237" s="30" t="n">
        <v>28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64.8</v>
      </c>
      <c r="P237" s="31" t="n">
        <v>19.14</v>
      </c>
      <c r="Q237" s="31" t="n">
        <v>102.69</v>
      </c>
      <c r="R237" s="30" t="inlineStr">
        <is>
          <t>Volume Spike &amp; Near 52W High Breakout</t>
        </is>
      </c>
      <c r="S237" s="30" t="inlineStr">
        <is>
          <t>Nifty 50</t>
        </is>
      </c>
      <c r="T237" s="31" t="n">
        <v>-0.65</v>
      </c>
      <c r="U237" s="31" t="n">
        <v>17.23</v>
      </c>
      <c r="V237" s="31" t="n">
        <v>18</v>
      </c>
      <c r="W237" s="31" t="n">
        <v>6.63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0 to 20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Less than 1.5</t>
        </is>
      </c>
      <c r="BU237" s="30">
        <f>IF(BT237="Above 2",0,IF(BT237="Between 1.5 to 2",5,IF(BT237="Less than 1.5",10,0)))</f>
        <v/>
      </c>
      <c r="BV237" s="30" t="inlineStr">
        <is>
          <t>Less than 50%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IF(B238=0,"",RANK(B238,$B$2:$B$395,0))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2" t="inlineStr">
        <is>
          <t>BERGEPAINT</t>
        </is>
      </c>
      <c r="D238" s="32" t="inlineStr">
        <is>
          <t>Berger Paints (i) Limited</t>
        </is>
      </c>
      <c r="E238" s="30" t="inlineStr">
        <is>
          <t>building materials</t>
        </is>
      </c>
      <c r="F238" s="30" t="inlineStr">
        <is>
          <t>paints / varnishes</t>
        </is>
      </c>
      <c r="G238" s="30" t="inlineStr">
        <is>
          <t>largecap</t>
        </is>
      </c>
      <c r="H238" s="31" t="n">
        <v>63209.01</v>
      </c>
      <c r="I238" s="31" t="n">
        <v>535.25</v>
      </c>
      <c r="J238" s="31" t="n">
        <v>-1.26</v>
      </c>
      <c r="K238" s="31" t="n">
        <v>291938</v>
      </c>
      <c r="L238" s="30" t="n">
        <v>16</v>
      </c>
      <c r="M238" s="30" t="inlineStr">
        <is>
          <t>Underperforming</t>
        </is>
      </c>
      <c r="N238" s="31">
        <f>IF(M238="Underperforming",-5,IF(L238&gt;=95,15,IF(L238&gt;=90,10,IF(L238&gt;=80,5,0))))</f>
        <v/>
      </c>
      <c r="O238" s="31" t="n">
        <v>58.62</v>
      </c>
      <c r="P238" s="31" t="n">
        <v>20.1</v>
      </c>
      <c r="Q238" s="31" t="n">
        <v>449.69</v>
      </c>
      <c r="R238" s="30" t="inlineStr">
        <is>
          <t>Earnings / Momentum Support</t>
        </is>
      </c>
      <c r="S238" s="30" t="inlineStr">
        <is>
          <t>Nifty Infra</t>
        </is>
      </c>
      <c r="T238" s="31" t="n">
        <v>3.51</v>
      </c>
      <c r="U238" s="31" t="n">
        <v>-2.76</v>
      </c>
      <c r="V238" s="31" t="n">
        <v>-6.05</v>
      </c>
      <c r="W238" s="31" t="n">
        <v>3.26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Between 1.5 to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IF(B239=0,"",RANK(B239,$B$2:$B$395,0))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2" t="inlineStr">
        <is>
          <t>VSSL</t>
        </is>
      </c>
      <c r="D239" s="32" t="inlineStr">
        <is>
          <t>Vardhman Special Steels Limited</t>
        </is>
      </c>
      <c r="E239" s="30" t="inlineStr">
        <is>
          <t>metals &amp; mining</t>
        </is>
      </c>
      <c r="F239" s="30" t="inlineStr">
        <is>
          <t>steel - medium / small</t>
        </is>
      </c>
      <c r="G239" s="30" t="inlineStr">
        <is>
          <t>smallcap</t>
        </is>
      </c>
      <c r="H239" s="31" t="n">
        <v>3264.59</v>
      </c>
      <c r="I239" s="31" t="n">
        <v>332.7</v>
      </c>
      <c r="J239" s="31" t="n">
        <v>-1.47</v>
      </c>
      <c r="K239" s="31" t="n">
        <v>131159</v>
      </c>
      <c r="L239" s="30" t="n">
        <v>51</v>
      </c>
      <c r="M239" s="30" t="inlineStr">
        <is>
          <t>Underperforming</t>
        </is>
      </c>
      <c r="N239" s="31">
        <f>IF(M239="Underperforming",-5,IF(L239&gt;=95,15,IF(L239&gt;=90,10,IF(L239&gt;=80,5,0))))</f>
        <v/>
      </c>
      <c r="O239" s="31" t="n">
        <v>69.77</v>
      </c>
      <c r="P239" s="31" t="n">
        <v>25.44</v>
      </c>
      <c r="Q239" s="31" t="n">
        <v>271.88</v>
      </c>
      <c r="R239" s="30" t="inlineStr">
        <is>
          <t>Near 52W High Breakout</t>
        </is>
      </c>
      <c r="S239" s="30" t="inlineStr">
        <is>
          <t>Nifty Metal</t>
        </is>
      </c>
      <c r="T239" s="31" t="n">
        <v>39</v>
      </c>
      <c r="U239" s="31" t="n">
        <v>30.38</v>
      </c>
      <c r="V239" s="31" t="n">
        <v>-6.2</v>
      </c>
      <c r="W239" s="31" t="n">
        <v>11.88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Cyclical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Volatile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Blue sky scenario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IF(B240=0,"",RANK(B240,$B$2:$B$395,0))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MMFL</t>
        </is>
      </c>
      <c r="D240" s="30" t="inlineStr">
        <is>
          <t>Mm Forgings Limited</t>
        </is>
      </c>
      <c r="E240" s="30" t="inlineStr">
        <is>
          <t>industrials</t>
        </is>
      </c>
      <c r="F240" s="30" t="inlineStr">
        <is>
          <t>castings &amp; forgings</t>
        </is>
      </c>
      <c r="G240" s="30" t="inlineStr">
        <is>
          <t>smallcap</t>
        </is>
      </c>
      <c r="H240" s="31" t="n">
        <v>3178.14</v>
      </c>
      <c r="I240" s="31" t="n">
        <v>644.6</v>
      </c>
      <c r="J240" s="31" t="n">
        <v>-2.07</v>
      </c>
      <c r="K240" s="31" t="n">
        <v>179302</v>
      </c>
      <c r="L240" s="30" t="n">
        <v>85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77.69</v>
      </c>
      <c r="P240" s="31" t="n">
        <v>21.15</v>
      </c>
      <c r="Q240" s="31" t="n">
        <v>505.99</v>
      </c>
      <c r="R240" s="30" t="inlineStr">
        <is>
          <t>Near 52W High Breakout</t>
        </is>
      </c>
      <c r="S240" s="30" t="inlineStr">
        <is>
          <t>Nifty 50</t>
        </is>
      </c>
      <c r="T240" s="31" t="n">
        <v>-0.65</v>
      </c>
      <c r="U240" s="31" t="n">
        <v>117.59</v>
      </c>
      <c r="V240" s="31" t="n">
        <v>119.01</v>
      </c>
      <c r="W240" s="31" t="n">
        <v>28.44</v>
      </c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Above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Blue sky scenario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No</t>
        </is>
      </c>
      <c r="BS240" s="30">
        <f>IF(BR240="NO",5,0)</f>
        <v/>
      </c>
      <c r="BT240" s="30" t="inlineStr">
        <is>
          <t>Less than 1.5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More than 1.2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IF(B241=0,"",RANK(B241,$B$2:$B$395,0))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INDOTECH</t>
        </is>
      </c>
      <c r="D241" s="30" t="inlineStr">
        <is>
          <t>Indo Tech Transformers Limited</t>
        </is>
      </c>
      <c r="E241" s="30" t="inlineStr">
        <is>
          <t>industrials</t>
        </is>
      </c>
      <c r="F241" s="30" t="inlineStr">
        <is>
          <t>electric equipment</t>
        </is>
      </c>
      <c r="G241" s="30" t="inlineStr">
        <is>
          <t>smallcap</t>
        </is>
      </c>
      <c r="H241" s="31" t="n">
        <v>4040.27</v>
      </c>
      <c r="I241" s="31" t="n">
        <v>3725.2</v>
      </c>
      <c r="J241" s="31" t="n">
        <v>-2.08</v>
      </c>
      <c r="K241" s="31" t="n">
        <v>21379</v>
      </c>
      <c r="L241" s="30" t="n">
        <v>86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76.53</v>
      </c>
      <c r="P241" s="31" t="n">
        <v>49.93</v>
      </c>
      <c r="Q241" s="31" t="n">
        <v>2846.71</v>
      </c>
      <c r="R241" s="30" t="inlineStr">
        <is>
          <t>Near 52W High Breakout</t>
        </is>
      </c>
      <c r="S241" s="30" t="inlineStr">
        <is>
          <t>Nifty 50</t>
        </is>
      </c>
      <c r="T241" s="31" t="n">
        <v>-0.65</v>
      </c>
      <c r="U241" s="31" t="n">
        <v>95.44</v>
      </c>
      <c r="V241" s="31" t="n">
        <v>96.70999999999999</v>
      </c>
      <c r="W241" s="31" t="n">
        <v>29.42</v>
      </c>
      <c r="X241" s="30" t="inlineStr">
        <is>
          <t>Cyclical in an Upturn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Above 40</t>
        </is>
      </c>
      <c r="AY241" s="30">
        <f>IF(AX241="Above 40",20,IF(AX241="20 to 40",10,IF(AX241="0 to 20",-5,0)))</f>
        <v/>
      </c>
      <c r="AZ241" s="30" t="inlineStr">
        <is>
          <t>Above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Blue sky scenario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Between 12 to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Less than 50%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IF(B242=0,"",RANK(B242,$B$2:$B$395,0))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MOLDTECH</t>
        </is>
      </c>
      <c r="D242" s="30" t="inlineStr">
        <is>
          <t>Mold-tek Technologies Limited</t>
        </is>
      </c>
      <c r="E242" s="30" t="inlineStr">
        <is>
          <t>realty</t>
        </is>
      </c>
      <c r="F242" s="30" t="inlineStr">
        <is>
          <t>engineering - turnkey services</t>
        </is>
      </c>
      <c r="G242" s="30" t="inlineStr">
        <is>
          <t>smallcap</t>
        </is>
      </c>
      <c r="H242" s="31" t="n">
        <v>553.3200000000001</v>
      </c>
      <c r="I242" s="31" t="n">
        <v>182.49</v>
      </c>
      <c r="J242" s="31" t="n">
        <v>-5</v>
      </c>
      <c r="K242" s="31" t="n">
        <v>96365</v>
      </c>
      <c r="L242" s="30" t="n">
        <v>62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67.47</v>
      </c>
      <c r="P242" s="31" t="n">
        <v>27.71</v>
      </c>
      <c r="Q242" s="31" t="n">
        <v>139.94</v>
      </c>
      <c r="R242" s="30" t="inlineStr">
        <is>
          <t>Earnings / Momentum Support</t>
        </is>
      </c>
      <c r="S242" s="30" t="inlineStr">
        <is>
          <t>Nifty Realty</t>
        </is>
      </c>
      <c r="T242" s="31" t="n">
        <v>-6.47</v>
      </c>
      <c r="U242" s="31" t="n">
        <v>21.56</v>
      </c>
      <c r="V242" s="31" t="n">
        <v>29.97</v>
      </c>
      <c r="W242" s="31" t="n">
        <v>15.78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No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IF(B243=0,"",RANK(B243,$B$2:$B$395,0))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INDSWFTLAB</t>
        </is>
      </c>
      <c r="D243" s="30" t="inlineStr">
        <is>
          <t>Ind-swift Laboratories Limited</t>
        </is>
      </c>
      <c r="E243" s="30" t="inlineStr">
        <is>
          <t>healthcare</t>
        </is>
      </c>
      <c r="F243" s="30" t="inlineStr">
        <is>
          <t>pharmaceuticals - indian - bulk drugs &amp; formln</t>
        </is>
      </c>
      <c r="G243" s="30" t="inlineStr">
        <is>
          <t>smallcap</t>
        </is>
      </c>
      <c r="H243" s="31" t="n">
        <v>2063.08</v>
      </c>
      <c r="I243" s="31" t="n">
        <v>284.68</v>
      </c>
      <c r="J243" s="31" t="n">
        <v>20</v>
      </c>
      <c r="K243" s="31" t="n">
        <v>9123251</v>
      </c>
      <c r="L243" s="30" t="n">
        <v>97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82.28</v>
      </c>
      <c r="P243" s="31" t="n">
        <v>60.28</v>
      </c>
      <c r="Q243" s="31" t="n">
        <v>218.35</v>
      </c>
      <c r="R243" s="30" t="inlineStr">
        <is>
          <t>Volume Spike &amp; Near 52W High Breakout</t>
        </is>
      </c>
      <c r="S243" s="30" t="inlineStr">
        <is>
          <t>Nifty Pharma</t>
        </is>
      </c>
      <c r="T243" s="31" t="n">
        <v>20.76</v>
      </c>
      <c r="U243" s="31" t="n">
        <v>180.64</v>
      </c>
      <c r="V243" s="31" t="n">
        <v>132.39</v>
      </c>
      <c r="W243" s="31" t="n">
        <v>51.41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Yes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Annuity, Lower One Time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Above 40</t>
        </is>
      </c>
      <c r="AY243" s="30">
        <f>IF(AX243="Above 40",20,IF(AX243="20 to 40",10,IF(AX243="0 to 20",-5,0)))</f>
        <v/>
      </c>
      <c r="AZ243" s="30" t="inlineStr">
        <is>
          <t>Above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Less than 12%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Negative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IF(B244=0,"",RANK(B244,$B$2:$B$395,0))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2" t="inlineStr">
        <is>
          <t>ANTHEM</t>
        </is>
      </c>
      <c r="D244" s="32" t="inlineStr">
        <is>
          <t>Anthem Biosciences Ltd</t>
        </is>
      </c>
      <c r="E244" s="30" t="inlineStr">
        <is>
          <t>healthcare</t>
        </is>
      </c>
      <c r="F244" s="30" t="inlineStr">
        <is>
          <t>pharmaceuticals - indian - bulk drugs &amp; formln</t>
        </is>
      </c>
      <c r="G244" s="30" t="inlineStr">
        <is>
          <t>largecap</t>
        </is>
      </c>
      <c r="H244" s="31" t="n">
        <v>48056.72</v>
      </c>
      <c r="I244" s="31" t="n">
        <v>891.65</v>
      </c>
      <c r="J244" s="31" t="n">
        <v>4.53</v>
      </c>
      <c r="K244" s="31" t="n">
        <v>1605598</v>
      </c>
      <c r="L244" s="30" t="n">
        <v>22</v>
      </c>
      <c r="M244" s="30" t="inlineStr">
        <is>
          <t>Underperforming</t>
        </is>
      </c>
      <c r="N244" s="31">
        <f>IF(M244="Underperforming",-5,IF(L244&gt;=95,15,IF(L244&gt;=90,10,IF(L244&gt;=80,5,0))))</f>
        <v/>
      </c>
      <c r="O244" s="31" t="n">
        <v>70.90000000000001</v>
      </c>
      <c r="P244" s="31" t="n">
        <v>37.4</v>
      </c>
      <c r="Q244" s="31" t="n">
        <v>746.76</v>
      </c>
      <c r="R244" s="30" t="inlineStr">
        <is>
          <t>Near 52W High Breakout</t>
        </is>
      </c>
      <c r="S244" s="30" t="inlineStr">
        <is>
          <t>Nifty Pharma</t>
        </is>
      </c>
      <c r="T244" s="31" t="n">
        <v>20.76</v>
      </c>
      <c r="U244" s="31" t="n">
        <v>8.369999999999999</v>
      </c>
      <c r="V244" s="31" t="n">
        <v>-10.26</v>
      </c>
      <c r="W244" s="31" t="n">
        <v>5.14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Yes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Annuity, Lower One Time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Blue sky scenario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IF(B245=0,"",RANK(B245,$B$2:$B$395,0))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3IINFOLTD</t>
        </is>
      </c>
      <c r="D245" s="30" t="inlineStr">
        <is>
          <t>3i Infotech Ltd</t>
        </is>
      </c>
      <c r="E245" s="30" t="inlineStr">
        <is>
          <t>i.t</t>
        </is>
      </c>
      <c r="F245" s="30" t="inlineStr">
        <is>
          <t>computers - software - medium / small</t>
        </is>
      </c>
      <c r="G245" s="30" t="inlineStr">
        <is>
          <t>smallcap</t>
        </is>
      </c>
      <c r="H245" s="31" t="n">
        <v>562.6900000000001</v>
      </c>
      <c r="I245" s="31" t="n">
        <v>27.6</v>
      </c>
      <c r="J245" s="31" t="n">
        <v>1.73</v>
      </c>
      <c r="K245" s="31" t="n">
        <v>1500601</v>
      </c>
      <c r="L245" s="30" t="n">
        <v>71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83.01000000000001</v>
      </c>
      <c r="P245" s="31" t="n">
        <v>39.85</v>
      </c>
      <c r="Q245" s="31" t="n">
        <v>22.54</v>
      </c>
      <c r="R245" s="30" t="inlineStr">
        <is>
          <t>Near 52W High Breakout</t>
        </is>
      </c>
      <c r="S245" s="30" t="inlineStr">
        <is>
          <t>Nifty IT</t>
        </is>
      </c>
      <c r="T245" s="31" t="n">
        <v>-8.640000000000001</v>
      </c>
      <c r="U245" s="31" t="n">
        <v>24.32</v>
      </c>
      <c r="V245" s="31" t="n">
        <v>36.08</v>
      </c>
      <c r="W245" s="31" t="n">
        <v>18.77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Annuity, Lower One Time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Above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IF(B246=0,"",RANK(B246,$B$2:$B$395,0))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SAILIFE</t>
        </is>
      </c>
      <c r="D246" s="30" t="inlineStr">
        <is>
          <t>Sai Life Sciences Ltd</t>
        </is>
      </c>
      <c r="E246" s="30" t="inlineStr">
        <is>
          <t>healthcare</t>
        </is>
      </c>
      <c r="F246" s="30" t="inlineStr">
        <is>
          <t>pharmaceuticals - indian - bulk drugs &amp; formln</t>
        </is>
      </c>
      <c r="G246" s="30" t="inlineStr">
        <is>
          <t>largecap</t>
        </is>
      </c>
      <c r="H246" s="31" t="n">
        <v>30276.23</v>
      </c>
      <c r="I246" s="31" t="n">
        <v>1444.4</v>
      </c>
      <c r="J246" s="31" t="n">
        <v>1.28</v>
      </c>
      <c r="K246" s="31" t="n">
        <v>717828</v>
      </c>
      <c r="L246" s="30" t="n">
        <v>67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80.08</v>
      </c>
      <c r="P246" s="31" t="n">
        <v>31.24</v>
      </c>
      <c r="Q246" s="31" t="n">
        <v>1193.47</v>
      </c>
      <c r="R246" s="30" t="inlineStr">
        <is>
          <t>Near 52W High Breakout</t>
        </is>
      </c>
      <c r="S246" s="30" t="inlineStr">
        <is>
          <t>Nifty Pharma</t>
        </is>
      </c>
      <c r="T246" s="31" t="n">
        <v>20.76</v>
      </c>
      <c r="U246" s="31" t="n">
        <v>62.72</v>
      </c>
      <c r="V246" s="31" t="n">
        <v>34.75</v>
      </c>
      <c r="W246" s="31" t="n">
        <v>17.44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Yes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Annuity, Lower One Time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Above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Between 12 to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IF(B247=0,"",RANK(B247,$B$2:$B$395,0))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2" t="inlineStr">
        <is>
          <t>GLAXO</t>
        </is>
      </c>
      <c r="D247" s="32" t="inlineStr">
        <is>
          <t>Glaxosmithkline Pharmaceuticals Limited</t>
        </is>
      </c>
      <c r="E247" s="30" t="inlineStr">
        <is>
          <t>healthcare</t>
        </is>
      </c>
      <c r="F247" s="30" t="inlineStr">
        <is>
          <t>pharmaceuticals - multinational</t>
        </is>
      </c>
      <c r="G247" s="30" t="inlineStr">
        <is>
          <t>largecap</t>
        </is>
      </c>
      <c r="H247" s="31" t="n">
        <v>44062.51</v>
      </c>
      <c r="I247" s="31" t="n">
        <v>2601.9</v>
      </c>
      <c r="J247" s="31" t="n">
        <v>0.03</v>
      </c>
      <c r="K247" s="31" t="n">
        <v>34056</v>
      </c>
      <c r="L247" s="30" t="n">
        <v>10</v>
      </c>
      <c r="M247" s="30" t="inlineStr">
        <is>
          <t>Underperforming</t>
        </is>
      </c>
      <c r="N247" s="31">
        <f>IF(M247="Underperforming",-5,IF(L247&gt;=95,15,IF(L247&gt;=90,10,IF(L247&gt;=80,5,0))))</f>
        <v/>
      </c>
      <c r="O247" s="31" t="n">
        <v>60.17</v>
      </c>
      <c r="P247" s="31" t="n">
        <v>20.48</v>
      </c>
      <c r="Q247" s="31" t="n">
        <v>2249.55</v>
      </c>
      <c r="R247" s="30" t="inlineStr">
        <is>
          <t>Near 52W High Breakout</t>
        </is>
      </c>
      <c r="S247" s="30" t="inlineStr">
        <is>
          <t>Nifty Pharma</t>
        </is>
      </c>
      <c r="T247" s="31" t="n">
        <v>20.76</v>
      </c>
      <c r="U247" s="31" t="n">
        <v>-3.66</v>
      </c>
      <c r="V247" s="31" t="n">
        <v>-20.22</v>
      </c>
      <c r="W247" s="31" t="n">
        <v>1.39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Yes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Annuity, Lower One Time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Between 12 to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IF(B248=0,"",RANK(B248,$B$2:$B$395,0))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UGARSUGAR</t>
        </is>
      </c>
      <c r="D248" s="30" t="inlineStr">
        <is>
          <t>The Ugar Sugar Works Limited</t>
        </is>
      </c>
      <c r="E248" s="30" t="inlineStr">
        <is>
          <t>fmcg</t>
        </is>
      </c>
      <c r="F248" s="30" t="inlineStr">
        <is>
          <t>sugar</t>
        </is>
      </c>
      <c r="G248" s="30" t="inlineStr">
        <is>
          <t>smallcap</t>
        </is>
      </c>
      <c r="H248" s="31" t="n">
        <v>523.01</v>
      </c>
      <c r="I248" s="31" t="n">
        <v>45.65</v>
      </c>
      <c r="J248" s="31" t="n">
        <v>-1.81</v>
      </c>
      <c r="K248" s="31" t="n">
        <v>147782</v>
      </c>
      <c r="L248" s="30" t="n">
        <v>13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65.56</v>
      </c>
      <c r="P248" s="31" t="n">
        <v>13.75</v>
      </c>
      <c r="Q248" s="31" t="n">
        <v>34.9</v>
      </c>
      <c r="R248" s="30" t="inlineStr">
        <is>
          <t>Near 52W High Breakout</t>
        </is>
      </c>
      <c r="S248" s="30" t="inlineStr">
        <is>
          <t>Nifty FMCG</t>
        </is>
      </c>
      <c r="T248" s="31" t="n">
        <v>-10.61</v>
      </c>
      <c r="U248" s="31" t="n">
        <v>1.27</v>
      </c>
      <c r="V248" s="31" t="n">
        <v>13.29</v>
      </c>
      <c r="W248" s="31" t="n">
        <v>2.16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B2C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Annuity, Lower One Time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0 to 20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Less than 1.5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More than 1.2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IF(B249=0,"",RANK(B249,$B$2:$B$395,0))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2" t="inlineStr">
        <is>
          <t>MEDANTA</t>
        </is>
      </c>
      <c r="D249" s="32" t="inlineStr">
        <is>
          <t>Global Health Ltd</t>
        </is>
      </c>
      <c r="E249" s="30" t="inlineStr">
        <is>
          <t>healthcare</t>
        </is>
      </c>
      <c r="F249" s="30" t="inlineStr">
        <is>
          <t>healthcare</t>
        </is>
      </c>
      <c r="G249" s="30" t="inlineStr">
        <is>
          <t>largecap</t>
        </is>
      </c>
      <c r="H249" s="31" t="n">
        <v>39690.85</v>
      </c>
      <c r="I249" s="31" t="n">
        <v>1440.4</v>
      </c>
      <c r="J249" s="31" t="n">
        <v>-2.43</v>
      </c>
      <c r="K249" s="31" t="n">
        <v>224097</v>
      </c>
      <c r="L249" s="30" t="n">
        <v>20</v>
      </c>
      <c r="M249" s="30" t="inlineStr">
        <is>
          <t>Underperforming</t>
        </is>
      </c>
      <c r="N249" s="31">
        <f>IF(M249="Underperforming",-5,IF(L249&gt;=95,15,IF(L249&gt;=90,10,IF(L249&gt;=80,5,0))))</f>
        <v/>
      </c>
      <c r="O249" s="31" t="n">
        <v>69.53</v>
      </c>
      <c r="P249" s="31" t="n">
        <v>22.52</v>
      </c>
      <c r="Q249" s="31" t="n">
        <v>1231.64</v>
      </c>
      <c r="R249" s="30" t="inlineStr">
        <is>
          <t>Near 52W High Breakout</t>
        </is>
      </c>
      <c r="S249" s="30" t="inlineStr">
        <is>
          <t>Nifty Pharma</t>
        </is>
      </c>
      <c r="T249" s="31" t="n">
        <v>20.76</v>
      </c>
      <c r="U249" s="31" t="n">
        <v>4.86</v>
      </c>
      <c r="V249" s="31" t="n">
        <v>-13.16</v>
      </c>
      <c r="W249" s="31" t="n">
        <v>4.68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Yes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Annuity, Lower One Time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Blue sky scenario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Less than 12%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IF(B250=0,"",RANK(B250,$B$2:$B$395,0))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LUMAXIND</t>
        </is>
      </c>
      <c r="D250" s="30" t="inlineStr">
        <is>
          <t>Lumax Industries Limited</t>
        </is>
      </c>
      <c r="E250" s="30" t="inlineStr">
        <is>
          <t>auto</t>
        </is>
      </c>
      <c r="F250" s="30" t="inlineStr">
        <is>
          <t>auto ancillaries</t>
        </is>
      </c>
      <c r="G250" s="30" t="inlineStr">
        <is>
          <t>midcap</t>
        </is>
      </c>
      <c r="H250" s="31" t="n">
        <v>5286.61</v>
      </c>
      <c r="I250" s="31" t="n">
        <v>6000</v>
      </c>
      <c r="J250" s="31" t="n">
        <v>6.09</v>
      </c>
      <c r="K250" s="31" t="n">
        <v>99574</v>
      </c>
      <c r="L250" s="30" t="n">
        <v>57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62.13</v>
      </c>
      <c r="P250" s="31" t="n">
        <v>10.65</v>
      </c>
      <c r="Q250" s="31" t="n">
        <v>4560.59</v>
      </c>
      <c r="R250" s="30" t="inlineStr">
        <is>
          <t>Volume Spike &amp; Near 52W High Breakout</t>
        </is>
      </c>
      <c r="S250" s="30" t="inlineStr">
        <is>
          <t>Nifty Auto</t>
        </is>
      </c>
      <c r="T250" s="31" t="n">
        <v>23.87</v>
      </c>
      <c r="U250" s="31" t="n">
        <v>59.59</v>
      </c>
      <c r="V250" s="31" t="n">
        <v>28.83</v>
      </c>
      <c r="W250" s="31" t="n">
        <v>13.99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Headwind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Blue sky scenario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Less than 1.5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Between 0.7 to 1.2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IF(B251=0,"",RANK(B251,$B$2:$B$395,0))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KRN</t>
        </is>
      </c>
      <c r="D251" s="30" t="inlineStr">
        <is>
          <t>KRN Heat Exchanger and Refrigeration Ltd</t>
        </is>
      </c>
      <c r="E251" s="30" t="inlineStr">
        <is>
          <t>industrials</t>
        </is>
      </c>
      <c r="F251" s="30" t="inlineStr">
        <is>
          <t>engineering</t>
        </is>
      </c>
      <c r="G251" s="30" t="inlineStr">
        <is>
          <t>midcap</t>
        </is>
      </c>
      <c r="H251" s="31" t="n">
        <v>8027.83</v>
      </c>
      <c r="I251" s="31" t="n">
        <v>1287.7</v>
      </c>
      <c r="J251" s="31" t="n">
        <v>5</v>
      </c>
      <c r="K251" s="31" t="n">
        <v>205351</v>
      </c>
      <c r="L251" s="30" t="n">
        <v>55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62.55</v>
      </c>
      <c r="P251" s="31" t="n">
        <v>28.13</v>
      </c>
      <c r="Q251" s="31" t="n">
        <v>928.2</v>
      </c>
      <c r="R251" s="30" t="inlineStr">
        <is>
          <t>Near 52W High Breakout</t>
        </is>
      </c>
      <c r="S251" s="30" t="inlineStr">
        <is>
          <t>Nifty 50</t>
        </is>
      </c>
      <c r="T251" s="31" t="n">
        <v>-0.65</v>
      </c>
      <c r="U251" s="31" t="n">
        <v>50.96</v>
      </c>
      <c r="V251" s="31" t="n">
        <v>51.95</v>
      </c>
      <c r="W251" s="31" t="n">
        <v>13.4</v>
      </c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Blue sky scenario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Between 1.5 to 2</t>
        </is>
      </c>
      <c r="BU251" s="30">
        <f>IF(BT251="Above 2",0,IF(BT251="Between 1.5 to 2",5,IF(BT251="Less than 1.5",10,0)))</f>
        <v/>
      </c>
      <c r="BV251" s="30" t="inlineStr">
        <is>
          <t>Negative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IF(B252=0,"",RANK(B252,$B$2:$B$395,0))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KAJARIACER</t>
        </is>
      </c>
      <c r="D252" s="30" t="inlineStr">
        <is>
          <t>Kajaria Ceramics Limited</t>
        </is>
      </c>
      <c r="E252" s="30" t="inlineStr">
        <is>
          <t>building materials</t>
        </is>
      </c>
      <c r="F252" s="30" t="inlineStr">
        <is>
          <t>ceramics - tiles / sanitaryware</t>
        </is>
      </c>
      <c r="G252" s="30" t="inlineStr">
        <is>
          <t>midcap</t>
        </is>
      </c>
      <c r="H252" s="31" t="n">
        <v>18868.99</v>
      </c>
      <c r="I252" s="31" t="n">
        <v>1225.6</v>
      </c>
      <c r="J252" s="31" t="n">
        <v>3.45</v>
      </c>
      <c r="K252" s="31" t="n">
        <v>467681</v>
      </c>
      <c r="L252" s="30" t="n">
        <v>14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61.53</v>
      </c>
      <c r="P252" s="31" t="n">
        <v>25.04</v>
      </c>
      <c r="Q252" s="31" t="n">
        <v>1027.21</v>
      </c>
      <c r="R252" s="30" t="inlineStr">
        <is>
          <t>Near 52W High Breakout</t>
        </is>
      </c>
      <c r="S252" s="30" t="inlineStr">
        <is>
          <t>Nifty Infra</t>
        </is>
      </c>
      <c r="T252" s="31" t="n">
        <v>3.51</v>
      </c>
      <c r="U252" s="31" t="n">
        <v>5.74</v>
      </c>
      <c r="V252" s="31" t="n">
        <v>2.15</v>
      </c>
      <c r="W252" s="31" t="n">
        <v>2.72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Negative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Less than 1.5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IF(B253=0,"",RANK(B253,$B$2:$B$395,0))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RBA</t>
        </is>
      </c>
      <c r="D253" s="30" t="inlineStr">
        <is>
          <t>Restaurant Brands Asia Ltd</t>
        </is>
      </c>
      <c r="E253" s="30" t="inlineStr">
        <is>
          <t>consumer discretionary</t>
        </is>
      </c>
      <c r="F253" s="30" t="inlineStr">
        <is>
          <t>hotels</t>
        </is>
      </c>
      <c r="G253" s="30" t="inlineStr">
        <is>
          <t>midcap</t>
        </is>
      </c>
      <c r="H253" s="31" t="n">
        <v>6421.84</v>
      </c>
      <c r="I253" s="31" t="n">
        <v>92.65000000000001</v>
      </c>
      <c r="J253" s="31" t="n">
        <v>2.68</v>
      </c>
      <c r="K253" s="31" t="n">
        <v>12420460</v>
      </c>
      <c r="L253" s="30" t="n">
        <v>51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70.38</v>
      </c>
      <c r="P253" s="31" t="n">
        <v>27.97</v>
      </c>
      <c r="Q253" s="31" t="n">
        <v>76.23999999999999</v>
      </c>
      <c r="R253" s="30" t="inlineStr">
        <is>
          <t>Near 52W High Breakout</t>
        </is>
      </c>
      <c r="S253" s="30" t="inlineStr">
        <is>
          <t>Nifty 50</t>
        </is>
      </c>
      <c r="T253" s="31" t="n">
        <v>-0.65</v>
      </c>
      <c r="U253" s="31" t="n">
        <v>17.59</v>
      </c>
      <c r="V253" s="31" t="n">
        <v>18.36</v>
      </c>
      <c r="W253" s="31" t="n">
        <v>12.19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More than 1.2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IF(B254=0,"",RANK(B254,$B$2:$B$395,0))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RACLGEAR</t>
        </is>
      </c>
      <c r="D254" s="30" t="inlineStr">
        <is>
          <t>RACL Geartech Ltd</t>
        </is>
      </c>
      <c r="E254" s="30" t="inlineStr">
        <is>
          <t>auto</t>
        </is>
      </c>
      <c r="F254" s="30" t="inlineStr">
        <is>
          <t>auto ancillaries</t>
        </is>
      </c>
      <c r="G254" s="30" t="inlineStr">
        <is>
          <t>smallcap</t>
        </is>
      </c>
      <c r="H254" s="31" t="n">
        <v>1635.71</v>
      </c>
      <c r="I254" s="31" t="n">
        <v>1419.8</v>
      </c>
      <c r="J254" s="31" t="n">
        <v>2.32</v>
      </c>
      <c r="K254" s="31" t="n">
        <v>73482</v>
      </c>
      <c r="L254" s="30" t="n">
        <v>48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56.67</v>
      </c>
      <c r="P254" s="31" t="n">
        <v>49.42</v>
      </c>
      <c r="Q254" s="31" t="n">
        <v>1012.59</v>
      </c>
      <c r="R254" s="30" t="inlineStr">
        <is>
          <t>Earnings / Momentum Support</t>
        </is>
      </c>
      <c r="S254" s="30" t="inlineStr">
        <is>
          <t>Nifty Auto</t>
        </is>
      </c>
      <c r="T254" s="31" t="n">
        <v>23.87</v>
      </c>
      <c r="U254" s="31" t="n">
        <v>41.99</v>
      </c>
      <c r="V254" s="31" t="n">
        <v>14.63</v>
      </c>
      <c r="W254" s="31" t="n">
        <v>11.4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Headwind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No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Above 40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IF(B255=0,"",RANK(B255,$B$2:$B$395,0))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TBOTEK</t>
        </is>
      </c>
      <c r="D255" s="30" t="inlineStr">
        <is>
          <t>TBO Tek Ltd</t>
        </is>
      </c>
      <c r="E255" s="30" t="inlineStr">
        <is>
          <t>i.t</t>
        </is>
      </c>
      <c r="F255" s="30" t="inlineStr">
        <is>
          <t>travel agencies</t>
        </is>
      </c>
      <c r="G255" s="30" t="inlineStr">
        <is>
          <t>midcap</t>
        </is>
      </c>
      <c r="H255" s="31" t="n">
        <v>17395.76</v>
      </c>
      <c r="I255" s="31" t="n">
        <v>1637.2</v>
      </c>
      <c r="J255" s="31" t="n">
        <v>2.2</v>
      </c>
      <c r="K255" s="31" t="n">
        <v>119077</v>
      </c>
      <c r="L255" s="30" t="n">
        <v>51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65.26000000000001</v>
      </c>
      <c r="P255" s="31" t="n">
        <v>19.95</v>
      </c>
      <c r="Q255" s="31" t="n">
        <v>1282.92</v>
      </c>
      <c r="R255" s="30" t="inlineStr">
        <is>
          <t>Near 52W High Breakout</t>
        </is>
      </c>
      <c r="S255" s="30" t="inlineStr">
        <is>
          <t>Nifty IT</t>
        </is>
      </c>
      <c r="T255" s="31" t="n">
        <v>-8.640000000000001</v>
      </c>
      <c r="U255" s="31" t="n">
        <v>13.55</v>
      </c>
      <c r="V255" s="31" t="n">
        <v>24.29</v>
      </c>
      <c r="W255" s="31" t="n">
        <v>12.32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0 to 20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IF(B256=0,"",RANK(B256,$B$2:$B$395,0))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2" t="inlineStr">
        <is>
          <t>TTKHLTCARE</t>
        </is>
      </c>
      <c r="D256" s="32" t="inlineStr">
        <is>
          <t>Ttk Healthcare Limited</t>
        </is>
      </c>
      <c r="E256" s="30" t="inlineStr">
        <is>
          <t>miscellaneous</t>
        </is>
      </c>
      <c r="F256" s="30" t="inlineStr">
        <is>
          <t>diversified - medium / small</t>
        </is>
      </c>
      <c r="G256" s="30" t="inlineStr">
        <is>
          <t>smallcap</t>
        </is>
      </c>
      <c r="H256" s="31" t="n">
        <v>1496.4</v>
      </c>
      <c r="I256" s="31" t="n">
        <v>1078.9</v>
      </c>
      <c r="J256" s="31" t="n">
        <v>1.88</v>
      </c>
      <c r="K256" s="31" t="n">
        <v>22615</v>
      </c>
      <c r="L256" s="30" t="n">
        <v>19</v>
      </c>
      <c r="M256" s="30" t="inlineStr">
        <is>
          <t>Underperforming</t>
        </is>
      </c>
      <c r="N256" s="31">
        <f>IF(M256="Underperforming",-5,IF(L256&gt;=95,15,IF(L256&gt;=90,10,IF(L256&gt;=80,5,0))))</f>
        <v/>
      </c>
      <c r="O256" s="31" t="n">
        <v>65.83</v>
      </c>
      <c r="P256" s="31" t="n">
        <v>18.85</v>
      </c>
      <c r="Q256" s="31" t="n">
        <v>836.96</v>
      </c>
      <c r="R256" s="30" t="inlineStr">
        <is>
          <t>Earnings / Momentum Support</t>
        </is>
      </c>
      <c r="S256" s="30" t="inlineStr">
        <is>
          <t>Nifty 50</t>
        </is>
      </c>
      <c r="T256" s="31" t="n">
        <v>-0.65</v>
      </c>
      <c r="U256" s="31" t="n">
        <v>-3.04</v>
      </c>
      <c r="V256" s="31" t="n">
        <v>-2.41</v>
      </c>
      <c r="W256" s="31" t="n">
        <v>4.62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No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No</t>
        </is>
      </c>
      <c r="BS256" s="30">
        <f>IF(BR256="NO",5,0)</f>
        <v/>
      </c>
      <c r="BT256" s="30" t="inlineStr">
        <is>
          <t>Less than 1.5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IF(B257=0,"",RANK(B257,$B$2:$B$395,0))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2" t="inlineStr">
        <is>
          <t>ALKYLAMINE</t>
        </is>
      </c>
      <c r="D257" s="32" t="inlineStr">
        <is>
          <t>Alkyl Amines Chemicals Limited</t>
        </is>
      </c>
      <c r="E257" s="30" t="inlineStr">
        <is>
          <t>chemicals</t>
        </is>
      </c>
      <c r="F257" s="30" t="inlineStr">
        <is>
          <t>chemicals</t>
        </is>
      </c>
      <c r="G257" s="30" t="inlineStr">
        <is>
          <t>midcap</t>
        </is>
      </c>
      <c r="H257" s="31" t="n">
        <v>9801.65</v>
      </c>
      <c r="I257" s="31" t="n">
        <v>1947.4</v>
      </c>
      <c r="J257" s="31" t="n">
        <v>1.62</v>
      </c>
      <c r="K257" s="31" t="n">
        <v>135162</v>
      </c>
      <c r="L257" s="30" t="n">
        <v>13</v>
      </c>
      <c r="M257" s="30" t="inlineStr">
        <is>
          <t>Underperforming</t>
        </is>
      </c>
      <c r="N257" s="31">
        <f>IF(M257="Underperforming",-5,IF(L257&gt;=95,15,IF(L257&gt;=90,10,IF(L257&gt;=80,5,0))))</f>
        <v/>
      </c>
      <c r="O257" s="31" t="n">
        <v>64.48</v>
      </c>
      <c r="P257" s="31" t="n">
        <v>40.77</v>
      </c>
      <c r="Q257" s="31" t="n">
        <v>1486.35</v>
      </c>
      <c r="R257" s="30" t="inlineStr">
        <is>
          <t>Earnings / Momentum Support</t>
        </is>
      </c>
      <c r="S257" s="30" t="inlineStr">
        <is>
          <t>Nifty 50</t>
        </is>
      </c>
      <c r="T257" s="31" t="n">
        <v>-0.65</v>
      </c>
      <c r="U257" s="31" t="n">
        <v>-5.54</v>
      </c>
      <c r="V257" s="31" t="n">
        <v>-4.93</v>
      </c>
      <c r="W257" s="31" t="n">
        <v>2.38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Above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IF(B258=0,"",RANK(B258,$B$2:$B$395,0))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SOTL</t>
        </is>
      </c>
      <c r="D258" s="30" t="inlineStr">
        <is>
          <t>Savita Oil Technologies Limited</t>
        </is>
      </c>
      <c r="E258" s="30" t="inlineStr">
        <is>
          <t>energy</t>
        </is>
      </c>
      <c r="F258" s="30" t="inlineStr">
        <is>
          <t>petrochemicals</t>
        </is>
      </c>
      <c r="G258" s="30" t="inlineStr">
        <is>
          <t>smallcap</t>
        </is>
      </c>
      <c r="H258" s="31" t="n">
        <v>4737.52</v>
      </c>
      <c r="I258" s="31" t="n">
        <v>700.05</v>
      </c>
      <c r="J258" s="31" t="n">
        <v>1.31</v>
      </c>
      <c r="K258" s="31" t="n">
        <v>381189</v>
      </c>
      <c r="L258" s="30" t="n">
        <v>92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65.90000000000001</v>
      </c>
      <c r="P258" s="31" t="n">
        <v>50.07</v>
      </c>
      <c r="Q258" s="31" t="n">
        <v>544.65</v>
      </c>
      <c r="R258" s="30" t="inlineStr">
        <is>
          <t>Earnings / Momentum Support</t>
        </is>
      </c>
      <c r="S258" s="30" t="inlineStr">
        <is>
          <t>Nifty Energy</t>
        </is>
      </c>
      <c r="T258" s="31" t="n">
        <v>9.81</v>
      </c>
      <c r="U258" s="31" t="n">
        <v>75</v>
      </c>
      <c r="V258" s="31" t="n">
        <v>59.37</v>
      </c>
      <c r="W258" s="31" t="n">
        <v>35.04</v>
      </c>
      <c r="X258" s="30" t="inlineStr">
        <is>
          <t>Cyclical in an Upturn</t>
        </is>
      </c>
      <c r="Y258" s="30">
        <f>IF(X258="Growing Industry",10,IF(X258="Cyclical in an Upturn",5,0))</f>
        <v/>
      </c>
      <c r="Z258" s="30" t="inlineStr">
        <is>
          <t>Oligopoly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Yes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Cyclical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Volatile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Above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IF(B259=0,"",RANK(B259,$B$2:$B$395,0))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EMAMIPAP</t>
        </is>
      </c>
      <c r="D259" s="30" t="inlineStr">
        <is>
          <t>Emami Paper Mills Ltd</t>
        </is>
      </c>
      <c r="E259" s="30" t="inlineStr">
        <is>
          <t>building materials</t>
        </is>
      </c>
      <c r="F259" s="30" t="inlineStr">
        <is>
          <t>paper</t>
        </is>
      </c>
      <c r="G259" s="30" t="inlineStr">
        <is>
          <t>smallcap</t>
        </is>
      </c>
      <c r="H259" s="31" t="n">
        <v>672.63</v>
      </c>
      <c r="I259" s="31" t="n">
        <v>112.5</v>
      </c>
      <c r="J259" s="31" t="n">
        <v>1.19</v>
      </c>
      <c r="K259" s="31" t="n">
        <v>24697</v>
      </c>
      <c r="L259" s="30" t="n">
        <v>63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66.39</v>
      </c>
      <c r="P259" s="31" t="n">
        <v>19.79</v>
      </c>
      <c r="Q259" s="31" t="n">
        <v>87.76000000000001</v>
      </c>
      <c r="R259" s="30" t="inlineStr">
        <is>
          <t>Near 52W High Breakout</t>
        </is>
      </c>
      <c r="S259" s="30" t="inlineStr">
        <is>
          <t>Nifty Infra</t>
        </is>
      </c>
      <c r="T259" s="31" t="n">
        <v>3.51</v>
      </c>
      <c r="U259" s="31" t="n">
        <v>16.23</v>
      </c>
      <c r="V259" s="31" t="n">
        <v>12.29</v>
      </c>
      <c r="W259" s="31" t="n">
        <v>16.17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Blue sky scenario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No</t>
        </is>
      </c>
      <c r="BS259" s="30">
        <f>IF(BR259="NO",5,0)</f>
        <v/>
      </c>
      <c r="BT259" s="30" t="inlineStr">
        <is>
          <t>Less than 1.5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More than 1.2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IF(B260=0,"",RANK(B260,$B$2:$B$395,0))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GRAPHITE</t>
        </is>
      </c>
      <c r="D260" s="30" t="inlineStr">
        <is>
          <t>Graphite India Limited</t>
        </is>
      </c>
      <c r="E260" s="30" t="inlineStr">
        <is>
          <t>industrials</t>
        </is>
      </c>
      <c r="F260" s="30" t="inlineStr">
        <is>
          <t>electrodes - graphites</t>
        </is>
      </c>
      <c r="G260" s="30" t="inlineStr">
        <is>
          <t>midcap</t>
        </is>
      </c>
      <c r="H260" s="31" t="n">
        <v>14123.7</v>
      </c>
      <c r="I260" s="31" t="n">
        <v>730.85</v>
      </c>
      <c r="J260" s="31" t="n">
        <v>1.1</v>
      </c>
      <c r="K260" s="31" t="n">
        <v>1179294</v>
      </c>
      <c r="L260" s="30" t="n">
        <v>27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60.79</v>
      </c>
      <c r="P260" s="31" t="n">
        <v>17.21</v>
      </c>
      <c r="Q260" s="31" t="n">
        <v>590.17</v>
      </c>
      <c r="R260" s="30" t="inlineStr">
        <is>
          <t>Near 52W High Breakout</t>
        </is>
      </c>
      <c r="S260" s="30" t="inlineStr">
        <is>
          <t>Nifty 50</t>
        </is>
      </c>
      <c r="T260" s="31" t="n">
        <v>-0.65</v>
      </c>
      <c r="U260" s="31" t="n">
        <v>38.25</v>
      </c>
      <c r="V260" s="31" t="n">
        <v>39.15</v>
      </c>
      <c r="W260" s="31" t="n">
        <v>6.13</v>
      </c>
      <c r="X260" s="30" t="inlineStr">
        <is>
          <t>Cyclical in an Upturn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0 to 20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Blue sky scenario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IF(B261=0,"",RANK(B261,$B$2:$B$395,0))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KIRLOSBROS</t>
        </is>
      </c>
      <c r="D261" s="30" t="inlineStr">
        <is>
          <t>Kirloskar Brothers Limited</t>
        </is>
      </c>
      <c r="E261" s="30" t="inlineStr">
        <is>
          <t>industrials</t>
        </is>
      </c>
      <c r="F261" s="30" t="inlineStr">
        <is>
          <t>pumps</t>
        </is>
      </c>
      <c r="G261" s="30" t="inlineStr">
        <is>
          <t>midcap</t>
        </is>
      </c>
      <c r="H261" s="31" t="n">
        <v>15418.04</v>
      </c>
      <c r="I261" s="31" t="n">
        <v>1955.9</v>
      </c>
      <c r="J261" s="31" t="n">
        <v>0.74</v>
      </c>
      <c r="K261" s="31" t="n">
        <v>63639</v>
      </c>
      <c r="L261" s="30" t="n">
        <v>25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60.28</v>
      </c>
      <c r="P261" s="31" t="n">
        <v>22.11</v>
      </c>
      <c r="Q261" s="31" t="n">
        <v>1551.04</v>
      </c>
      <c r="R261" s="30" t="inlineStr">
        <is>
          <t>Near 52W High Breakout</t>
        </is>
      </c>
      <c r="S261" s="30" t="inlineStr">
        <is>
          <t>Nifty 50</t>
        </is>
      </c>
      <c r="T261" s="31" t="n">
        <v>-0.65</v>
      </c>
      <c r="U261" s="31" t="n">
        <v>4.02</v>
      </c>
      <c r="V261" s="31" t="n">
        <v>4.7</v>
      </c>
      <c r="W261" s="31" t="n">
        <v>5.77</v>
      </c>
      <c r="X261" s="30" t="inlineStr">
        <is>
          <t>Cyclical in an Upturn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Less than 12%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IF(B262=0,"",RANK(B262,$B$2:$B$395,0))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MBAPL</t>
        </is>
      </c>
      <c r="D262" s="30" t="inlineStr">
        <is>
          <t>Madhya Bharat Agro Products Ltd</t>
        </is>
      </c>
      <c r="E262" s="30" t="inlineStr">
        <is>
          <t>chemicals</t>
        </is>
      </c>
      <c r="F262" s="30" t="inlineStr">
        <is>
          <t>fertilizers</t>
        </is>
      </c>
      <c r="G262" s="30" t="inlineStr">
        <is>
          <t>smallcap</t>
        </is>
      </c>
      <c r="H262" s="31" t="n">
        <v>1440.94</v>
      </c>
      <c r="I262" s="31" t="n">
        <v>165.49</v>
      </c>
      <c r="J262" s="31" t="n">
        <v>0.64</v>
      </c>
      <c r="K262" s="31" t="n">
        <v>1522875</v>
      </c>
      <c r="L262" s="30" t="n">
        <v>84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81.05</v>
      </c>
      <c r="P262" s="31" t="n">
        <v>65.70999999999999</v>
      </c>
      <c r="Q262" s="31" t="n">
        <v>133.05</v>
      </c>
      <c r="R262" s="30" t="inlineStr">
        <is>
          <t>Near 52W High Breakout</t>
        </is>
      </c>
      <c r="S262" s="30" t="inlineStr">
        <is>
          <t>Nifty 50</t>
        </is>
      </c>
      <c r="T262" s="31" t="n">
        <v>-0.65</v>
      </c>
      <c r="U262" s="31" t="n">
        <v>96.45999999999999</v>
      </c>
      <c r="V262" s="31" t="n">
        <v>97.73999999999999</v>
      </c>
      <c r="W262" s="31" t="n">
        <v>27.06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Above 40</t>
        </is>
      </c>
      <c r="AY262" s="30">
        <f>IF(AX262="Above 40",20,IF(AX262="20 to 40",10,IF(AX262="0 to 20",-5,0)))</f>
        <v/>
      </c>
      <c r="AZ262" s="30" t="inlineStr">
        <is>
          <t>Above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Blue sky scenario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Between 12 to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More than 1.2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IF(B263=0,"",RANK(B263,$B$2:$B$395,0))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SPAL</t>
        </is>
      </c>
      <c r="D263" s="30" t="inlineStr">
        <is>
          <t>S. P. Apparels Limited</t>
        </is>
      </c>
      <c r="E263" s="30" t="inlineStr">
        <is>
          <t>consumer discretionary</t>
        </is>
      </c>
      <c r="F263" s="30" t="inlineStr">
        <is>
          <t>textiles - products</t>
        </is>
      </c>
      <c r="G263" s="30" t="inlineStr">
        <is>
          <t>smallcap</t>
        </is>
      </c>
      <c r="H263" s="31" t="n">
        <v>2684.71</v>
      </c>
      <c r="I263" s="31" t="n">
        <v>1074.5</v>
      </c>
      <c r="J263" s="31" t="n">
        <v>0.61</v>
      </c>
      <c r="K263" s="31" t="n">
        <v>70346</v>
      </c>
      <c r="L263" s="30" t="n">
        <v>61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65.95</v>
      </c>
      <c r="P263" s="31" t="n">
        <v>38.5</v>
      </c>
      <c r="Q263" s="31" t="n">
        <v>849.95</v>
      </c>
      <c r="R263" s="30" t="inlineStr">
        <is>
          <t>Earnings / Momentum Support</t>
        </is>
      </c>
      <c r="S263" s="30" t="inlineStr">
        <is>
          <t>Nifty 50</t>
        </is>
      </c>
      <c r="T263" s="31" t="n">
        <v>-0.65</v>
      </c>
      <c r="U263" s="31" t="n">
        <v>39.98</v>
      </c>
      <c r="V263" s="31" t="n">
        <v>40.89</v>
      </c>
      <c r="W263" s="31" t="n">
        <v>15.38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No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IF(B264=0,"",RANK(B264,$B$2:$B$395,0))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3MINDIA</t>
        </is>
      </c>
      <c r="D264" s="30" t="inlineStr">
        <is>
          <t>3m India Limited</t>
        </is>
      </c>
      <c r="E264" s="30" t="inlineStr">
        <is>
          <t>miscellaneous</t>
        </is>
      </c>
      <c r="F264" s="30" t="inlineStr">
        <is>
          <t>diversified - large</t>
        </is>
      </c>
      <c r="G264" s="30" t="inlineStr">
        <is>
          <t>largecap</t>
        </is>
      </c>
      <c r="H264" s="31" t="n">
        <v>40441.6</v>
      </c>
      <c r="I264" s="31" t="n">
        <v>36065</v>
      </c>
      <c r="J264" s="31" t="n">
        <v>0.46</v>
      </c>
      <c r="K264" s="31" t="n">
        <v>3128</v>
      </c>
      <c r="L264" s="30" t="n">
        <v>34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62.02</v>
      </c>
      <c r="P264" s="31" t="n">
        <v>17.1</v>
      </c>
      <c r="Q264" s="31" t="n">
        <v>30681.21</v>
      </c>
      <c r="R264" s="30" t="inlineStr">
        <is>
          <t>Near 52W High Breakout</t>
        </is>
      </c>
      <c r="S264" s="30" t="inlineStr">
        <is>
          <t>Nifty 50</t>
        </is>
      </c>
      <c r="T264" s="31" t="n">
        <v>-0.65</v>
      </c>
      <c r="U264" s="31" t="n">
        <v>20.72</v>
      </c>
      <c r="V264" s="31" t="n">
        <v>21.51</v>
      </c>
      <c r="W264" s="31" t="n">
        <v>7.92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0 to 20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Blue sky scenario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Between 50% to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IF(B265=0,"",RANK(B265,$B$2:$B$395,0))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HEROMOTOCO</t>
        </is>
      </c>
      <c r="D265" s="30" t="inlineStr">
        <is>
          <t>Hero Motocorp Limited</t>
        </is>
      </c>
      <c r="E265" s="30" t="inlineStr">
        <is>
          <t>auto</t>
        </is>
      </c>
      <c r="F265" s="30" t="inlineStr">
        <is>
          <t>automobiles - motorcycles / mopeds</t>
        </is>
      </c>
      <c r="G265" s="30" t="inlineStr">
        <is>
          <t>largecap</t>
        </is>
      </c>
      <c r="H265" s="31" t="n">
        <v>117254.46</v>
      </c>
      <c r="I265" s="31" t="n">
        <v>5865.5</v>
      </c>
      <c r="J265" s="31" t="n">
        <v>0.09</v>
      </c>
      <c r="K265" s="31" t="n">
        <v>1581225</v>
      </c>
      <c r="L265" s="30" t="n">
        <v>51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66.58</v>
      </c>
      <c r="P265" s="31" t="n">
        <v>11.49</v>
      </c>
      <c r="Q265" s="31" t="n">
        <v>4991.21</v>
      </c>
      <c r="R265" s="30" t="inlineStr">
        <is>
          <t>Near 52W High Breakout</t>
        </is>
      </c>
      <c r="S265" s="30" t="inlineStr">
        <is>
          <t>Nifty Auto</t>
        </is>
      </c>
      <c r="T265" s="31" t="n">
        <v>23.87</v>
      </c>
      <c r="U265" s="31" t="n">
        <v>43.42</v>
      </c>
      <c r="V265" s="31" t="n">
        <v>15.78</v>
      </c>
      <c r="W265" s="31" t="n">
        <v>12.4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Blue sky scenario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IF(B266=0,"",RANK(B266,$B$2:$B$395,0))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2" t="inlineStr">
        <is>
          <t>DEEPAKNTR</t>
        </is>
      </c>
      <c r="D266" s="32" t="inlineStr">
        <is>
          <t>Deepak Nitrite Limited</t>
        </is>
      </c>
      <c r="E266" s="30" t="inlineStr">
        <is>
          <t>chemicals</t>
        </is>
      </c>
      <c r="F266" s="30" t="inlineStr">
        <is>
          <t>chemicals</t>
        </is>
      </c>
      <c r="G266" s="30" t="inlineStr">
        <is>
          <t>largecap</t>
        </is>
      </c>
      <c r="H266" s="31" t="n">
        <v>24267.05</v>
      </c>
      <c r="I266" s="31" t="n">
        <v>1779</v>
      </c>
      <c r="J266" s="31" t="n">
        <v>-0.01</v>
      </c>
      <c r="K266" s="31" t="n">
        <v>370508</v>
      </c>
      <c r="L266" s="30" t="n">
        <v>3</v>
      </c>
      <c r="M266" s="30" t="inlineStr">
        <is>
          <t>Underperforming</t>
        </is>
      </c>
      <c r="N266" s="31">
        <f>IF(M266="Underperforming",-5,IF(L266&gt;=95,15,IF(L266&gt;=90,10,IF(L266&gt;=80,5,0))))</f>
        <v/>
      </c>
      <c r="O266" s="31" t="n">
        <v>58.41</v>
      </c>
      <c r="P266" s="31" t="n">
        <v>13.91</v>
      </c>
      <c r="Q266" s="31" t="n">
        <v>1487.65</v>
      </c>
      <c r="R266" s="30" t="inlineStr">
        <is>
          <t>Near 52W High Breakout</t>
        </is>
      </c>
      <c r="S266" s="30" t="inlineStr">
        <is>
          <t>Nifty 50</t>
        </is>
      </c>
      <c r="T266" s="31" t="n">
        <v>-0.65</v>
      </c>
      <c r="U266" s="31" t="n">
        <v>-3.43</v>
      </c>
      <c r="V266" s="31" t="n">
        <v>-2.8</v>
      </c>
      <c r="W266" s="31" t="n">
        <v>-0.87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0 to 20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IF(B267=0,"",RANK(B267,$B$2:$B$395,0))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ABB</t>
        </is>
      </c>
      <c r="D267" s="30" t="inlineStr">
        <is>
          <t>Abb India Limited</t>
        </is>
      </c>
      <c r="E267" s="30" t="inlineStr">
        <is>
          <t>industrials</t>
        </is>
      </c>
      <c r="F267" s="30" t="inlineStr">
        <is>
          <t>electric equipment</t>
        </is>
      </c>
      <c r="G267" s="30" t="inlineStr">
        <is>
          <t>largecap</t>
        </is>
      </c>
      <c r="H267" s="31" t="n">
        <v>162099.31</v>
      </c>
      <c r="I267" s="31" t="n">
        <v>7611.5</v>
      </c>
      <c r="J267" s="31" t="n">
        <v>-0.5</v>
      </c>
      <c r="K267" s="31" t="n">
        <v>290377</v>
      </c>
      <c r="L267" s="30" t="n">
        <v>56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64.12</v>
      </c>
      <c r="P267" s="31" t="n">
        <v>29.29</v>
      </c>
      <c r="Q267" s="31" t="n">
        <v>6190.98</v>
      </c>
      <c r="R267" s="30" t="inlineStr">
        <is>
          <t>Near 52W High Breakout</t>
        </is>
      </c>
      <c r="S267" s="30" t="inlineStr">
        <is>
          <t>Nifty 50</t>
        </is>
      </c>
      <c r="T267" s="31" t="n">
        <v>-0.65</v>
      </c>
      <c r="U267" s="31" t="n">
        <v>53.73</v>
      </c>
      <c r="V267" s="31" t="n">
        <v>54.73</v>
      </c>
      <c r="W267" s="31" t="n">
        <v>13.48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Less than 12%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Yes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IF(B268=0,"",RANK(B268,$B$2:$B$395,0))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2" t="inlineStr">
        <is>
          <t>SUMICHEM</t>
        </is>
      </c>
      <c r="D268" s="32" t="inlineStr">
        <is>
          <t>Sumitomo Chemical India Ltd</t>
        </is>
      </c>
      <c r="E268" s="30" t="inlineStr">
        <is>
          <t>chemicals</t>
        </is>
      </c>
      <c r="F268" s="30" t="inlineStr">
        <is>
          <t>pesticides / agrochemicals - indian</t>
        </is>
      </c>
      <c r="G268" s="30" t="inlineStr">
        <is>
          <t>largecap</t>
        </is>
      </c>
      <c r="H268" s="31" t="n">
        <v>28014.55</v>
      </c>
      <c r="I268" s="31" t="n">
        <v>558.1</v>
      </c>
      <c r="J268" s="31" t="n">
        <v>-0.5600000000000001</v>
      </c>
      <c r="K268" s="31" t="n">
        <v>798062</v>
      </c>
      <c r="L268" s="30" t="n">
        <v>20</v>
      </c>
      <c r="M268" s="30" t="inlineStr">
        <is>
          <t>Underperforming</t>
        </is>
      </c>
      <c r="N268" s="31">
        <f>IF(M268="Underperforming",-5,IF(L268&gt;=95,15,IF(L268&gt;=90,10,IF(L268&gt;=80,5,0))))</f>
        <v/>
      </c>
      <c r="O268" s="31" t="n">
        <v>64.37</v>
      </c>
      <c r="P268" s="31" t="n">
        <v>32.95</v>
      </c>
      <c r="Q268" s="31" t="n">
        <v>435.62</v>
      </c>
      <c r="R268" s="30" t="inlineStr">
        <is>
          <t>Earnings / Momentum Support</t>
        </is>
      </c>
      <c r="S268" s="30" t="inlineStr">
        <is>
          <t>Nifty 50</t>
        </is>
      </c>
      <c r="T268" s="31" t="n">
        <v>-0.65</v>
      </c>
      <c r="U268" s="31" t="n">
        <v>-4.6</v>
      </c>
      <c r="V268" s="31" t="n">
        <v>-3.98</v>
      </c>
      <c r="W268" s="31" t="n">
        <v>4.69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No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20 to 40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IF(B269=0,"",RANK(B269,$B$2:$B$395,0))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2" t="inlineStr">
        <is>
          <t>BOSCH-HCIL</t>
        </is>
      </c>
      <c r="D269" s="32" t="inlineStr">
        <is>
          <t>Bosch Home Comfort India Ltd</t>
        </is>
      </c>
      <c r="E269" s="30" t="inlineStr">
        <is>
          <t>consumer discretionary</t>
        </is>
      </c>
      <c r="F269" s="30" t="inlineStr">
        <is>
          <t>air-conditioners</t>
        </is>
      </c>
      <c r="G269" s="30" t="inlineStr">
        <is>
          <t>smallcap</t>
        </is>
      </c>
      <c r="H269" s="31" t="n">
        <v>4647.19</v>
      </c>
      <c r="I269" s="31" t="n">
        <v>1696.8</v>
      </c>
      <c r="J269" s="31" t="n">
        <v>-0.72</v>
      </c>
      <c r="K269" s="31" t="n">
        <v>65718</v>
      </c>
      <c r="L269" s="30" t="n">
        <v>22</v>
      </c>
      <c r="M269" s="30" t="inlineStr">
        <is>
          <t>Underperforming</t>
        </is>
      </c>
      <c r="N269" s="31">
        <f>IF(M269="Underperforming",-5,IF(L269&gt;=95,15,IF(L269&gt;=90,10,IF(L269&gt;=80,5,0))))</f>
        <v/>
      </c>
      <c r="O269" s="31" t="n">
        <v>68.79000000000001</v>
      </c>
      <c r="P269" s="31" t="n">
        <v>17.51</v>
      </c>
      <c r="Q269" s="31" t="n">
        <v>1367.82</v>
      </c>
      <c r="R269" s="30" t="inlineStr">
        <is>
          <t>Near 52W High Breakout</t>
        </is>
      </c>
      <c r="S269" s="30" t="inlineStr">
        <is>
          <t>Nifty 50</t>
        </is>
      </c>
      <c r="T269" s="31" t="n">
        <v>-0.65</v>
      </c>
      <c r="U269" s="31" t="n">
        <v>-1.48</v>
      </c>
      <c r="V269" s="31" t="n">
        <v>-0.84</v>
      </c>
      <c r="W269" s="31" t="n">
        <v>5.09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Less than 12%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Less than 1.5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IF(B270=0,"",RANK(B270,$B$2:$B$395,0))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MARINE</t>
        </is>
      </c>
      <c r="D270" s="30" t="inlineStr">
        <is>
          <t>Marine Electricals (India) Ltd</t>
        </is>
      </c>
      <c r="E270" s="30" t="inlineStr">
        <is>
          <t>industrials</t>
        </is>
      </c>
      <c r="F270" s="30" t="inlineStr">
        <is>
          <t>electric equipment</t>
        </is>
      </c>
      <c r="G270" s="30" t="inlineStr">
        <is>
          <t>smallcap</t>
        </is>
      </c>
      <c r="H270" s="31" t="n">
        <v>4970.13</v>
      </c>
      <c r="I270" s="31" t="n">
        <v>349.7</v>
      </c>
      <c r="J270" s="31" t="n">
        <v>-1.53</v>
      </c>
      <c r="K270" s="31" t="n">
        <v>1375943</v>
      </c>
      <c r="L270" s="30" t="n">
        <v>89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73.34999999999999</v>
      </c>
      <c r="P270" s="31" t="n">
        <v>33.62</v>
      </c>
      <c r="Q270" s="31" t="n">
        <v>257.89</v>
      </c>
      <c r="R270" s="30" t="inlineStr">
        <is>
          <t>Near 52W High Breakout</t>
        </is>
      </c>
      <c r="S270" s="30" t="inlineStr">
        <is>
          <t>Nifty 50</t>
        </is>
      </c>
      <c r="T270" s="31" t="n">
        <v>-0.65</v>
      </c>
      <c r="U270" s="31" t="n">
        <v>111.23</v>
      </c>
      <c r="V270" s="31" t="n">
        <v>112.61</v>
      </c>
      <c r="W270" s="31" t="n">
        <v>32.72</v>
      </c>
      <c r="X270" s="30" t="inlineStr">
        <is>
          <t>Cyclical in an Upturn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Blue sky scenario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Negative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IF(B271=0,"",RANK(B271,$B$2:$B$395,0))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MMP</t>
        </is>
      </c>
      <c r="D271" s="32" t="inlineStr">
        <is>
          <t>MMP Industries Ltd</t>
        </is>
      </c>
      <c r="E271" s="30" t="inlineStr">
        <is>
          <t>metals &amp; mining</t>
        </is>
      </c>
      <c r="F271" s="30" t="inlineStr">
        <is>
          <t>aluminium and aluminium products</t>
        </is>
      </c>
      <c r="G271" s="30" t="inlineStr">
        <is>
          <t>smallcap</t>
        </is>
      </c>
      <c r="H271" s="31" t="n">
        <v>650.21</v>
      </c>
      <c r="I271" s="31" t="n">
        <v>338.15</v>
      </c>
      <c r="J271" s="31" t="n">
        <v>-1.6</v>
      </c>
      <c r="K271" s="31" t="n">
        <v>137921</v>
      </c>
      <c r="L271" s="30" t="n">
        <v>52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70.34</v>
      </c>
      <c r="P271" s="31" t="n">
        <v>38.26</v>
      </c>
      <c r="Q271" s="31" t="n">
        <v>255.17</v>
      </c>
      <c r="R271" s="30" t="inlineStr">
        <is>
          <t>Volume Spike &amp; Near 52W High Breakout</t>
        </is>
      </c>
      <c r="S271" s="30" t="inlineStr">
        <is>
          <t>Nifty Metal</t>
        </is>
      </c>
      <c r="T271" s="31" t="n">
        <v>39</v>
      </c>
      <c r="U271" s="31" t="n">
        <v>25.01</v>
      </c>
      <c r="V271" s="31" t="n">
        <v>-10.07</v>
      </c>
      <c r="W271" s="31" t="n">
        <v>12.51</v>
      </c>
      <c r="X271" s="30" t="inlineStr">
        <is>
          <t>Cyclical in an Upturn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Cyclical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Volatile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Less than 1.5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IF(B272=0,"",RANK(B272,$B$2:$B$395,0))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ROSSTECH</t>
        </is>
      </c>
      <c r="D272" s="30" t="inlineStr">
        <is>
          <t>Rossell Techsys Ltd</t>
        </is>
      </c>
      <c r="E272" s="30" t="inlineStr">
        <is>
          <t>aerospace &amp; defence</t>
        </is>
      </c>
      <c r="F272" s="30" t="inlineStr">
        <is>
          <t>engineering</t>
        </is>
      </c>
      <c r="G272" s="30" t="inlineStr">
        <is>
          <t>smallcap</t>
        </is>
      </c>
      <c r="H272" s="31" t="n">
        <v>4125.88</v>
      </c>
      <c r="I272" s="31" t="n">
        <v>1066.65</v>
      </c>
      <c r="J272" s="31" t="n">
        <v>-2.54</v>
      </c>
      <c r="K272" s="31" t="n">
        <v>263674</v>
      </c>
      <c r="L272" s="30" t="n">
        <v>68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60.97</v>
      </c>
      <c r="P272" s="31" t="n">
        <v>28.79</v>
      </c>
      <c r="Q272" s="31" t="n">
        <v>757.52</v>
      </c>
      <c r="R272" s="30" t="inlineStr">
        <is>
          <t>Near 52W High Breakout</t>
        </is>
      </c>
      <c r="S272" s="30" t="inlineStr">
        <is>
          <t>Nifty Infra</t>
        </is>
      </c>
      <c r="T272" s="31" t="n">
        <v>3.51</v>
      </c>
      <c r="U272" s="31" t="n">
        <v>83.73</v>
      </c>
      <c r="V272" s="31" t="n">
        <v>77.51000000000001</v>
      </c>
      <c r="W272" s="31" t="n">
        <v>17.67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Blue sky scenario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More than 1.2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IF(B273=0,"",RANK(B273,$B$2:$B$395,0))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2" t="inlineStr">
        <is>
          <t>POLYMED</t>
        </is>
      </c>
      <c r="D273" s="32" t="inlineStr">
        <is>
          <t>Poly Medicure Limited</t>
        </is>
      </c>
      <c r="E273" s="30" t="inlineStr">
        <is>
          <t>healthcare</t>
        </is>
      </c>
      <c r="F273" s="30" t="inlineStr">
        <is>
          <t>healthcare</t>
        </is>
      </c>
      <c r="G273" s="30" t="inlineStr">
        <is>
          <t>midcap</t>
        </is>
      </c>
      <c r="H273" s="31" t="n">
        <v>17964.96</v>
      </c>
      <c r="I273" s="31" t="n">
        <v>1863.9</v>
      </c>
      <c r="J273" s="31" t="n">
        <v>5.16</v>
      </c>
      <c r="K273" s="31" t="n">
        <v>1023997</v>
      </c>
      <c r="L273" s="30" t="n">
        <v>29</v>
      </c>
      <c r="M273" s="30" t="inlineStr">
        <is>
          <t>Underperforming</t>
        </is>
      </c>
      <c r="N273" s="31">
        <f>IF(M273="Underperforming",-5,IF(L273&gt;=95,15,IF(L273&gt;=90,10,IF(L273&gt;=80,5,0))))</f>
        <v/>
      </c>
      <c r="O273" s="31" t="n">
        <v>64.20999999999999</v>
      </c>
      <c r="P273" s="31" t="n">
        <v>21.23</v>
      </c>
      <c r="Q273" s="31" t="n">
        <v>1416.21</v>
      </c>
      <c r="R273" s="30" t="inlineStr">
        <is>
          <t>Volume Spike / Accumulation</t>
        </is>
      </c>
      <c r="S273" s="30" t="inlineStr">
        <is>
          <t>Nifty Pharma</t>
        </is>
      </c>
      <c r="T273" s="31" t="n">
        <v>20.76</v>
      </c>
      <c r="U273" s="31" t="n">
        <v>-1.85</v>
      </c>
      <c r="V273" s="31" t="n">
        <v>-18.72</v>
      </c>
      <c r="W273" s="31" t="n">
        <v>6.73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Yes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Annuity, Lower One Time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Less than 12%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IF(B274=0,"",RANK(B274,$B$2:$B$395,0))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TI</t>
        </is>
      </c>
      <c r="D274" s="30" t="inlineStr">
        <is>
          <t>Tilaknagar Industries Limited</t>
        </is>
      </c>
      <c r="E274" s="30" t="inlineStr">
        <is>
          <t>fmcg</t>
        </is>
      </c>
      <c r="F274" s="30" t="inlineStr">
        <is>
          <t>breweries &amp; distilleries</t>
        </is>
      </c>
      <c r="G274" s="30" t="inlineStr">
        <is>
          <t>midcap</t>
        </is>
      </c>
      <c r="H274" s="31" t="n">
        <v>12452.89</v>
      </c>
      <c r="I274" s="31" t="n">
        <v>520.75</v>
      </c>
      <c r="J274" s="31" t="n">
        <v>3.49</v>
      </c>
      <c r="K274" s="31" t="n">
        <v>1907275</v>
      </c>
      <c r="L274" s="30" t="n">
        <v>20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66.81999999999999</v>
      </c>
      <c r="P274" s="31" t="n">
        <v>9.32</v>
      </c>
      <c r="Q274" s="31" t="n">
        <v>422.18</v>
      </c>
      <c r="R274" s="30" t="inlineStr">
        <is>
          <t>Near 52W High Breakout</t>
        </is>
      </c>
      <c r="S274" s="30" t="inlineStr">
        <is>
          <t>Nifty FMCG</t>
        </is>
      </c>
      <c r="T274" s="31" t="n">
        <v>-10.61</v>
      </c>
      <c r="U274" s="31" t="n">
        <v>4.92</v>
      </c>
      <c r="V274" s="31" t="n">
        <v>17.38</v>
      </c>
      <c r="W274" s="31" t="n">
        <v>4.65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B2C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Annuity, Lower One Time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0 to 20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Blue sky scenario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Between 0.7 to 1.2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IF(B275=0,"",RANK(B275,$B$2:$B$395,0))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AVADHSUGAR</t>
        </is>
      </c>
      <c r="D275" s="30" t="inlineStr">
        <is>
          <t>Avadh Sugar &amp; Energy</t>
        </is>
      </c>
      <c r="E275" s="30" t="inlineStr">
        <is>
          <t>fmcg</t>
        </is>
      </c>
      <c r="F275" s="30" t="inlineStr">
        <is>
          <t>sugar</t>
        </is>
      </c>
      <c r="G275" s="30" t="inlineStr">
        <is>
          <t>smallcap</t>
        </is>
      </c>
      <c r="H275" s="31" t="n">
        <v>1271.37</v>
      </c>
      <c r="I275" s="31" t="n">
        <v>634.8</v>
      </c>
      <c r="J275" s="31" t="n">
        <v>-0.05</v>
      </c>
      <c r="K275" s="31" t="n">
        <v>80895</v>
      </c>
      <c r="L275" s="30" t="n">
        <v>66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77.23999999999999</v>
      </c>
      <c r="P275" s="31" t="n">
        <v>37.53</v>
      </c>
      <c r="Q275" s="31" t="n">
        <v>485.43</v>
      </c>
      <c r="R275" s="30" t="inlineStr">
        <is>
          <t>Near 52W High Breakout</t>
        </is>
      </c>
      <c r="S275" s="30" t="inlineStr">
        <is>
          <t>Nifty FMCG</t>
        </is>
      </c>
      <c r="T275" s="31" t="n">
        <v>-10.61</v>
      </c>
      <c r="U275" s="31" t="n">
        <v>39.32</v>
      </c>
      <c r="V275" s="31" t="n">
        <v>55.86</v>
      </c>
      <c r="W275" s="31" t="n">
        <v>16.81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B2C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Annuity, Lower One Time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Above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More than 1.2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IF(B276=0,"",RANK(B276,$B$2:$B$395,0))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TCPLPACK</t>
        </is>
      </c>
      <c r="D276" s="30" t="inlineStr">
        <is>
          <t>TCPL Packaging Ltd</t>
        </is>
      </c>
      <c r="E276" s="30" t="inlineStr">
        <is>
          <t>industrials</t>
        </is>
      </c>
      <c r="F276" s="30" t="inlineStr">
        <is>
          <t>packaging</t>
        </is>
      </c>
      <c r="G276" s="30" t="inlineStr">
        <is>
          <t>smallcap</t>
        </is>
      </c>
      <c r="H276" s="31" t="n">
        <v>3003.09</v>
      </c>
      <c r="I276" s="31" t="n">
        <v>3820</v>
      </c>
      <c r="J276" s="31" t="n">
        <v>15.75</v>
      </c>
      <c r="K276" s="31" t="n">
        <v>68998</v>
      </c>
      <c r="L276" s="30" t="n">
        <v>48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71.87</v>
      </c>
      <c r="P276" s="31" t="n">
        <v>25.05</v>
      </c>
      <c r="Q276" s="31" t="n">
        <v>2804.23</v>
      </c>
      <c r="R276" s="30" t="inlineStr">
        <is>
          <t>Volume Spike &amp; Near 52W High Breakout</t>
        </is>
      </c>
      <c r="S276" s="30" t="inlineStr">
        <is>
          <t>Nifty 50</t>
        </is>
      </c>
      <c r="T276" s="31" t="n">
        <v>-0.65</v>
      </c>
      <c r="U276" s="31" t="n">
        <v>10.49</v>
      </c>
      <c r="V276" s="31" t="n">
        <v>11.21</v>
      </c>
      <c r="W276" s="31" t="n">
        <v>11.33</v>
      </c>
      <c r="X276" s="30" t="inlineStr">
        <is>
          <t>Cyclical in an Upturn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20 to 40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Less than 12%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Between 0.7 to 1.2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IF(B277=0,"",RANK(B277,$B$2:$B$395,0))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2" t="inlineStr">
        <is>
          <t>SUNDRMFAST</t>
        </is>
      </c>
      <c r="D277" s="32" t="inlineStr">
        <is>
          <t>Sundram Fasteners Limited</t>
        </is>
      </c>
      <c r="E277" s="30" t="inlineStr">
        <is>
          <t>auto</t>
        </is>
      </c>
      <c r="F277" s="30" t="inlineStr">
        <is>
          <t>auto ancillaries</t>
        </is>
      </c>
      <c r="G277" s="30" t="inlineStr">
        <is>
          <t>largecap</t>
        </is>
      </c>
      <c r="H277" s="31" t="n">
        <v>23561.69</v>
      </c>
      <c r="I277" s="31" t="n">
        <v>1210.05</v>
      </c>
      <c r="J277" s="31" t="n">
        <v>7.91</v>
      </c>
      <c r="K277" s="31" t="n">
        <v>1057528</v>
      </c>
      <c r="L277" s="30" t="n">
        <v>65</v>
      </c>
      <c r="M277" s="30" t="inlineStr">
        <is>
          <t>Underperforming</t>
        </is>
      </c>
      <c r="N277" s="31">
        <f>IF(M277="Underperforming",-5,IF(L277&gt;=95,15,IF(L277&gt;=90,10,IF(L277&gt;=80,5,0))))</f>
        <v/>
      </c>
      <c r="O277" s="31" t="n">
        <v>81.41</v>
      </c>
      <c r="P277" s="31" t="n">
        <v>21.95</v>
      </c>
      <c r="Q277" s="31" t="n">
        <v>1023.63</v>
      </c>
      <c r="R277" s="30" t="inlineStr">
        <is>
          <t>Volume Spike &amp; Near 52W High Breakout</t>
        </is>
      </c>
      <c r="S277" s="30" t="inlineStr">
        <is>
          <t>Nifty Auto</t>
        </is>
      </c>
      <c r="T277" s="31" t="n">
        <v>23.87</v>
      </c>
      <c r="U277" s="31" t="n">
        <v>21.64</v>
      </c>
      <c r="V277" s="31" t="n">
        <v>-1.8</v>
      </c>
      <c r="W277" s="31" t="n">
        <v>16.47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Above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Between 12 to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IF(B278=0,"",RANK(B278,$B$2:$B$395,0))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ZENTEC</t>
        </is>
      </c>
      <c r="D278" s="30" t="inlineStr">
        <is>
          <t>Zen Technologies Limited</t>
        </is>
      </c>
      <c r="E278" s="30" t="inlineStr">
        <is>
          <t>aerospace &amp; defence</t>
        </is>
      </c>
      <c r="F278" s="30" t="inlineStr">
        <is>
          <t>miscellaneous</t>
        </is>
      </c>
      <c r="G278" s="30" t="inlineStr">
        <is>
          <t>midcap</t>
        </is>
      </c>
      <c r="H278" s="31" t="n">
        <v>15529.94</v>
      </c>
      <c r="I278" s="31" t="n">
        <v>1819.8</v>
      </c>
      <c r="J278" s="31" t="n">
        <v>5.8</v>
      </c>
      <c r="K278" s="31" t="n">
        <v>859519</v>
      </c>
      <c r="L278" s="30" t="n">
        <v>41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57.56</v>
      </c>
      <c r="P278" s="31" t="n">
        <v>31.73</v>
      </c>
      <c r="Q278" s="31" t="n">
        <v>1547.85</v>
      </c>
      <c r="R278" s="30" t="inlineStr">
        <is>
          <t>Earnings / Momentum Support</t>
        </is>
      </c>
      <c r="S278" s="30" t="inlineStr">
        <is>
          <t>Nifty 50</t>
        </is>
      </c>
      <c r="T278" s="31" t="n">
        <v>-0.65</v>
      </c>
      <c r="U278" s="31" t="n">
        <v>29.38</v>
      </c>
      <c r="V278" s="31" t="n">
        <v>30.22</v>
      </c>
      <c r="W278" s="31" t="n">
        <v>9.199999999999999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Less than 12%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IF(B279=0,"",RANK(B279,$B$2:$B$395,0))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SICALLOG</t>
        </is>
      </c>
      <c r="D279" s="30" t="inlineStr">
        <is>
          <t>Sical Logistics Ltd</t>
        </is>
      </c>
      <c r="E279" s="30" t="inlineStr">
        <is>
          <t>transportation</t>
        </is>
      </c>
      <c r="F279" s="30" t="inlineStr">
        <is>
          <t>miscellaneous</t>
        </is>
      </c>
      <c r="G279" s="30" t="inlineStr">
        <is>
          <t>smallcap</t>
        </is>
      </c>
      <c r="H279" s="31" t="n">
        <v>814.36</v>
      </c>
      <c r="I279" s="31" t="n">
        <v>107.17</v>
      </c>
      <c r="J279" s="31" t="n">
        <v>5</v>
      </c>
      <c r="K279" s="31" t="n">
        <v>29378</v>
      </c>
      <c r="L279" s="30" t="n">
        <v>68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63.36</v>
      </c>
      <c r="P279" s="31" t="n">
        <v>28.74</v>
      </c>
      <c r="Q279" s="31" t="n">
        <v>87.15000000000001</v>
      </c>
      <c r="R279" s="30" t="inlineStr">
        <is>
          <t>Earnings / Momentum Support</t>
        </is>
      </c>
      <c r="S279" s="30" t="inlineStr">
        <is>
          <t>Nifty 50</t>
        </is>
      </c>
      <c r="T279" s="31" t="n">
        <v>-0.65</v>
      </c>
      <c r="U279" s="31" t="n">
        <v>2.12</v>
      </c>
      <c r="V279" s="31" t="n">
        <v>2.78</v>
      </c>
      <c r="W279" s="31" t="n">
        <v>17.61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Less than 1.5</t>
        </is>
      </c>
      <c r="BU279" s="30">
        <f>IF(BT279="Above 2",0,IF(BT279="Between 1.5 to 2",5,IF(BT279="Less than 1.5",10,0)))</f>
        <v/>
      </c>
      <c r="BV279" s="30" t="inlineStr">
        <is>
          <t>Between 50% to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More than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IF(B280=0,"",RANK(B280,$B$2:$B$395,0))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MANAKSTEEL</t>
        </is>
      </c>
      <c r="D280" s="32" t="inlineStr">
        <is>
          <t>Manaksia Steels Limited</t>
        </is>
      </c>
      <c r="E280" s="30" t="inlineStr">
        <is>
          <t>metals &amp; mining</t>
        </is>
      </c>
      <c r="F280" s="30" t="inlineStr">
        <is>
          <t>steel - medium / small</t>
        </is>
      </c>
      <c r="G280" s="30" t="inlineStr">
        <is>
          <t>smallcap</t>
        </is>
      </c>
      <c r="H280" s="31" t="n">
        <v>528.73</v>
      </c>
      <c r="I280" s="31" t="n">
        <v>84.70999999999999</v>
      </c>
      <c r="J280" s="31" t="n">
        <v>5</v>
      </c>
      <c r="K280" s="31" t="n">
        <v>48488</v>
      </c>
      <c r="L280" s="30" t="n">
        <v>43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65.08</v>
      </c>
      <c r="P280" s="31" t="n">
        <v>38.81</v>
      </c>
      <c r="Q280" s="31" t="n">
        <v>59.24</v>
      </c>
      <c r="R280" s="30" t="inlineStr">
        <is>
          <t>Near 52W High Breakout</t>
        </is>
      </c>
      <c r="S280" s="30" t="inlineStr">
        <is>
          <t>Nifty Metal</t>
        </is>
      </c>
      <c r="T280" s="31" t="n">
        <v>39</v>
      </c>
      <c r="U280" s="31" t="n">
        <v>37.29</v>
      </c>
      <c r="V280" s="31" t="n">
        <v>-1.23</v>
      </c>
      <c r="W280" s="31" t="n">
        <v>9.59</v>
      </c>
      <c r="X280" s="30" t="inlineStr">
        <is>
          <t>Cyclical in an Upturn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Cyclical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Volatile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Blue sky scenario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IF(B281=0,"",RANK(B281,$B$2:$B$395,0))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NATIONALUM</t>
        </is>
      </c>
      <c r="D281" s="30" t="inlineStr">
        <is>
          <t>National Aluminium Company Limited</t>
        </is>
      </c>
      <c r="E281" s="30" t="inlineStr">
        <is>
          <t>metals &amp; mining</t>
        </is>
      </c>
      <c r="F281" s="30" t="inlineStr">
        <is>
          <t>aluminium and aluminium products</t>
        </is>
      </c>
      <c r="G281" s="30" t="inlineStr">
        <is>
          <t>largecap</t>
        </is>
      </c>
      <c r="H281" s="31" t="n">
        <v>70287.89999999999</v>
      </c>
      <c r="I281" s="31" t="n">
        <v>388</v>
      </c>
      <c r="J281" s="31" t="n">
        <v>1.38</v>
      </c>
      <c r="K281" s="31" t="n">
        <v>16051646</v>
      </c>
      <c r="L281" s="30" t="n">
        <v>63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57.18</v>
      </c>
      <c r="P281" s="31" t="n">
        <v>24.28</v>
      </c>
      <c r="Q281" s="31" t="n">
        <v>338.53</v>
      </c>
      <c r="R281" s="30" t="inlineStr">
        <is>
          <t>Earnings / Momentum Support</t>
        </is>
      </c>
      <c r="S281" s="30" t="inlineStr">
        <is>
          <t>Nifty Metal</t>
        </is>
      </c>
      <c r="T281" s="31" t="n">
        <v>39</v>
      </c>
      <c r="U281" s="31" t="n">
        <v>109.4</v>
      </c>
      <c r="V281" s="31" t="n">
        <v>50.65</v>
      </c>
      <c r="W281" s="31" t="n">
        <v>16.11</v>
      </c>
      <c r="X281" s="30" t="inlineStr">
        <is>
          <t>Cyclical in an Upturn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Cyclical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Volatile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No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Less than 1.5</t>
        </is>
      </c>
      <c r="BU281" s="30">
        <f>IF(BT281="Above 2",0,IF(BT281="Between 1.5 to 2",5,IF(BT281="Less than 1.5",10,0)))</f>
        <v/>
      </c>
      <c r="BV281" s="30" t="inlineStr">
        <is>
          <t>Above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IF(B282=0,"",RANK(B282,$B$2:$B$395,0))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ENDURANCE</t>
        </is>
      </c>
      <c r="D282" s="32" t="inlineStr">
        <is>
          <t>Endurance Technologies Limited</t>
        </is>
      </c>
      <c r="E282" s="30" t="inlineStr">
        <is>
          <t>auto</t>
        </is>
      </c>
      <c r="F282" s="30" t="inlineStr">
        <is>
          <t>auto ancillaries</t>
        </is>
      </c>
      <c r="G282" s="30" t="inlineStr">
        <is>
          <t>largecap</t>
        </is>
      </c>
      <c r="H282" s="31" t="n">
        <v>41762.8</v>
      </c>
      <c r="I282" s="31" t="n">
        <v>2987.8</v>
      </c>
      <c r="J282" s="31" t="n">
        <v>0.63</v>
      </c>
      <c r="K282" s="31" t="n">
        <v>216602</v>
      </c>
      <c r="L282" s="30" t="n">
        <v>45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65.94</v>
      </c>
      <c r="P282" s="31" t="n">
        <v>17.21</v>
      </c>
      <c r="Q282" s="31" t="n">
        <v>2443.17</v>
      </c>
      <c r="R282" s="30" t="inlineStr">
        <is>
          <t>Near 52W High Breakout</t>
        </is>
      </c>
      <c r="S282" s="30" t="inlineStr">
        <is>
          <t>Nifty Auto</t>
        </is>
      </c>
      <c r="T282" s="31" t="n">
        <v>23.87</v>
      </c>
      <c r="U282" s="31" t="n">
        <v>16.77</v>
      </c>
      <c r="V282" s="31" t="n">
        <v>-5.73</v>
      </c>
      <c r="W282" s="31" t="n">
        <v>10.28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Blue sky scenario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Between 12 to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Above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IF(B283=0,"",RANK(B283,$B$2:$B$395,0))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2" t="inlineStr">
        <is>
          <t>TIMETECHNO</t>
        </is>
      </c>
      <c r="D283" s="32" t="inlineStr">
        <is>
          <t>Time Technoplast Limited</t>
        </is>
      </c>
      <c r="E283" s="30" t="inlineStr">
        <is>
          <t>plastic products</t>
        </is>
      </c>
      <c r="F283" s="30" t="inlineStr">
        <is>
          <t>plastics products</t>
        </is>
      </c>
      <c r="G283" s="30" t="inlineStr">
        <is>
          <t>midcap</t>
        </is>
      </c>
      <c r="H283" s="31" t="n">
        <v>10212.82</v>
      </c>
      <c r="I283" s="31" t="n">
        <v>207.28</v>
      </c>
      <c r="J283" s="31" t="n">
        <v>0.19</v>
      </c>
      <c r="K283" s="31" t="n">
        <v>3667255</v>
      </c>
      <c r="L283" s="30" t="n">
        <v>13</v>
      </c>
      <c r="M283" s="30" t="inlineStr">
        <is>
          <t>Underperforming</t>
        </is>
      </c>
      <c r="N283" s="31">
        <f>IF(M283="Underperforming",-5,IF(L283&gt;=95,15,IF(L283&gt;=90,10,IF(L283&gt;=80,5,0))))</f>
        <v/>
      </c>
      <c r="O283" s="31" t="n">
        <v>60.71</v>
      </c>
      <c r="P283" s="31" t="n">
        <v>14.04</v>
      </c>
      <c r="Q283" s="31" t="n">
        <v>165.69</v>
      </c>
      <c r="R283" s="30" t="inlineStr">
        <is>
          <t>Earnings / Momentum Support</t>
        </is>
      </c>
      <c r="S283" s="30" t="inlineStr">
        <is>
          <t>Nifty 50</t>
        </is>
      </c>
      <c r="T283" s="31" t="n">
        <v>-0.65</v>
      </c>
      <c r="U283" s="31" t="n">
        <v>-6.49</v>
      </c>
      <c r="V283" s="31" t="n">
        <v>-5.88</v>
      </c>
      <c r="W283" s="31" t="n">
        <v>2.38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No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Between 12 to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Less than 1.5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IF(B284=0,"",RANK(B284,$B$2:$B$395,0))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TRAVELFOOD</t>
        </is>
      </c>
      <c r="D284" s="30" t="inlineStr">
        <is>
          <t>Travel Food Services Ltd</t>
        </is>
      </c>
      <c r="E284" s="30" t="inlineStr">
        <is>
          <t>consumer discretionary</t>
        </is>
      </c>
      <c r="F284" s="30" t="inlineStr">
        <is>
          <t>hotels</t>
        </is>
      </c>
      <c r="G284" s="30" t="inlineStr">
        <is>
          <t>midcap</t>
        </is>
      </c>
      <c r="H284" s="31" t="n">
        <v>18394.31</v>
      </c>
      <c r="I284" s="31" t="n">
        <v>1393</v>
      </c>
      <c r="J284" s="31" t="n">
        <v>-0.28</v>
      </c>
      <c r="K284" s="31" t="n">
        <v>82070</v>
      </c>
      <c r="L284" s="30" t="n">
        <v>46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60.07</v>
      </c>
      <c r="P284" s="31" t="n">
        <v>12.93</v>
      </c>
      <c r="Q284" s="31" t="n">
        <v>1150.03</v>
      </c>
      <c r="R284" s="30" t="inlineStr">
        <is>
          <t>Near 52W High Breakout</t>
        </is>
      </c>
      <c r="S284" s="30" t="inlineStr">
        <is>
          <t>Nifty 50</t>
        </is>
      </c>
      <c r="T284" s="31" t="n">
        <v>-0.65</v>
      </c>
      <c r="U284" s="31" t="n">
        <v>24.34</v>
      </c>
      <c r="V284" s="31" t="n">
        <v>25.15</v>
      </c>
      <c r="W284" s="31" t="n">
        <v>10.55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Blue sky scenario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Between 12 to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Between 50% to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IF(B285=0,"",RANK(B285,$B$2:$B$395,0))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2" t="inlineStr">
        <is>
          <t>PITTIENG</t>
        </is>
      </c>
      <c r="D285" s="32" t="inlineStr">
        <is>
          <t>Pitti Engineering Ltd</t>
        </is>
      </c>
      <c r="E285" s="30" t="inlineStr">
        <is>
          <t>industrials</t>
        </is>
      </c>
      <c r="F285" s="30" t="inlineStr">
        <is>
          <t>engineering</t>
        </is>
      </c>
      <c r="G285" s="30" t="inlineStr">
        <is>
          <t>smallcap</t>
        </is>
      </c>
      <c r="H285" s="31" t="n">
        <v>3632.07</v>
      </c>
      <c r="I285" s="31" t="n">
        <v>960.35</v>
      </c>
      <c r="J285" s="31" t="n">
        <v>-0.44</v>
      </c>
      <c r="K285" s="31" t="n">
        <v>60883</v>
      </c>
      <c r="L285" s="30" t="n">
        <v>14</v>
      </c>
      <c r="M285" s="30" t="inlineStr">
        <is>
          <t>Underperforming</t>
        </is>
      </c>
      <c r="N285" s="31">
        <f>IF(M285="Underperforming",-5,IF(L285&gt;=95,15,IF(L285&gt;=90,10,IF(L285&gt;=80,5,0))))</f>
        <v/>
      </c>
      <c r="O285" s="31" t="n">
        <v>55.12</v>
      </c>
      <c r="P285" s="31" t="n">
        <v>5.41</v>
      </c>
      <c r="Q285" s="31" t="n">
        <v>805.5</v>
      </c>
      <c r="R285" s="30" t="inlineStr">
        <is>
          <t>Near 52W High Breakout</t>
        </is>
      </c>
      <c r="S285" s="30" t="inlineStr">
        <is>
          <t>Nifty Infra</t>
        </is>
      </c>
      <c r="T285" s="31" t="n">
        <v>3.51</v>
      </c>
      <c r="U285" s="31" t="n">
        <v>1.94</v>
      </c>
      <c r="V285" s="31" t="n">
        <v>-1.51</v>
      </c>
      <c r="W285" s="31" t="n">
        <v>2.61</v>
      </c>
      <c r="X285" s="30" t="inlineStr">
        <is>
          <t>Cyclical in an Upturn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Less than 1.5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Between 0.7 to 1.2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IF(B286=0,"",RANK(B286,$B$2:$B$395,0))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PVP</t>
        </is>
      </c>
      <c r="D286" s="30" t="inlineStr">
        <is>
          <t>Pvp Ventures Limited</t>
        </is>
      </c>
      <c r="E286" s="30" t="inlineStr">
        <is>
          <t>realty</t>
        </is>
      </c>
      <c r="F286" s="30" t="inlineStr">
        <is>
          <t>construction</t>
        </is>
      </c>
      <c r="G286" s="30" t="inlineStr">
        <is>
          <t>smallcap</t>
        </is>
      </c>
      <c r="H286" s="31" t="n">
        <v>902.8200000000001</v>
      </c>
      <c r="I286" s="31" t="n">
        <v>34.46</v>
      </c>
      <c r="J286" s="31" t="n">
        <v>-0.61</v>
      </c>
      <c r="K286" s="31" t="n">
        <v>1536466</v>
      </c>
      <c r="L286" s="30" t="n">
        <v>53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59.54</v>
      </c>
      <c r="P286" s="31" t="n">
        <v>11.5</v>
      </c>
      <c r="Q286" s="31" t="n">
        <v>22.89</v>
      </c>
      <c r="R286" s="30" t="inlineStr">
        <is>
          <t>Volume Spike / Accumulation</t>
        </is>
      </c>
      <c r="S286" s="30" t="inlineStr">
        <is>
          <t>Nifty Realty</t>
        </is>
      </c>
      <c r="T286" s="31" t="n">
        <v>-6.47</v>
      </c>
      <c r="U286" s="31" t="n">
        <v>63.16</v>
      </c>
      <c r="V286" s="31" t="n">
        <v>74.45</v>
      </c>
      <c r="W286" s="31" t="n">
        <v>12.97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0 to 20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More than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Less than 1.5</t>
        </is>
      </c>
      <c r="BU286" s="30">
        <f>IF(BT286="Above 2",0,IF(BT286="Between 1.5 to 2",5,IF(BT286="Less than 1.5",10,0)))</f>
        <v/>
      </c>
      <c r="BV286" s="30" t="inlineStr">
        <is>
          <t>Negative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IF(B287=0,"",RANK(B287,$B$2:$B$395,0))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ANDHRSUGAR</t>
        </is>
      </c>
      <c r="D287" s="30" t="inlineStr">
        <is>
          <t>The Andhra Sugars Limited</t>
        </is>
      </c>
      <c r="E287" s="30" t="inlineStr">
        <is>
          <t>chemicals</t>
        </is>
      </c>
      <c r="F287" s="30" t="inlineStr">
        <is>
          <t>chlor alkali / soda ash</t>
        </is>
      </c>
      <c r="G287" s="30" t="inlineStr">
        <is>
          <t>smallcap</t>
        </is>
      </c>
      <c r="H287" s="31" t="n">
        <v>1355.08</v>
      </c>
      <c r="I287" s="31" t="n">
        <v>99.2</v>
      </c>
      <c r="J287" s="31" t="n">
        <v>-0.78</v>
      </c>
      <c r="K287" s="31" t="n">
        <v>1349412</v>
      </c>
      <c r="L287" s="30" t="n">
        <v>29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64.3</v>
      </c>
      <c r="P287" s="31" t="n">
        <v>13.36</v>
      </c>
      <c r="Q287" s="31" t="n">
        <v>74.5</v>
      </c>
      <c r="R287" s="30" t="inlineStr">
        <is>
          <t>Volume Spike &amp; Near 52W High Breakout</t>
        </is>
      </c>
      <c r="S287" s="30" t="inlineStr">
        <is>
          <t>Nifty 50</t>
        </is>
      </c>
      <c r="T287" s="31" t="n">
        <v>-0.65</v>
      </c>
      <c r="U287" s="31" t="n">
        <v>23.82</v>
      </c>
      <c r="V287" s="31" t="n">
        <v>24.63</v>
      </c>
      <c r="W287" s="31" t="n">
        <v>6.69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Yes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0 to 20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No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IF(B288=0,"",RANK(B288,$B$2:$B$395,0))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KECL</t>
        </is>
      </c>
      <c r="D288" s="30" t="inlineStr">
        <is>
          <t>Kirloskar Electric Company Limited</t>
        </is>
      </c>
      <c r="E288" s="30" t="inlineStr">
        <is>
          <t>industrials</t>
        </is>
      </c>
      <c r="F288" s="30" t="inlineStr">
        <is>
          <t>electric equipment</t>
        </is>
      </c>
      <c r="G288" s="30" t="inlineStr">
        <is>
          <t>smallcap</t>
        </is>
      </c>
      <c r="H288" s="31" t="n">
        <v>997.34</v>
      </c>
      <c r="I288" s="31" t="n">
        <v>148.52</v>
      </c>
      <c r="J288" s="31" t="n">
        <v>-1.1</v>
      </c>
      <c r="K288" s="31" t="n">
        <v>289587</v>
      </c>
      <c r="L288" s="30" t="n">
        <v>50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67.81</v>
      </c>
      <c r="P288" s="31" t="n">
        <v>26.8</v>
      </c>
      <c r="Q288" s="31" t="n">
        <v>106.65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-0.65</v>
      </c>
      <c r="U288" s="31" t="n">
        <v>27.07</v>
      </c>
      <c r="V288" s="31" t="n">
        <v>27.9</v>
      </c>
      <c r="W288" s="31" t="n">
        <v>11.8</v>
      </c>
      <c r="X288" s="30" t="inlineStr">
        <is>
          <t>Cyclical in an Upturn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Between 50% to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Between 0.7 to 1.2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IF(B289=0,"",RANK(B289,$B$2:$B$395,0))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TVSMOTOR</t>
        </is>
      </c>
      <c r="D289" s="30" t="inlineStr">
        <is>
          <t>Tvs Motor Company Limited</t>
        </is>
      </c>
      <c r="E289" s="30" t="inlineStr">
        <is>
          <t>auto</t>
        </is>
      </c>
      <c r="F289" s="30" t="inlineStr">
        <is>
          <t>automobiles - motorcycles / mopeds</t>
        </is>
      </c>
      <c r="G289" s="30" t="inlineStr">
        <is>
          <t>largecap</t>
        </is>
      </c>
      <c r="H289" s="31" t="n">
        <v>212183.41</v>
      </c>
      <c r="I289" s="31" t="n">
        <v>4400</v>
      </c>
      <c r="J289" s="31" t="n">
        <v>-1.48</v>
      </c>
      <c r="K289" s="31" t="n">
        <v>1820266</v>
      </c>
      <c r="L289" s="30" t="n">
        <v>63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71.03</v>
      </c>
      <c r="P289" s="31" t="n">
        <v>19.73</v>
      </c>
      <c r="Q289" s="31" t="n">
        <v>3754.95</v>
      </c>
      <c r="R289" s="30" t="inlineStr">
        <is>
          <t>Near 52W High Breakout</t>
        </is>
      </c>
      <c r="S289" s="30" t="inlineStr">
        <is>
          <t>Nifty Auto</t>
        </is>
      </c>
      <c r="T289" s="31" t="n">
        <v>23.87</v>
      </c>
      <c r="U289" s="31" t="n">
        <v>59.15</v>
      </c>
      <c r="V289" s="31" t="n">
        <v>28.48</v>
      </c>
      <c r="W289" s="31" t="n">
        <v>15.85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Blue sky scenario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Less than 1.5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More than 1.2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IF(B290=0,"",RANK(B290,$B$2:$B$395,0))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THEJO</t>
        </is>
      </c>
      <c r="D290" s="30" t="inlineStr">
        <is>
          <t>Thejo Engineering Ltd</t>
        </is>
      </c>
      <c r="E290" s="30" t="inlineStr">
        <is>
          <t>industrials</t>
        </is>
      </c>
      <c r="F290" s="30" t="inlineStr">
        <is>
          <t>engineering</t>
        </is>
      </c>
      <c r="G290" s="30" t="inlineStr">
        <is>
          <t>smallcap</t>
        </is>
      </c>
      <c r="H290" s="31" t="n">
        <v>2402.93</v>
      </c>
      <c r="I290" s="31" t="n">
        <v>2180</v>
      </c>
      <c r="J290" s="31" t="n">
        <v>-1.59</v>
      </c>
      <c r="K290" s="31" t="n">
        <v>8572</v>
      </c>
      <c r="L290" s="30" t="n">
        <v>35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66.56999999999999</v>
      </c>
      <c r="P290" s="31" t="n">
        <v>25</v>
      </c>
      <c r="Q290" s="31" t="n">
        <v>1761.46</v>
      </c>
      <c r="R290" s="30" t="inlineStr">
        <is>
          <t>Near 52W High Breakout</t>
        </is>
      </c>
      <c r="S290" s="30" t="inlineStr">
        <is>
          <t>Nifty 50</t>
        </is>
      </c>
      <c r="T290" s="31" t="n">
        <v>-0.65</v>
      </c>
      <c r="U290" s="31" t="n">
        <v>14.09</v>
      </c>
      <c r="V290" s="31" t="n">
        <v>14.84</v>
      </c>
      <c r="W290" s="31" t="n">
        <v>8.31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Yes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Less than 12%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Between 50% to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IF(B291=0,"",RANK(B291,$B$2:$B$395,0))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ONMOBILE</t>
        </is>
      </c>
      <c r="D291" s="30" t="inlineStr">
        <is>
          <t>Onmobile Global Limited</t>
        </is>
      </c>
      <c r="E291" s="30" t="inlineStr">
        <is>
          <t>telecom-service</t>
        </is>
      </c>
      <c r="F291" s="30" t="inlineStr">
        <is>
          <t>telecommunications - service provider</t>
        </is>
      </c>
      <c r="G291" s="30" t="inlineStr">
        <is>
          <t>smallcap</t>
        </is>
      </c>
      <c r="H291" s="31" t="n">
        <v>726.28</v>
      </c>
      <c r="I291" s="31" t="n">
        <v>68.31</v>
      </c>
      <c r="J291" s="31" t="n">
        <v>-1.99</v>
      </c>
      <c r="K291" s="31" t="n">
        <v>24688</v>
      </c>
      <c r="L291" s="30" t="n">
        <v>41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57.7</v>
      </c>
      <c r="P291" s="31" t="n">
        <v>33.48</v>
      </c>
      <c r="Q291" s="31" t="n">
        <v>58.73</v>
      </c>
      <c r="R291" s="30" t="inlineStr">
        <is>
          <t>Earnings / Momentum Support</t>
        </is>
      </c>
      <c r="S291" s="30" t="inlineStr">
        <is>
          <t>Nifty 50</t>
        </is>
      </c>
      <c r="T291" s="31" t="n">
        <v>-0.65</v>
      </c>
      <c r="U291" s="31" t="n">
        <v>22.17</v>
      </c>
      <c r="V291" s="31" t="n">
        <v>22.97</v>
      </c>
      <c r="W291" s="31" t="n">
        <v>9.220000000000001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Oligopoly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Yes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No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20 to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Less than 1.5</t>
        </is>
      </c>
      <c r="BU291" s="30">
        <f>IF(BT291="Above 2",0,IF(BT291="Between 1.5 to 2",5,IF(BT291="Less than 1.5",10,0)))</f>
        <v/>
      </c>
      <c r="BV291" s="30" t="inlineStr">
        <is>
          <t>Negative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IF(B292=0,"",RANK(B292,$B$2:$B$395,0))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2" t="inlineStr">
        <is>
          <t>HCG</t>
        </is>
      </c>
      <c r="D292" s="32" t="inlineStr">
        <is>
          <t>Healthcare Global Enterprises Limited</t>
        </is>
      </c>
      <c r="E292" s="30" t="inlineStr">
        <is>
          <t>healthcare</t>
        </is>
      </c>
      <c r="F292" s="30" t="inlineStr">
        <is>
          <t>healthcare</t>
        </is>
      </c>
      <c r="G292" s="30" t="inlineStr">
        <is>
          <t>midcap</t>
        </is>
      </c>
      <c r="H292" s="31" t="n">
        <v>10684.81</v>
      </c>
      <c r="I292" s="31" t="n">
        <v>738.95</v>
      </c>
      <c r="J292" s="31" t="n">
        <v>3.26</v>
      </c>
      <c r="K292" s="31" t="n">
        <v>545536</v>
      </c>
      <c r="L292" s="30" t="n">
        <v>28</v>
      </c>
      <c r="M292" s="30" t="inlineStr">
        <is>
          <t>Underperforming</t>
        </is>
      </c>
      <c r="N292" s="31">
        <f>IF(M292="Underperforming",-5,IF(L292&gt;=95,15,IF(L292&gt;=90,10,IF(L292&gt;=80,5,0))))</f>
        <v/>
      </c>
      <c r="O292" s="31" t="n">
        <v>71.73</v>
      </c>
      <c r="P292" s="31" t="n">
        <v>28.26</v>
      </c>
      <c r="Q292" s="31" t="n">
        <v>608.4400000000001</v>
      </c>
      <c r="R292" s="30" t="inlineStr">
        <is>
          <t>Near 52W High Breakout</t>
        </is>
      </c>
      <c r="S292" s="30" t="inlineStr">
        <is>
          <t>Nifty Pharma</t>
        </is>
      </c>
      <c r="T292" s="31" t="n">
        <v>20.76</v>
      </c>
      <c r="U292" s="31" t="n">
        <v>11.78</v>
      </c>
      <c r="V292" s="31" t="n">
        <v>-7.44</v>
      </c>
      <c r="W292" s="31" t="n">
        <v>6.4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Yes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Annuity, Lower One Time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20 to 40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Blue sky scenario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More than 1.2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IF(B293=0,"",RANK(B293,$B$2:$B$395,0))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PVRINOX</t>
        </is>
      </c>
      <c r="D293" s="30" t="inlineStr">
        <is>
          <t>PVR Inox Ltd</t>
        </is>
      </c>
      <c r="E293" s="30" t="inlineStr">
        <is>
          <t>media</t>
        </is>
      </c>
      <c r="F293" s="30" t="inlineStr">
        <is>
          <t>entertainment / electronic media software</t>
        </is>
      </c>
      <c r="G293" s="30" t="inlineStr">
        <is>
          <t>midcap</t>
        </is>
      </c>
      <c r="H293" s="31" t="n">
        <v>11234.08</v>
      </c>
      <c r="I293" s="31" t="n">
        <v>1160.5</v>
      </c>
      <c r="J293" s="31" t="n">
        <v>1.44</v>
      </c>
      <c r="K293" s="31" t="n">
        <v>311344</v>
      </c>
      <c r="L293" s="30" t="n">
        <v>20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67.33</v>
      </c>
      <c r="P293" s="31" t="n">
        <v>14.72</v>
      </c>
      <c r="Q293" s="31" t="n">
        <v>966.54</v>
      </c>
      <c r="R293" s="30" t="inlineStr">
        <is>
          <t>Near 52W High Breakout</t>
        </is>
      </c>
      <c r="S293" s="30" t="inlineStr">
        <is>
          <t>Nifty IT</t>
        </is>
      </c>
      <c r="T293" s="31" t="n">
        <v>-8.640000000000001</v>
      </c>
      <c r="U293" s="31" t="n">
        <v>7.53</v>
      </c>
      <c r="V293" s="31" t="n">
        <v>17.7</v>
      </c>
      <c r="W293" s="31" t="n">
        <v>4.65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Annuity, Lower One Time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Between 0.7 to 1.2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IF(B294=0,"",RANK(B294,$B$2:$B$395,0))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APLAPOLLO</t>
        </is>
      </c>
      <c r="D294" s="32" t="inlineStr">
        <is>
          <t>Apl Apollo Tubes Limited</t>
        </is>
      </c>
      <c r="E294" s="30" t="inlineStr">
        <is>
          <t>industrials</t>
        </is>
      </c>
      <c r="F294" s="30" t="inlineStr">
        <is>
          <t>steel - large</t>
        </is>
      </c>
      <c r="G294" s="30" t="inlineStr">
        <is>
          <t>largecap</t>
        </is>
      </c>
      <c r="H294" s="31" t="n">
        <v>56087</v>
      </c>
      <c r="I294" s="31" t="n">
        <v>2012.7</v>
      </c>
      <c r="J294" s="31" t="n">
        <v>-0.36</v>
      </c>
      <c r="K294" s="31" t="n">
        <v>1455387</v>
      </c>
      <c r="L294" s="30" t="n">
        <v>26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58.55</v>
      </c>
      <c r="P294" s="31" t="n">
        <v>11.09</v>
      </c>
      <c r="Q294" s="31" t="n">
        <v>1689.32</v>
      </c>
      <c r="R294" s="30" t="inlineStr">
        <is>
          <t>Earnings / Momentum Support</t>
        </is>
      </c>
      <c r="S294" s="30" t="inlineStr">
        <is>
          <t>Nifty Metal</t>
        </is>
      </c>
      <c r="T294" s="31" t="n">
        <v>39</v>
      </c>
      <c r="U294" s="31" t="n">
        <v>30.89</v>
      </c>
      <c r="V294" s="31" t="n">
        <v>-5.84</v>
      </c>
      <c r="W294" s="31" t="n">
        <v>5.83</v>
      </c>
      <c r="X294" s="30" t="inlineStr">
        <is>
          <t>Cyclical in an Upturn</t>
        </is>
      </c>
      <c r="Y294" s="30">
        <f>IF(X294="Growing Industry",10,IF(X294="Cyclical in an Upturn",5,0))</f>
        <v/>
      </c>
      <c r="Z294" s="30" t="inlineStr">
        <is>
          <t>Oligopoly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Cyclical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B2C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Fully One Time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Above 40</t>
        </is>
      </c>
      <c r="AY294" s="30">
        <f>IF(AX294="Above 40",20,IF(AX294="20 to 40",10,IF(AX294="0 to 20",-5,0)))</f>
        <v/>
      </c>
      <c r="AZ294" s="30" t="inlineStr">
        <is>
          <t>Above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Yes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Between 1.5 to 2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IF(B295=0,"",RANK(B295,$B$2:$B$395,0))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MAGADSUGAR</t>
        </is>
      </c>
      <c r="D295" s="30" t="inlineStr">
        <is>
          <t>Magadh Sugar &amp; Energy Ltd</t>
        </is>
      </c>
      <c r="E295" s="30" t="inlineStr">
        <is>
          <t>fmcg</t>
        </is>
      </c>
      <c r="F295" s="30" t="inlineStr">
        <is>
          <t>sugar</t>
        </is>
      </c>
      <c r="G295" s="30" t="inlineStr">
        <is>
          <t>smallcap</t>
        </is>
      </c>
      <c r="H295" s="31" t="n">
        <v>749.04</v>
      </c>
      <c r="I295" s="31" t="n">
        <v>527.8</v>
      </c>
      <c r="J295" s="31" t="n">
        <v>-0.71</v>
      </c>
      <c r="K295" s="31" t="n">
        <v>8902</v>
      </c>
      <c r="L295" s="30" t="n">
        <v>8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62.57</v>
      </c>
      <c r="P295" s="31" t="n">
        <v>14.73</v>
      </c>
      <c r="Q295" s="31" t="n">
        <v>407.93</v>
      </c>
      <c r="R295" s="30" t="inlineStr">
        <is>
          <t>Earnings / Momentum Support</t>
        </is>
      </c>
      <c r="S295" s="30" t="inlineStr">
        <is>
          <t>Nifty FMCG</t>
        </is>
      </c>
      <c r="T295" s="31" t="n">
        <v>-10.61</v>
      </c>
      <c r="U295" s="31" t="n">
        <v>-4.3</v>
      </c>
      <c r="V295" s="31" t="n">
        <v>7.06</v>
      </c>
      <c r="W295" s="31" t="n">
        <v>1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B2C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Annuity, Lower One Time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Between 0.7 to 1.2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IF(B296=0,"",RANK(B296,$B$2:$B$395,0))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DHAMPURSUG</t>
        </is>
      </c>
      <c r="D296" s="30" t="inlineStr">
        <is>
          <t>Dhampur Sugar Mills Limited</t>
        </is>
      </c>
      <c r="E296" s="30" t="inlineStr">
        <is>
          <t>fmcg</t>
        </is>
      </c>
      <c r="F296" s="30" t="inlineStr">
        <is>
          <t>sugar</t>
        </is>
      </c>
      <c r="G296" s="30" t="inlineStr">
        <is>
          <t>smallcap</t>
        </is>
      </c>
      <c r="H296" s="31" t="n">
        <v>1025.24</v>
      </c>
      <c r="I296" s="31" t="n">
        <v>158</v>
      </c>
      <c r="J296" s="31" t="n">
        <v>-0.9</v>
      </c>
      <c r="K296" s="31" t="n">
        <v>602113</v>
      </c>
      <c r="L296" s="30" t="n">
        <v>24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65.23999999999999</v>
      </c>
      <c r="P296" s="31" t="n">
        <v>15.23</v>
      </c>
      <c r="Q296" s="31" t="n">
        <v>122.74</v>
      </c>
      <c r="R296" s="30" t="inlineStr">
        <is>
          <t>Near 52W High Breakout</t>
        </is>
      </c>
      <c r="S296" s="30" t="inlineStr">
        <is>
          <t>Nifty FMCG</t>
        </is>
      </c>
      <c r="T296" s="31" t="n">
        <v>-10.61</v>
      </c>
      <c r="U296" s="31" t="n">
        <v>10.15</v>
      </c>
      <c r="V296" s="31" t="n">
        <v>23.23</v>
      </c>
      <c r="W296" s="31" t="n">
        <v>5.59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B2C</t>
        </is>
      </c>
      <c r="AO296" s="30">
        <f>IF(AN296="B2C",10,IF(AN296="B2B",5,0))</f>
        <v/>
      </c>
      <c r="AP296" s="30" t="inlineStr">
        <is>
          <t>Yes</t>
        </is>
      </c>
      <c r="AQ296" s="30">
        <f>IF(AP296="Yes",10,0)</f>
        <v/>
      </c>
      <c r="AR296" s="30" t="inlineStr">
        <is>
          <t>Higher Annuity, Lower One Time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Less than 12%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Between 0.7 to 1.2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IF(B297=0,"",RANK(B297,$B$2:$B$395,0))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KANPRPLA</t>
        </is>
      </c>
      <c r="D297" s="30" t="inlineStr">
        <is>
          <t>Kanpur Plastipack Ltd</t>
        </is>
      </c>
      <c r="E297" s="30" t="inlineStr">
        <is>
          <t>industrials</t>
        </is>
      </c>
      <c r="F297" s="30" t="inlineStr">
        <is>
          <t>packaging</t>
        </is>
      </c>
      <c r="G297" s="30" t="inlineStr">
        <is>
          <t>smallcap</t>
        </is>
      </c>
      <c r="H297" s="31" t="n">
        <v>502.75</v>
      </c>
      <c r="I297" s="31" t="n">
        <v>217.84</v>
      </c>
      <c r="J297" s="31" t="n">
        <v>6.07</v>
      </c>
      <c r="K297" s="31" t="n">
        <v>24902</v>
      </c>
      <c r="L297" s="30" t="n">
        <v>11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58.45</v>
      </c>
      <c r="P297" s="31" t="n">
        <v>13.33</v>
      </c>
      <c r="Q297" s="31" t="n">
        <v>155.01</v>
      </c>
      <c r="R297" s="30" t="inlineStr">
        <is>
          <t>Earnings / Momentum Support</t>
        </is>
      </c>
      <c r="S297" s="30" t="inlineStr">
        <is>
          <t>Nifty 50</t>
        </is>
      </c>
      <c r="T297" s="31" t="n">
        <v>-0.65</v>
      </c>
      <c r="U297" s="31" t="n">
        <v>0.42</v>
      </c>
      <c r="V297" s="31" t="n">
        <v>1.07</v>
      </c>
      <c r="W297" s="31" t="n">
        <v>1.77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IF(B298=0,"",RANK(B298,$B$2:$B$395,0))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ETERNAL</t>
        </is>
      </c>
      <c r="D298" s="30" t="inlineStr">
        <is>
          <t>Eternal Ltd</t>
        </is>
      </c>
      <c r="E298" s="30" t="inlineStr">
        <is>
          <t>i.t</t>
        </is>
      </c>
      <c r="F298" s="30" t="inlineStr">
        <is>
          <t>miscellaneous</t>
        </is>
      </c>
      <c r="G298" s="30" t="inlineStr">
        <is>
          <t>largecap</t>
        </is>
      </c>
      <c r="H298" s="31" t="n">
        <v>299402.13</v>
      </c>
      <c r="I298" s="31" t="n">
        <v>318</v>
      </c>
      <c r="J298" s="31" t="n">
        <v>2.5</v>
      </c>
      <c r="K298" s="31" t="n">
        <v>60889911</v>
      </c>
      <c r="L298" s="30" t="n">
        <v>32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65.86</v>
      </c>
      <c r="P298" s="31" t="n">
        <v>18.13</v>
      </c>
      <c r="Q298" s="31" t="n">
        <v>254.9</v>
      </c>
      <c r="R298" s="30" t="inlineStr">
        <is>
          <t>Earnings / Momentum Support</t>
        </is>
      </c>
      <c r="S298" s="30" t="inlineStr">
        <is>
          <t>Nifty IT</t>
        </is>
      </c>
      <c r="T298" s="31" t="n">
        <v>-8.640000000000001</v>
      </c>
      <c r="U298" s="31" t="n">
        <v>-0.13</v>
      </c>
      <c r="V298" s="31" t="n">
        <v>9.32</v>
      </c>
      <c r="W298" s="31" t="n">
        <v>7.51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0 to 20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IF(B299=0,"",RANK(B299,$B$2:$B$395,0))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2" t="inlineStr">
        <is>
          <t>AEROENTER</t>
        </is>
      </c>
      <c r="D299" s="32" t="inlineStr">
        <is>
          <t>Aeroflex Enterprises Ltd</t>
        </is>
      </c>
      <c r="E299" s="30" t="inlineStr">
        <is>
          <t>metals &amp; mining</t>
        </is>
      </c>
      <c r="F299" s="30" t="inlineStr">
        <is>
          <t>steel - medium / small</t>
        </is>
      </c>
      <c r="G299" s="30" t="inlineStr">
        <is>
          <t>smallcap</t>
        </is>
      </c>
      <c r="H299" s="31" t="n">
        <v>1438.43</v>
      </c>
      <c r="I299" s="31" t="n">
        <v>129.41</v>
      </c>
      <c r="J299" s="31" t="n">
        <v>1.81</v>
      </c>
      <c r="K299" s="31" t="n">
        <v>385998</v>
      </c>
      <c r="L299" s="30" t="n">
        <v>59</v>
      </c>
      <c r="M299" s="30" t="inlineStr">
        <is>
          <t>Underperforming</t>
        </is>
      </c>
      <c r="N299" s="31">
        <f>IF(M299="Underperforming",-5,IF(L299&gt;=95,15,IF(L299&gt;=90,10,IF(L299&gt;=80,5,0))))</f>
        <v/>
      </c>
      <c r="O299" s="31" t="n">
        <v>62.76</v>
      </c>
      <c r="P299" s="31" t="n">
        <v>51.16</v>
      </c>
      <c r="Q299" s="31" t="n">
        <v>99.45</v>
      </c>
      <c r="R299" s="30" t="inlineStr">
        <is>
          <t>Earnings / Momentum Support</t>
        </is>
      </c>
      <c r="S299" s="30" t="inlineStr">
        <is>
          <t>Nifty Metal</t>
        </is>
      </c>
      <c r="T299" s="31" t="n">
        <v>39</v>
      </c>
      <c r="U299" s="31" t="n">
        <v>26.08</v>
      </c>
      <c r="V299" s="31" t="n">
        <v>-9.300000000000001</v>
      </c>
      <c r="W299" s="31" t="n">
        <v>14.58</v>
      </c>
      <c r="X299" s="30" t="inlineStr">
        <is>
          <t>Cyclical in an Upturn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Cyclical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Volatile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Above 40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Less than 1.5</t>
        </is>
      </c>
      <c r="BU299" s="30">
        <f>IF(BT299="Above 2",0,IF(BT299="Between 1.5 to 2",5,IF(BT299="Less than 1.5",10,0)))</f>
        <v/>
      </c>
      <c r="BV299" s="30" t="inlineStr">
        <is>
          <t>Less than 50%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IF(B300=0,"",RANK(B300,$B$2:$B$395,0))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SENCO</t>
        </is>
      </c>
      <c r="D300" s="30" t="inlineStr">
        <is>
          <t>Senco Gold Ltd</t>
        </is>
      </c>
      <c r="E300" s="30" t="inlineStr">
        <is>
          <t>consumer discretionary</t>
        </is>
      </c>
      <c r="F300" s="30" t="inlineStr">
        <is>
          <t>diamond cutting / jewellery</t>
        </is>
      </c>
      <c r="G300" s="30" t="inlineStr">
        <is>
          <t>midcap</t>
        </is>
      </c>
      <c r="H300" s="31" t="n">
        <v>6534.7</v>
      </c>
      <c r="I300" s="31" t="n">
        <v>401.25</v>
      </c>
      <c r="J300" s="31" t="n">
        <v>0.6</v>
      </c>
      <c r="K300" s="31" t="n">
        <v>1263839</v>
      </c>
      <c r="L300" s="30" t="n">
        <v>28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63.81</v>
      </c>
      <c r="P300" s="31" t="n">
        <v>29.17</v>
      </c>
      <c r="Q300" s="31" t="n">
        <v>307.94</v>
      </c>
      <c r="R300" s="30" t="inlineStr">
        <is>
          <t>Near 52W High Breakout</t>
        </is>
      </c>
      <c r="S300" s="30" t="inlineStr">
        <is>
          <t>Nifty 50</t>
        </is>
      </c>
      <c r="T300" s="31" t="n">
        <v>-0.65</v>
      </c>
      <c r="U300" s="31" t="n">
        <v>11.73</v>
      </c>
      <c r="V300" s="31" t="n">
        <v>12.46</v>
      </c>
      <c r="W300" s="31" t="n">
        <v>6.64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Negative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Between 0.7 to 1.2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IF(B301=0,"",RANK(B301,$B$2:$B$395,0))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BASF</t>
        </is>
      </c>
      <c r="D301" s="32" t="inlineStr">
        <is>
          <t>Basf India Limited</t>
        </is>
      </c>
      <c r="E301" s="30" t="inlineStr">
        <is>
          <t>chemicals</t>
        </is>
      </c>
      <c r="F301" s="30" t="inlineStr">
        <is>
          <t>chemicals</t>
        </is>
      </c>
      <c r="G301" s="30" t="inlineStr">
        <is>
          <t>midcap</t>
        </is>
      </c>
      <c r="H301" s="31" t="n">
        <v>17451.04</v>
      </c>
      <c r="I301" s="31" t="n">
        <v>4036</v>
      </c>
      <c r="J301" s="31" t="n">
        <v>0.11</v>
      </c>
      <c r="K301" s="31" t="n">
        <v>23357</v>
      </c>
      <c r="L301" s="30" t="n">
        <v>3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60.32</v>
      </c>
      <c r="P301" s="31" t="n">
        <v>15.47</v>
      </c>
      <c r="Q301" s="31" t="n">
        <v>3293.67</v>
      </c>
      <c r="R301" s="30" t="inlineStr">
        <is>
          <t>Earnings / Momentum Support</t>
        </is>
      </c>
      <c r="S301" s="30" t="inlineStr">
        <is>
          <t>Nifty 50</t>
        </is>
      </c>
      <c r="T301" s="31" t="n">
        <v>-0.65</v>
      </c>
      <c r="U301" s="31" t="n">
        <v>-10.19</v>
      </c>
      <c r="V301" s="31" t="n">
        <v>-9.6</v>
      </c>
      <c r="W301" s="31" t="n">
        <v>-0.66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0 to 20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No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IF(B302=0,"",RANK(B302,$B$2:$B$395,0))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ETHOSLTD</t>
        </is>
      </c>
      <c r="D302" s="30" t="inlineStr">
        <is>
          <t>Ethos Ltd</t>
        </is>
      </c>
      <c r="E302" s="30" t="inlineStr">
        <is>
          <t>consumer discretionary</t>
        </is>
      </c>
      <c r="F302" s="30" t="inlineStr">
        <is>
          <t>trading</t>
        </is>
      </c>
      <c r="G302" s="30" t="inlineStr">
        <is>
          <t>midcap</t>
        </is>
      </c>
      <c r="H302" s="31" t="n">
        <v>7580.72</v>
      </c>
      <c r="I302" s="31" t="n">
        <v>2829.3</v>
      </c>
      <c r="J302" s="31" t="n">
        <v>-0.13</v>
      </c>
      <c r="K302" s="31" t="n">
        <v>24836</v>
      </c>
      <c r="L302" s="30" t="n">
        <v>24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62.52</v>
      </c>
      <c r="P302" s="31" t="n">
        <v>14.82</v>
      </c>
      <c r="Q302" s="31" t="n">
        <v>2175.83</v>
      </c>
      <c r="R302" s="30" t="inlineStr">
        <is>
          <t>Earnings / Momentum Support</t>
        </is>
      </c>
      <c r="S302" s="30" t="inlineStr">
        <is>
          <t>Nifty 50</t>
        </is>
      </c>
      <c r="T302" s="31" t="n">
        <v>-0.65</v>
      </c>
      <c r="U302" s="31" t="n">
        <v>2.13</v>
      </c>
      <c r="V302" s="31" t="n">
        <v>2.79</v>
      </c>
      <c r="W302" s="31" t="n">
        <v>5.49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Yes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IF(B303=0,"",RANK(B303,$B$2:$B$395,0))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0" t="inlineStr">
        <is>
          <t>GNA</t>
        </is>
      </c>
      <c r="D303" s="30" t="inlineStr">
        <is>
          <t>Gna Axles Limited</t>
        </is>
      </c>
      <c r="E303" s="30" t="inlineStr">
        <is>
          <t>auto</t>
        </is>
      </c>
      <c r="F303" s="30" t="inlineStr">
        <is>
          <t>auto ancillaries</t>
        </is>
      </c>
      <c r="G303" s="30" t="inlineStr">
        <is>
          <t>smallcap</t>
        </is>
      </c>
      <c r="H303" s="31" t="n">
        <v>2312.68</v>
      </c>
      <c r="I303" s="31" t="n">
        <v>537.35</v>
      </c>
      <c r="J303" s="31" t="n">
        <v>-0.25</v>
      </c>
      <c r="K303" s="31" t="n">
        <v>921302</v>
      </c>
      <c r="L303" s="30" t="n">
        <v>67</v>
      </c>
      <c r="M303" s="30" t="inlineStr">
        <is>
          <t>Outperforming</t>
        </is>
      </c>
      <c r="N303" s="31">
        <f>IF(M303="Underperforming",-5,IF(L303&gt;=95,15,IF(L303&gt;=90,10,IF(L303&gt;=80,5,0))))</f>
        <v/>
      </c>
      <c r="O303" s="31" t="n">
        <v>66.76000000000001</v>
      </c>
      <c r="P303" s="31" t="n">
        <v>30.6</v>
      </c>
      <c r="Q303" s="31" t="n">
        <v>419.9</v>
      </c>
      <c r="R303" s="30" t="inlineStr">
        <is>
          <t>Earnings / Momentum Support</t>
        </is>
      </c>
      <c r="S303" s="30" t="inlineStr">
        <is>
          <t>Nifty Auto</t>
        </is>
      </c>
      <c r="T303" s="31" t="n">
        <v>23.87</v>
      </c>
      <c r="U303" s="31" t="n">
        <v>72.8</v>
      </c>
      <c r="V303" s="31" t="n">
        <v>39.5</v>
      </c>
      <c r="W303" s="31" t="n">
        <v>17.35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20 to 40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Negative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Less than 1.5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IF(B304=0,"",RANK(B304,$B$2:$B$395,0))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NAVINFLUOR</t>
        </is>
      </c>
      <c r="D304" s="30" t="inlineStr">
        <is>
          <t>Navin Fluorine International Limited</t>
        </is>
      </c>
      <c r="E304" s="30" t="inlineStr">
        <is>
          <t>chemicals</t>
        </is>
      </c>
      <c r="F304" s="30" t="inlineStr">
        <is>
          <t>chemicals</t>
        </is>
      </c>
      <c r="G304" s="30" t="inlineStr">
        <is>
          <t>largecap</t>
        </is>
      </c>
      <c r="H304" s="31" t="n">
        <v>42040.8</v>
      </c>
      <c r="I304" s="31" t="n">
        <v>8156</v>
      </c>
      <c r="J304" s="31" t="n">
        <v>-0.49</v>
      </c>
      <c r="K304" s="31" t="n">
        <v>237800</v>
      </c>
      <c r="L304" s="30" t="n">
        <v>56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71.3</v>
      </c>
      <c r="P304" s="31" t="n">
        <v>55.5</v>
      </c>
      <c r="Q304" s="31" t="n">
        <v>6830.47</v>
      </c>
      <c r="R304" s="30" t="inlineStr">
        <is>
          <t>Near 52W High Breakout</t>
        </is>
      </c>
      <c r="S304" s="30" t="inlineStr">
        <is>
          <t>Nifty 50</t>
        </is>
      </c>
      <c r="T304" s="31" t="n">
        <v>-0.65</v>
      </c>
      <c r="U304" s="31" t="n">
        <v>63.56</v>
      </c>
      <c r="V304" s="31" t="n">
        <v>64.62</v>
      </c>
      <c r="W304" s="31" t="n">
        <v>13.93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Oligopoly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Shallow Cyclical (2 to 3 Years Growth)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20 to 40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3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Between 50% to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IF(B305=0,"",RANK(B305,$B$2:$B$395,0))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SHALPAINTS</t>
        </is>
      </c>
      <c r="D305" s="32" t="inlineStr">
        <is>
          <t>Shalimar Paints Limited</t>
        </is>
      </c>
      <c r="E305" s="30" t="inlineStr">
        <is>
          <t>building materials</t>
        </is>
      </c>
      <c r="F305" s="30" t="inlineStr">
        <is>
          <t>paints / varnishes</t>
        </is>
      </c>
      <c r="G305" s="30" t="inlineStr">
        <is>
          <t>smallcap</t>
        </is>
      </c>
      <c r="H305" s="31" t="n">
        <v>706.27</v>
      </c>
      <c r="I305" s="31" t="n">
        <v>83.87</v>
      </c>
      <c r="J305" s="31" t="n">
        <v>-0.59</v>
      </c>
      <c r="K305" s="31" t="n">
        <v>336222</v>
      </c>
      <c r="L305" s="30" t="n">
        <v>67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70.55</v>
      </c>
      <c r="P305" s="31" t="n">
        <v>18.17</v>
      </c>
      <c r="Q305" s="31" t="n">
        <v>60.56</v>
      </c>
      <c r="R305" s="30" t="inlineStr">
        <is>
          <t>Near 52W High Breakout</t>
        </is>
      </c>
      <c r="S305" s="30" t="inlineStr">
        <is>
          <t>Nifty Infra</t>
        </is>
      </c>
      <c r="T305" s="31" t="n">
        <v>3.51</v>
      </c>
      <c r="U305" s="31" t="n">
        <v>-0.77</v>
      </c>
      <c r="V305" s="31" t="n">
        <v>-4.13</v>
      </c>
      <c r="W305" s="31" t="n">
        <v>17.55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Yes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Less than 1.5</t>
        </is>
      </c>
      <c r="BU305" s="30">
        <f>IF(BT305="Above 2",0,IF(BT305="Between 1.5 to 2",5,IF(BT305="Less than 1.5",10,0)))</f>
        <v/>
      </c>
      <c r="BV305" s="30" t="inlineStr">
        <is>
          <t>Negative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IF(B306=0,"",RANK(B306,$B$2:$B$395,0))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RATNAVEER</t>
        </is>
      </c>
      <c r="D306" s="32" t="inlineStr">
        <is>
          <t>Ratnaveer Precision Engineering Ltd</t>
        </is>
      </c>
      <c r="E306" s="30" t="inlineStr">
        <is>
          <t>metals &amp; mining</t>
        </is>
      </c>
      <c r="F306" s="30" t="inlineStr">
        <is>
          <t>steel - medium / small</t>
        </is>
      </c>
      <c r="G306" s="30" t="inlineStr">
        <is>
          <t>smallcap</t>
        </is>
      </c>
      <c r="H306" s="31" t="n">
        <v>1484.89</v>
      </c>
      <c r="I306" s="31" t="n">
        <v>206.16</v>
      </c>
      <c r="J306" s="31" t="n">
        <v>-0.83</v>
      </c>
      <c r="K306" s="31" t="n">
        <v>1847953</v>
      </c>
      <c r="L306" s="30" t="n">
        <v>62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66.54000000000001</v>
      </c>
      <c r="P306" s="31" t="n">
        <v>49.91</v>
      </c>
      <c r="Q306" s="31" t="n">
        <v>148.62</v>
      </c>
      <c r="R306" s="30" t="inlineStr">
        <is>
          <t>Near 52W High Breakout</t>
        </is>
      </c>
      <c r="S306" s="30" t="inlineStr">
        <is>
          <t>Nifty Metal</t>
        </is>
      </c>
      <c r="T306" s="31" t="n">
        <v>39</v>
      </c>
      <c r="U306" s="31" t="n">
        <v>32.89</v>
      </c>
      <c r="V306" s="31" t="n">
        <v>-4.4</v>
      </c>
      <c r="W306" s="31" t="n">
        <v>15.68</v>
      </c>
      <c r="X306" s="30" t="inlineStr">
        <is>
          <t>Cyclical in an Upturn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Cyclical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Volatile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Above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IF(B307=0,"",RANK(B307,$B$2:$B$395,0))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UNOMINDA</t>
        </is>
      </c>
      <c r="D307" s="32" t="inlineStr">
        <is>
          <t>Uno Minda Ltd</t>
        </is>
      </c>
      <c r="E307" s="30" t="inlineStr">
        <is>
          <t>auto</t>
        </is>
      </c>
      <c r="F307" s="30" t="inlineStr">
        <is>
          <t>auto ancillaries</t>
        </is>
      </c>
      <c r="G307" s="30" t="inlineStr">
        <is>
          <t>largecap</t>
        </is>
      </c>
      <c r="H307" s="31" t="n">
        <v>74377.78</v>
      </c>
      <c r="I307" s="31" t="n">
        <v>1275</v>
      </c>
      <c r="J307" s="31" t="n">
        <v>-1.01</v>
      </c>
      <c r="K307" s="31" t="n">
        <v>989763</v>
      </c>
      <c r="L307" s="30" t="n">
        <v>29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62.52</v>
      </c>
      <c r="P307" s="31" t="n">
        <v>18.23</v>
      </c>
      <c r="Q307" s="31" t="n">
        <v>1058.01</v>
      </c>
      <c r="R307" s="30" t="inlineStr">
        <is>
          <t>Near 52W High Breakout</t>
        </is>
      </c>
      <c r="S307" s="30" t="inlineStr">
        <is>
          <t>Nifty Auto</t>
        </is>
      </c>
      <c r="T307" s="31" t="n">
        <v>23.87</v>
      </c>
      <c r="U307" s="31" t="n">
        <v>17.77</v>
      </c>
      <c r="V307" s="31" t="n">
        <v>-4.93</v>
      </c>
      <c r="W307" s="31" t="n">
        <v>6.65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Yes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Blue sky scenario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Less than 12%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Yes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IF(B308=0,"",RANK(B308,$B$2:$B$395,0))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2" t="inlineStr">
        <is>
          <t>WINDLAS</t>
        </is>
      </c>
      <c r="D308" s="32" t="inlineStr">
        <is>
          <t>Windlas Biotech Ltd</t>
        </is>
      </c>
      <c r="E308" s="30" t="inlineStr">
        <is>
          <t>healthcare</t>
        </is>
      </c>
      <c r="F308" s="30" t="inlineStr">
        <is>
          <t>pharmaceuticals - indian - formulations</t>
        </is>
      </c>
      <c r="G308" s="30" t="inlineStr">
        <is>
          <t>smallcap</t>
        </is>
      </c>
      <c r="H308" s="31" t="n">
        <v>1732.72</v>
      </c>
      <c r="I308" s="31" t="n">
        <v>943.1</v>
      </c>
      <c r="J308" s="31" t="n">
        <v>12.32</v>
      </c>
      <c r="K308" s="31" t="n">
        <v>2342310</v>
      </c>
      <c r="L308" s="30" t="n">
        <v>16</v>
      </c>
      <c r="M308" s="30" t="inlineStr">
        <is>
          <t>Underperforming</t>
        </is>
      </c>
      <c r="N308" s="31">
        <f>IF(M308="Underperforming",-5,IF(L308&gt;=95,15,IF(L308&gt;=90,10,IF(L308&gt;=80,5,0))))</f>
        <v/>
      </c>
      <c r="O308" s="31" t="n">
        <v>65.56</v>
      </c>
      <c r="P308" s="31" t="n">
        <v>14.97</v>
      </c>
      <c r="Q308" s="31" t="n">
        <v>745.25</v>
      </c>
      <c r="R308" s="30" t="inlineStr">
        <is>
          <t>Volume Spike / Accumulation</t>
        </is>
      </c>
      <c r="S308" s="30" t="inlineStr">
        <is>
          <t>Nifty Pharma</t>
        </is>
      </c>
      <c r="T308" s="31" t="n">
        <v>20.76</v>
      </c>
      <c r="U308" s="31" t="n">
        <v>-9.289999999999999</v>
      </c>
      <c r="V308" s="31" t="n">
        <v>-24.88</v>
      </c>
      <c r="W308" s="31" t="n">
        <v>3.42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Yes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Yes</t>
        </is>
      </c>
      <c r="AQ308" s="30">
        <f>IF(AP308="Yes",10,0)</f>
        <v/>
      </c>
      <c r="AR308" s="30" t="inlineStr">
        <is>
          <t>Higher Annuity, Lower One Time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Less than 12%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Above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IF(B309=0,"",RANK(B309,$B$2:$B$395,0))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2" t="inlineStr">
        <is>
          <t>AARTIDRUGS</t>
        </is>
      </c>
      <c r="D309" s="32" t="inlineStr">
        <is>
          <t>Aarti Drugs Limited</t>
        </is>
      </c>
      <c r="E309" s="30" t="inlineStr">
        <is>
          <t>healthcare</t>
        </is>
      </c>
      <c r="F309" s="30" t="inlineStr">
        <is>
          <t>pharmaceuticals - indian - bulk drugs</t>
        </is>
      </c>
      <c r="G309" s="30" t="inlineStr">
        <is>
          <t>smallcap</t>
        </is>
      </c>
      <c r="H309" s="31" t="n">
        <v>3856.61</v>
      </c>
      <c r="I309" s="31" t="n">
        <v>439.2</v>
      </c>
      <c r="J309" s="31" t="n">
        <v>3.94</v>
      </c>
      <c r="K309" s="31" t="n">
        <v>1384949</v>
      </c>
      <c r="L309" s="30" t="n">
        <v>14</v>
      </c>
      <c r="M309" s="30" t="inlineStr">
        <is>
          <t>Underperforming</t>
        </is>
      </c>
      <c r="N309" s="31">
        <f>IF(M309="Underperforming",-5,IF(L309&gt;=95,15,IF(L309&gt;=90,10,IF(L309&gt;=80,5,0))))</f>
        <v/>
      </c>
      <c r="O309" s="31" t="n">
        <v>63.18</v>
      </c>
      <c r="P309" s="31" t="n">
        <v>15.68</v>
      </c>
      <c r="Q309" s="31" t="n">
        <v>357.45</v>
      </c>
      <c r="R309" s="30" t="inlineStr">
        <is>
          <t>Volume Spike / Accumulation</t>
        </is>
      </c>
      <c r="S309" s="30" t="inlineStr">
        <is>
          <t>Nifty Pharma</t>
        </is>
      </c>
      <c r="T309" s="31" t="n">
        <v>20.76</v>
      </c>
      <c r="U309" s="31" t="n">
        <v>-9.23</v>
      </c>
      <c r="V309" s="31" t="n">
        <v>-24.84</v>
      </c>
      <c r="W309" s="31" t="n">
        <v>2.75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Yes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Annuity, Lower One Time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Less than 12%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IF(B310=0,"",RANK(B310,$B$2:$B$395,0))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PERSISTENT</t>
        </is>
      </c>
      <c r="D310" s="30" t="inlineStr">
        <is>
          <t>Persistent Systems Limited</t>
        </is>
      </c>
      <c r="E310" s="30" t="inlineStr">
        <is>
          <t>i.t</t>
        </is>
      </c>
      <c r="F310" s="30" t="inlineStr">
        <is>
          <t>computers - software - large</t>
        </is>
      </c>
      <c r="G310" s="30" t="inlineStr">
        <is>
          <t>largecap</t>
        </is>
      </c>
      <c r="H310" s="31" t="n">
        <v>86352.35000000001</v>
      </c>
      <c r="I310" s="31" t="n">
        <v>5536</v>
      </c>
      <c r="J310" s="31" t="n">
        <v>1.13</v>
      </c>
      <c r="K310" s="31" t="n">
        <v>670374</v>
      </c>
      <c r="L310" s="30" t="n">
        <v>24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57.3</v>
      </c>
      <c r="P310" s="31" t="n">
        <v>9.58</v>
      </c>
      <c r="Q310" s="31" t="n">
        <v>4367.62</v>
      </c>
      <c r="R310" s="30" t="inlineStr">
        <is>
          <t>Earnings / Momentum Support</t>
        </is>
      </c>
      <c r="S310" s="30" t="inlineStr">
        <is>
          <t>Nifty IT</t>
        </is>
      </c>
      <c r="T310" s="31" t="n">
        <v>-8.640000000000001</v>
      </c>
      <c r="U310" s="31" t="n">
        <v>5.41</v>
      </c>
      <c r="V310" s="31" t="n">
        <v>15.38</v>
      </c>
      <c r="W310" s="31" t="n">
        <v>5.52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Annuity, Lower One Time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Between 12 to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IF(B311=0,"",RANK(B311,$B$2:$B$395,0))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2" t="inlineStr">
        <is>
          <t>GLENMARK</t>
        </is>
      </c>
      <c r="D311" s="32" t="inlineStr">
        <is>
          <t>Glenmark Pharmaceuticals Limited</t>
        </is>
      </c>
      <c r="E311" s="30" t="inlineStr">
        <is>
          <t>healthcare</t>
        </is>
      </c>
      <c r="F311" s="30" t="inlineStr">
        <is>
          <t>pharmaceuticals - indian - bulk drugs &amp; formln</t>
        </is>
      </c>
      <c r="G311" s="30" t="inlineStr">
        <is>
          <t>largecap</t>
        </is>
      </c>
      <c r="H311" s="31" t="n">
        <v>63531.87</v>
      </c>
      <c r="I311" s="31" t="n">
        <v>2276</v>
      </c>
      <c r="J311" s="31" t="n">
        <v>1.1</v>
      </c>
      <c r="K311" s="31" t="n">
        <v>560626</v>
      </c>
      <c r="L311" s="30" t="n">
        <v>12</v>
      </c>
      <c r="M311" s="30" t="inlineStr">
        <is>
          <t>Underperforming</t>
        </is>
      </c>
      <c r="N311" s="31">
        <f>IF(M311="Underperforming",-5,IF(L311&gt;=95,15,IF(L311&gt;=90,10,IF(L311&gt;=80,5,0))))</f>
        <v/>
      </c>
      <c r="O311" s="31" t="n">
        <v>57.32</v>
      </c>
      <c r="P311" s="31" t="n">
        <v>17.86</v>
      </c>
      <c r="Q311" s="31" t="n">
        <v>1964.64</v>
      </c>
      <c r="R311" s="30" t="inlineStr">
        <is>
          <t>Earnings / Momentum Support</t>
        </is>
      </c>
      <c r="S311" s="30" t="inlineStr">
        <is>
          <t>Nifty Pharma</t>
        </is>
      </c>
      <c r="T311" s="31" t="n">
        <v>20.76</v>
      </c>
      <c r="U311" s="31" t="n">
        <v>11.59</v>
      </c>
      <c r="V311" s="31" t="n">
        <v>-7.59</v>
      </c>
      <c r="W311" s="31" t="n">
        <v>2.09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Yes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Annuity, Lower One Time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IF(B312=0,"",RANK(B312,$B$2:$B$395,0))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2" t="inlineStr">
        <is>
          <t>APLLTD</t>
        </is>
      </c>
      <c r="D312" s="32" t="inlineStr">
        <is>
          <t>Alembic Pharmaceuticals Limited</t>
        </is>
      </c>
      <c r="E312" s="30" t="inlineStr">
        <is>
          <t>healthcare</t>
        </is>
      </c>
      <c r="F312" s="30" t="inlineStr">
        <is>
          <t>pharmaceuticals - indian - bulk drugs &amp; formln</t>
        </is>
      </c>
      <c r="G312" s="30" t="inlineStr">
        <is>
          <t>midcap</t>
        </is>
      </c>
      <c r="H312" s="31" t="n">
        <v>16341.28</v>
      </c>
      <c r="I312" s="31" t="n">
        <v>838.95</v>
      </c>
      <c r="J312" s="31" t="n">
        <v>0.91</v>
      </c>
      <c r="K312" s="31" t="n">
        <v>217637</v>
      </c>
      <c r="L312" s="30" t="n">
        <v>5</v>
      </c>
      <c r="M312" s="30" t="inlineStr">
        <is>
          <t>Underperforming</t>
        </is>
      </c>
      <c r="N312" s="31">
        <f>IF(M312="Underperforming",-5,IF(L312&gt;=95,15,IF(L312&gt;=90,10,IF(L312&gt;=80,5,0))))</f>
        <v/>
      </c>
      <c r="O312" s="31" t="n">
        <v>60.55</v>
      </c>
      <c r="P312" s="31" t="n">
        <v>14.3</v>
      </c>
      <c r="Q312" s="31" t="n">
        <v>692.41</v>
      </c>
      <c r="R312" s="30" t="inlineStr">
        <is>
          <t>Earnings / Momentum Support</t>
        </is>
      </c>
      <c r="S312" s="30" t="inlineStr">
        <is>
          <t>Nifty Pharma</t>
        </is>
      </c>
      <c r="T312" s="31" t="n">
        <v>20.76</v>
      </c>
      <c r="U312" s="31" t="n">
        <v>-11.04</v>
      </c>
      <c r="V312" s="31" t="n">
        <v>-26.33</v>
      </c>
      <c r="W312" s="31" t="n">
        <v>-0.28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Yes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Annuity, Lower One Time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Between 12 to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No</t>
        </is>
      </c>
      <c r="BS312" s="30">
        <f>IF(BR312="NO",5,0)</f>
        <v/>
      </c>
      <c r="BT312" s="30" t="inlineStr">
        <is>
          <t>Between 1.5 to 2</t>
        </is>
      </c>
      <c r="BU312" s="30">
        <f>IF(BT312="Above 2",0,IF(BT312="Between 1.5 to 2",5,IF(BT312="Less than 1.5",10,0)))</f>
        <v/>
      </c>
      <c r="BV312" s="30" t="inlineStr">
        <is>
          <t>Above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IF(B313=0,"",RANK(B313,$B$2:$B$395,0))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ONEPOINT</t>
        </is>
      </c>
      <c r="D313" s="30" t="inlineStr">
        <is>
          <t>One Point One Solutions Ltd</t>
        </is>
      </c>
      <c r="E313" s="30" t="inlineStr">
        <is>
          <t>i.t</t>
        </is>
      </c>
      <c r="F313" s="30" t="inlineStr">
        <is>
          <t>computers - software - medium / small</t>
        </is>
      </c>
      <c r="G313" s="30" t="inlineStr">
        <is>
          <t>smallcap</t>
        </is>
      </c>
      <c r="H313" s="31" t="n">
        <v>1546.33</v>
      </c>
      <c r="I313" s="31" t="n">
        <v>58.9</v>
      </c>
      <c r="J313" s="31" t="n">
        <v>0.15</v>
      </c>
      <c r="K313" s="31" t="n">
        <v>724537</v>
      </c>
      <c r="L313" s="30" t="n">
        <v>20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56.38</v>
      </c>
      <c r="P313" s="31" t="n">
        <v>18.37</v>
      </c>
      <c r="Q313" s="31" t="n">
        <v>48.57</v>
      </c>
      <c r="R313" s="30" t="inlineStr">
        <is>
          <t>Earnings / Momentum Support</t>
        </is>
      </c>
      <c r="S313" s="30" t="inlineStr">
        <is>
          <t>Nifty IT</t>
        </is>
      </c>
      <c r="T313" s="31" t="n">
        <v>-8.640000000000001</v>
      </c>
      <c r="U313" s="31" t="n">
        <v>26.41</v>
      </c>
      <c r="V313" s="31" t="n">
        <v>38.37</v>
      </c>
      <c r="W313" s="31" t="n">
        <v>4.7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Annuity, Lower One Time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Between 12 to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IF(B314=0,"",RANK(B314,$B$2:$B$395,0))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2" t="inlineStr">
        <is>
          <t>INDGN</t>
        </is>
      </c>
      <c r="D314" s="32" t="inlineStr">
        <is>
          <t>Indegene Ltd</t>
        </is>
      </c>
      <c r="E314" s="30" t="inlineStr">
        <is>
          <t>healthcare</t>
        </is>
      </c>
      <c r="F314" s="30" t="inlineStr">
        <is>
          <t>miscellaneous</t>
        </is>
      </c>
      <c r="G314" s="30" t="inlineStr">
        <is>
          <t>midcap</t>
        </is>
      </c>
      <c r="H314" s="31" t="n">
        <v>13704.28</v>
      </c>
      <c r="I314" s="31" t="n">
        <v>567.6</v>
      </c>
      <c r="J314" s="31" t="n">
        <v>-0.2</v>
      </c>
      <c r="K314" s="31" t="n">
        <v>1020395</v>
      </c>
      <c r="L314" s="30" t="n">
        <v>13</v>
      </c>
      <c r="M314" s="30" t="inlineStr">
        <is>
          <t>Underperforming</t>
        </is>
      </c>
      <c r="N314" s="31">
        <f>IF(M314="Underperforming",-5,IF(L314&gt;=95,15,IF(L314&gt;=90,10,IF(L314&gt;=80,5,0))))</f>
        <v/>
      </c>
      <c r="O314" s="31" t="n">
        <v>64.36</v>
      </c>
      <c r="P314" s="31" t="n">
        <v>16.21</v>
      </c>
      <c r="Q314" s="31" t="n">
        <v>466.28</v>
      </c>
      <c r="R314" s="30" t="inlineStr">
        <is>
          <t>Near 52W High Breakout</t>
        </is>
      </c>
      <c r="S314" s="30" t="inlineStr">
        <is>
          <t>Nifty Pharma</t>
        </is>
      </c>
      <c r="T314" s="31" t="n">
        <v>20.76</v>
      </c>
      <c r="U314" s="31" t="n">
        <v>-0.45</v>
      </c>
      <c r="V314" s="31" t="n">
        <v>-17.56</v>
      </c>
      <c r="W314" s="31" t="n">
        <v>2.36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Yes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Yes</t>
        </is>
      </c>
      <c r="AQ314" s="30">
        <f>IF(AP314="Yes",10,0)</f>
        <v/>
      </c>
      <c r="AR314" s="30" t="inlineStr">
        <is>
          <t>Higher Annuity, Lower One Time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IF(B315=0,"",RANK(B315,$B$2:$B$395,0))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2" t="inlineStr">
        <is>
          <t>BCLIND</t>
        </is>
      </c>
      <c r="D315" s="32" t="inlineStr">
        <is>
          <t>BCL Industries Ltd</t>
        </is>
      </c>
      <c r="E315" s="30" t="inlineStr">
        <is>
          <t>fmcg</t>
        </is>
      </c>
      <c r="F315" s="30" t="inlineStr">
        <is>
          <t>breweries &amp; distilleries</t>
        </is>
      </c>
      <c r="G315" s="30" t="inlineStr">
        <is>
          <t>smallcap</t>
        </is>
      </c>
      <c r="H315" s="31" t="n">
        <v>1102.14</v>
      </c>
      <c r="I315" s="31" t="n">
        <v>37.08</v>
      </c>
      <c r="J315" s="31" t="n">
        <v>-0.7</v>
      </c>
      <c r="K315" s="31" t="n">
        <v>448538</v>
      </c>
      <c r="L315" s="30" t="n">
        <v>6</v>
      </c>
      <c r="M315" s="30" t="inlineStr">
        <is>
          <t>Underperforming</t>
        </is>
      </c>
      <c r="N315" s="31">
        <f>IF(M315="Underperforming",-5,IF(L315&gt;=95,15,IF(L315&gt;=90,10,IF(L315&gt;=80,5,0))))</f>
        <v/>
      </c>
      <c r="O315" s="31" t="n">
        <v>56.73</v>
      </c>
      <c r="P315" s="31" t="n">
        <v>13.52</v>
      </c>
      <c r="Q315" s="31" t="n">
        <v>28.27</v>
      </c>
      <c r="R315" s="30" t="inlineStr">
        <is>
          <t>Earnings / Momentum Support</t>
        </is>
      </c>
      <c r="S315" s="30" t="inlineStr">
        <is>
          <t>Nifty FMCG</t>
        </is>
      </c>
      <c r="T315" s="31" t="n">
        <v>-10.61</v>
      </c>
      <c r="U315" s="31" t="n">
        <v>-16.24</v>
      </c>
      <c r="V315" s="31" t="n">
        <v>-6.29</v>
      </c>
      <c r="W315" s="31" t="n">
        <v>0.07000000000000001</v>
      </c>
      <c r="X315" s="30" t="inlineStr">
        <is>
          <t>Growing Industry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B2C</t>
        </is>
      </c>
      <c r="AO315" s="30">
        <f>IF(AN315="B2C",10,IF(AN315="B2B",5,0))</f>
        <v/>
      </c>
      <c r="AP315" s="30" t="inlineStr">
        <is>
          <t>No</t>
        </is>
      </c>
      <c r="AQ315" s="30">
        <f>IF(AP315="Yes",10,0)</f>
        <v/>
      </c>
      <c r="AR315" s="30" t="inlineStr">
        <is>
          <t>Higher Annuity, Lower One Time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Less than 12%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No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IF(B316=0,"",RANK(B316,$B$2:$B$395,0))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APCOTEXIND</t>
        </is>
      </c>
      <c r="D316" s="30" t="inlineStr">
        <is>
          <t>Apcotex Industries Limited</t>
        </is>
      </c>
      <c r="E316" s="30" t="inlineStr">
        <is>
          <t>chemicals</t>
        </is>
      </c>
      <c r="F316" s="30" t="inlineStr">
        <is>
          <t>miscellaneous</t>
        </is>
      </c>
      <c r="G316" s="30" t="inlineStr">
        <is>
          <t>smallcap</t>
        </is>
      </c>
      <c r="H316" s="31" t="n">
        <v>3227.87</v>
      </c>
      <c r="I316" s="31" t="n">
        <v>616.9</v>
      </c>
      <c r="J316" s="31" t="n">
        <v>-0.92</v>
      </c>
      <c r="K316" s="31" t="n">
        <v>221005</v>
      </c>
      <c r="L316" s="30" t="n">
        <v>79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74.08</v>
      </c>
      <c r="P316" s="31" t="n">
        <v>64.59</v>
      </c>
      <c r="Q316" s="31" t="n">
        <v>467.86</v>
      </c>
      <c r="R316" s="30" t="inlineStr">
        <is>
          <t>Near 52W High Breakout</t>
        </is>
      </c>
      <c r="S316" s="30" t="inlineStr">
        <is>
          <t>Nifty Infra</t>
        </is>
      </c>
      <c r="T316" s="31" t="n">
        <v>3.51</v>
      </c>
      <c r="U316" s="31" t="n">
        <v>58.6</v>
      </c>
      <c r="V316" s="31" t="n">
        <v>53.23</v>
      </c>
      <c r="W316" s="31" t="n">
        <v>23.58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Oligopoly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Cyclical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Yes</t>
        </is>
      </c>
      <c r="AQ316" s="30">
        <f>IF(AP316="Yes",10,0)</f>
        <v/>
      </c>
      <c r="AR316" s="30" t="inlineStr">
        <is>
          <t>Fully One Time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Above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1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Sideways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Overhead supply in last 2 years in last 2 years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Less than 1.5</t>
        </is>
      </c>
      <c r="BU316" s="30">
        <f>IF(BT316="Above 2",0,IF(BT316="Between 1.5 to 2",5,IF(BT316="Less than 1.5",10,0)))</f>
        <v/>
      </c>
      <c r="BV316" s="30" t="inlineStr">
        <is>
          <t>Between 50% to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IF(B317=0,"",RANK(B317,$B$2:$B$395,0))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0" t="inlineStr">
        <is>
          <t>QPOWER</t>
        </is>
      </c>
      <c r="D317" s="30" t="inlineStr">
        <is>
          <t>Quality Power Electrical Equipments Ltd</t>
        </is>
      </c>
      <c r="E317" s="30" t="inlineStr">
        <is>
          <t>industrials</t>
        </is>
      </c>
      <c r="F317" s="30" t="inlineStr">
        <is>
          <t>electric equipment</t>
        </is>
      </c>
      <c r="G317" s="30" t="inlineStr">
        <is>
          <t>midcap</t>
        </is>
      </c>
      <c r="H317" s="31" t="n">
        <v>9140.73</v>
      </c>
      <c r="I317" s="31" t="n">
        <v>1239.3</v>
      </c>
      <c r="J317" s="31" t="n">
        <v>5</v>
      </c>
      <c r="K317" s="31" t="n">
        <v>101112</v>
      </c>
      <c r="L317" s="30" t="n">
        <v>55</v>
      </c>
      <c r="M317" s="30" t="inlineStr">
        <is>
          <t>Outperforming</t>
        </is>
      </c>
      <c r="N317" s="31">
        <f>IF(M317="Underperforming",-5,IF(L317&gt;=95,15,IF(L317&gt;=90,10,IF(L317&gt;=80,5,0))))</f>
        <v/>
      </c>
      <c r="O317" s="31" t="n">
        <v>58.17</v>
      </c>
      <c r="P317" s="31" t="n">
        <v>13.19</v>
      </c>
      <c r="Q317" s="31" t="n">
        <v>939.25</v>
      </c>
      <c r="R317" s="30" t="inlineStr">
        <is>
          <t>Earnings / Momentum Support</t>
        </is>
      </c>
      <c r="S317" s="30" t="inlineStr">
        <is>
          <t>Nifty 50</t>
        </is>
      </c>
      <c r="T317" s="31" t="n">
        <v>-0.65</v>
      </c>
      <c r="U317" s="31" t="n">
        <v>59.88</v>
      </c>
      <c r="V317" s="31" t="n">
        <v>60.92</v>
      </c>
      <c r="W317" s="31" t="n">
        <v>13.21</v>
      </c>
      <c r="X317" s="30" t="inlineStr">
        <is>
          <t>Cyclical in an Upturn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0 to 20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Yes</t>
        </is>
      </c>
      <c r="BS317" s="30">
        <f>IF(BR317="NO",5,0)</f>
        <v/>
      </c>
      <c r="BT317" s="30" t="inlineStr">
        <is>
          <t>Less than 1.5</t>
        </is>
      </c>
      <c r="BU317" s="30">
        <f>IF(BT317="Above 2",0,IF(BT317="Between 1.5 to 2",5,IF(BT317="Less than 1.5",10,0)))</f>
        <v/>
      </c>
      <c r="BV317" s="30" t="inlineStr">
        <is>
          <t>Less than 50%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IF(B318=0,"",RANK(B318,$B$2:$B$395,0))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LANDMARK</t>
        </is>
      </c>
      <c r="D318" s="30" t="inlineStr">
        <is>
          <t>Landmark Cars Ltd</t>
        </is>
      </c>
      <c r="E318" s="30" t="inlineStr">
        <is>
          <t>consumer discretionary</t>
        </is>
      </c>
      <c r="F318" s="30" t="inlineStr">
        <is>
          <t>trading</t>
        </is>
      </c>
      <c r="G318" s="30" t="inlineStr">
        <is>
          <t>smallcap</t>
        </is>
      </c>
      <c r="H318" s="31" t="n">
        <v>2327.63</v>
      </c>
      <c r="I318" s="31" t="n">
        <v>575</v>
      </c>
      <c r="J318" s="31" t="n">
        <v>2.43</v>
      </c>
      <c r="K318" s="31" t="n">
        <v>581898</v>
      </c>
      <c r="L318" s="30" t="n">
        <v>60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68.95999999999999</v>
      </c>
      <c r="P318" s="31" t="n">
        <v>23.09</v>
      </c>
      <c r="Q318" s="31" t="n">
        <v>424.01</v>
      </c>
      <c r="R318" s="30" t="inlineStr">
        <is>
          <t>Earnings / Momentum Support</t>
        </is>
      </c>
      <c r="S318" s="30" t="inlineStr">
        <is>
          <t>Nifty 50</t>
        </is>
      </c>
      <c r="T318" s="31" t="n">
        <v>-0.65</v>
      </c>
      <c r="U318" s="31" t="n">
        <v>8</v>
      </c>
      <c r="V318" s="31" t="n">
        <v>8.710000000000001</v>
      </c>
      <c r="W318" s="31" t="n">
        <v>14.98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20 to 40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More than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Yes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Above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More than 1.2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IF(B319=0,"",RANK(B319,$B$2:$B$395,0))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EMIL</t>
        </is>
      </c>
      <c r="D319" s="30" t="inlineStr">
        <is>
          <t>Electronics Mart India Ltd</t>
        </is>
      </c>
      <c r="E319" s="30" t="inlineStr">
        <is>
          <t>consumer discretionary</t>
        </is>
      </c>
      <c r="F319" s="30" t="inlineStr">
        <is>
          <t>trading</t>
        </is>
      </c>
      <c r="G319" s="30" t="inlineStr">
        <is>
          <t>midcap</t>
        </is>
      </c>
      <c r="H319" s="31" t="n">
        <v>6955.1</v>
      </c>
      <c r="I319" s="31" t="n">
        <v>184.75</v>
      </c>
      <c r="J319" s="31" t="n">
        <v>2.2</v>
      </c>
      <c r="K319" s="31" t="n">
        <v>44142568</v>
      </c>
      <c r="L319" s="30" t="n">
        <v>78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76.55</v>
      </c>
      <c r="P319" s="31" t="n">
        <v>26.7</v>
      </c>
      <c r="Q319" s="31" t="n">
        <v>141</v>
      </c>
      <c r="R319" s="30" t="inlineStr">
        <is>
          <t>Volume Spike &amp; Near 52W High Breakout</t>
        </is>
      </c>
      <c r="S319" s="30" t="inlineStr">
        <is>
          <t>Nifty 50</t>
        </is>
      </c>
      <c r="T319" s="31" t="n">
        <v>-0.65</v>
      </c>
      <c r="U319" s="31" t="n">
        <v>54.97</v>
      </c>
      <c r="V319" s="31" t="n">
        <v>55.98</v>
      </c>
      <c r="W319" s="31" t="n">
        <v>22.76</v>
      </c>
      <c r="X319" s="30" t="inlineStr">
        <is>
          <t>Growing Industry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Yes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Above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Yes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More than 1.2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IF(B320=0,"",RANK(B320,$B$2:$B$395,0))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RKFORGE</t>
        </is>
      </c>
      <c r="D320" s="30" t="inlineStr">
        <is>
          <t>Ramkrishna Forgings Limited</t>
        </is>
      </c>
      <c r="E320" s="30" t="inlineStr">
        <is>
          <t>industrials</t>
        </is>
      </c>
      <c r="F320" s="30" t="inlineStr">
        <is>
          <t>castings &amp; forgings</t>
        </is>
      </c>
      <c r="G320" s="30" t="inlineStr">
        <is>
          <t>midcap</t>
        </is>
      </c>
      <c r="H320" s="31" t="n">
        <v>13411.36</v>
      </c>
      <c r="I320" s="31" t="n">
        <v>751.35</v>
      </c>
      <c r="J320" s="31" t="n">
        <v>2.06</v>
      </c>
      <c r="K320" s="31" t="n">
        <v>1655288</v>
      </c>
      <c r="L320" s="30" t="n">
        <v>53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73.91</v>
      </c>
      <c r="P320" s="31" t="n">
        <v>12.59</v>
      </c>
      <c r="Q320" s="31" t="n">
        <v>612.51</v>
      </c>
      <c r="R320" s="30" t="inlineStr">
        <is>
          <t>Near 52W High Breakout</t>
        </is>
      </c>
      <c r="S320" s="30" t="inlineStr">
        <is>
          <t>Nifty 50</t>
        </is>
      </c>
      <c r="T320" s="31" t="n">
        <v>-0.65</v>
      </c>
      <c r="U320" s="31" t="n">
        <v>33.15</v>
      </c>
      <c r="V320" s="31" t="n">
        <v>34.02</v>
      </c>
      <c r="W320" s="31" t="n">
        <v>12.72</v>
      </c>
      <c r="X320" s="30" t="inlineStr">
        <is>
          <t>Cyclical in an Upturn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Yes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Yes</t>
        </is>
      </c>
      <c r="BS320" s="30">
        <f>IF(BR320="NO",5,0)</f>
        <v/>
      </c>
      <c r="BT320" s="30" t="inlineStr">
        <is>
          <t>Above 2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Between 0.7 to 1.2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IF(B321=0,"",RANK(B321,$B$2:$B$395,0))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2" t="inlineStr">
        <is>
          <t>MANINDS</t>
        </is>
      </c>
      <c r="D321" s="32" t="inlineStr">
        <is>
          <t>Man Industries (india) Limited</t>
        </is>
      </c>
      <c r="E321" s="30" t="inlineStr">
        <is>
          <t>metals &amp; mining</t>
        </is>
      </c>
      <c r="F321" s="30" t="inlineStr">
        <is>
          <t>steel - medium / small</t>
        </is>
      </c>
      <c r="G321" s="30" t="inlineStr">
        <is>
          <t>smallcap</t>
        </is>
      </c>
      <c r="H321" s="31" t="n">
        <v>4121.78</v>
      </c>
      <c r="I321" s="31" t="n">
        <v>559.1</v>
      </c>
      <c r="J321" s="31" t="n">
        <v>1.75</v>
      </c>
      <c r="K321" s="31" t="n">
        <v>225310</v>
      </c>
      <c r="L321" s="30" t="n">
        <v>44</v>
      </c>
      <c r="M321" s="30" t="inlineStr">
        <is>
          <t>Underperforming</t>
        </is>
      </c>
      <c r="N321" s="31">
        <f>IF(M321="Underperforming",-5,IF(L321&gt;=95,15,IF(L321&gt;=90,10,IF(L321&gt;=80,5,0))))</f>
        <v/>
      </c>
      <c r="O321" s="31" t="n">
        <v>58.28</v>
      </c>
      <c r="P321" s="31" t="n">
        <v>27.05</v>
      </c>
      <c r="Q321" s="31" t="n">
        <v>440.26</v>
      </c>
      <c r="R321" s="30" t="inlineStr">
        <is>
          <t>Near 52W High Breakout</t>
        </is>
      </c>
      <c r="S321" s="30" t="inlineStr">
        <is>
          <t>Nifty Metal</t>
        </is>
      </c>
      <c r="T321" s="31" t="n">
        <v>39</v>
      </c>
      <c r="U321" s="31" t="n">
        <v>31.23</v>
      </c>
      <c r="V321" s="31" t="n">
        <v>-5.59</v>
      </c>
      <c r="W321" s="31" t="n">
        <v>10.22</v>
      </c>
      <c r="X321" s="30" t="inlineStr">
        <is>
          <t>Cyclical in an Upturn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Cyclical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Volatile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Yes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20 to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Blue sky scenario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Less than 12%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Above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IF(B322=0,"",RANK(B322,$B$2:$B$395,0))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MMTC</t>
        </is>
      </c>
      <c r="D322" s="30" t="inlineStr">
        <is>
          <t>Mmtc Limited</t>
        </is>
      </c>
      <c r="E322" s="30" t="inlineStr">
        <is>
          <t>services</t>
        </is>
      </c>
      <c r="F322" s="30" t="inlineStr">
        <is>
          <t>trading</t>
        </is>
      </c>
      <c r="G322" s="30" t="inlineStr">
        <is>
          <t>midcap</t>
        </is>
      </c>
      <c r="H322" s="31" t="n">
        <v>9592.5</v>
      </c>
      <c r="I322" s="31" t="n">
        <v>64.98</v>
      </c>
      <c r="J322" s="31" t="n">
        <v>1.61</v>
      </c>
      <c r="K322" s="31" t="n">
        <v>1727441</v>
      </c>
      <c r="L322" s="30" t="n">
        <v>10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51</v>
      </c>
      <c r="P322" s="31" t="n">
        <v>16.65</v>
      </c>
      <c r="Q322" s="31" t="n">
        <v>57.93</v>
      </c>
      <c r="R322" s="30" t="inlineStr">
        <is>
          <t>Earnings / Momentum Support</t>
        </is>
      </c>
      <c r="S322" s="30" t="inlineStr">
        <is>
          <t>Nifty 50</t>
        </is>
      </c>
      <c r="T322" s="31" t="n">
        <v>-0.65</v>
      </c>
      <c r="U322" s="31" t="n">
        <v>4.59</v>
      </c>
      <c r="V322" s="31" t="n">
        <v>5.27</v>
      </c>
      <c r="W322" s="31" t="n">
        <v>1.58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1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More than 20%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Less than 1.5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IF(B323=0,"",RANK(B323,$B$2:$B$395,0))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0" t="inlineStr">
        <is>
          <t>MAHASTEEL</t>
        </is>
      </c>
      <c r="D323" s="30" t="inlineStr">
        <is>
          <t>Mahamaya Steel Industries Limited</t>
        </is>
      </c>
      <c r="E323" s="30" t="inlineStr">
        <is>
          <t>metals &amp; mining</t>
        </is>
      </c>
      <c r="F323" s="30" t="inlineStr">
        <is>
          <t>steel - medium / small</t>
        </is>
      </c>
      <c r="G323" s="30" t="inlineStr">
        <is>
          <t>smallcap</t>
        </is>
      </c>
      <c r="H323" s="31" t="n">
        <v>1678.61</v>
      </c>
      <c r="I323" s="31" t="n">
        <v>1037.5</v>
      </c>
      <c r="J323" s="31" t="n">
        <v>1.58</v>
      </c>
      <c r="K323" s="31" t="n">
        <v>9645</v>
      </c>
      <c r="L323" s="30" t="n">
        <v>88</v>
      </c>
      <c r="M323" s="30" t="inlineStr">
        <is>
          <t>Outperforming</t>
        </is>
      </c>
      <c r="N323" s="31">
        <f>IF(M323="Underperforming",-5,IF(L323&gt;=95,15,IF(L323&gt;=90,10,IF(L323&gt;=80,5,0))))</f>
        <v/>
      </c>
      <c r="O323" s="31" t="n">
        <v>63.32</v>
      </c>
      <c r="P323" s="31" t="n">
        <v>17.53</v>
      </c>
      <c r="Q323" s="31" t="n">
        <v>746.97</v>
      </c>
      <c r="R323" s="30" t="inlineStr">
        <is>
          <t>Near 52W High Breakout</t>
        </is>
      </c>
      <c r="S323" s="30" t="inlineStr">
        <is>
          <t>Nifty Metal</t>
        </is>
      </c>
      <c r="T323" s="31" t="n">
        <v>39</v>
      </c>
      <c r="U323" s="31" t="n">
        <v>188.72</v>
      </c>
      <c r="V323" s="31" t="n">
        <v>107.72</v>
      </c>
      <c r="W323" s="31" t="n">
        <v>30.23</v>
      </c>
      <c r="X323" s="30" t="inlineStr">
        <is>
          <t>Cyclical in an Upturn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Cyclical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Volatile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Yes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Blue sky scenario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More than 20%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Yes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Above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IF(B324=0,"",RANK(B324,$B$2:$B$395,0))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IMFA</t>
        </is>
      </c>
      <c r="D324" s="30" t="inlineStr">
        <is>
          <t>Indian Metals &amp; Ferro Alloys Limited</t>
        </is>
      </c>
      <c r="E324" s="30" t="inlineStr">
        <is>
          <t>metals &amp; mining</t>
        </is>
      </c>
      <c r="F324" s="30" t="inlineStr">
        <is>
          <t>mining / minerals / metals</t>
        </is>
      </c>
      <c r="G324" s="30" t="inlineStr">
        <is>
          <t>midcap</t>
        </is>
      </c>
      <c r="H324" s="31" t="n">
        <v>7873.52</v>
      </c>
      <c r="I324" s="31" t="n">
        <v>1481.6</v>
      </c>
      <c r="J324" s="31" t="n">
        <v>1.53</v>
      </c>
      <c r="K324" s="31" t="n">
        <v>179807</v>
      </c>
      <c r="L324" s="30" t="n">
        <v>65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57.86</v>
      </c>
      <c r="P324" s="31" t="n">
        <v>13.91</v>
      </c>
      <c r="Q324" s="31" t="n">
        <v>1102.43</v>
      </c>
      <c r="R324" s="30" t="inlineStr">
        <is>
          <t>Near 52W High Breakout</t>
        </is>
      </c>
      <c r="S324" s="30" t="inlineStr">
        <is>
          <t>Nifty Metal</t>
        </is>
      </c>
      <c r="T324" s="31" t="n">
        <v>39</v>
      </c>
      <c r="U324" s="31" t="n">
        <v>101.98</v>
      </c>
      <c r="V324" s="31" t="n">
        <v>45.31</v>
      </c>
      <c r="W324" s="31" t="n">
        <v>16.55</v>
      </c>
      <c r="X324" s="30" t="inlineStr">
        <is>
          <t>Cyclical in an Upturn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Cyclical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Volatile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Yes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0 to 20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Blue sky scenario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More than 20%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Above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IF(B325=0,"",RANK(B325,$B$2:$B$395,0))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0" t="inlineStr">
        <is>
          <t>ASIANENE</t>
        </is>
      </c>
      <c r="D325" s="30" t="inlineStr">
        <is>
          <t>Asian Energy Services Ltd</t>
        </is>
      </c>
      <c r="E325" s="30" t="inlineStr">
        <is>
          <t>energy</t>
        </is>
      </c>
      <c r="F325" s="30" t="inlineStr">
        <is>
          <t>oil drilling / allied services</t>
        </is>
      </c>
      <c r="G325" s="30" t="inlineStr">
        <is>
          <t>smallcap</t>
        </is>
      </c>
      <c r="H325" s="31" t="n">
        <v>1958.32</v>
      </c>
      <c r="I325" s="31" t="n">
        <v>404.6</v>
      </c>
      <c r="J325" s="31" t="n">
        <v>0.47</v>
      </c>
      <c r="K325" s="31" t="n">
        <v>198268</v>
      </c>
      <c r="L325" s="30" t="n">
        <v>63</v>
      </c>
      <c r="M325" s="30" t="inlineStr">
        <is>
          <t>Outperforming</t>
        </is>
      </c>
      <c r="N325" s="31">
        <f>IF(M325="Underperforming",-5,IF(L325&gt;=95,15,IF(L325&gt;=90,10,IF(L325&gt;=80,5,0))))</f>
        <v/>
      </c>
      <c r="O325" s="31" t="n">
        <v>64.66</v>
      </c>
      <c r="P325" s="31" t="n">
        <v>17.31</v>
      </c>
      <c r="Q325" s="31" t="n">
        <v>304.5</v>
      </c>
      <c r="R325" s="30" t="inlineStr">
        <is>
          <t>Near 52W High Breakout</t>
        </is>
      </c>
      <c r="S325" s="30" t="inlineStr">
        <is>
          <t>Nifty Energy</t>
        </is>
      </c>
      <c r="T325" s="31" t="n">
        <v>9.81</v>
      </c>
      <c r="U325" s="31" t="n">
        <v>41.31</v>
      </c>
      <c r="V325" s="31" t="n">
        <v>28.69</v>
      </c>
      <c r="W325" s="31" t="n">
        <v>16.03</v>
      </c>
      <c r="X325" s="30" t="inlineStr">
        <is>
          <t>Cyclical in an Upturn</t>
        </is>
      </c>
      <c r="Y325" s="30">
        <f>IF(X325="Growing Industry",10,IF(X325="Cyclical in an Upturn",5,0))</f>
        <v/>
      </c>
      <c r="Z325" s="30" t="inlineStr">
        <is>
          <t>Oligopoly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Yes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Cyclical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Volatile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Yes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Blue sky scenario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More than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Less than 1.5</t>
        </is>
      </c>
      <c r="BU325" s="30">
        <f>IF(BT325="Above 2",0,IF(BT325="Between 1.5 to 2",5,IF(BT325="Less than 1.5",10,0)))</f>
        <v/>
      </c>
      <c r="BV325" s="30" t="inlineStr">
        <is>
          <t>Between 50% to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IF(B326=0,"",RANK(B326,$B$2:$B$395,0))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SHANTIGOLD</t>
        </is>
      </c>
      <c r="D326" s="32" t="inlineStr">
        <is>
          <t>Shanti Gold International Ltd</t>
        </is>
      </c>
      <c r="E326" s="30" t="inlineStr">
        <is>
          <t>consumer discretionary</t>
        </is>
      </c>
      <c r="F326" s="30" t="inlineStr">
        <is>
          <t>diamond cutting / jewellery</t>
        </is>
      </c>
      <c r="G326" s="30" t="inlineStr">
        <is>
          <t>smallcap</t>
        </is>
      </c>
      <c r="H326" s="31" t="n">
        <v>1643.14</v>
      </c>
      <c r="I326" s="31" t="n">
        <v>227.77</v>
      </c>
      <c r="J326" s="31" t="n">
        <v>-0.06</v>
      </c>
      <c r="K326" s="31" t="n">
        <v>673789</v>
      </c>
      <c r="L326" s="30" t="n">
        <v>7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58.99</v>
      </c>
      <c r="P326" s="31" t="n">
        <v>31.11</v>
      </c>
      <c r="Q326" s="31" t="n">
        <v>173.01</v>
      </c>
      <c r="R326" s="30" t="inlineStr">
        <is>
          <t>Earnings / Momentum Support</t>
        </is>
      </c>
      <c r="S326" s="30" t="inlineStr">
        <is>
          <t>Nifty 50</t>
        </is>
      </c>
      <c r="T326" s="31" t="n">
        <v>-0.65</v>
      </c>
      <c r="U326" s="31" t="n">
        <v>-7.98</v>
      </c>
      <c r="V326" s="31" t="n">
        <v>-7.38</v>
      </c>
      <c r="W326" s="31" t="n">
        <v>0.29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No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Negative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IF(B327=0,"",RANK(B327,$B$2:$B$395,0))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HINDALCO</t>
        </is>
      </c>
      <c r="D327" s="30" t="inlineStr">
        <is>
          <t>Hindalco Industries Limited</t>
        </is>
      </c>
      <c r="E327" s="30" t="inlineStr">
        <is>
          <t>metals &amp; mining</t>
        </is>
      </c>
      <c r="F327" s="30" t="inlineStr">
        <is>
          <t>aluminium and aluminium products</t>
        </is>
      </c>
      <c r="G327" s="30" t="inlineStr">
        <is>
          <t>largecap</t>
        </is>
      </c>
      <c r="H327" s="31" t="n">
        <v>236868.91</v>
      </c>
      <c r="I327" s="31" t="n">
        <v>1049.1</v>
      </c>
      <c r="J327" s="31" t="n">
        <v>-0.47</v>
      </c>
      <c r="K327" s="31" t="n">
        <v>14243359</v>
      </c>
      <c r="L327" s="30" t="n">
        <v>42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59.85</v>
      </c>
      <c r="P327" s="31" t="n">
        <v>34.63</v>
      </c>
      <c r="Q327" s="31" t="n">
        <v>949.3099999999999</v>
      </c>
      <c r="R327" s="30" t="inlineStr">
        <is>
          <t>Earnings / Momentum Support</t>
        </is>
      </c>
      <c r="S327" s="30" t="inlineStr">
        <is>
          <t>Nifty Metal</t>
        </is>
      </c>
      <c r="T327" s="31" t="n">
        <v>39</v>
      </c>
      <c r="U327" s="31" t="n">
        <v>53.19</v>
      </c>
      <c r="V327" s="31" t="n">
        <v>10.21</v>
      </c>
      <c r="W327" s="31" t="n">
        <v>9.31</v>
      </c>
      <c r="X327" s="30" t="inlineStr">
        <is>
          <t>Cyclical in an Upturn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Cyclical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Volatile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20 to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Less than 1.5</t>
        </is>
      </c>
      <c r="BU327" s="30">
        <f>IF(BT327="Above 2",0,IF(BT327="Between 1.5 to 2",5,IF(BT327="Less than 1.5",10,0)))</f>
        <v/>
      </c>
      <c r="BV327" s="30" t="inlineStr">
        <is>
          <t>Above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Between 0.7 to 1.2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IF(B328=0,"",RANK(B328,$B$2:$B$395,0))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KAPSTON</t>
        </is>
      </c>
      <c r="D328" s="30" t="inlineStr">
        <is>
          <t>Kapston Services Ltd</t>
        </is>
      </c>
      <c r="E328" s="30" t="inlineStr">
        <is>
          <t>miscellaneous</t>
        </is>
      </c>
      <c r="F328" s="30" t="inlineStr">
        <is>
          <t>miscellaneous</t>
        </is>
      </c>
      <c r="G328" s="30" t="inlineStr">
        <is>
          <t>smallcap</t>
        </is>
      </c>
      <c r="H328" s="31" t="n">
        <v>1722.61</v>
      </c>
      <c r="I328" s="31" t="n">
        <v>563.4</v>
      </c>
      <c r="J328" s="31" t="n">
        <v>-0.47</v>
      </c>
      <c r="K328" s="31" t="n">
        <v>129472</v>
      </c>
      <c r="L328" s="30" t="n">
        <v>92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82.98</v>
      </c>
      <c r="P328" s="31" t="n">
        <v>30.19</v>
      </c>
      <c r="Q328" s="31" t="n">
        <v>438.94</v>
      </c>
      <c r="R328" s="30" t="inlineStr">
        <is>
          <t>Near 52W High Breakout</t>
        </is>
      </c>
      <c r="S328" s="30" t="inlineStr">
        <is>
          <t>Nifty 50</t>
        </is>
      </c>
      <c r="T328" s="31" t="n">
        <v>-0.65</v>
      </c>
      <c r="U328" s="31" t="n">
        <v>130.08</v>
      </c>
      <c r="V328" s="31" t="n">
        <v>131.58</v>
      </c>
      <c r="W328" s="31" t="n">
        <v>36.18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Yes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Above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Blue sky scenario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More than 20%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Yes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Less than 50% and Borrowings are increasing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More than 1.2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IF(B329=0,"",RANK(B329,$B$2:$B$395,0))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RAJRATAN</t>
        </is>
      </c>
      <c r="D329" s="32" t="inlineStr">
        <is>
          <t>Rajratan Global Wire Ltd</t>
        </is>
      </c>
      <c r="E329" s="30" t="inlineStr">
        <is>
          <t>metals &amp; mining</t>
        </is>
      </c>
      <c r="F329" s="30" t="inlineStr">
        <is>
          <t>steel - medium / small</t>
        </is>
      </c>
      <c r="G329" s="30" t="inlineStr">
        <is>
          <t>smallcap</t>
        </is>
      </c>
      <c r="H329" s="31" t="n">
        <v>2676.65</v>
      </c>
      <c r="I329" s="31" t="n">
        <v>521.9</v>
      </c>
      <c r="J329" s="31" t="n">
        <v>-1.01</v>
      </c>
      <c r="K329" s="31" t="n">
        <v>72801</v>
      </c>
      <c r="L329" s="30" t="n">
        <v>47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65.45999999999999</v>
      </c>
      <c r="P329" s="31" t="n">
        <v>18.35</v>
      </c>
      <c r="Q329" s="31" t="n">
        <v>391.89</v>
      </c>
      <c r="R329" s="30" t="inlineStr">
        <is>
          <t>Near 52W High Breakout</t>
        </is>
      </c>
      <c r="S329" s="30" t="inlineStr">
        <is>
          <t>Nifty Metal</t>
        </is>
      </c>
      <c r="T329" s="31" t="n">
        <v>39</v>
      </c>
      <c r="U329" s="31" t="n">
        <v>29.75</v>
      </c>
      <c r="V329" s="31" t="n">
        <v>-6.65</v>
      </c>
      <c r="W329" s="31" t="n">
        <v>10.84</v>
      </c>
      <c r="X329" s="30" t="inlineStr">
        <is>
          <t>Cyclical in an Upturn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Cyclical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Volatile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More than 20%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Less than 1.5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IF(B330=0,"",RANK(B330,$B$2:$B$395,0))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2" t="inlineStr">
        <is>
          <t>DMCC</t>
        </is>
      </c>
      <c r="D330" s="32" t="inlineStr">
        <is>
          <t>DMCC Speciality Chemicals Ltd</t>
        </is>
      </c>
      <c r="E330" s="30" t="inlineStr">
        <is>
          <t>chemicals</t>
        </is>
      </c>
      <c r="F330" s="30" t="inlineStr">
        <is>
          <t>chemicals</t>
        </is>
      </c>
      <c r="G330" s="30" t="inlineStr">
        <is>
          <t>smallcap</t>
        </is>
      </c>
      <c r="H330" s="31" t="n">
        <v>780.87</v>
      </c>
      <c r="I330" s="31" t="n">
        <v>302</v>
      </c>
      <c r="J330" s="31" t="n">
        <v>-3.55</v>
      </c>
      <c r="K330" s="31" t="n">
        <v>566271</v>
      </c>
      <c r="L330" s="30" t="n">
        <v>1</v>
      </c>
      <c r="M330" s="30" t="inlineStr">
        <is>
          <t>Underperforming</t>
        </is>
      </c>
      <c r="N330" s="31">
        <f>IF(M330="Underperforming",-5,IF(L330&gt;=95,15,IF(L330&gt;=90,10,IF(L330&gt;=80,5,0))))</f>
        <v/>
      </c>
      <c r="O330" s="31" t="n">
        <v>60.95</v>
      </c>
      <c r="P330" s="31" t="n">
        <v>24.92</v>
      </c>
      <c r="Q330" s="31" t="n">
        <v>227.37</v>
      </c>
      <c r="R330" s="30" t="inlineStr">
        <is>
          <t>Volume Spike / Accumulation</t>
        </is>
      </c>
      <c r="S330" s="30" t="inlineStr">
        <is>
          <t>Nifty 50</t>
        </is>
      </c>
      <c r="T330" s="31" t="n">
        <v>-0.65</v>
      </c>
      <c r="U330" s="31" t="n">
        <v>-11.32</v>
      </c>
      <c r="V330" s="31" t="n">
        <v>-10.74</v>
      </c>
      <c r="W330" s="31" t="n">
        <v>-2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20 to 40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Less than 12%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Negative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IF(B331=0,"",RANK(B331,$B$2:$B$395,0))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MPHASIS</t>
        </is>
      </c>
      <c r="D331" s="30" t="inlineStr">
        <is>
          <t>Mphasis Limited</t>
        </is>
      </c>
      <c r="E331" s="30" t="inlineStr">
        <is>
          <t>i.t</t>
        </is>
      </c>
      <c r="F331" s="30" t="inlineStr">
        <is>
          <t>computers - software - large</t>
        </is>
      </c>
      <c r="G331" s="30" t="inlineStr">
        <is>
          <t>largecap</t>
        </is>
      </c>
      <c r="H331" s="31" t="n">
        <v>47870.98</v>
      </c>
      <c r="I331" s="31" t="n">
        <v>2530</v>
      </c>
      <c r="J331" s="31" t="n">
        <v>0.88</v>
      </c>
      <c r="K331" s="31" t="n">
        <v>1067649</v>
      </c>
      <c r="L331" s="30" t="n">
        <v>21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59.49</v>
      </c>
      <c r="P331" s="31" t="n">
        <v>9.84</v>
      </c>
      <c r="Q331" s="31" t="n">
        <v>2030.66</v>
      </c>
      <c r="R331" s="30" t="inlineStr">
        <is>
          <t>Earnings / Momentum Support</t>
        </is>
      </c>
      <c r="S331" s="30" t="inlineStr">
        <is>
          <t>Nifty IT</t>
        </is>
      </c>
      <c r="T331" s="31" t="n">
        <v>-8.640000000000001</v>
      </c>
      <c r="U331" s="31" t="n">
        <v>-4.5</v>
      </c>
      <c r="V331" s="31" t="n">
        <v>4.53</v>
      </c>
      <c r="W331" s="31" t="n">
        <v>4.95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Annuity, Lower One Time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Less than 12%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Between 50% to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IF(B332=0,"",RANK(B332,$B$2:$B$395,0))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PRICOLLTD</t>
        </is>
      </c>
      <c r="D332" s="30" t="inlineStr">
        <is>
          <t>Pricol Ltd.</t>
        </is>
      </c>
      <c r="E332" s="30" t="inlineStr">
        <is>
          <t>auto</t>
        </is>
      </c>
      <c r="F332" s="30" t="inlineStr">
        <is>
          <t>auto ancillaries</t>
        </is>
      </c>
      <c r="G332" s="30" t="inlineStr">
        <is>
          <t>midcap</t>
        </is>
      </c>
      <c r="H332" s="31" t="n">
        <v>8931.48</v>
      </c>
      <c r="I332" s="31" t="n">
        <v>738.6</v>
      </c>
      <c r="J332" s="31" t="n">
        <v>0.79</v>
      </c>
      <c r="K332" s="31" t="n">
        <v>386743</v>
      </c>
      <c r="L332" s="30" t="n">
        <v>64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71.06</v>
      </c>
      <c r="P332" s="31" t="n">
        <v>25.66</v>
      </c>
      <c r="Q332" s="31" t="n">
        <v>594.4</v>
      </c>
      <c r="R332" s="30" t="inlineStr">
        <is>
          <t>Near 52W High Breakout</t>
        </is>
      </c>
      <c r="S332" s="30" t="inlineStr">
        <is>
          <t>Nifty Auto</t>
        </is>
      </c>
      <c r="T332" s="31" t="n">
        <v>23.87</v>
      </c>
      <c r="U332" s="31" t="n">
        <v>69.01000000000001</v>
      </c>
      <c r="V332" s="31" t="n">
        <v>36.44</v>
      </c>
      <c r="W332" s="31" t="n">
        <v>16.25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Oligopoly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Shallow Cyclical (2 to 3 Years Growth)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Yes</t>
        </is>
      </c>
      <c r="AQ332" s="30">
        <f>IF(AP332="Yes",10,0)</f>
        <v/>
      </c>
      <c r="AR332" s="30" t="inlineStr">
        <is>
          <t>Fully One Time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Allocated capital in Non-core Areas</t>
        </is>
      </c>
      <c r="AU332" s="30">
        <f>IF(AT332="Good",10,0)</f>
        <v/>
      </c>
      <c r="AV332" s="30" t="inlineStr">
        <is>
          <t>Yes only for next 1 to 2 years</t>
        </is>
      </c>
      <c r="AW332" s="30">
        <f>IF(AV332="Yes for more than 2 years",10,IF(AV332="Yes only for next 1 to 2 years",5,0))</f>
        <v/>
      </c>
      <c r="AX332" s="30" t="inlineStr">
        <is>
          <t>20 to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Blue sky scenario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Between 12 to 20%</t>
        </is>
      </c>
      <c r="BO332" s="30">
        <f>IF(BN332="More than 20%",10,IF(BN332="Between 12 to 20%",5,IF(BN332="Less than 12%",0,0)))</f>
        <v/>
      </c>
      <c r="BP332" s="30" t="inlineStr">
        <is>
          <t>Yes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Between 1.5 to 2</t>
        </is>
      </c>
      <c r="BU332" s="30">
        <f>IF(BT332="Above 2",0,IF(BT332="Between 1.5 to 2",5,IF(BT332="Less than 1.5",10,0)))</f>
        <v/>
      </c>
      <c r="BV332" s="30" t="inlineStr">
        <is>
          <t>Between 50% to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IF(B333=0,"",RANK(B333,$B$2:$B$395,0))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0" t="inlineStr">
        <is>
          <t>SANATHAN</t>
        </is>
      </c>
      <c r="D333" s="30" t="inlineStr">
        <is>
          <t>Sanathan Textiles Ltd</t>
        </is>
      </c>
      <c r="E333" s="30" t="inlineStr">
        <is>
          <t>textiles</t>
        </is>
      </c>
      <c r="F333" s="30" t="inlineStr">
        <is>
          <t>textiles - cotton/blended</t>
        </is>
      </c>
      <c r="G333" s="30" t="inlineStr">
        <is>
          <t>smallcap</t>
        </is>
      </c>
      <c r="H333" s="31" t="n">
        <v>4067.43</v>
      </c>
      <c r="I333" s="31" t="n">
        <v>505</v>
      </c>
      <c r="J333" s="31" t="n">
        <v>4.79</v>
      </c>
      <c r="K333" s="31" t="n">
        <v>256946</v>
      </c>
      <c r="L333" s="30" t="n">
        <v>17</v>
      </c>
      <c r="M333" s="30" t="inlineStr">
        <is>
          <t>Outperforming</t>
        </is>
      </c>
      <c r="N333" s="31">
        <f>IF(M333="Underperforming",-5,IF(L333&gt;=95,15,IF(L333&gt;=90,10,IF(L333&gt;=80,5,0))))</f>
        <v/>
      </c>
      <c r="O333" s="31" t="n">
        <v>65.95</v>
      </c>
      <c r="P333" s="31" t="n">
        <v>15.55</v>
      </c>
      <c r="Q333" s="31" t="n">
        <v>394.1</v>
      </c>
      <c r="R333" s="30" t="inlineStr">
        <is>
          <t>Near 52W High Breakout</t>
        </is>
      </c>
      <c r="S333" s="30" t="inlineStr">
        <is>
          <t>Nifty 50</t>
        </is>
      </c>
      <c r="T333" s="31" t="n">
        <v>-0.65</v>
      </c>
      <c r="U333" s="31" t="n">
        <v>2.54</v>
      </c>
      <c r="V333" s="31" t="n">
        <v>3.2</v>
      </c>
      <c r="W333" s="31" t="n">
        <v>3.98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Yes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0 to 20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Less than 12%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Yes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Between 0.7 to 1.2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IF(B334=0,"",RANK(B334,$B$2:$B$395,0))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DEEPINDS</t>
        </is>
      </c>
      <c r="D334" s="30" t="inlineStr">
        <is>
          <t>Deep Industries Ltd</t>
        </is>
      </c>
      <c r="E334" s="30" t="inlineStr">
        <is>
          <t>energy</t>
        </is>
      </c>
      <c r="F334" s="30" t="inlineStr">
        <is>
          <t>oil drilling / allied services</t>
        </is>
      </c>
      <c r="G334" s="30" t="inlineStr">
        <is>
          <t>smallcap</t>
        </is>
      </c>
      <c r="H334" s="31" t="n">
        <v>4146.88</v>
      </c>
      <c r="I334" s="31" t="n">
        <v>670.05</v>
      </c>
      <c r="J334" s="31" t="n">
        <v>3.41</v>
      </c>
      <c r="K334" s="31" t="n">
        <v>803877</v>
      </c>
      <c r="L334" s="30" t="n">
        <v>70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75.63</v>
      </c>
      <c r="P334" s="31" t="n">
        <v>19</v>
      </c>
      <c r="Q334" s="31" t="n">
        <v>519.49</v>
      </c>
      <c r="R334" s="30" t="inlineStr">
        <is>
          <t>Near 52W High Breakout</t>
        </is>
      </c>
      <c r="S334" s="30" t="inlineStr">
        <is>
          <t>Nifty Energy</t>
        </is>
      </c>
      <c r="T334" s="31" t="n">
        <v>9.81</v>
      </c>
      <c r="U334" s="31" t="n">
        <v>49.44</v>
      </c>
      <c r="V334" s="31" t="n">
        <v>36.09</v>
      </c>
      <c r="W334" s="31" t="n">
        <v>18.52</v>
      </c>
      <c r="X334" s="30" t="inlineStr">
        <is>
          <t>Cyclical in an Upturn</t>
        </is>
      </c>
      <c r="Y334" s="30">
        <f>IF(X334="Growing Industry",10,IF(X334="Cyclical in an Upturn",5,0))</f>
        <v/>
      </c>
      <c r="Z334" s="30" t="inlineStr">
        <is>
          <t>Oligopoly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Yes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Cyclical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Volatile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Above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Blue sky scenario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Less than 1.5</t>
        </is>
      </c>
      <c r="BU334" s="30">
        <f>IF(BT334="Above 2",0,IF(BT334="Between 1.5 to 2",5,IF(BT334="Less than 1.5",10,0)))</f>
        <v/>
      </c>
      <c r="BV334" s="30" t="inlineStr">
        <is>
          <t>Above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IF(B335=0,"",RANK(B335,$B$2:$B$395,0))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2" t="inlineStr">
        <is>
          <t>JSWDULUX</t>
        </is>
      </c>
      <c r="D335" s="32" t="inlineStr">
        <is>
          <t>JSW Dulux Ltd</t>
        </is>
      </c>
      <c r="E335" s="30" t="inlineStr">
        <is>
          <t>building materials</t>
        </is>
      </c>
      <c r="F335" s="30" t="inlineStr">
        <is>
          <t>paints / varnishes</t>
        </is>
      </c>
      <c r="G335" s="30" t="inlineStr">
        <is>
          <t>midcap</t>
        </is>
      </c>
      <c r="H335" s="31" t="n">
        <v>13913.93</v>
      </c>
      <c r="I335" s="31" t="n">
        <v>3157</v>
      </c>
      <c r="J335" s="31" t="n">
        <v>3.33</v>
      </c>
      <c r="K335" s="31" t="n">
        <v>62690</v>
      </c>
      <c r="L335" s="30" t="n">
        <v>4</v>
      </c>
      <c r="M335" s="30" t="inlineStr">
        <is>
          <t>Underperforming</t>
        </is>
      </c>
      <c r="N335" s="31">
        <f>IF(M335="Underperforming",-5,IF(L335&gt;=95,15,IF(L335&gt;=90,10,IF(L335&gt;=80,5,0))))</f>
        <v/>
      </c>
      <c r="O335" s="31" t="n">
        <v>55.04</v>
      </c>
      <c r="P335" s="31" t="n">
        <v>13.47</v>
      </c>
      <c r="Q335" s="31" t="n">
        <v>2688.44</v>
      </c>
      <c r="R335" s="30" t="inlineStr">
        <is>
          <t>Earnings / Momentum Support</t>
        </is>
      </c>
      <c r="S335" s="30" t="inlineStr">
        <is>
          <t>Nifty Infra</t>
        </is>
      </c>
      <c r="T335" s="31" t="n">
        <v>3.51</v>
      </c>
      <c r="U335" s="31" t="n">
        <v>-11.08</v>
      </c>
      <c r="V335" s="31" t="n">
        <v>-14.09</v>
      </c>
      <c r="W335" s="31" t="n">
        <v>-0.32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1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More than 20%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No</t>
        </is>
      </c>
      <c r="BS335" s="30">
        <f>IF(BR335="NO",5,0)</f>
        <v/>
      </c>
      <c r="BT335" s="30" t="inlineStr">
        <is>
          <t>Less than 1.5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IF(B336=0,"",RANK(B336,$B$2:$B$395,0))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2" t="inlineStr">
        <is>
          <t>CONCOR</t>
        </is>
      </c>
      <c r="D336" s="32" t="inlineStr">
        <is>
          <t>Container Corporation Of India Limited</t>
        </is>
      </c>
      <c r="E336" s="30" t="inlineStr">
        <is>
          <t>transportation</t>
        </is>
      </c>
      <c r="F336" s="30" t="inlineStr">
        <is>
          <t>miscellaneous</t>
        </is>
      </c>
      <c r="G336" s="30" t="inlineStr">
        <is>
          <t>largecap</t>
        </is>
      </c>
      <c r="H336" s="31" t="n">
        <v>38225.6</v>
      </c>
      <c r="I336" s="31" t="n">
        <v>512</v>
      </c>
      <c r="J336" s="31" t="n">
        <v>2.01</v>
      </c>
      <c r="K336" s="31" t="n">
        <v>2190142</v>
      </c>
      <c r="L336" s="30" t="n">
        <v>3</v>
      </c>
      <c r="M336" s="30" t="inlineStr">
        <is>
          <t>Underperforming</t>
        </is>
      </c>
      <c r="N336" s="31">
        <f>IF(M336="Underperforming",-5,IF(L336&gt;=95,15,IF(L336&gt;=90,10,IF(L336&gt;=80,5,0))))</f>
        <v/>
      </c>
      <c r="O336" s="31" t="n">
        <v>54.71</v>
      </c>
      <c r="P336" s="31" t="n">
        <v>12.85</v>
      </c>
      <c r="Q336" s="31" t="n">
        <v>434.49</v>
      </c>
      <c r="R336" s="30" t="inlineStr">
        <is>
          <t>Earnings / Momentum Support</t>
        </is>
      </c>
      <c r="S336" s="30" t="inlineStr">
        <is>
          <t>Nifty 50</t>
        </is>
      </c>
      <c r="T336" s="31" t="n">
        <v>-0.65</v>
      </c>
      <c r="U336" s="31" t="n">
        <v>-2.29</v>
      </c>
      <c r="V336" s="31" t="n">
        <v>-1.65</v>
      </c>
      <c r="W336" s="31" t="n">
        <v>-0.63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Less than 12%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Above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IF(B337=0,"",RANK(B337,$B$2:$B$395,0))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LOKESHMACH</t>
        </is>
      </c>
      <c r="D337" s="30" t="inlineStr">
        <is>
          <t>Lokesh Machines Limited</t>
        </is>
      </c>
      <c r="E337" s="30" t="inlineStr">
        <is>
          <t>industrials</t>
        </is>
      </c>
      <c r="F337" s="30" t="inlineStr">
        <is>
          <t>engineering</t>
        </is>
      </c>
      <c r="G337" s="30" t="inlineStr">
        <is>
          <t>smallcap</t>
        </is>
      </c>
      <c r="H337" s="31" t="n">
        <v>765.61</v>
      </c>
      <c r="I337" s="31" t="n">
        <v>351.25</v>
      </c>
      <c r="J337" s="31" t="n">
        <v>1.99</v>
      </c>
      <c r="K337" s="31" t="n">
        <v>20368</v>
      </c>
      <c r="L337" s="30" t="n">
        <v>77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77.64</v>
      </c>
      <c r="P337" s="31" t="n">
        <v>45.64</v>
      </c>
      <c r="Q337" s="31" t="n">
        <v>280.22</v>
      </c>
      <c r="R337" s="30" t="inlineStr">
        <is>
          <t>Near 52W High Breakout</t>
        </is>
      </c>
      <c r="S337" s="30" t="inlineStr">
        <is>
          <t>Nifty 50</t>
        </is>
      </c>
      <c r="T337" s="31" t="n">
        <v>-0.65</v>
      </c>
      <c r="U337" s="31" t="n">
        <v>74.58</v>
      </c>
      <c r="V337" s="31" t="n">
        <v>75.72</v>
      </c>
      <c r="W337" s="31" t="n">
        <v>22.45</v>
      </c>
      <c r="X337" s="30" t="inlineStr">
        <is>
          <t>Cyclical in an Upturn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Yes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Above 40</t>
        </is>
      </c>
      <c r="AY337" s="30">
        <f>IF(AX337="Above 40",20,IF(AX337="20 to 40",10,IF(AX337="0 to 20",-5,0)))</f>
        <v/>
      </c>
      <c r="AZ337" s="30" t="inlineStr">
        <is>
          <t>Above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More than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Negative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Between 0.7 to 1.2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IF(B338=0,"",RANK(B338,$B$2:$B$395,0))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2" t="inlineStr">
        <is>
          <t>ORIENTELEC</t>
        </is>
      </c>
      <c r="D338" s="32" t="inlineStr">
        <is>
          <t>Orient Electric Ltd</t>
        </is>
      </c>
      <c r="E338" s="30" t="inlineStr">
        <is>
          <t>consumer discretionary</t>
        </is>
      </c>
      <c r="F338" s="30" t="inlineStr">
        <is>
          <t>domestic appliances</t>
        </is>
      </c>
      <c r="G338" s="30" t="inlineStr">
        <is>
          <t>smallcap</t>
        </is>
      </c>
      <c r="H338" s="31" t="n">
        <v>4048.62</v>
      </c>
      <c r="I338" s="31" t="n">
        <v>190.88</v>
      </c>
      <c r="J338" s="31" t="n">
        <v>0.6</v>
      </c>
      <c r="K338" s="31" t="n">
        <v>285838</v>
      </c>
      <c r="L338" s="30" t="n">
        <v>2</v>
      </c>
      <c r="M338" s="30" t="inlineStr">
        <is>
          <t>Underperforming</t>
        </is>
      </c>
      <c r="N338" s="31">
        <f>IF(M338="Underperforming",-5,IF(L338&gt;=95,15,IF(L338&gt;=90,10,IF(L338&gt;=80,5,0))))</f>
        <v/>
      </c>
      <c r="O338" s="31" t="n">
        <v>57.79</v>
      </c>
      <c r="P338" s="31" t="n">
        <v>10.89</v>
      </c>
      <c r="Q338" s="31" t="n">
        <v>152.13</v>
      </c>
      <c r="R338" s="30" t="inlineStr">
        <is>
          <t>Earnings / Momentum Support</t>
        </is>
      </c>
      <c r="S338" s="30" t="inlineStr">
        <is>
          <t>Nifty 50</t>
        </is>
      </c>
      <c r="T338" s="31" t="n">
        <v>-0.65</v>
      </c>
      <c r="U338" s="31" t="n">
        <v>-6</v>
      </c>
      <c r="V338" s="31" t="n">
        <v>-5.38</v>
      </c>
      <c r="W338" s="31" t="n">
        <v>-0.9399999999999999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1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No</t>
        </is>
      </c>
      <c r="BS338" s="30">
        <f>IF(BR338="NO",5,0)</f>
        <v/>
      </c>
      <c r="BT338" s="30" t="inlineStr">
        <is>
          <t>Less than 1.5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IF(B339=0,"",RANK(B339,$B$2:$B$395,0))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0" t="inlineStr">
        <is>
          <t>JSWINFRA</t>
        </is>
      </c>
      <c r="D339" s="30" t="inlineStr">
        <is>
          <t>JSW Infrastructure Ltd</t>
        </is>
      </c>
      <c r="E339" s="30" t="inlineStr">
        <is>
          <t>transportation</t>
        </is>
      </c>
      <c r="F339" s="30" t="inlineStr">
        <is>
          <t>miscellaneous</t>
        </is>
      </c>
      <c r="G339" s="30" t="inlineStr">
        <is>
          <t>largecap</t>
        </is>
      </c>
      <c r="H339" s="31" t="n">
        <v>79686.05</v>
      </c>
      <c r="I339" s="31" t="n">
        <v>341.85</v>
      </c>
      <c r="J339" s="31" t="n">
        <v>-0.04</v>
      </c>
      <c r="K339" s="31" t="n">
        <v>2466892</v>
      </c>
      <c r="L339" s="30" t="n">
        <v>40</v>
      </c>
      <c r="M339" s="30" t="inlineStr">
        <is>
          <t>Outperforming</t>
        </is>
      </c>
      <c r="N339" s="31">
        <f>IF(M339="Underperforming",-5,IF(L339&gt;=95,15,IF(L339&gt;=90,10,IF(L339&gt;=80,5,0))))</f>
        <v/>
      </c>
      <c r="O339" s="31" t="n">
        <v>66.84999999999999</v>
      </c>
      <c r="P339" s="31" t="n">
        <v>38.15</v>
      </c>
      <c r="Q339" s="31" t="n">
        <v>278.41</v>
      </c>
      <c r="R339" s="30" t="inlineStr">
        <is>
          <t>Near 52W High Breakout</t>
        </is>
      </c>
      <c r="S339" s="30" t="inlineStr">
        <is>
          <t>Nifty 500</t>
        </is>
      </c>
      <c r="T339" s="31" t="n">
        <v>4.41</v>
      </c>
      <c r="U339" s="31" t="n">
        <v>13.22</v>
      </c>
      <c r="V339" s="31" t="n">
        <v>8.43</v>
      </c>
      <c r="W339" s="31" t="n">
        <v>8.98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Yes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20 to 40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Negative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Blue sky scenario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IF(B340=0,"",RANK(B340,$B$2:$B$395,0))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SMLMAH</t>
        </is>
      </c>
      <c r="D340" s="30" t="inlineStr">
        <is>
          <t>SML Mahindra Ltd</t>
        </is>
      </c>
      <c r="E340" s="30" t="inlineStr">
        <is>
          <t>auto</t>
        </is>
      </c>
      <c r="F340" s="30" t="inlineStr">
        <is>
          <t>automobiles - lcvs / hcvs</t>
        </is>
      </c>
      <c r="G340" s="30" t="inlineStr">
        <is>
          <t>midcap</t>
        </is>
      </c>
      <c r="H340" s="31" t="n">
        <v>7564.33</v>
      </c>
      <c r="I340" s="31" t="n">
        <v>5208.5</v>
      </c>
      <c r="J340" s="31" t="n">
        <v>-0.35</v>
      </c>
      <c r="K340" s="31" t="n">
        <v>219453</v>
      </c>
      <c r="L340" s="30" t="n">
        <v>62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63.15</v>
      </c>
      <c r="P340" s="31" t="n">
        <v>11.52</v>
      </c>
      <c r="Q340" s="31" t="n">
        <v>4072.62</v>
      </c>
      <c r="R340" s="30" t="inlineStr">
        <is>
          <t>Earnings / Momentum Support</t>
        </is>
      </c>
      <c r="S340" s="30" t="inlineStr">
        <is>
          <t>Nifty Auto</t>
        </is>
      </c>
      <c r="T340" s="31" t="n">
        <v>23.87</v>
      </c>
      <c r="U340" s="31" t="n">
        <v>37.9</v>
      </c>
      <c r="V340" s="31" t="n">
        <v>11.32</v>
      </c>
      <c r="W340" s="31" t="n">
        <v>15.75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2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IF(B341=0,"",RANK(B341,$B$2:$B$395,0))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0" t="inlineStr">
        <is>
          <t>ARIHANT</t>
        </is>
      </c>
      <c r="D341" s="30" t="inlineStr">
        <is>
          <t>Arihant Foundations &amp; Housing Limited</t>
        </is>
      </c>
      <c r="E341" s="30" t="inlineStr">
        <is>
          <t>realty</t>
        </is>
      </c>
      <c r="F341" s="30" t="inlineStr">
        <is>
          <t>construction</t>
        </is>
      </c>
      <c r="G341" s="30" t="inlineStr">
        <is>
          <t>smallcap</t>
        </is>
      </c>
      <c r="H341" s="31" t="n">
        <v>1120.44</v>
      </c>
      <c r="I341" s="31" t="n">
        <v>1120</v>
      </c>
      <c r="J341" s="31" t="n">
        <v>-0.38</v>
      </c>
      <c r="K341" s="31" t="n">
        <v>1051</v>
      </c>
      <c r="L341" s="30" t="n">
        <v>23</v>
      </c>
      <c r="M341" s="30" t="inlineStr">
        <is>
          <t>Outperforming</t>
        </is>
      </c>
      <c r="N341" s="31">
        <f>IF(M341="Underperforming",-5,IF(L341&gt;=95,15,IF(L341&gt;=90,10,IF(L341&gt;=80,5,0))))</f>
        <v/>
      </c>
      <c r="O341" s="31" t="n">
        <v>63.38</v>
      </c>
      <c r="P341" s="31" t="n">
        <v>23.74</v>
      </c>
      <c r="Q341" s="31" t="n">
        <v>736.86</v>
      </c>
      <c r="R341" s="30" t="inlineStr">
        <is>
          <t>Earnings / Momentum Support</t>
        </is>
      </c>
      <c r="S341" s="30" t="inlineStr">
        <is>
          <t>Nifty Realty</t>
        </is>
      </c>
      <c r="T341" s="31" t="n">
        <v>-6.47</v>
      </c>
      <c r="U341" s="31" t="n">
        <v>-0.57</v>
      </c>
      <c r="V341" s="31" t="n">
        <v>6.31</v>
      </c>
      <c r="W341" s="31" t="n">
        <v>5.33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20 to 40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No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More than 1.2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IF(B342=0,"",RANK(B342,$B$2:$B$395,0))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BALKRISIND</t>
        </is>
      </c>
      <c r="D342" s="32" t="inlineStr">
        <is>
          <t>Balkrishna Industries Limited</t>
        </is>
      </c>
      <c r="E342" s="30" t="inlineStr">
        <is>
          <t>auto</t>
        </is>
      </c>
      <c r="F342" s="30" t="inlineStr">
        <is>
          <t>tyres</t>
        </is>
      </c>
      <c r="G342" s="30" t="inlineStr">
        <is>
          <t>largecap</t>
        </is>
      </c>
      <c r="H342" s="31" t="n">
        <v>48804.86</v>
      </c>
      <c r="I342" s="31" t="n">
        <v>2500</v>
      </c>
      <c r="J342" s="31" t="n">
        <v>-0.97</v>
      </c>
      <c r="K342" s="31" t="n">
        <v>82830</v>
      </c>
      <c r="L342" s="30" t="n">
        <v>10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58.96</v>
      </c>
      <c r="P342" s="31" t="n">
        <v>14.78</v>
      </c>
      <c r="Q342" s="31" t="n">
        <v>1980.11</v>
      </c>
      <c r="R342" s="30" t="inlineStr">
        <is>
          <t>Earnings / Momentum Support</t>
        </is>
      </c>
      <c r="S342" s="30" t="inlineStr">
        <is>
          <t>Nifty Auto</t>
        </is>
      </c>
      <c r="T342" s="31" t="n">
        <v>23.87</v>
      </c>
      <c r="U342" s="31" t="n">
        <v>-6.18</v>
      </c>
      <c r="V342" s="31" t="n">
        <v>-24.26</v>
      </c>
      <c r="W342" s="31" t="n">
        <v>1.67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Tailwind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Less than 12%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IF(B343=0,"",RANK(B343,$B$2:$B$395,0))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2" t="inlineStr">
        <is>
          <t>INDIGOPNTS</t>
        </is>
      </c>
      <c r="D343" s="32" t="inlineStr">
        <is>
          <t>Indigo Paints Ltd</t>
        </is>
      </c>
      <c r="E343" s="30" t="inlineStr">
        <is>
          <t>building materials</t>
        </is>
      </c>
      <c r="F343" s="30" t="inlineStr">
        <is>
          <t>paints / varnishes</t>
        </is>
      </c>
      <c r="G343" s="30" t="inlineStr">
        <is>
          <t>midcap</t>
        </is>
      </c>
      <c r="H343" s="31" t="n">
        <v>5440.75</v>
      </c>
      <c r="I343" s="31" t="n">
        <v>1127</v>
      </c>
      <c r="J343" s="31" t="n">
        <v>-1.24</v>
      </c>
      <c r="K343" s="31" t="n">
        <v>33132</v>
      </c>
      <c r="L343" s="30" t="n">
        <v>30</v>
      </c>
      <c r="M343" s="30" t="inlineStr">
        <is>
          <t>Underperforming</t>
        </is>
      </c>
      <c r="N343" s="31">
        <f>IF(M343="Underperforming",-5,IF(L343&gt;=95,15,IF(L343&gt;=90,10,IF(L343&gt;=80,5,0))))</f>
        <v/>
      </c>
      <c r="O343" s="31" t="n">
        <v>63.19</v>
      </c>
      <c r="P343" s="31" t="n">
        <v>13.14</v>
      </c>
      <c r="Q343" s="31" t="n">
        <v>906.16</v>
      </c>
      <c r="R343" s="30" t="inlineStr">
        <is>
          <t>Earnings / Momentum Support</t>
        </is>
      </c>
      <c r="S343" s="30" t="inlineStr">
        <is>
          <t>Nifty Infra</t>
        </is>
      </c>
      <c r="T343" s="31" t="n">
        <v>3.51</v>
      </c>
      <c r="U343" s="31" t="n">
        <v>-1</v>
      </c>
      <c r="V343" s="31" t="n">
        <v>-4.36</v>
      </c>
      <c r="W343" s="31" t="n">
        <v>7.22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Less than 12%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IF(B344=0,"",RANK(B344,$B$2:$B$395,0))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FOSECOIND</t>
        </is>
      </c>
      <c r="D344" s="30" t="inlineStr">
        <is>
          <t>Foseco India Limited</t>
        </is>
      </c>
      <c r="E344" s="30" t="inlineStr">
        <is>
          <t>chemicals</t>
        </is>
      </c>
      <c r="F344" s="30" t="inlineStr">
        <is>
          <t>chemicals</t>
        </is>
      </c>
      <c r="G344" s="30" t="inlineStr">
        <is>
          <t>smallcap</t>
        </is>
      </c>
      <c r="H344" s="31" t="n">
        <v>4199.01</v>
      </c>
      <c r="I344" s="31" t="n">
        <v>5500.5</v>
      </c>
      <c r="J344" s="31" t="n">
        <v>-1.27</v>
      </c>
      <c r="K344" s="31" t="n">
        <v>5850</v>
      </c>
      <c r="L344" s="30" t="n">
        <v>20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61.27</v>
      </c>
      <c r="P344" s="31" t="n">
        <v>18.52</v>
      </c>
      <c r="Q344" s="31" t="n">
        <v>4400</v>
      </c>
      <c r="R344" s="30" t="inlineStr">
        <is>
          <t>Earnings / Momentum Support</t>
        </is>
      </c>
      <c r="S344" s="30" t="inlineStr">
        <is>
          <t>Nifty 50</t>
        </is>
      </c>
      <c r="T344" s="31" t="n">
        <v>-0.65</v>
      </c>
      <c r="U344" s="31" t="n">
        <v>13.24</v>
      </c>
      <c r="V344" s="31" t="n">
        <v>13.98</v>
      </c>
      <c r="W344" s="31" t="n">
        <v>4.69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2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Less than 12%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Yes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IF(B345=0,"",RANK(B345,$B$2:$B$395,0))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2" t="inlineStr">
        <is>
          <t>M&amp;M</t>
        </is>
      </c>
      <c r="D345" s="32" t="inlineStr">
        <is>
          <t>Mahindra &amp; Mahindra Limited</t>
        </is>
      </c>
      <c r="E345" s="30" t="inlineStr">
        <is>
          <t>auto</t>
        </is>
      </c>
      <c r="F345" s="30" t="inlineStr">
        <is>
          <t>automobiles - passenger cars</t>
        </is>
      </c>
      <c r="G345" s="30" t="inlineStr">
        <is>
          <t>largecap</t>
        </is>
      </c>
      <c r="H345" s="31" t="n">
        <v>437349.09</v>
      </c>
      <c r="I345" s="31" t="n">
        <v>3460.1</v>
      </c>
      <c r="J345" s="31" t="n">
        <v>-1.62</v>
      </c>
      <c r="K345" s="31" t="n">
        <v>4439555</v>
      </c>
      <c r="L345" s="30" t="n">
        <v>22</v>
      </c>
      <c r="M345" s="30" t="inlineStr">
        <is>
          <t>Underperforming</t>
        </is>
      </c>
      <c r="N345" s="31">
        <f>IF(M345="Underperforming",-5,IF(L345&gt;=95,15,IF(L345&gt;=90,10,IF(L345&gt;=80,5,0))))</f>
        <v/>
      </c>
      <c r="O345" s="31" t="n">
        <v>60.3</v>
      </c>
      <c r="P345" s="31" t="n">
        <v>12.53</v>
      </c>
      <c r="Q345" s="31" t="n">
        <v>2993.45</v>
      </c>
      <c r="R345" s="30" t="inlineStr">
        <is>
          <t>Earnings / Momentum Support</t>
        </is>
      </c>
      <c r="S345" s="30" t="inlineStr">
        <is>
          <t>Nifty Auto</t>
        </is>
      </c>
      <c r="T345" s="31" t="n">
        <v>23.87</v>
      </c>
      <c r="U345" s="31" t="n">
        <v>7.7</v>
      </c>
      <c r="V345" s="31" t="n">
        <v>-13.05</v>
      </c>
      <c r="W345" s="31" t="n">
        <v>5.06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More than 20%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Less than 1.5</t>
        </is>
      </c>
      <c r="BU345" s="30">
        <f>IF(BT345="Above 2",0,IF(BT345="Between 1.5 to 2",5,IF(BT345="Less than 1.5",10,0)))</f>
        <v/>
      </c>
      <c r="BV345" s="30" t="inlineStr">
        <is>
          <t>Above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More than 1.2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IF(B346=0,"",RANK(B346,$B$2:$B$395,0))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0" t="inlineStr">
        <is>
          <t>PTCIL</t>
        </is>
      </c>
      <c r="D346" s="30" t="inlineStr">
        <is>
          <t>PTC Industries Ltd</t>
        </is>
      </c>
      <c r="E346" s="30" t="inlineStr">
        <is>
          <t>industrials</t>
        </is>
      </c>
      <c r="F346" s="30" t="inlineStr">
        <is>
          <t>castings &amp; forgings</t>
        </is>
      </c>
      <c r="G346" s="30" t="inlineStr">
        <is>
          <t>largecap</t>
        </is>
      </c>
      <c r="H346" s="31" t="n">
        <v>29040.57</v>
      </c>
      <c r="I346" s="31" t="n">
        <v>18906</v>
      </c>
      <c r="J346" s="31" t="n">
        <v>-2.4</v>
      </c>
      <c r="K346" s="31" t="n">
        <v>9492</v>
      </c>
      <c r="L346" s="30" t="n">
        <v>43</v>
      </c>
      <c r="M346" s="30" t="inlineStr">
        <is>
          <t>Outperforming</t>
        </is>
      </c>
      <c r="N346" s="31">
        <f>IF(M346="Underperforming",-5,IF(L346&gt;=95,15,IF(L346&gt;=90,10,IF(L346&gt;=80,5,0))))</f>
        <v/>
      </c>
      <c r="O346" s="31" t="n">
        <v>60.46</v>
      </c>
      <c r="P346" s="31" t="n">
        <v>19.6</v>
      </c>
      <c r="Q346" s="31" t="n">
        <v>15376.21</v>
      </c>
      <c r="R346" s="30" t="inlineStr">
        <is>
          <t>Near 52W High Breakout</t>
        </is>
      </c>
      <c r="S346" s="30" t="inlineStr">
        <is>
          <t>Nifty 50</t>
        </is>
      </c>
      <c r="T346" s="31" t="n">
        <v>-0.65</v>
      </c>
      <c r="U346" s="31" t="n">
        <v>37.69</v>
      </c>
      <c r="V346" s="31" t="n">
        <v>38.59</v>
      </c>
      <c r="W346" s="31" t="n">
        <v>9.69</v>
      </c>
      <c r="X346" s="30" t="inlineStr">
        <is>
          <t>Cyclical in an Upturn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Yes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0 to 20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Blue sky scenario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Yes</t>
        </is>
      </c>
      <c r="BS346" s="30">
        <f>IF(BR346="NO",5,0)</f>
        <v/>
      </c>
      <c r="BT346" s="30" t="inlineStr">
        <is>
          <t>Above 2</t>
        </is>
      </c>
      <c r="BU346" s="30">
        <f>IF(BT346="Above 2",0,IF(BT346="Between 1.5 to 2",5,IF(BT346="Less than 1.5",10,0)))</f>
        <v/>
      </c>
      <c r="BV346" s="30" t="inlineStr">
        <is>
          <t>Negative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IF(B347=0,"",RANK(B347,$B$2:$B$395,0))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RITES</t>
        </is>
      </c>
      <c r="D347" s="32" t="inlineStr">
        <is>
          <t>Rites Ltd</t>
        </is>
      </c>
      <c r="E347" s="30" t="inlineStr">
        <is>
          <t>miscellaneous</t>
        </is>
      </c>
      <c r="F347" s="30" t="inlineStr">
        <is>
          <t>miscellaneous</t>
        </is>
      </c>
      <c r="G347" s="30" t="inlineStr">
        <is>
          <t>midcap</t>
        </is>
      </c>
      <c r="H347" s="31" t="n">
        <v>11190.38</v>
      </c>
      <c r="I347" s="31" t="n">
        <v>226.67</v>
      </c>
      <c r="J347" s="31" t="n">
        <v>-2.65</v>
      </c>
      <c r="K347" s="31" t="n">
        <v>451527</v>
      </c>
      <c r="L347" s="30" t="n">
        <v>7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54.85</v>
      </c>
      <c r="P347" s="31" t="n">
        <v>14.7</v>
      </c>
      <c r="Q347" s="31" t="n">
        <v>187.4</v>
      </c>
      <c r="R347" s="30" t="inlineStr">
        <is>
          <t>Earnings / Momentum Support</t>
        </is>
      </c>
      <c r="S347" s="30" t="inlineStr">
        <is>
          <t>Nifty 50</t>
        </is>
      </c>
      <c r="T347" s="31" t="n">
        <v>-0.65</v>
      </c>
      <c r="U347" s="31" t="n">
        <v>-6.55</v>
      </c>
      <c r="V347" s="31" t="n">
        <v>-5.94</v>
      </c>
      <c r="W347" s="31" t="n">
        <v>0.43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0 to 20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2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Less than 12%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Above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IF(B348=0,"",RANK(B348,$B$2:$B$395,0))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2" t="inlineStr">
        <is>
          <t>ABBOTINDIA</t>
        </is>
      </c>
      <c r="D348" s="32" t="inlineStr">
        <is>
          <t>Abbott India Limited</t>
        </is>
      </c>
      <c r="E348" s="30" t="inlineStr">
        <is>
          <t>healthcare</t>
        </is>
      </c>
      <c r="F348" s="30" t="inlineStr">
        <is>
          <t>pharmaceuticals - multinational</t>
        </is>
      </c>
      <c r="G348" s="30" t="inlineStr">
        <is>
          <t>largecap</t>
        </is>
      </c>
      <c r="H348" s="31" t="n">
        <v>58509.95</v>
      </c>
      <c r="I348" s="31" t="n">
        <v>28020</v>
      </c>
      <c r="J348" s="31" t="n">
        <v>1.76</v>
      </c>
      <c r="K348" s="31" t="n">
        <v>8477</v>
      </c>
      <c r="L348" s="30" t="n">
        <v>1</v>
      </c>
      <c r="M348" s="30" t="inlineStr">
        <is>
          <t>Underperforming</t>
        </is>
      </c>
      <c r="N348" s="31">
        <f>IF(M348="Underperforming",-5,IF(L348&gt;=95,15,IF(L348&gt;=90,10,IF(L348&gt;=80,5,0))))</f>
        <v/>
      </c>
      <c r="O348" s="31" t="n">
        <v>59.39</v>
      </c>
      <c r="P348" s="31" t="n">
        <v>17.04</v>
      </c>
      <c r="Q348" s="31" t="n">
        <v>24800.88</v>
      </c>
      <c r="R348" s="30" t="inlineStr">
        <is>
          <t>Earnings / Momentum Support</t>
        </is>
      </c>
      <c r="S348" s="30" t="inlineStr">
        <is>
          <t>Nifty Pharma</t>
        </is>
      </c>
      <c r="T348" s="31" t="n">
        <v>20.76</v>
      </c>
      <c r="U348" s="31" t="n">
        <v>-13.8</v>
      </c>
      <c r="V348" s="31" t="n">
        <v>-28.62</v>
      </c>
      <c r="W348" s="31" t="n">
        <v>-2.15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Yes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Annuity, Lower One Time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2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Less than 12%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Above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IF(B349=0,"",RANK(B349,$B$2:$B$395,0))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PFIZER</t>
        </is>
      </c>
      <c r="D349" s="32" t="inlineStr">
        <is>
          <t>Pfizer Limited</t>
        </is>
      </c>
      <c r="E349" s="30" t="inlineStr">
        <is>
          <t>healthcare</t>
        </is>
      </c>
      <c r="F349" s="30" t="inlineStr">
        <is>
          <t>pharmaceuticals - multinational</t>
        </is>
      </c>
      <c r="G349" s="30" t="inlineStr">
        <is>
          <t>largecap</t>
        </is>
      </c>
      <c r="H349" s="31" t="n">
        <v>22313.91</v>
      </c>
      <c r="I349" s="31" t="n">
        <v>4898.5</v>
      </c>
      <c r="J349" s="31" t="n">
        <v>0.43</v>
      </c>
      <c r="K349" s="31" t="n">
        <v>30222</v>
      </c>
      <c r="L349" s="30" t="n">
        <v>2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57.26</v>
      </c>
      <c r="P349" s="31" t="n">
        <v>11.97</v>
      </c>
      <c r="Q349" s="31" t="n">
        <v>4230.77</v>
      </c>
      <c r="R349" s="30" t="inlineStr">
        <is>
          <t>Earnings / Momentum Support</t>
        </is>
      </c>
      <c r="S349" s="30" t="inlineStr">
        <is>
          <t>Nifty Pharma</t>
        </is>
      </c>
      <c r="T349" s="31" t="n">
        <v>20.76</v>
      </c>
      <c r="U349" s="31" t="n">
        <v>-6.57</v>
      </c>
      <c r="V349" s="31" t="n">
        <v>-22.63</v>
      </c>
      <c r="W349" s="31" t="n">
        <v>-1.24</v>
      </c>
      <c r="X349" s="30" t="inlineStr">
        <is>
          <t>Growing Industry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Yes</t>
        </is>
      </c>
      <c r="AC349" s="30">
        <f>IF(AB349="No",5,0)</f>
        <v/>
      </c>
      <c r="AD349" s="30" t="inlineStr">
        <is>
          <t>Tailwind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Annuity, Lower One Time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Less than 12%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No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IF(B350=0,"",RANK(B350,$B$2:$B$395,0))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CIPLA</t>
        </is>
      </c>
      <c r="D350" s="32" t="inlineStr">
        <is>
          <t>Cipla Limited</t>
        </is>
      </c>
      <c r="E350" s="30" t="inlineStr">
        <is>
          <t>healthcare</t>
        </is>
      </c>
      <c r="F350" s="30" t="inlineStr">
        <is>
          <t>pharmaceuticals - indian - bulk drugs &amp; formln</t>
        </is>
      </c>
      <c r="G350" s="30" t="inlineStr">
        <is>
          <t>largecap</t>
        </is>
      </c>
      <c r="H350" s="31" t="n">
        <v>118567.46</v>
      </c>
      <c r="I350" s="31" t="n">
        <v>1463</v>
      </c>
      <c r="J350" s="31" t="n">
        <v>-0.32</v>
      </c>
      <c r="K350" s="31" t="n">
        <v>1868778</v>
      </c>
      <c r="L350" s="30" t="n">
        <v>5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59.13</v>
      </c>
      <c r="P350" s="31" t="n">
        <v>9.25</v>
      </c>
      <c r="Q350" s="31" t="n">
        <v>1283.12</v>
      </c>
      <c r="R350" s="30" t="inlineStr">
        <is>
          <t>Earnings / Momentum Support</t>
        </is>
      </c>
      <c r="S350" s="30" t="inlineStr">
        <is>
          <t>Nifty Pharma</t>
        </is>
      </c>
      <c r="T350" s="31" t="n">
        <v>20.76</v>
      </c>
      <c r="U350" s="31" t="n">
        <v>-5.58</v>
      </c>
      <c r="V350" s="31" t="n">
        <v>-21.81</v>
      </c>
      <c r="W350" s="31" t="n">
        <v>-0.27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Yes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Annuity, Lower One Time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No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Above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IF(B351=0,"",RANK(B351,$B$2:$B$395,0))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LIKHITHA</t>
        </is>
      </c>
      <c r="D351" s="32" t="inlineStr">
        <is>
          <t>Likhitha Infrastructure Ltd</t>
        </is>
      </c>
      <c r="E351" s="30" t="inlineStr">
        <is>
          <t>realty</t>
        </is>
      </c>
      <c r="F351" s="30" t="inlineStr">
        <is>
          <t>construction</t>
        </is>
      </c>
      <c r="G351" s="30" t="inlineStr">
        <is>
          <t>smallcap</t>
        </is>
      </c>
      <c r="H351" s="31" t="n">
        <v>893.98</v>
      </c>
      <c r="I351" s="31" t="n">
        <v>243.59</v>
      </c>
      <c r="J351" s="31" t="n">
        <v>7.49</v>
      </c>
      <c r="K351" s="31" t="n">
        <v>118149</v>
      </c>
      <c r="L351" s="30" t="n">
        <v>11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58.44</v>
      </c>
      <c r="P351" s="31" t="n">
        <v>21.7</v>
      </c>
      <c r="Q351" s="31" t="n">
        <v>193.2</v>
      </c>
      <c r="R351" s="30" t="inlineStr">
        <is>
          <t>Earnings / Momentum Support</t>
        </is>
      </c>
      <c r="S351" s="30" t="inlineStr">
        <is>
          <t>Nifty Realty</t>
        </is>
      </c>
      <c r="T351" s="31" t="n">
        <v>-6.47</v>
      </c>
      <c r="U351" s="31" t="n">
        <v>-10.63</v>
      </c>
      <c r="V351" s="31" t="n">
        <v>-4.44</v>
      </c>
      <c r="W351" s="31" t="n">
        <v>1.96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20 to 40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2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Less than 12%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No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Negative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IF(B352=0,"",RANK(B352,$B$2:$B$395,0))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DDEVPLSTIK</t>
        </is>
      </c>
      <c r="D352" s="30" t="inlineStr">
        <is>
          <t>DDev Plastiks Industries Ltd</t>
        </is>
      </c>
      <c r="E352" s="30" t="inlineStr">
        <is>
          <t>chemicals</t>
        </is>
      </c>
      <c r="F352" s="30" t="inlineStr">
        <is>
          <t>chemicals</t>
        </is>
      </c>
      <c r="G352" s="30" t="inlineStr">
        <is>
          <t>smallcap</t>
        </is>
      </c>
      <c r="H352" s="31" t="n">
        <v>2957.36</v>
      </c>
      <c r="I352" s="31" t="n">
        <v>290.3</v>
      </c>
      <c r="J352" s="31" t="n">
        <v>1.57</v>
      </c>
      <c r="K352" s="31" t="n">
        <v>864665</v>
      </c>
      <c r="L352" s="30" t="n">
        <v>15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58.25</v>
      </c>
      <c r="P352" s="31" t="n">
        <v>12.72</v>
      </c>
      <c r="Q352" s="31" t="n">
        <v>216.73</v>
      </c>
      <c r="R352" s="30" t="inlineStr">
        <is>
          <t>Earnings / Momentum Support</t>
        </is>
      </c>
      <c r="S352" s="30" t="inlineStr">
        <is>
          <t>Nifty IT</t>
        </is>
      </c>
      <c r="T352" s="31" t="n">
        <v>-8.640000000000001</v>
      </c>
      <c r="U352" s="31" t="n">
        <v>-8.289999999999999</v>
      </c>
      <c r="V352" s="31" t="n">
        <v>0.39</v>
      </c>
      <c r="W352" s="31" t="n">
        <v>3.05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Less than 12%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Less than 50%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IF(B353=0,"",RANK(B353,$B$2:$B$395,0))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2" t="inlineStr">
        <is>
          <t>WINDMACHIN</t>
        </is>
      </c>
      <c r="D353" s="32" t="inlineStr">
        <is>
          <t>Windsor Machines Limited</t>
        </is>
      </c>
      <c r="E353" s="30" t="inlineStr">
        <is>
          <t>industrials</t>
        </is>
      </c>
      <c r="F353" s="30" t="inlineStr">
        <is>
          <t>engineering</t>
        </is>
      </c>
      <c r="G353" s="30" t="inlineStr">
        <is>
          <t>smallcap</t>
        </is>
      </c>
      <c r="H353" s="31" t="n">
        <v>3088.94</v>
      </c>
      <c r="I353" s="31" t="n">
        <v>302.6</v>
      </c>
      <c r="J353" s="31" t="n">
        <v>-0.35</v>
      </c>
      <c r="K353" s="31" t="n">
        <v>143872</v>
      </c>
      <c r="L353" s="30" t="n">
        <v>4</v>
      </c>
      <c r="M353" s="30" t="inlineStr">
        <is>
          <t>Underperforming</t>
        </is>
      </c>
      <c r="N353" s="31">
        <f>IF(M353="Underperforming",-5,IF(L353&gt;=95,15,IF(L353&gt;=90,10,IF(L353&gt;=80,5,0))))</f>
        <v/>
      </c>
      <c r="O353" s="31" t="n">
        <v>53.98</v>
      </c>
      <c r="P353" s="31" t="n">
        <v>22.19</v>
      </c>
      <c r="Q353" s="31" t="n">
        <v>237.94</v>
      </c>
      <c r="R353" s="30" t="inlineStr">
        <is>
          <t>Earnings / Momentum Support</t>
        </is>
      </c>
      <c r="S353" s="30" t="inlineStr">
        <is>
          <t>Nifty Infra</t>
        </is>
      </c>
      <c r="T353" s="31" t="n">
        <v>3.51</v>
      </c>
      <c r="U353" s="31" t="n">
        <v>-11.93</v>
      </c>
      <c r="V353" s="31" t="n">
        <v>-14.92</v>
      </c>
      <c r="W353" s="31" t="n">
        <v>-0.43</v>
      </c>
      <c r="X353" s="30" t="inlineStr">
        <is>
          <t>Cyclical in an Upturn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20 to 40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2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Yes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Negative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Less than 0.7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IF(B354=0,"",RANK(B354,$B$2:$B$395,0))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2" t="inlineStr">
        <is>
          <t>MAZDOCK</t>
        </is>
      </c>
      <c r="D354" s="32" t="inlineStr">
        <is>
          <t>Mazagon Dock Shipbuilders Ltd</t>
        </is>
      </c>
      <c r="E354" s="30" t="inlineStr">
        <is>
          <t>aerospace &amp; defence</t>
        </is>
      </c>
      <c r="F354" s="30" t="inlineStr">
        <is>
          <t>miscellaneous</t>
        </is>
      </c>
      <c r="G354" s="30" t="inlineStr">
        <is>
          <t>largecap</t>
        </is>
      </c>
      <c r="H354" s="31" t="n">
        <v>103870.35</v>
      </c>
      <c r="I354" s="31" t="n">
        <v>2554</v>
      </c>
      <c r="J354" s="31" t="n">
        <v>-0.82</v>
      </c>
      <c r="K354" s="31" t="n">
        <v>1250065</v>
      </c>
      <c r="L354" s="30" t="n">
        <v>5</v>
      </c>
      <c r="M354" s="30" t="inlineStr">
        <is>
          <t>Underperforming</t>
        </is>
      </c>
      <c r="N354" s="31">
        <f>IF(M354="Underperforming",-5,IF(L354&gt;=95,15,IF(L354&gt;=90,10,IF(L354&gt;=80,5,0))))</f>
        <v/>
      </c>
      <c r="O354" s="31" t="n">
        <v>53.73</v>
      </c>
      <c r="P354" s="31" t="n">
        <v>7.35</v>
      </c>
      <c r="Q354" s="31" t="n">
        <v>2072.3</v>
      </c>
      <c r="R354" s="30" t="inlineStr">
        <is>
          <t>Earnings / Momentum Support</t>
        </is>
      </c>
      <c r="S354" s="30" t="inlineStr">
        <is>
          <t>Nifty 50</t>
        </is>
      </c>
      <c r="T354" s="31" t="n">
        <v>-0.65</v>
      </c>
      <c r="U354" s="31" t="n">
        <v>-5.57</v>
      </c>
      <c r="V354" s="31" t="n">
        <v>-4.95</v>
      </c>
      <c r="W354" s="31" t="n">
        <v>-0.26</v>
      </c>
      <c r="X354" s="30" t="inlineStr">
        <is>
          <t>Growing Industry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1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More than 20%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Between 1.5 to 2</t>
        </is>
      </c>
      <c r="BU354" s="30">
        <f>IF(BT354="Above 2",0,IF(BT354="Between 1.5 to 2",5,IF(BT354="Less than 1.5",10,0)))</f>
        <v/>
      </c>
      <c r="BV354" s="30" t="inlineStr">
        <is>
          <t>Above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IF(B355=0,"",RANK(B355,$B$2:$B$395,0))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0" t="inlineStr">
        <is>
          <t>SCHNEIDER</t>
        </is>
      </c>
      <c r="D355" s="30" t="inlineStr">
        <is>
          <t>Schneider Electric Infrastructure Limited</t>
        </is>
      </c>
      <c r="E355" s="30" t="inlineStr">
        <is>
          <t>industrials</t>
        </is>
      </c>
      <c r="F355" s="30" t="inlineStr">
        <is>
          <t>electric equipment</t>
        </is>
      </c>
      <c r="G355" s="30" t="inlineStr">
        <is>
          <t>largecap</t>
        </is>
      </c>
      <c r="H355" s="31" t="n">
        <v>34069.93</v>
      </c>
      <c r="I355" s="31" t="n">
        <v>1402.5</v>
      </c>
      <c r="J355" s="31" t="n">
        <v>-1.57</v>
      </c>
      <c r="K355" s="31" t="n">
        <v>289741</v>
      </c>
      <c r="L355" s="30" t="n">
        <v>57</v>
      </c>
      <c r="M355" s="30" t="inlineStr">
        <is>
          <t>Outperforming</t>
        </is>
      </c>
      <c r="N355" s="31">
        <f>IF(M355="Underperforming",-5,IF(L355&gt;=95,15,IF(L355&gt;=90,10,IF(L355&gt;=80,5,0))))</f>
        <v/>
      </c>
      <c r="O355" s="31" t="n">
        <v>62.14</v>
      </c>
      <c r="P355" s="31" t="n">
        <v>33.71</v>
      </c>
      <c r="Q355" s="31" t="n">
        <v>1110.13</v>
      </c>
      <c r="R355" s="30" t="inlineStr">
        <is>
          <t>Earnings / Momentum Support</t>
        </is>
      </c>
      <c r="S355" s="30" t="inlineStr">
        <is>
          <t>Nifty 50</t>
        </is>
      </c>
      <c r="T355" s="31" t="n">
        <v>-0.65</v>
      </c>
      <c r="U355" s="31" t="n">
        <v>61.11</v>
      </c>
      <c r="V355" s="31" t="n">
        <v>62.16</v>
      </c>
      <c r="W355" s="31" t="n">
        <v>14.22</v>
      </c>
      <c r="X355" s="30" t="inlineStr">
        <is>
          <t>Cyclical in an Upturn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20 to 40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2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Yes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Between 50% to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Between 0.7 to 1.2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IF(B356=0,"",RANK(B356,$B$2:$B$395,0))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ENGINERSIN</t>
        </is>
      </c>
      <c r="D356" s="30" t="inlineStr">
        <is>
          <t>Engineers India Limited</t>
        </is>
      </c>
      <c r="E356" s="30" t="inlineStr">
        <is>
          <t>realty</t>
        </is>
      </c>
      <c r="F356" s="30" t="inlineStr">
        <is>
          <t>engineering - turnkey services</t>
        </is>
      </c>
      <c r="G356" s="30" t="inlineStr">
        <is>
          <t>midcap</t>
        </is>
      </c>
      <c r="H356" s="31" t="n">
        <v>13936.4</v>
      </c>
      <c r="I356" s="31" t="n">
        <v>242.99</v>
      </c>
      <c r="J356" s="31" t="n">
        <v>-2</v>
      </c>
      <c r="K356" s="31" t="n">
        <v>1930678</v>
      </c>
      <c r="L356" s="30" t="n">
        <v>16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56.89</v>
      </c>
      <c r="P356" s="31" t="n">
        <v>11.41</v>
      </c>
      <c r="Q356" s="31" t="n">
        <v>196.88</v>
      </c>
      <c r="R356" s="30" t="inlineStr">
        <is>
          <t>Earnings / Momentum Support</t>
        </is>
      </c>
      <c r="S356" s="30" t="inlineStr">
        <is>
          <t>Nifty Realty</t>
        </is>
      </c>
      <c r="T356" s="31" t="n">
        <v>-6.47</v>
      </c>
      <c r="U356" s="31" t="n">
        <v>8.34</v>
      </c>
      <c r="V356" s="31" t="n">
        <v>15.83</v>
      </c>
      <c r="W356" s="31" t="n">
        <v>3.71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No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2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Less than 12%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No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Less than 50%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Less than 0.7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IF(B357=0,"",RANK(B357,$B$2:$B$395,0))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2" t="inlineStr">
        <is>
          <t>RELAXO</t>
        </is>
      </c>
      <c r="D357" s="32" t="inlineStr">
        <is>
          <t>Relaxo Footwears Limited</t>
        </is>
      </c>
      <c r="E357" s="30" t="inlineStr">
        <is>
          <t>consumer discretionary</t>
        </is>
      </c>
      <c r="F357" s="30" t="inlineStr">
        <is>
          <t>leather / leather products</t>
        </is>
      </c>
      <c r="G357" s="30" t="inlineStr">
        <is>
          <t>midcap</t>
        </is>
      </c>
      <c r="H357" s="31" t="n">
        <v>10566.2</v>
      </c>
      <c r="I357" s="31" t="n">
        <v>422</v>
      </c>
      <c r="J357" s="31" t="n">
        <v>-0.58</v>
      </c>
      <c r="K357" s="31" t="n">
        <v>120291</v>
      </c>
      <c r="L357" s="30" t="n">
        <v>47</v>
      </c>
      <c r="M357" s="30" t="inlineStr">
        <is>
          <t>Underperforming</t>
        </is>
      </c>
      <c r="N357" s="31">
        <f>IF(M357="Underperforming",-5,IF(L357&gt;=95,15,IF(L357&gt;=90,10,IF(L357&gt;=80,5,0))))</f>
        <v/>
      </c>
      <c r="O357" s="31" t="n">
        <v>60.41</v>
      </c>
      <c r="P357" s="31" t="n">
        <v>28.39</v>
      </c>
      <c r="Q357" s="31" t="n">
        <v>335.5</v>
      </c>
      <c r="R357" s="30" t="inlineStr">
        <is>
          <t>Earnings / Momentum Support</t>
        </is>
      </c>
      <c r="S357" s="30" t="inlineStr">
        <is>
          <t>Nifty 50</t>
        </is>
      </c>
      <c r="T357" s="31" t="n">
        <v>-0.65</v>
      </c>
      <c r="U357" s="31" t="n">
        <v>-2.81</v>
      </c>
      <c r="V357" s="31" t="n">
        <v>-2.18</v>
      </c>
      <c r="W357" s="31" t="n">
        <v>11.04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Tailwind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20 to 40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2</t>
        </is>
      </c>
      <c r="BC357" s="30">
        <f>IF(BB357="Stage 2",20,IF(BB357="Stage 1",0,IF(BB357="Stage 3",5,IF(BB357="Stage 4",-5,0))))</f>
        <v/>
      </c>
      <c r="BD357" s="30" t="inlineStr">
        <is>
          <t>Negative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Yes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Above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Less than 0.7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IF(B358=0,"",RANK(B358,$B$2:$B$395,0))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RITCO</t>
        </is>
      </c>
      <c r="D358" s="30" t="inlineStr">
        <is>
          <t>Ritco Logistics Ltd</t>
        </is>
      </c>
      <c r="E358" s="30" t="inlineStr">
        <is>
          <t>transportation</t>
        </is>
      </c>
      <c r="F358" s="30" t="inlineStr">
        <is>
          <t>miscellaneous</t>
        </is>
      </c>
      <c r="G358" s="30" t="inlineStr">
        <is>
          <t>smallcap</t>
        </is>
      </c>
      <c r="H358" s="31" t="n">
        <v>876.4299999999999</v>
      </c>
      <c r="I358" s="31" t="n">
        <v>303</v>
      </c>
      <c r="J358" s="31" t="n">
        <v>-1.05</v>
      </c>
      <c r="K358" s="31" t="n">
        <v>101548</v>
      </c>
      <c r="L358" s="30" t="n">
        <v>21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64.92</v>
      </c>
      <c r="P358" s="31" t="n">
        <v>37.87</v>
      </c>
      <c r="Q358" s="31" t="n">
        <v>229.4</v>
      </c>
      <c r="R358" s="30" t="inlineStr">
        <is>
          <t>Near 52W High Breakout</t>
        </is>
      </c>
      <c r="S358" s="30" t="inlineStr">
        <is>
          <t>Nifty 50</t>
        </is>
      </c>
      <c r="T358" s="31" t="n">
        <v>-0.65</v>
      </c>
      <c r="U358" s="31" t="n">
        <v>9.970000000000001</v>
      </c>
      <c r="V358" s="31" t="n">
        <v>10.68</v>
      </c>
      <c r="W358" s="31" t="n">
        <v>4.72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Tailwind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Yes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20 to 40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2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Less than 12%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No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Negative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More than 1.2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IF(B359=0,"",RANK(B359,$B$2:$B$395,0))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0" t="inlineStr">
        <is>
          <t>SGIL</t>
        </is>
      </c>
      <c r="D359" s="30" t="inlineStr">
        <is>
          <t>Synergy Green Industries Ltd</t>
        </is>
      </c>
      <c r="E359" s="30" t="inlineStr">
        <is>
          <t>industrials</t>
        </is>
      </c>
      <c r="F359" s="30" t="inlineStr">
        <is>
          <t>castings &amp; forgings</t>
        </is>
      </c>
      <c r="G359" s="30" t="inlineStr">
        <is>
          <t>smallcap</t>
        </is>
      </c>
      <c r="H359" s="31" t="n">
        <v>960.4</v>
      </c>
      <c r="I359" s="31" t="n">
        <v>608</v>
      </c>
      <c r="J359" s="31" t="n">
        <v>-1.6</v>
      </c>
      <c r="K359" s="31" t="n">
        <v>4070</v>
      </c>
      <c r="L359" s="30" t="n">
        <v>18</v>
      </c>
      <c r="M359" s="30" t="inlineStr">
        <is>
          <t>Outperforming</t>
        </is>
      </c>
      <c r="N359" s="31">
        <f>IF(M359="Underperforming",-5,IF(L359&gt;=95,15,IF(L359&gt;=90,10,IF(L359&gt;=80,5,0))))</f>
        <v/>
      </c>
      <c r="O359" s="31" t="n">
        <v>61.18</v>
      </c>
      <c r="P359" s="31" t="n">
        <v>23.14</v>
      </c>
      <c r="Q359" s="31" t="n">
        <v>471.43</v>
      </c>
      <c r="R359" s="30" t="inlineStr">
        <is>
          <t>Near 52W High Breakout</t>
        </is>
      </c>
      <c r="S359" s="30" t="inlineStr">
        <is>
          <t>Nifty 50</t>
        </is>
      </c>
      <c r="T359" s="31" t="n">
        <v>-0.65</v>
      </c>
      <c r="U359" s="31" t="n">
        <v>12.37</v>
      </c>
      <c r="V359" s="31" t="n">
        <v>13.1</v>
      </c>
      <c r="W359" s="31" t="n">
        <v>4.43</v>
      </c>
      <c r="X359" s="30" t="inlineStr">
        <is>
          <t>Cyclical in an Upturn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Yes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20 to 40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2</t>
        </is>
      </c>
      <c r="BC359" s="30">
        <f>IF(BB359="Stage 2",20,IF(BB359="Stage 1",0,IF(BB359="Stage 3",5,IF(BB359="Stage 4",-5,0))))</f>
        <v/>
      </c>
      <c r="BD359" s="30" t="inlineStr">
        <is>
          <t>Positive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Blue sky scenario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Less than 12%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Yes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Less than 50% and Borrowings are increasing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More than 1.2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IF(B360=0,"",RANK(B360,$B$2:$B$395,0))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KOLTEPATIL</t>
        </is>
      </c>
      <c r="D360" s="30" t="inlineStr">
        <is>
          <t>Kolte - Patil Developers Limited</t>
        </is>
      </c>
      <c r="E360" s="30" t="inlineStr">
        <is>
          <t>realty</t>
        </is>
      </c>
      <c r="F360" s="30" t="inlineStr">
        <is>
          <t>construction</t>
        </is>
      </c>
      <c r="G360" s="30" t="inlineStr">
        <is>
          <t>smallcap</t>
        </is>
      </c>
      <c r="H360" s="31" t="n">
        <v>4098.79</v>
      </c>
      <c r="I360" s="31" t="n">
        <v>516.6</v>
      </c>
      <c r="J360" s="31" t="n">
        <v>11.77</v>
      </c>
      <c r="K360" s="31" t="n">
        <v>12115889</v>
      </c>
      <c r="L360" s="30" t="n">
        <v>50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76.3</v>
      </c>
      <c r="P360" s="31" t="n">
        <v>15.98</v>
      </c>
      <c r="Q360" s="31" t="n">
        <v>405.51</v>
      </c>
      <c r="R360" s="30" t="inlineStr">
        <is>
          <t>Volume Spike &amp; Near 52W High Breakout</t>
        </is>
      </c>
      <c r="S360" s="30" t="inlineStr">
        <is>
          <t>Nifty Realty</t>
        </is>
      </c>
      <c r="T360" s="31" t="n">
        <v>-6.47</v>
      </c>
      <c r="U360" s="31" t="n">
        <v>16.06</v>
      </c>
      <c r="V360" s="31" t="n">
        <v>24.09</v>
      </c>
      <c r="W360" s="31" t="n">
        <v>11.87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Yes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Above 75</t>
        </is>
      </c>
      <c r="BA360" s="30">
        <f>IF(AZ360="Between 50 to 75",10,IF(AZ360="Above 75",0,0))</f>
        <v/>
      </c>
      <c r="BB360" s="30" t="inlineStr">
        <is>
          <t>Stage 2</t>
        </is>
      </c>
      <c r="BC360" s="30">
        <f>IF(BB360="Stage 2",20,IF(BB360="Stage 1",0,IF(BB360="Stage 3",5,IF(BB360="Stage 4",-5,0))))</f>
        <v/>
      </c>
      <c r="BD360" s="30" t="inlineStr">
        <is>
          <t>Positive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Blue sky scenario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More than 20%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Negative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Between 0.7 to 1.2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IF(B361=0,"",RANK(B361,$B$2:$B$395,0))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2" t="inlineStr">
        <is>
          <t>SADHNANIQ</t>
        </is>
      </c>
      <c r="D361" s="32" t="inlineStr">
        <is>
          <t>Sadhana Nitro Chem Ltd</t>
        </is>
      </c>
      <c r="E361" s="30" t="inlineStr">
        <is>
          <t>chemicals</t>
        </is>
      </c>
      <c r="F361" s="30" t="inlineStr">
        <is>
          <t>chemicals</t>
        </is>
      </c>
      <c r="G361" s="30" t="inlineStr">
        <is>
          <t>smallcap</t>
        </is>
      </c>
      <c r="H361" s="31" t="n">
        <v>939.8099999999999</v>
      </c>
      <c r="I361" s="31" t="n">
        <v>3.32</v>
      </c>
      <c r="J361" s="31" t="n">
        <v>4.73</v>
      </c>
      <c r="K361" s="31" t="n">
        <v>8427224</v>
      </c>
      <c r="L361" s="30" t="n">
        <v>42</v>
      </c>
      <c r="M361" s="30" t="inlineStr">
        <is>
          <t>Underperforming</t>
        </is>
      </c>
      <c r="N361" s="31">
        <f>IF(M361="Underperforming",-5,IF(L361&gt;=95,15,IF(L361&gt;=90,10,IF(L361&gt;=80,5,0))))</f>
        <v/>
      </c>
      <c r="O361" s="31" t="n">
        <v>49.04</v>
      </c>
      <c r="P361" s="31" t="n">
        <v>13.26</v>
      </c>
      <c r="Q361" s="31" t="n">
        <v>1.96</v>
      </c>
      <c r="R361" s="30" t="inlineStr">
        <is>
          <t>Earnings / Momentum Support</t>
        </is>
      </c>
      <c r="S361" s="30" t="inlineStr">
        <is>
          <t>Nifty 50</t>
        </is>
      </c>
      <c r="T361" s="31" t="n">
        <v>-0.65</v>
      </c>
      <c r="U361" s="31" t="n">
        <v>-47.22</v>
      </c>
      <c r="V361" s="31" t="n">
        <v>-46.87</v>
      </c>
      <c r="W361" s="31" t="n">
        <v>9.41</v>
      </c>
      <c r="X361" s="30" t="inlineStr">
        <is>
          <t>Growing Industry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Tailwind</t>
        </is>
      </c>
      <c r="AE361" s="30">
        <f>IF(AD361="Tailwind",10,0)</f>
        <v/>
      </c>
      <c r="AF361" s="30" t="inlineStr">
        <is>
          <t>Structural (10 Years Consistency)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Stable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0 to 20</t>
        </is>
      </c>
      <c r="AY361" s="30">
        <f>IF(AX361="Above 40",20,IF(AX361="20 to 40",10,IF(AX361="0 to 20",-5,0)))</f>
        <v/>
      </c>
      <c r="AZ361" s="30" t="inlineStr">
        <is>
          <t>Below 45</t>
        </is>
      </c>
      <c r="BA361" s="30">
        <f>IF(AZ361="Between 50 to 75",10,IF(AZ361="Above 75",0,0))</f>
        <v/>
      </c>
      <c r="BB361" s="30" t="inlineStr">
        <is>
          <t>Stage 4</t>
        </is>
      </c>
      <c r="BC361" s="30">
        <f>IF(BB361="Stage 2",20,IF(BB361="Stage 1",0,IF(BB361="Stage 3",5,IF(BB361="Stage 4",-5,0))))</f>
        <v/>
      </c>
      <c r="BD361" s="30" t="inlineStr">
        <is>
          <t>Positive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More than 20%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No</t>
        </is>
      </c>
      <c r="BS361" s="30">
        <f>IF(BR361="NO",5,0)</f>
        <v/>
      </c>
      <c r="BT361" s="30" t="inlineStr">
        <is>
          <t>Less than 1.5</t>
        </is>
      </c>
      <c r="BU361" s="30">
        <f>IF(BT361="Above 2",0,IF(BT361="Between 1.5 to 2",5,IF(BT361="Less than 1.5",10,0)))</f>
        <v/>
      </c>
      <c r="BV361" s="30" t="inlineStr">
        <is>
          <t>Above 70%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IF(B362=0,"",RANK(B362,$B$2:$B$395,0))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2" t="inlineStr">
        <is>
          <t>DOLPHIN</t>
        </is>
      </c>
      <c r="D362" s="32" t="inlineStr">
        <is>
          <t>Dolphin Offshore Enterprises (India) Ltd</t>
        </is>
      </c>
      <c r="E362" s="30" t="inlineStr">
        <is>
          <t>energy</t>
        </is>
      </c>
      <c r="F362" s="30" t="inlineStr">
        <is>
          <t>oil drilling / allied services</t>
        </is>
      </c>
      <c r="G362" s="30" t="inlineStr">
        <is>
          <t>smallcap</t>
        </is>
      </c>
      <c r="H362" s="31" t="n">
        <v>1670.19</v>
      </c>
      <c r="I362" s="31" t="n">
        <v>437.1</v>
      </c>
      <c r="J362" s="31" t="n">
        <v>4.69</v>
      </c>
      <c r="K362" s="31" t="n">
        <v>64918</v>
      </c>
      <c r="L362" s="30" t="n">
        <v>10</v>
      </c>
      <c r="M362" s="30" t="inlineStr">
        <is>
          <t>Underperforming</t>
        </is>
      </c>
      <c r="N362" s="31">
        <f>IF(M362="Underperforming",-5,IF(L362&gt;=95,15,IF(L362&gt;=90,10,IF(L362&gt;=80,5,0))))</f>
        <v/>
      </c>
      <c r="O362" s="31" t="n">
        <v>61.8</v>
      </c>
      <c r="P362" s="31" t="n">
        <v>26.7</v>
      </c>
      <c r="Q362" s="31" t="n">
        <v>326.91</v>
      </c>
      <c r="R362" s="30" t="inlineStr">
        <is>
          <t>Earnings / Momentum Support</t>
        </is>
      </c>
      <c r="S362" s="30" t="inlineStr">
        <is>
          <t>Nifty Energy</t>
        </is>
      </c>
      <c r="T362" s="31" t="n">
        <v>9.81</v>
      </c>
      <c r="U362" s="31" t="n">
        <v>-0.29</v>
      </c>
      <c r="V362" s="31" t="n">
        <v>-9.199999999999999</v>
      </c>
      <c r="W362" s="31" t="n">
        <v>1.7</v>
      </c>
      <c r="X362" s="30" t="inlineStr">
        <is>
          <t>Cyclical in an Upturn</t>
        </is>
      </c>
      <c r="Y362" s="30">
        <f>IF(X362="Growing Industry",10,IF(X362="Cyclical in an Upturn",5,0))</f>
        <v/>
      </c>
      <c r="Z362" s="30" t="inlineStr">
        <is>
          <t>Oligopoly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Yes</t>
        </is>
      </c>
      <c r="AC362" s="30">
        <f>IF(AB362="No",5,0)</f>
        <v/>
      </c>
      <c r="AD362" s="30" t="inlineStr">
        <is>
          <t>Tailwind</t>
        </is>
      </c>
      <c r="AE362" s="30">
        <f>IF(AD362="Tailwind",10,0)</f>
        <v/>
      </c>
      <c r="AF362" s="30" t="inlineStr">
        <is>
          <t>Cyclical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Volatile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20 to 40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1</t>
        </is>
      </c>
      <c r="BC362" s="30">
        <f>IF(BB362="Stage 2",20,IF(BB362="Stage 1",0,IF(BB362="Stage 3",5,IF(BB362="Stage 4",-5,0))))</f>
        <v/>
      </c>
      <c r="BD362" s="30" t="inlineStr">
        <is>
          <t>Positive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More than 20%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Less than 1.5</t>
        </is>
      </c>
      <c r="BU362" s="30">
        <f>IF(BT362="Above 2",0,IF(BT362="Between 1.5 to 2",5,IF(BT362="Less than 1.5",10,0)))</f>
        <v/>
      </c>
      <c r="BV362" s="30" t="inlineStr">
        <is>
          <t>Above 70%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IF(B363=0,"",RANK(B363,$B$2:$B$395,0))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2" t="inlineStr">
        <is>
          <t>UFLEX</t>
        </is>
      </c>
      <c r="D363" s="32" t="inlineStr">
        <is>
          <t>Uflex Limited</t>
        </is>
      </c>
      <c r="E363" s="30" t="inlineStr">
        <is>
          <t>industrials</t>
        </is>
      </c>
      <c r="F363" s="30" t="inlineStr">
        <is>
          <t>packaging</t>
        </is>
      </c>
      <c r="G363" s="30" t="inlineStr">
        <is>
          <t>smallcap</t>
        </is>
      </c>
      <c r="H363" s="31" t="n">
        <v>3556.05</v>
      </c>
      <c r="I363" s="31" t="n">
        <v>497.05</v>
      </c>
      <c r="J363" s="31" t="n">
        <v>0.93</v>
      </c>
      <c r="K363" s="31" t="n">
        <v>101966</v>
      </c>
      <c r="L363" s="30" t="n">
        <v>15</v>
      </c>
      <c r="M363" s="30" t="inlineStr">
        <is>
          <t>Underperforming</t>
        </is>
      </c>
      <c r="N363" s="31">
        <f>IF(M363="Underperforming",-5,IF(L363&gt;=95,15,IF(L363&gt;=90,10,IF(L363&gt;=80,5,0))))</f>
        <v/>
      </c>
      <c r="O363" s="31" t="n">
        <v>61.79</v>
      </c>
      <c r="P363" s="31" t="n">
        <v>15.91</v>
      </c>
      <c r="Q363" s="31" t="n">
        <v>393.24</v>
      </c>
      <c r="R363" s="30" t="inlineStr">
        <is>
          <t>Earnings / Momentum Support</t>
        </is>
      </c>
      <c r="S363" s="30" t="inlineStr">
        <is>
          <t>Nifty 50</t>
        </is>
      </c>
      <c r="T363" s="31" t="n">
        <v>-0.65</v>
      </c>
      <c r="U363" s="31" t="n">
        <v>-13.71</v>
      </c>
      <c r="V363" s="31" t="n">
        <v>-13.15</v>
      </c>
      <c r="W363" s="31" t="n">
        <v>3</v>
      </c>
      <c r="X363" s="30" t="inlineStr">
        <is>
          <t>Cyclical in an Upturn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Tailwind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0 to 20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2</t>
        </is>
      </c>
      <c r="BC363" s="30">
        <f>IF(BB363="Stage 2",20,IF(BB363="Stage 1",0,IF(BB363="Stage 3",5,IF(BB363="Stage 4",-5,0))))</f>
        <v/>
      </c>
      <c r="BD363" s="30" t="inlineStr">
        <is>
          <t>Positive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Between 12 to 20%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No</t>
        </is>
      </c>
      <c r="BS363" s="30">
        <f>IF(BR363="NO",5,0)</f>
        <v/>
      </c>
      <c r="BT363" s="30" t="inlineStr">
        <is>
          <t>Less than 1.5</t>
        </is>
      </c>
      <c r="BU363" s="30">
        <f>IF(BT363="Above 2",0,IF(BT363="Between 1.5 to 2",5,IF(BT363="Less than 1.5",10,0)))</f>
        <v/>
      </c>
      <c r="BV363" s="30" t="inlineStr">
        <is>
          <t>Between 50% to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More than 1.2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IF(B364=0,"",RANK(B364,$B$2:$B$395,0))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2" t="inlineStr">
        <is>
          <t>HINDOILEXP</t>
        </is>
      </c>
      <c r="D364" s="32" t="inlineStr">
        <is>
          <t>Hindustan Oil Exploration Company Limited</t>
        </is>
      </c>
      <c r="E364" s="30" t="inlineStr">
        <is>
          <t>energy</t>
        </is>
      </c>
      <c r="F364" s="30" t="inlineStr">
        <is>
          <t>oil drilling / allied services</t>
        </is>
      </c>
      <c r="G364" s="30" t="inlineStr">
        <is>
          <t>smallcap</t>
        </is>
      </c>
      <c r="H364" s="31" t="n">
        <v>2166.67</v>
      </c>
      <c r="I364" s="31" t="n">
        <v>164.85</v>
      </c>
      <c r="J364" s="31" t="n">
        <v>0.62</v>
      </c>
      <c r="K364" s="31" t="n">
        <v>563383</v>
      </c>
      <c r="L364" s="30" t="n">
        <v>14</v>
      </c>
      <c r="M364" s="30" t="inlineStr">
        <is>
          <t>Underperforming</t>
        </is>
      </c>
      <c r="N364" s="31">
        <f>IF(M364="Underperforming",-5,IF(L364&gt;=95,15,IF(L364&gt;=90,10,IF(L364&gt;=80,5,0))))</f>
        <v/>
      </c>
      <c r="O364" s="31" t="n">
        <v>54.49</v>
      </c>
      <c r="P364" s="31" t="n">
        <v>36.18</v>
      </c>
      <c r="Q364" s="31" t="n">
        <v>133.42</v>
      </c>
      <c r="R364" s="30" t="inlineStr">
        <is>
          <t>Earnings / Momentum Support</t>
        </is>
      </c>
      <c r="S364" s="30" t="inlineStr">
        <is>
          <t>Nifty Energy</t>
        </is>
      </c>
      <c r="T364" s="31" t="n">
        <v>9.81</v>
      </c>
      <c r="U364" s="31" t="n">
        <v>1.81</v>
      </c>
      <c r="V364" s="31" t="n">
        <v>-7.28</v>
      </c>
      <c r="W364" s="31" t="n">
        <v>2.63</v>
      </c>
      <c r="X364" s="30" t="inlineStr">
        <is>
          <t>Cyclical in an Upturn</t>
        </is>
      </c>
      <c r="Y364" s="30">
        <f>IF(X364="Growing Industry",10,IF(X364="Cyclical in an Upturn",5,0))</f>
        <v/>
      </c>
      <c r="Z364" s="30" t="inlineStr">
        <is>
          <t>Oligopoly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Yes</t>
        </is>
      </c>
      <c r="AC364" s="30">
        <f>IF(AB364="No",5,0)</f>
        <v/>
      </c>
      <c r="AD364" s="30" t="inlineStr">
        <is>
          <t>Tailwind</t>
        </is>
      </c>
      <c r="AE364" s="30">
        <f>IF(AD364="Tailwind",10,0)</f>
        <v/>
      </c>
      <c r="AF364" s="30" t="inlineStr">
        <is>
          <t>Cyclical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Volatile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20 to 40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2</t>
        </is>
      </c>
      <c r="BC364" s="30">
        <f>IF(BB364="Stage 2",20,IF(BB364="Stage 1",0,IF(BB364="Stage 3",5,IF(BB364="Stage 4",-5,0))))</f>
        <v/>
      </c>
      <c r="BD364" s="30" t="inlineStr">
        <is>
          <t>Positive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Less than 12%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No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Above 70%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Less than 0.7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IF(B365=0,"",RANK(B365,$B$2:$B$395,0))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0" t="inlineStr">
        <is>
          <t>MAMATA</t>
        </is>
      </c>
      <c r="D365" s="30" t="inlineStr">
        <is>
          <t>Mamata Machinery Ltd</t>
        </is>
      </c>
      <c r="E365" s="30" t="inlineStr">
        <is>
          <t>industrials</t>
        </is>
      </c>
      <c r="F365" s="30" t="inlineStr">
        <is>
          <t>engineering</t>
        </is>
      </c>
      <c r="G365" s="30" t="inlineStr">
        <is>
          <t>smallcap</t>
        </is>
      </c>
      <c r="H365" s="31" t="n">
        <v>1046.57</v>
      </c>
      <c r="I365" s="31" t="n">
        <v>425</v>
      </c>
      <c r="J365" s="31" t="n">
        <v>-0.07000000000000001</v>
      </c>
      <c r="K365" s="31" t="n">
        <v>65765</v>
      </c>
      <c r="L365" s="30" t="n">
        <v>13</v>
      </c>
      <c r="M365" s="30" t="inlineStr">
        <is>
          <t>Outperforming</t>
        </is>
      </c>
      <c r="N365" s="31">
        <f>IF(M365="Underperforming",-5,IF(L365&gt;=95,15,IF(L365&gt;=90,10,IF(L365&gt;=80,5,0))))</f>
        <v/>
      </c>
      <c r="O365" s="31" t="n">
        <v>55.23</v>
      </c>
      <c r="P365" s="31" t="n">
        <v>6.76</v>
      </c>
      <c r="Q365" s="31" t="n">
        <v>337.77</v>
      </c>
      <c r="R365" s="30" t="inlineStr">
        <is>
          <t>Earnings / Momentum Support</t>
        </is>
      </c>
      <c r="S365" s="30" t="inlineStr">
        <is>
          <t>Nifty 50</t>
        </is>
      </c>
      <c r="T365" s="31" t="n">
        <v>-0.65</v>
      </c>
      <c r="U365" s="31" t="n">
        <v>4.85</v>
      </c>
      <c r="V365" s="31" t="n">
        <v>5.53</v>
      </c>
      <c r="W365" s="31" t="n">
        <v>2.31</v>
      </c>
      <c r="X365" s="30" t="inlineStr">
        <is>
          <t>Cyclical in an Upturn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Tailwind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2</t>
        </is>
      </c>
      <c r="BC365" s="30">
        <f>IF(BB365="Stage 2",20,IF(BB365="Stage 1",0,IF(BB365="Stage 3",5,IF(BB365="Stage 4",-5,0))))</f>
        <v/>
      </c>
      <c r="BD365" s="30" t="inlineStr">
        <is>
          <t>Positive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Less than 12%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Yes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Less than 50%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Less than 0.7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IF(B366=0,"",RANK(B366,$B$2:$B$395,0))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0" t="inlineStr">
        <is>
          <t>BRITANNIA</t>
        </is>
      </c>
      <c r="D366" s="30" t="inlineStr">
        <is>
          <t>Britannia Industries Limited</t>
        </is>
      </c>
      <c r="E366" s="30" t="inlineStr">
        <is>
          <t>fmcg</t>
        </is>
      </c>
      <c r="F366" s="30" t="inlineStr">
        <is>
          <t>food - processing - mnc</t>
        </is>
      </c>
      <c r="G366" s="30" t="inlineStr">
        <is>
          <t>largecap</t>
        </is>
      </c>
      <c r="H366" s="31" t="n">
        <v>135452.29</v>
      </c>
      <c r="I366" s="31" t="n">
        <v>5598</v>
      </c>
      <c r="J366" s="31" t="n">
        <v>-0.45</v>
      </c>
      <c r="K366" s="31" t="n">
        <v>661314</v>
      </c>
      <c r="L366" s="30" t="n">
        <v>8</v>
      </c>
      <c r="M366" s="30" t="inlineStr">
        <is>
          <t>Outperforming</t>
        </is>
      </c>
      <c r="N366" s="31">
        <f>IF(M366="Underperforming",-5,IF(L366&gt;=95,15,IF(L366&gt;=90,10,IF(L366&gt;=80,5,0))))</f>
        <v/>
      </c>
      <c r="O366" s="31" t="n">
        <v>56.88</v>
      </c>
      <c r="P366" s="31" t="n">
        <v>16.89</v>
      </c>
      <c r="Q366" s="31" t="n">
        <v>4913.78</v>
      </c>
      <c r="R366" s="30" t="inlineStr">
        <is>
          <t>Earnings / Momentum Support</t>
        </is>
      </c>
      <c r="S366" s="30" t="inlineStr">
        <is>
          <t>Nifty FMCG</t>
        </is>
      </c>
      <c r="T366" s="31" t="n">
        <v>-10.61</v>
      </c>
      <c r="U366" s="31" t="n">
        <v>3.07</v>
      </c>
      <c r="V366" s="31" t="n">
        <v>15.31</v>
      </c>
      <c r="W366" s="31" t="n">
        <v>0.57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Headwind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B2C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Annuity, Lower One Time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1</t>
        </is>
      </c>
      <c r="BC366" s="30">
        <f>IF(BB366="Stage 2",20,IF(BB366="Stage 1",0,IF(BB366="Stage 3",5,IF(BB366="Stage 4",-5,0))))</f>
        <v/>
      </c>
      <c r="BD366" s="30" t="inlineStr">
        <is>
          <t>Positive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Between 12 to 20%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Yes</t>
        </is>
      </c>
      <c r="BS366" s="30">
        <f>IF(BR366="NO",5,0)</f>
        <v/>
      </c>
      <c r="BT366" s="30" t="inlineStr">
        <is>
          <t>Above 2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IF(B367=0,"",RANK(B367,$B$2:$B$395,0))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0" t="inlineStr">
        <is>
          <t>UTTAMSUGAR</t>
        </is>
      </c>
      <c r="D367" s="30" t="inlineStr">
        <is>
          <t>Uttam Sugar Mills Limited</t>
        </is>
      </c>
      <c r="E367" s="30" t="inlineStr">
        <is>
          <t>fmcg</t>
        </is>
      </c>
      <c r="F367" s="30" t="inlineStr">
        <is>
          <t>sugar</t>
        </is>
      </c>
      <c r="G367" s="30" t="inlineStr">
        <is>
          <t>smallcap</t>
        </is>
      </c>
      <c r="H367" s="31" t="n">
        <v>986.71</v>
      </c>
      <c r="I367" s="31" t="n">
        <v>252.3</v>
      </c>
      <c r="J367" s="31" t="n">
        <v>-2.48</v>
      </c>
      <c r="K367" s="31" t="n">
        <v>180156</v>
      </c>
      <c r="L367" s="30" t="n">
        <v>3</v>
      </c>
      <c r="M367" s="30" t="inlineStr">
        <is>
          <t>Outperforming</t>
        </is>
      </c>
      <c r="N367" s="31">
        <f>IF(M367="Underperforming",-5,IF(L367&gt;=95,15,IF(L367&gt;=90,10,IF(L367&gt;=80,5,0))))</f>
        <v/>
      </c>
      <c r="O367" s="31" t="n">
        <v>56.49</v>
      </c>
      <c r="P367" s="31" t="n">
        <v>11.67</v>
      </c>
      <c r="Q367" s="31" t="n">
        <v>186.95</v>
      </c>
      <c r="R367" s="30" t="inlineStr">
        <is>
          <t>Earnings / Momentum Support</t>
        </is>
      </c>
      <c r="S367" s="30" t="inlineStr">
        <is>
          <t>Nifty FMCG</t>
        </is>
      </c>
      <c r="T367" s="31" t="n">
        <v>-10.61</v>
      </c>
      <c r="U367" s="31" t="n">
        <v>-5.08</v>
      </c>
      <c r="V367" s="31" t="n">
        <v>6.19</v>
      </c>
      <c r="W367" s="31" t="n">
        <v>-0.7</v>
      </c>
      <c r="X367" s="30" t="inlineStr">
        <is>
          <t>Growing Industry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Tailwind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B2C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Annuity, Lower One Time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1</t>
        </is>
      </c>
      <c r="BC367" s="30">
        <f>IF(BB367="Stage 2",20,IF(BB367="Stage 1",0,IF(BB367="Stage 3",5,IF(BB367="Stage 4",-5,0))))</f>
        <v/>
      </c>
      <c r="BD367" s="30" t="inlineStr">
        <is>
          <t>Positive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Less than 12%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Above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Between 0.7 to 1.2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IF(B368=0,"",RANK(B368,$B$2:$B$395,0))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2" t="inlineStr">
        <is>
          <t>GANDHITUBE</t>
        </is>
      </c>
      <c r="D368" s="32" t="inlineStr">
        <is>
          <t>Gandhi Special Tubes Limited</t>
        </is>
      </c>
      <c r="E368" s="30" t="inlineStr">
        <is>
          <t>metals &amp; mining</t>
        </is>
      </c>
      <c r="F368" s="30" t="inlineStr">
        <is>
          <t>steel - medium / small</t>
        </is>
      </c>
      <c r="G368" s="30" t="inlineStr">
        <is>
          <t>smallcap</t>
        </is>
      </c>
      <c r="H368" s="31" t="n">
        <v>1071.93</v>
      </c>
      <c r="I368" s="31" t="n">
        <v>928</v>
      </c>
      <c r="J368" s="31" t="n">
        <v>5.2</v>
      </c>
      <c r="K368" s="31" t="n">
        <v>58650</v>
      </c>
      <c r="L368" s="30" t="n">
        <v>36</v>
      </c>
      <c r="M368" s="30" t="inlineStr">
        <is>
          <t>Underperforming</t>
        </is>
      </c>
      <c r="N368" s="31">
        <f>IF(M368="Underperforming",-5,IF(L368&gt;=95,15,IF(L368&gt;=90,10,IF(L368&gt;=80,5,0))))</f>
        <v/>
      </c>
      <c r="O368" s="31" t="n">
        <v>64.42</v>
      </c>
      <c r="P368" s="31" t="n">
        <v>16.98</v>
      </c>
      <c r="Q368" s="31" t="n">
        <v>771.46</v>
      </c>
      <c r="R368" s="30" t="inlineStr">
        <is>
          <t>Volume Spike / Accumulation</t>
        </is>
      </c>
      <c r="S368" s="30" t="inlineStr">
        <is>
          <t>Nifty Metal</t>
        </is>
      </c>
      <c r="T368" s="31" t="n">
        <v>39</v>
      </c>
      <c r="U368" s="31" t="n">
        <v>28.34</v>
      </c>
      <c r="V368" s="31" t="n">
        <v>-7.67</v>
      </c>
      <c r="W368" s="31" t="n">
        <v>8.48</v>
      </c>
      <c r="X368" s="30" t="inlineStr">
        <is>
          <t>Cyclical in an Upturn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Cyclical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Volatile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Yes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0 to 20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2</t>
        </is>
      </c>
      <c r="BC368" s="30">
        <f>IF(BB368="Stage 2",20,IF(BB368="Stage 1",0,IF(BB368="Stage 3",5,IF(BB368="Stage 4",-5,0))))</f>
        <v/>
      </c>
      <c r="BD368" s="30" t="inlineStr">
        <is>
          <t>Positive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Less than 12%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Between 50% to 70%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Less than 0.7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IF(B369=0,"",RANK(B369,$B$2:$B$395,0))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2" t="inlineStr">
        <is>
          <t>BIL</t>
        </is>
      </c>
      <c r="D369" s="32" t="inlineStr">
        <is>
          <t>Bhartiya International Limited</t>
        </is>
      </c>
      <c r="E369" s="30" t="inlineStr">
        <is>
          <t>consumer discretionary</t>
        </is>
      </c>
      <c r="F369" s="30" t="inlineStr">
        <is>
          <t>leather / leather products</t>
        </is>
      </c>
      <c r="G369" s="30" t="inlineStr">
        <is>
          <t>smallcap</t>
        </is>
      </c>
      <c r="H369" s="31" t="n">
        <v>1109.24</v>
      </c>
      <c r="I369" s="31" t="n">
        <v>833</v>
      </c>
      <c r="J369" s="31" t="n">
        <v>0.71</v>
      </c>
      <c r="K369" s="31" t="n">
        <v>3250</v>
      </c>
      <c r="L369" s="30" t="n">
        <v>12</v>
      </c>
      <c r="M369" s="30" t="inlineStr">
        <is>
          <t>Underperforming</t>
        </is>
      </c>
      <c r="N369" s="31">
        <f>IF(M369="Underperforming",-5,IF(L369&gt;=95,15,IF(L369&gt;=90,10,IF(L369&gt;=80,5,0))))</f>
        <v/>
      </c>
      <c r="O369" s="31" t="n">
        <v>58.58</v>
      </c>
      <c r="P369" s="31" t="n">
        <v>14.13</v>
      </c>
      <c r="Q369" s="31" t="n">
        <v>590.65</v>
      </c>
      <c r="R369" s="30" t="inlineStr">
        <is>
          <t>Earnings / Momentum Support</t>
        </is>
      </c>
      <c r="S369" s="30" t="inlineStr">
        <is>
          <t>Nifty 50</t>
        </is>
      </c>
      <c r="T369" s="31" t="n">
        <v>-0.65</v>
      </c>
      <c r="U369" s="31" t="n">
        <v>-4.92</v>
      </c>
      <c r="V369" s="31" t="n">
        <v>-4.3</v>
      </c>
      <c r="W369" s="31" t="n">
        <v>2.13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Tailwind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No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0 to 20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2</t>
        </is>
      </c>
      <c r="BC369" s="30">
        <f>IF(BB369="Stage 2",20,IF(BB369="Stage 1",0,IF(BB369="Stage 3",5,IF(BB369="Stage 4",-5,0))))</f>
        <v/>
      </c>
      <c r="BD369" s="30" t="inlineStr">
        <is>
          <t>Positive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More than 20%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Yes</t>
        </is>
      </c>
      <c r="BS369" s="30">
        <f>IF(BR369="NO",5,0)</f>
        <v/>
      </c>
      <c r="BT369" s="30" t="inlineStr">
        <is>
          <t>Above 2</t>
        </is>
      </c>
      <c r="BU369" s="30">
        <f>IF(BT369="Above 2",0,IF(BT369="Between 1.5 to 2",5,IF(BT369="Less than 1.5",10,0)))</f>
        <v/>
      </c>
      <c r="BV369" s="30" t="inlineStr">
        <is>
          <t>Less than 50% and Borrowings are increasing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Between 0.7 to 1.2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IF(B370=0,"",RANK(B370,$B$2:$B$395,0))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2" t="inlineStr">
        <is>
          <t>SILVERTUC</t>
        </is>
      </c>
      <c r="D370" s="32" t="inlineStr">
        <is>
          <t>Silver Touch Technologies Ltd</t>
        </is>
      </c>
      <c r="E370" s="30" t="inlineStr">
        <is>
          <t>i.t</t>
        </is>
      </c>
      <c r="F370" s="30" t="inlineStr">
        <is>
          <t>computers - software - medium / small</t>
        </is>
      </c>
      <c r="G370" s="30" t="inlineStr">
        <is>
          <t>smallcap</t>
        </is>
      </c>
      <c r="H370" s="31" t="n">
        <v>2576.53</v>
      </c>
      <c r="I370" s="31" t="n">
        <v>206.52</v>
      </c>
      <c r="J370" s="31" t="n">
        <v>1.64</v>
      </c>
      <c r="K370" s="31" t="n">
        <v>511433</v>
      </c>
      <c r="L370" s="30" t="n">
        <v>19</v>
      </c>
      <c r="M370" s="30" t="inlineStr">
        <is>
          <t>Underperforming</t>
        </is>
      </c>
      <c r="N370" s="31">
        <f>IF(M370="Underperforming",-5,IF(L370&gt;=95,15,IF(L370&gt;=90,10,IF(L370&gt;=80,5,0))))</f>
        <v/>
      </c>
      <c r="O370" s="31" t="n">
        <v>45.66</v>
      </c>
      <c r="P370" s="31" t="n">
        <v>17.99</v>
      </c>
      <c r="Q370" s="31" t="n">
        <v>115.68</v>
      </c>
      <c r="R370" s="30" t="inlineStr">
        <is>
          <t>Earnings / Momentum Support</t>
        </is>
      </c>
      <c r="S370" s="30" t="inlineStr">
        <is>
          <t>Nifty IT</t>
        </is>
      </c>
      <c r="T370" s="31" t="n">
        <v>-8.640000000000001</v>
      </c>
      <c r="U370" s="31" t="n">
        <v>-71.52</v>
      </c>
      <c r="V370" s="31" t="n">
        <v>-68.83</v>
      </c>
      <c r="W370" s="31" t="n">
        <v>4.47</v>
      </c>
      <c r="X370" s="30" t="inlineStr">
        <is>
          <t>Growing Industry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Tailwind</t>
        </is>
      </c>
      <c r="AE370" s="30">
        <f>IF(AD370="Tailwind",10,0)</f>
        <v/>
      </c>
      <c r="AF370" s="30" t="inlineStr">
        <is>
          <t>Structural (10 Years Consistency)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Stable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Annuity, Lower One Time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0 to 20</t>
        </is>
      </c>
      <c r="AY370" s="30">
        <f>IF(AX370="Above 40",20,IF(AX370="20 to 40",10,IF(AX370="0 to 20",-5,0)))</f>
        <v/>
      </c>
      <c r="AZ370" s="30" t="inlineStr">
        <is>
          <t>Below 45</t>
        </is>
      </c>
      <c r="BA370" s="30">
        <f>IF(AZ370="Between 50 to 75",10,IF(AZ370="Above 75",0,0))</f>
        <v/>
      </c>
      <c r="BB370" s="30" t="inlineStr">
        <is>
          <t>Stage 4</t>
        </is>
      </c>
      <c r="BC370" s="30">
        <f>IF(BB370="Stage 2",20,IF(BB370="Stage 1",0,IF(BB370="Stage 3",5,IF(BB370="Stage 4",-5,0))))</f>
        <v/>
      </c>
      <c r="BD370" s="30" t="inlineStr">
        <is>
          <t>Positive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More than 20%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No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IF(B371=0,"",RANK(B371,$B$2:$B$395,0))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0" t="inlineStr">
        <is>
          <t>ESABINDIA</t>
        </is>
      </c>
      <c r="D371" s="30" t="inlineStr">
        <is>
          <t>Esab India Limited</t>
        </is>
      </c>
      <c r="E371" s="30" t="inlineStr">
        <is>
          <t>industrials</t>
        </is>
      </c>
      <c r="F371" s="30" t="inlineStr">
        <is>
          <t>electrodes - welding equipment</t>
        </is>
      </c>
      <c r="G371" s="30" t="inlineStr">
        <is>
          <t>midcap</t>
        </is>
      </c>
      <c r="H371" s="31" t="n">
        <v>8844.83</v>
      </c>
      <c r="I371" s="31" t="n">
        <v>5879</v>
      </c>
      <c r="J371" s="31" t="n">
        <v>2.31</v>
      </c>
      <c r="K371" s="31" t="n">
        <v>7919</v>
      </c>
      <c r="L371" s="30" t="n">
        <v>10</v>
      </c>
      <c r="M371" s="30" t="inlineStr">
        <is>
          <t>Outperforming</t>
        </is>
      </c>
      <c r="N371" s="31">
        <f>IF(M371="Underperforming",-5,IF(L371&gt;=95,15,IF(L371&gt;=90,10,IF(L371&gt;=80,5,0))))</f>
        <v/>
      </c>
      <c r="O371" s="31" t="n">
        <v>51.19</v>
      </c>
      <c r="P371" s="31" t="n">
        <v>24.38</v>
      </c>
      <c r="Q371" s="31" t="n">
        <v>5967.03</v>
      </c>
      <c r="R371" s="30" t="inlineStr">
        <is>
          <t>Earnings / Momentum Support</t>
        </is>
      </c>
      <c r="S371" s="30" t="inlineStr">
        <is>
          <t>Nifty 50</t>
        </is>
      </c>
      <c r="T371" s="31" t="n">
        <v>-0.65</v>
      </c>
      <c r="U371" s="31" t="n">
        <v>17.77</v>
      </c>
      <c r="V371" s="31" t="n">
        <v>18.54</v>
      </c>
      <c r="W371" s="31" t="n">
        <v>1.54</v>
      </c>
      <c r="X371" s="30" t="inlineStr">
        <is>
          <t>Cyclical in an Upturn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Structural (10 Years Consistency)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Stable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No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20 to 40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1</t>
        </is>
      </c>
      <c r="BC371" s="30">
        <f>IF(BB371="Stage 2",20,IF(BB371="Stage 1",0,IF(BB371="Stage 3",5,IF(BB371="Stage 4",-5,0))))</f>
        <v/>
      </c>
      <c r="BD371" s="30" t="inlineStr">
        <is>
          <t>Positive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No</t>
        </is>
      </c>
      <c r="BM371" s="30">
        <f>IF(BL371="Yes",10,0)</f>
        <v/>
      </c>
      <c r="BN371" s="30" t="inlineStr">
        <is>
          <t>Less than 12%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Yes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Between 50% to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IF(B372=0,"",RANK(B372,$B$2:$B$395,0))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2" t="inlineStr">
        <is>
          <t>BEML</t>
        </is>
      </c>
      <c r="D372" s="32" t="inlineStr">
        <is>
          <t>Beml Limited</t>
        </is>
      </c>
      <c r="E372" s="30" t="inlineStr">
        <is>
          <t>aerospace &amp; defence</t>
        </is>
      </c>
      <c r="F372" s="30" t="inlineStr">
        <is>
          <t>engineering</t>
        </is>
      </c>
      <c r="G372" s="30" t="inlineStr">
        <is>
          <t>midcap</t>
        </is>
      </c>
      <c r="H372" s="31" t="n">
        <v>15694.98</v>
      </c>
      <c r="I372" s="31" t="n">
        <v>1902.3</v>
      </c>
      <c r="J372" s="31" t="n">
        <v>0.95</v>
      </c>
      <c r="K372" s="31" t="n">
        <v>628419</v>
      </c>
      <c r="L372" s="30" t="n">
        <v>7</v>
      </c>
      <c r="M372" s="30" t="inlineStr">
        <is>
          <t>Underperforming</t>
        </is>
      </c>
      <c r="N372" s="31">
        <f>IF(M372="Underperforming",-5,IF(L372&gt;=95,15,IF(L372&gt;=90,10,IF(L372&gt;=80,5,0))))</f>
        <v/>
      </c>
      <c r="O372" s="31" t="n">
        <v>57.32</v>
      </c>
      <c r="P372" s="31" t="n">
        <v>11.48</v>
      </c>
      <c r="Q372" s="31" t="n">
        <v>1479.61</v>
      </c>
      <c r="R372" s="30" t="inlineStr">
        <is>
          <t>Volume Spike / Accumulation</t>
        </is>
      </c>
      <c r="S372" s="30" t="inlineStr">
        <is>
          <t>Nifty 50</t>
        </is>
      </c>
      <c r="T372" s="31" t="n">
        <v>-0.65</v>
      </c>
      <c r="U372" s="31" t="n">
        <v>-5.86</v>
      </c>
      <c r="V372" s="31" t="n">
        <v>-5.25</v>
      </c>
      <c r="W372" s="31" t="n">
        <v>0.35</v>
      </c>
      <c r="X372" s="30" t="inlineStr">
        <is>
          <t>Growing Industry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Tailwind</t>
        </is>
      </c>
      <c r="AE372" s="30">
        <f>IF(AD372="Tailwind",10,0)</f>
        <v/>
      </c>
      <c r="AF372" s="30" t="inlineStr">
        <is>
          <t>Structural (10 Years Consistency)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Stable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Yes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0 to 20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1</t>
        </is>
      </c>
      <c r="BC372" s="30">
        <f>IF(BB372="Stage 2",20,IF(BB372="Stage 1",0,IF(BB372="Stage 3",5,IF(BB372="Stage 4",-5,0))))</f>
        <v/>
      </c>
      <c r="BD372" s="30" t="inlineStr">
        <is>
          <t>Positive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Less than 12%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Yes</t>
        </is>
      </c>
      <c r="BS372" s="30">
        <f>IF(BR372="NO",5,0)</f>
        <v/>
      </c>
      <c r="BT372" s="30" t="inlineStr">
        <is>
          <t>Above 2</t>
        </is>
      </c>
      <c r="BU372" s="30">
        <f>IF(BT372="Above 2",0,IF(BT372="Between 1.5 to 2",5,IF(BT372="Less than 1.5",10,0)))</f>
        <v/>
      </c>
      <c r="BV372" s="30" t="inlineStr">
        <is>
          <t>Less than 50%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Less than 0.7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IF(B373=0,"",RANK(B373,$B$2:$B$395,0))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0" t="inlineStr">
        <is>
          <t>ASHOKLEY</t>
        </is>
      </c>
      <c r="D373" s="30" t="inlineStr">
        <is>
          <t>Ashok Leyland Limited</t>
        </is>
      </c>
      <c r="E373" s="30" t="inlineStr">
        <is>
          <t>auto</t>
        </is>
      </c>
      <c r="F373" s="30" t="inlineStr">
        <is>
          <t>automobiles - lcvs / hcvs</t>
        </is>
      </c>
      <c r="G373" s="30" t="inlineStr">
        <is>
          <t>largecap</t>
        </is>
      </c>
      <c r="H373" s="31" t="n">
        <v>102205.07</v>
      </c>
      <c r="I373" s="31" t="n">
        <v>174.83</v>
      </c>
      <c r="J373" s="31" t="n">
        <v>0.48</v>
      </c>
      <c r="K373" s="31" t="n">
        <v>32413326</v>
      </c>
      <c r="L373" s="30" t="n">
        <v>45</v>
      </c>
      <c r="M373" s="30" t="inlineStr">
        <is>
          <t>Outperforming</t>
        </is>
      </c>
      <c r="N373" s="31">
        <f>IF(M373="Underperforming",-5,IF(L373&gt;=95,15,IF(L373&gt;=90,10,IF(L373&gt;=80,5,0))))</f>
        <v/>
      </c>
      <c r="O373" s="31" t="n">
        <v>56.68</v>
      </c>
      <c r="P373" s="31" t="n">
        <v>14.78</v>
      </c>
      <c r="Q373" s="31" t="n">
        <v>141.58</v>
      </c>
      <c r="R373" s="30" t="inlineStr">
        <is>
          <t>Earnings / Momentum Support</t>
        </is>
      </c>
      <c r="S373" s="30" t="inlineStr">
        <is>
          <t>Nifty Auto</t>
        </is>
      </c>
      <c r="T373" s="31" t="n">
        <v>23.87</v>
      </c>
      <c r="U373" s="31" t="n">
        <v>46.8</v>
      </c>
      <c r="V373" s="31" t="n">
        <v>18.51</v>
      </c>
      <c r="W373" s="31" t="n">
        <v>10.33</v>
      </c>
      <c r="X373" s="30" t="inlineStr">
        <is>
          <t>Growing Industry</t>
        </is>
      </c>
      <c r="Y373" s="30">
        <f>IF(X373="Growing Industry",10,IF(X373="Cyclical in an Upturn",5,0))</f>
        <v/>
      </c>
      <c r="Z373" s="30" t="inlineStr">
        <is>
          <t>Too Many Players with High ROCE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Headwind</t>
        </is>
      </c>
      <c r="AE373" s="30">
        <f>IF(AD373="Tailwind",10,0)</f>
        <v/>
      </c>
      <c r="AF373" s="30" t="inlineStr">
        <is>
          <t>Structural (10 Years Consistency)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Stable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No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0 to 20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2</t>
        </is>
      </c>
      <c r="BC373" s="30">
        <f>IF(BB373="Stage 2",20,IF(BB373="Stage 1",0,IF(BB373="Stage 3",5,IF(BB373="Stage 4",-5,0))))</f>
        <v/>
      </c>
      <c r="BD373" s="30" t="inlineStr">
        <is>
          <t>Positive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More than 20%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No</t>
        </is>
      </c>
      <c r="BS373" s="30">
        <f>IF(BR373="NO",5,0)</f>
        <v/>
      </c>
      <c r="BT373" s="30" t="inlineStr">
        <is>
          <t>Less than 1.5</t>
        </is>
      </c>
      <c r="BU373" s="30">
        <f>IF(BT373="Above 2",0,IF(BT373="Between 1.5 to 2",5,IF(BT373="Less than 1.5",10,0)))</f>
        <v/>
      </c>
      <c r="BV373" s="30" t="inlineStr">
        <is>
          <t>Negative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More than 1.2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IF(B374=0,"",RANK(B374,$B$2:$B$395,0))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0" t="inlineStr">
        <is>
          <t>SIRCA</t>
        </is>
      </c>
      <c r="D374" s="30" t="inlineStr">
        <is>
          <t>Sirca Paints India Ltd</t>
        </is>
      </c>
      <c r="E374" s="30" t="inlineStr">
        <is>
          <t>building materials</t>
        </is>
      </c>
      <c r="F374" s="30" t="inlineStr">
        <is>
          <t>paints / varnishes</t>
        </is>
      </c>
      <c r="G374" s="30" t="inlineStr">
        <is>
          <t>smallcap</t>
        </is>
      </c>
      <c r="H374" s="31" t="n">
        <v>2573.85</v>
      </c>
      <c r="I374" s="31" t="n">
        <v>442.35</v>
      </c>
      <c r="J374" s="31" t="n">
        <v>-2.39</v>
      </c>
      <c r="K374" s="31" t="n">
        <v>335806</v>
      </c>
      <c r="L374" s="30" t="n">
        <v>12</v>
      </c>
      <c r="M374" s="30" t="inlineStr">
        <is>
          <t>Outperforming</t>
        </is>
      </c>
      <c r="N374" s="31">
        <f>IF(M374="Underperforming",-5,IF(L374&gt;=95,15,IF(L374&gt;=90,10,IF(L374&gt;=80,5,0))))</f>
        <v/>
      </c>
      <c r="O374" s="31" t="n">
        <v>55.89</v>
      </c>
      <c r="P374" s="31" t="n">
        <v>17.26</v>
      </c>
      <c r="Q374" s="31" t="n">
        <v>371.29</v>
      </c>
      <c r="R374" s="30" t="inlineStr">
        <is>
          <t>Earnings / Momentum Support</t>
        </is>
      </c>
      <c r="S374" s="30" t="inlineStr">
        <is>
          <t>Nifty Infra</t>
        </is>
      </c>
      <c r="T374" s="31" t="n">
        <v>3.51</v>
      </c>
      <c r="U374" s="31" t="n">
        <v>6.86</v>
      </c>
      <c r="V374" s="31" t="n">
        <v>3.24</v>
      </c>
      <c r="W374" s="31" t="n">
        <v>2.14</v>
      </c>
      <c r="X374" s="30" t="inlineStr">
        <is>
          <t>Growing Industry</t>
        </is>
      </c>
      <c r="Y374" s="30">
        <f>IF(X374="Growing Industry",10,IF(X374="Cyclical in an Upturn",5,0))</f>
        <v/>
      </c>
      <c r="Z374" s="30" t="inlineStr">
        <is>
          <t>Too Many Players with High ROCE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Headwind</t>
        </is>
      </c>
      <c r="AE374" s="30">
        <f>IF(AD374="Tailwind",10,0)</f>
        <v/>
      </c>
      <c r="AF374" s="30" t="inlineStr">
        <is>
          <t>Structural (10 Years Consistency)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Stable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0 to 20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1</t>
        </is>
      </c>
      <c r="BC374" s="30">
        <f>IF(BB374="Stage 2",20,IF(BB374="Stage 1",0,IF(BB374="Stage 3",5,IF(BB374="Stage 4",-5,0))))</f>
        <v/>
      </c>
      <c r="BD374" s="30" t="inlineStr">
        <is>
          <t>Positive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Less than 12%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Above 70%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IF(B375=0,"",RANK(B375,$B$2:$B$395,0))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2" t="inlineStr">
        <is>
          <t>UNICHEMLAB</t>
        </is>
      </c>
      <c r="D375" s="32" t="inlineStr">
        <is>
          <t>Unichem Laboratories Limited</t>
        </is>
      </c>
      <c r="E375" s="30" t="inlineStr">
        <is>
          <t>healthcare</t>
        </is>
      </c>
      <c r="F375" s="30" t="inlineStr">
        <is>
          <t>pharmaceuticals - indian - bulk drugs &amp; formln</t>
        </is>
      </c>
      <c r="G375" s="30" t="inlineStr">
        <is>
          <t>smallcap</t>
        </is>
      </c>
      <c r="H375" s="31" t="n">
        <v>3570.63</v>
      </c>
      <c r="I375" s="31" t="n">
        <v>573.8</v>
      </c>
      <c r="J375" s="31" t="n">
        <v>13.14</v>
      </c>
      <c r="K375" s="31" t="n">
        <v>3187763</v>
      </c>
      <c r="L375" s="30" t="n">
        <v>63</v>
      </c>
      <c r="M375" s="30" t="inlineStr">
        <is>
          <t>Underperforming</t>
        </is>
      </c>
      <c r="N375" s="31">
        <f>IF(M375="Underperforming",-5,IF(L375&gt;=95,15,IF(L375&gt;=90,10,IF(L375&gt;=80,5,0))))</f>
        <v/>
      </c>
      <c r="O375" s="31" t="n">
        <v>62.66</v>
      </c>
      <c r="P375" s="31" t="n">
        <v>36.15</v>
      </c>
      <c r="Q375" s="31" t="n">
        <v>449.93</v>
      </c>
      <c r="R375" s="30" t="inlineStr">
        <is>
          <t>Earnings / Momentum Support</t>
        </is>
      </c>
      <c r="S375" s="30" t="inlineStr">
        <is>
          <t>Nifty Pharma</t>
        </is>
      </c>
      <c r="T375" s="31" t="n">
        <v>20.76</v>
      </c>
      <c r="U375" s="31" t="n">
        <v>14.02</v>
      </c>
      <c r="V375" s="31" t="n">
        <v>-5.58</v>
      </c>
      <c r="W375" s="31" t="n">
        <v>16.1</v>
      </c>
      <c r="X375" s="30" t="inlineStr">
        <is>
          <t>Growing Industry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Yes</t>
        </is>
      </c>
      <c r="AC375" s="30">
        <f>IF(AB375="No",5,0)</f>
        <v/>
      </c>
      <c r="AD375" s="30" t="inlineStr">
        <is>
          <t>Tailwind</t>
        </is>
      </c>
      <c r="AE375" s="30">
        <f>IF(AD375="Tailwind",10,0)</f>
        <v/>
      </c>
      <c r="AF375" s="30" t="inlineStr">
        <is>
          <t>Structural (10 Years Consistency)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Stable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No</t>
        </is>
      </c>
      <c r="AQ375" s="30">
        <f>IF(AP375="Yes",10,0)</f>
        <v/>
      </c>
      <c r="AR375" s="30" t="inlineStr">
        <is>
          <t>Higher Annuity, Lower One Time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20 to 40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2</t>
        </is>
      </c>
      <c r="BC375" s="30">
        <f>IF(BB375="Stage 2",20,IF(BB375="Stage 1",0,IF(BB375="Stage 3",5,IF(BB375="Stage 4",-5,0))))</f>
        <v/>
      </c>
      <c r="BD375" s="30" t="inlineStr">
        <is>
          <t>Negative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Less than 12%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No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Less than 50%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Less than 0.7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IF(B376=0,"",RANK(B376,$B$2:$B$395,0))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0" t="inlineStr">
        <is>
          <t>STYLEBAAZA</t>
        </is>
      </c>
      <c r="D376" s="30" t="inlineStr">
        <is>
          <t>Baazar Style Retail Ltd</t>
        </is>
      </c>
      <c r="E376" s="30" t="inlineStr">
        <is>
          <t>consumer discretionary</t>
        </is>
      </c>
      <c r="F376" s="30" t="inlineStr">
        <is>
          <t>trading</t>
        </is>
      </c>
      <c r="G376" s="30" t="inlineStr">
        <is>
          <t>smallcap</t>
        </is>
      </c>
      <c r="H376" s="31" t="n">
        <v>2562.49</v>
      </c>
      <c r="I376" s="31" t="n">
        <v>353.45</v>
      </c>
      <c r="J376" s="31" t="n">
        <v>4.99</v>
      </c>
      <c r="K376" s="31" t="n">
        <v>1709664</v>
      </c>
      <c r="L376" s="30" t="n">
        <v>8</v>
      </c>
      <c r="M376" s="30" t="inlineStr">
        <is>
          <t>Outperforming</t>
        </is>
      </c>
      <c r="N376" s="31">
        <f>IF(M376="Underperforming",-5,IF(L376&gt;=95,15,IF(L376&gt;=90,10,IF(L376&gt;=80,5,0))))</f>
        <v/>
      </c>
      <c r="O376" s="31" t="n">
        <v>55.49</v>
      </c>
      <c r="P376" s="31" t="n">
        <v>11.69</v>
      </c>
      <c r="Q376" s="31" t="n">
        <v>267.74</v>
      </c>
      <c r="R376" s="30" t="inlineStr">
        <is>
          <t>Volume Spike / Accumulation</t>
        </is>
      </c>
      <c r="S376" s="30" t="inlineStr">
        <is>
          <t>Nifty 50</t>
        </is>
      </c>
      <c r="T376" s="31" t="n">
        <v>-0.65</v>
      </c>
      <c r="U376" s="31" t="n">
        <v>12.67</v>
      </c>
      <c r="V376" s="31" t="n">
        <v>13.41</v>
      </c>
      <c r="W376" s="31" t="n">
        <v>0.92</v>
      </c>
      <c r="X376" s="30" t="inlineStr">
        <is>
          <t>Growing Industry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No</t>
        </is>
      </c>
      <c r="AC376" s="30">
        <f>IF(AB376="No",5,0)</f>
        <v/>
      </c>
      <c r="AD376" s="30" t="inlineStr">
        <is>
          <t>Tailwind</t>
        </is>
      </c>
      <c r="AE376" s="30">
        <f>IF(AD376="Tailwind",10,0)</f>
        <v/>
      </c>
      <c r="AF376" s="30" t="inlineStr">
        <is>
          <t>Structural (10 Years Consistency)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Stable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Yes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0 to 20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1</t>
        </is>
      </c>
      <c r="BC376" s="30">
        <f>IF(BB376="Stage 2",20,IF(BB376="Stage 1",0,IF(BB376="Stage 3",5,IF(BB376="Stage 4",-5,0))))</f>
        <v/>
      </c>
      <c r="BD376" s="30" t="inlineStr">
        <is>
          <t>Positive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More than 20%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Yes</t>
        </is>
      </c>
      <c r="BS376" s="30">
        <f>IF(BR376="NO",5,0)</f>
        <v/>
      </c>
      <c r="BT376" s="30" t="inlineStr">
        <is>
          <t>Between 1.5 to 2</t>
        </is>
      </c>
      <c r="BU376" s="30">
        <f>IF(BT376="Above 2",0,IF(BT376="Between 1.5 to 2",5,IF(BT376="Less than 1.5",10,0)))</f>
        <v/>
      </c>
      <c r="BV376" s="30" t="inlineStr">
        <is>
          <t>Less than 50% and Borrowings are increasing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More than 1.2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IF(B377=0,"",RANK(B377,$B$2:$B$395,0))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2" t="inlineStr">
        <is>
          <t>KOTHARIPET</t>
        </is>
      </c>
      <c r="D377" s="32" t="inlineStr">
        <is>
          <t>Kothari Petrochemicals Limited</t>
        </is>
      </c>
      <c r="E377" s="30" t="inlineStr">
        <is>
          <t>energy</t>
        </is>
      </c>
      <c r="F377" s="30" t="inlineStr">
        <is>
          <t>petrochemicals</t>
        </is>
      </c>
      <c r="G377" s="30" t="inlineStr">
        <is>
          <t>smallcap</t>
        </is>
      </c>
      <c r="H377" s="31" t="n">
        <v>856.27</v>
      </c>
      <c r="I377" s="31" t="n">
        <v>145.65</v>
      </c>
      <c r="J377" s="31" t="n">
        <v>0.1</v>
      </c>
      <c r="K377" s="31" t="n">
        <v>83988</v>
      </c>
      <c r="L377" s="30" t="n">
        <v>6</v>
      </c>
      <c r="M377" s="30" t="inlineStr">
        <is>
          <t>Underperforming</t>
        </is>
      </c>
      <c r="N377" s="31">
        <f>IF(M377="Underperforming",-5,IF(L377&gt;=95,15,IF(L377&gt;=90,10,IF(L377&gt;=80,5,0))))</f>
        <v/>
      </c>
      <c r="O377" s="31" t="n">
        <v>61.88</v>
      </c>
      <c r="P377" s="31" t="n">
        <v>19.53</v>
      </c>
      <c r="Q377" s="31" t="n">
        <v>114.1</v>
      </c>
      <c r="R377" s="30" t="inlineStr">
        <is>
          <t>Earnings / Momentum Support</t>
        </is>
      </c>
      <c r="S377" s="30" t="inlineStr">
        <is>
          <t>Nifty Energy</t>
        </is>
      </c>
      <c r="T377" s="31" t="n">
        <v>9.81</v>
      </c>
      <c r="U377" s="31" t="n">
        <v>-12.39</v>
      </c>
      <c r="V377" s="31" t="n">
        <v>-20.21</v>
      </c>
      <c r="W377" s="31" t="n">
        <v>0.05</v>
      </c>
      <c r="X377" s="30" t="inlineStr">
        <is>
          <t>Cyclical in an Upturn</t>
        </is>
      </c>
      <c r="Y377" s="30">
        <f>IF(X377="Growing Industry",10,IF(X377="Cyclical in an Upturn",5,0))</f>
        <v/>
      </c>
      <c r="Z377" s="30" t="inlineStr">
        <is>
          <t>Oligopoly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Yes</t>
        </is>
      </c>
      <c r="AC377" s="30">
        <f>IF(AB377="No",5,0)</f>
        <v/>
      </c>
      <c r="AD377" s="30" t="inlineStr">
        <is>
          <t>Tailwind</t>
        </is>
      </c>
      <c r="AE377" s="30">
        <f>IF(AD377="Tailwind",10,0)</f>
        <v/>
      </c>
      <c r="AF377" s="30" t="inlineStr">
        <is>
          <t>Cyclical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Volatile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No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0 to 20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2</t>
        </is>
      </c>
      <c r="BC377" s="30">
        <f>IF(BB377="Stage 2",20,IF(BB377="Stage 1",0,IF(BB377="Stage 3",5,IF(BB377="Stage 4",-5,0))))</f>
        <v/>
      </c>
      <c r="BD377" s="30" t="inlineStr">
        <is>
          <t>Positive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Close to 52 week high or retracement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Less than 12%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No</t>
        </is>
      </c>
      <c r="BS377" s="30">
        <f>IF(BR377="NO",5,0)</f>
        <v/>
      </c>
      <c r="BT377" s="30" t="inlineStr">
        <is>
          <t>Above 2</t>
        </is>
      </c>
      <c r="BU377" s="30">
        <f>IF(BT377="Above 2",0,IF(BT377="Between 1.5 to 2",5,IF(BT377="Less than 1.5",10,0)))</f>
        <v/>
      </c>
      <c r="BV377" s="30" t="inlineStr">
        <is>
          <t>Above 70%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Less than 0.7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  <row r="378">
      <c r="A378" s="30">
        <f>IF(B378=0,"",RANK(B378,$B$2:$B$395,0))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0" t="inlineStr">
        <is>
          <t>LT</t>
        </is>
      </c>
      <c r="D378" s="30" t="inlineStr">
        <is>
          <t>Larsen &amp; Toubro Limited</t>
        </is>
      </c>
      <c r="E378" s="30" t="inlineStr">
        <is>
          <t>realty</t>
        </is>
      </c>
      <c r="F378" s="30" t="inlineStr">
        <is>
          <t>engineering - turnkey services</t>
        </is>
      </c>
      <c r="G378" s="30" t="inlineStr">
        <is>
          <t>largecap</t>
        </is>
      </c>
      <c r="H378" s="31" t="n">
        <v>561297.5</v>
      </c>
      <c r="I378" s="31" t="n">
        <v>4037.4</v>
      </c>
      <c r="J378" s="31" t="n">
        <v>-1.04</v>
      </c>
      <c r="K378" s="31" t="n">
        <v>2749548</v>
      </c>
      <c r="L378" s="30" t="n">
        <v>17</v>
      </c>
      <c r="M378" s="30" t="inlineStr">
        <is>
          <t>Outperforming</t>
        </is>
      </c>
      <c r="N378" s="31">
        <f>IF(M378="Underperforming",-5,IF(L378&gt;=95,15,IF(L378&gt;=90,10,IF(L378&gt;=80,5,0))))</f>
        <v/>
      </c>
      <c r="O378" s="31" t="n">
        <v>53.51</v>
      </c>
      <c r="P378" s="31" t="n">
        <v>7.16</v>
      </c>
      <c r="Q378" s="31" t="n">
        <v>3652.4</v>
      </c>
      <c r="R378" s="30" t="inlineStr">
        <is>
          <t>Earnings / Momentum Support</t>
        </is>
      </c>
      <c r="S378" s="30" t="inlineStr">
        <is>
          <t>Nifty Realty</t>
        </is>
      </c>
      <c r="T378" s="31" t="n">
        <v>-6.47</v>
      </c>
      <c r="U378" s="31" t="n">
        <v>18.41</v>
      </c>
      <c r="V378" s="31" t="n">
        <v>26.6</v>
      </c>
      <c r="W378" s="31" t="n">
        <v>3.93</v>
      </c>
      <c r="X378" s="30" t="inlineStr">
        <is>
          <t>Growing Industry</t>
        </is>
      </c>
      <c r="Y378" s="30">
        <f>IF(X378="Growing Industry",10,IF(X378="Cyclical in an Upturn",5,0))</f>
        <v/>
      </c>
      <c r="Z378" s="30" t="inlineStr">
        <is>
          <t>Too Many Players with High ROCE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No</t>
        </is>
      </c>
      <c r="AC378" s="30">
        <f>IF(AB378="No",5,0)</f>
        <v/>
      </c>
      <c r="AD378" s="30" t="inlineStr">
        <is>
          <t>Headwind</t>
        </is>
      </c>
      <c r="AE378" s="30">
        <f>IF(AD378="Tailwind",10,0)</f>
        <v/>
      </c>
      <c r="AF378" s="30" t="inlineStr">
        <is>
          <t>Structural (10 Years Consistency)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Stable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B2B</t>
        </is>
      </c>
      <c r="AO378" s="30">
        <f>IF(AN378="B2C",10,IF(AN378="B2B",5,0))</f>
        <v/>
      </c>
      <c r="AP378" s="30" t="inlineStr">
        <is>
          <t>No</t>
        </is>
      </c>
      <c r="AQ378" s="30">
        <f>IF(AP378="Yes",10,0)</f>
        <v/>
      </c>
      <c r="AR378" s="30" t="inlineStr">
        <is>
          <t>Higher One Time, Lower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Good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0 to 20</t>
        </is>
      </c>
      <c r="AY378" s="30">
        <f>IF(AX378="Above 40",20,IF(AX378="20 to 40",10,IF(AX378="0 to 20",-5,0)))</f>
        <v/>
      </c>
      <c r="AZ378" s="30" t="inlineStr">
        <is>
          <t>Between 50 to 75</t>
        </is>
      </c>
      <c r="BA378" s="30">
        <f>IF(AZ378="Between 50 to 75",10,IF(AZ378="Above 75",0,0))</f>
        <v/>
      </c>
      <c r="BB378" s="30" t="inlineStr">
        <is>
          <t>Stage 1</t>
        </is>
      </c>
      <c r="BC378" s="30">
        <f>IF(BB378="Stage 2",20,IF(BB378="Stage 1",0,IF(BB378="Stage 3",5,IF(BB378="Stage 4",-5,0))))</f>
        <v/>
      </c>
      <c r="BD378" s="30" t="inlineStr">
        <is>
          <t>Positive Trend</t>
        </is>
      </c>
      <c r="BE378" s="30">
        <f>IF(BD378="Positive Trend",20,IF(BD378="Negative Trend",-10,0))</f>
        <v/>
      </c>
      <c r="BF378" s="30" t="inlineStr">
        <is>
          <t>Uptrend</t>
        </is>
      </c>
      <c r="BG378" s="30">
        <f>IF(BF378="Uptrend",10,IF(BF378="Sideways",5,0))</f>
        <v/>
      </c>
      <c r="BH378" s="30" t="inlineStr">
        <is>
          <t>Uptrend</t>
        </is>
      </c>
      <c r="BI378" s="30">
        <f>IF(BH378="Uptrend",10,IF(BH378="Sideways",5,0))</f>
        <v/>
      </c>
      <c r="BJ378" s="30" t="inlineStr">
        <is>
          <t>Close to 52 week high or retracement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Between 12 to 20%</t>
        </is>
      </c>
      <c r="BO378" s="30">
        <f>IF(BN378="More than 20%",10,IF(BN378="Between 12 to 20%",5,IF(BN378="Less than 12%",0,0)))</f>
        <v/>
      </c>
      <c r="BP378" s="30" t="inlineStr">
        <is>
          <t>No</t>
        </is>
      </c>
      <c r="BQ378" s="30">
        <f>IF(BP378="No",10,0)</f>
        <v/>
      </c>
      <c r="BR378" s="30" t="inlineStr">
        <is>
          <t>No</t>
        </is>
      </c>
      <c r="BS378" s="30">
        <f>IF(BR378="NO",5,0)</f>
        <v/>
      </c>
      <c r="BT378" s="30" t="inlineStr">
        <is>
          <t>Above 2</t>
        </is>
      </c>
      <c r="BU378" s="30">
        <f>IF(BT378="Above 2",0,IF(BT378="Between 1.5 to 2",5,IF(BT378="Less than 1.5",10,0)))</f>
        <v/>
      </c>
      <c r="BV378" s="30" t="inlineStr">
        <is>
          <t>Above 70%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Between 0.7 to 1.2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IF(B379=0,"",RANK(B379,$B$2:$B$395,0))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2" t="inlineStr">
        <is>
          <t>CEATLTD</t>
        </is>
      </c>
      <c r="D379" s="32" t="inlineStr">
        <is>
          <t>Ceat Limited</t>
        </is>
      </c>
      <c r="E379" s="30" t="inlineStr">
        <is>
          <t>auto</t>
        </is>
      </c>
      <c r="F379" s="30" t="inlineStr">
        <is>
          <t>tyres</t>
        </is>
      </c>
      <c r="G379" s="30" t="inlineStr">
        <is>
          <t>midcap</t>
        </is>
      </c>
      <c r="H379" s="31" t="n">
        <v>15345.15</v>
      </c>
      <c r="I379" s="31" t="n">
        <v>3750.2</v>
      </c>
      <c r="J379" s="31" t="n">
        <v>-1.14</v>
      </c>
      <c r="K379" s="31" t="n">
        <v>104166</v>
      </c>
      <c r="L379" s="30" t="n">
        <v>22</v>
      </c>
      <c r="M379" s="30" t="inlineStr">
        <is>
          <t>Underperforming</t>
        </is>
      </c>
      <c r="N379" s="31">
        <f>IF(M379="Underperforming",-5,IF(L379&gt;=95,15,IF(L379&gt;=90,10,IF(L379&gt;=80,5,0))))</f>
        <v/>
      </c>
      <c r="O379" s="31" t="n">
        <v>56.7</v>
      </c>
      <c r="P379" s="31" t="n">
        <v>7.78</v>
      </c>
      <c r="Q379" s="31" t="n">
        <v>3027.39</v>
      </c>
      <c r="R379" s="30" t="inlineStr">
        <is>
          <t>Earnings / Momentum Support</t>
        </is>
      </c>
      <c r="S379" s="30" t="inlineStr">
        <is>
          <t>Nifty Auto</t>
        </is>
      </c>
      <c r="T379" s="31" t="n">
        <v>23.87</v>
      </c>
      <c r="U379" s="31" t="n">
        <v>13.22</v>
      </c>
      <c r="V379" s="31" t="n">
        <v>-8.6</v>
      </c>
      <c r="W379" s="31" t="n">
        <v>5</v>
      </c>
      <c r="X379" s="30" t="inlineStr">
        <is>
          <t>Growing Industry</t>
        </is>
      </c>
      <c r="Y379" s="30">
        <f>IF(X379="Growing Industry",10,IF(X379="Cyclical in an Upturn",5,0))</f>
        <v/>
      </c>
      <c r="Z379" s="30" t="inlineStr">
        <is>
          <t>Too Many Players with High ROCE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Headwind</t>
        </is>
      </c>
      <c r="AE379" s="30">
        <f>IF(AD379="Tailwind",10,0)</f>
        <v/>
      </c>
      <c r="AF379" s="30" t="inlineStr">
        <is>
          <t>Structural (10 Years Consistency)</t>
        </is>
      </c>
      <c r="AG379" s="30">
        <f>IF(AF379="Structural (10 Years Consistency)",10,IF(AF379="Shallow Cyclical (2 to 3 years growth)",5,0))</f>
        <v/>
      </c>
      <c r="AH379" s="30" t="inlineStr">
        <is>
          <t>No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Stable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No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Good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0 to 20</t>
        </is>
      </c>
      <c r="AY379" s="30">
        <f>IF(AX379="Above 40",20,IF(AX379="20 to 40",10,IF(AX379="0 to 20",-5,0)))</f>
        <v/>
      </c>
      <c r="AZ379" s="30" t="inlineStr">
        <is>
          <t>Between 50 to 75</t>
        </is>
      </c>
      <c r="BA379" s="30">
        <f>IF(AZ379="Between 50 to 75",10,IF(AZ379="Above 75",0,0))</f>
        <v/>
      </c>
      <c r="BB379" s="30" t="inlineStr">
        <is>
          <t>Stage 1</t>
        </is>
      </c>
      <c r="BC379" s="30">
        <f>IF(BB379="Stage 2",20,IF(BB379="Stage 1",0,IF(BB379="Stage 3",5,IF(BB379="Stage 4",-5,0))))</f>
        <v/>
      </c>
      <c r="BD379" s="30" t="inlineStr">
        <is>
          <t>Positive Trend</t>
        </is>
      </c>
      <c r="BE379" s="30">
        <f>IF(BD379="Positive Trend",20,IF(BD379="Negative Trend",-10,0))</f>
        <v/>
      </c>
      <c r="BF379" s="30" t="inlineStr">
        <is>
          <t>Uptrend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Close to 52 week high or retracement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Less than 12%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No</t>
        </is>
      </c>
      <c r="BS379" s="30">
        <f>IF(BR379="NO",5,0)</f>
        <v/>
      </c>
      <c r="BT379" s="30" t="inlineStr">
        <is>
          <t>Above 2</t>
        </is>
      </c>
      <c r="BU379" s="30">
        <f>IF(BT379="Above 2",0,IF(BT379="Between 1.5 to 2",5,IF(BT379="Less than 1.5",10,0)))</f>
        <v/>
      </c>
      <c r="BV379" s="30" t="inlineStr">
        <is>
          <t>Above 70%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Less than 0.7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Less than 15%</t>
        </is>
      </c>
      <c r="CC379" s="30">
        <f>IF(CB379="More than 15%",-10,IF(CB379="Less than 15%",10,0))</f>
        <v/>
      </c>
      <c r="CD379" s="30" t="inlineStr">
        <is>
          <t>No</t>
        </is>
      </c>
      <c r="CE379" s="30">
        <f>IF(CD379="Yes, more than 10%",-10,IF(CD379="No",10,0))</f>
        <v/>
      </c>
    </row>
    <row r="380">
      <c r="A380" s="30">
        <f>IF(B380=0,"",RANK(B380,$B$2:$B$395,0))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2" t="inlineStr">
        <is>
          <t>FMGOETZE</t>
        </is>
      </c>
      <c r="D380" s="32" t="inlineStr">
        <is>
          <t>Federal-mogul Goetze (india) Limited.</t>
        </is>
      </c>
      <c r="E380" s="30" t="inlineStr">
        <is>
          <t>auto</t>
        </is>
      </c>
      <c r="F380" s="30" t="inlineStr">
        <is>
          <t>auto ancillaries</t>
        </is>
      </c>
      <c r="G380" s="30" t="inlineStr">
        <is>
          <t>smallcap</t>
        </is>
      </c>
      <c r="H380" s="31" t="n">
        <v>2732.93</v>
      </c>
      <c r="I380" s="31" t="n">
        <v>483.3</v>
      </c>
      <c r="J380" s="31" t="n">
        <v>-1.62</v>
      </c>
      <c r="K380" s="31" t="n">
        <v>51444</v>
      </c>
      <c r="L380" s="30" t="n">
        <v>4</v>
      </c>
      <c r="M380" s="30" t="inlineStr">
        <is>
          <t>Underperforming</t>
        </is>
      </c>
      <c r="N380" s="31">
        <f>IF(M380="Underperforming",-5,IF(L380&gt;=95,15,IF(L380&gt;=90,10,IF(L380&gt;=80,5,0))))</f>
        <v/>
      </c>
      <c r="O380" s="31" t="n">
        <v>57.87</v>
      </c>
      <c r="P380" s="31" t="n">
        <v>13.34</v>
      </c>
      <c r="Q380" s="31" t="n">
        <v>388.35</v>
      </c>
      <c r="R380" s="30" t="inlineStr">
        <is>
          <t>Earnings / Momentum Support</t>
        </is>
      </c>
      <c r="S380" s="30" t="inlineStr">
        <is>
          <t>Nifty Auto</t>
        </is>
      </c>
      <c r="T380" s="31" t="n">
        <v>23.87</v>
      </c>
      <c r="U380" s="31" t="n">
        <v>-18.04</v>
      </c>
      <c r="V380" s="31" t="n">
        <v>-33.83</v>
      </c>
      <c r="W380" s="31" t="n">
        <v>-0.55</v>
      </c>
      <c r="X380" s="30" t="inlineStr">
        <is>
          <t>Growing Industry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Tailwind</t>
        </is>
      </c>
      <c r="AE380" s="30">
        <f>IF(AD380="Tailwind",10,0)</f>
        <v/>
      </c>
      <c r="AF380" s="30" t="inlineStr">
        <is>
          <t>Structural (10 Years Consistency)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Stable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B2B</t>
        </is>
      </c>
      <c r="AO380" s="30">
        <f>IF(AN380="B2C",10,IF(AN380="B2B",5,0))</f>
        <v/>
      </c>
      <c r="AP380" s="30" t="inlineStr">
        <is>
          <t>No</t>
        </is>
      </c>
      <c r="AQ380" s="30">
        <f>IF(AP380="Yes",10,0)</f>
        <v/>
      </c>
      <c r="AR380" s="30" t="inlineStr">
        <is>
          <t>Higher One Time, Lower Annuity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0 to 20</t>
        </is>
      </c>
      <c r="AY380" s="30">
        <f>IF(AX380="Above 40",20,IF(AX380="20 to 40",10,IF(AX380="0 to 20",-5,0)))</f>
        <v/>
      </c>
      <c r="AZ380" s="30" t="inlineStr">
        <is>
          <t>Between 50 to 75</t>
        </is>
      </c>
      <c r="BA380" s="30">
        <f>IF(AZ380="Between 50 to 75",10,IF(AZ380="Above 75",0,0))</f>
        <v/>
      </c>
      <c r="BB380" s="30" t="inlineStr">
        <is>
          <t>Stage 2</t>
        </is>
      </c>
      <c r="BC380" s="30">
        <f>IF(BB380="Stage 2",20,IF(BB380="Stage 1",0,IF(BB380="Stage 3",5,IF(BB380="Stage 4",-5,0))))</f>
        <v/>
      </c>
      <c r="BD380" s="30" t="inlineStr">
        <is>
          <t>Negative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Close to 52 week high or retracement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Less than 12%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No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Above 70%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Less than 0.7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  <row r="381">
      <c r="A381" s="30">
        <f>IF(B381=0,"",RANK(B381,$B$2:$B$395,0))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0" t="inlineStr">
        <is>
          <t>MRPL</t>
        </is>
      </c>
      <c r="D381" s="30" t="inlineStr">
        <is>
          <t>Mangalore Refinery And Petrochemicals Limited</t>
        </is>
      </c>
      <c r="E381" s="30" t="inlineStr">
        <is>
          <t>energy</t>
        </is>
      </c>
      <c r="F381" s="30" t="inlineStr">
        <is>
          <t>refineries</t>
        </is>
      </c>
      <c r="G381" s="30" t="inlineStr">
        <is>
          <t>largecap</t>
        </is>
      </c>
      <c r="H381" s="31" t="n">
        <v>28560.35</v>
      </c>
      <c r="I381" s="31" t="n">
        <v>181.14</v>
      </c>
      <c r="J381" s="31" t="n">
        <v>11.16</v>
      </c>
      <c r="K381" s="31" t="n">
        <v>57521318</v>
      </c>
      <c r="L381" s="30" t="n">
        <v>23</v>
      </c>
      <c r="M381" s="30" t="inlineStr">
        <is>
          <t>Outperforming</t>
        </is>
      </c>
      <c r="N381" s="31">
        <f>IF(M381="Underperforming",-5,IF(L381&gt;=95,15,IF(L381&gt;=90,10,IF(L381&gt;=80,5,0))))</f>
        <v/>
      </c>
      <c r="O381" s="31" t="n">
        <v>58.61</v>
      </c>
      <c r="P381" s="31" t="n">
        <v>15.12</v>
      </c>
      <c r="Q381" s="31" t="n">
        <v>132.28</v>
      </c>
      <c r="R381" s="30" t="inlineStr">
        <is>
          <t>Earnings / Momentum Support</t>
        </is>
      </c>
      <c r="S381" s="30" t="inlineStr">
        <is>
          <t>Nifty Energy</t>
        </is>
      </c>
      <c r="T381" s="31" t="n">
        <v>9.81</v>
      </c>
      <c r="U381" s="31" t="n">
        <v>31.35</v>
      </c>
      <c r="V381" s="31" t="n">
        <v>19.61</v>
      </c>
      <c r="W381" s="31" t="n">
        <v>5.4</v>
      </c>
      <c r="X381" s="30" t="inlineStr">
        <is>
          <t>Cyclical in an Upturn</t>
        </is>
      </c>
      <c r="Y381" s="30">
        <f>IF(X381="Growing Industry",10,IF(X381="Cyclical in an Upturn",5,0))</f>
        <v/>
      </c>
      <c r="Z381" s="30" t="inlineStr">
        <is>
          <t>Oligopoly</t>
        </is>
      </c>
      <c r="AA381" s="30">
        <f>IF(Z381="Monopoly",10,IF(Z381="Oligopoly",5,IF(Z381="Duopoly that cooperate",10,IF(Z381="Duopoly that compete",5,IF(Z381="Too many players with High ROCE",5,0)))))</f>
        <v/>
      </c>
      <c r="AB381" s="30" t="inlineStr">
        <is>
          <t>Yes</t>
        </is>
      </c>
      <c r="AC381" s="30">
        <f>IF(AB381="No",5,0)</f>
        <v/>
      </c>
      <c r="AD381" s="30" t="inlineStr">
        <is>
          <t>Headwind</t>
        </is>
      </c>
      <c r="AE381" s="30">
        <f>IF(AD381="Tailwind",10,0)</f>
        <v/>
      </c>
      <c r="AF381" s="30" t="inlineStr">
        <is>
          <t>Cyclical</t>
        </is>
      </c>
      <c r="AG381" s="30">
        <f>IF(AF381="Structural (10 Years Consistency)",10,IF(AF381="Shallow Cyclical (2 to 3 years growth)",5,0))</f>
        <v/>
      </c>
      <c r="AH381" s="30" t="inlineStr">
        <is>
          <t>No</t>
        </is>
      </c>
      <c r="AI381" s="30">
        <f>IF(AH381="Yes due to Product Mix change or Operating Leverage",10,IF(AH381="Yes, these are peak margins",-5,IF(AH381="No",5,0)))</f>
        <v/>
      </c>
      <c r="AJ381" s="30" t="inlineStr">
        <is>
          <t>Volatile</t>
        </is>
      </c>
      <c r="AK381" s="30">
        <f>IF(AJ381="Stable",10,0)</f>
        <v/>
      </c>
      <c r="AL381" s="30" t="inlineStr">
        <is>
          <t>Yes</t>
        </is>
      </c>
      <c r="AM381" s="30">
        <f>IF(AL381="Yes",10,0)</f>
        <v/>
      </c>
      <c r="AN381" s="30" t="inlineStr">
        <is>
          <t>B2B</t>
        </is>
      </c>
      <c r="AO381" s="30">
        <f>IF(AN381="B2C",10,IF(AN381="B2B",5,0))</f>
        <v/>
      </c>
      <c r="AP381" s="30" t="inlineStr">
        <is>
          <t>No</t>
        </is>
      </c>
      <c r="AQ381" s="30">
        <f>IF(AP381="Yes",10,0)</f>
        <v/>
      </c>
      <c r="AR381" s="30" t="inlineStr">
        <is>
          <t>Higher One Time, Lower Annuity</t>
        </is>
      </c>
      <c r="AS381" s="30">
        <f>IF(AR381="Fully Annuity",10,IF(AR381="Higher Annuity, Lower One Time",5,IF(AR381="Higher One Time, Lower Annuity",3,0)))</f>
        <v/>
      </c>
      <c r="AT381" s="30" t="inlineStr">
        <is>
          <t>Good</t>
        </is>
      </c>
      <c r="AU381" s="30">
        <f>IF(AT381="Good",10,0)</f>
        <v/>
      </c>
      <c r="AV381" s="30" t="inlineStr">
        <is>
          <t>Yes for more than 2 years</t>
        </is>
      </c>
      <c r="AW381" s="30">
        <f>IF(AV381="Yes for more than 2 years",10,IF(AV381="Yes only for next 1 to 2 years",5,0))</f>
        <v/>
      </c>
      <c r="AX381" s="30" t="inlineStr">
        <is>
          <t>0 to 20</t>
        </is>
      </c>
      <c r="AY381" s="30">
        <f>IF(AX381="Above 40",20,IF(AX381="20 to 40",10,IF(AX381="0 to 20",-5,0)))</f>
        <v/>
      </c>
      <c r="AZ381" s="30" t="inlineStr">
        <is>
          <t>Between 50 to 75</t>
        </is>
      </c>
      <c r="BA381" s="30">
        <f>IF(AZ381="Between 50 to 75",10,IF(AZ381="Above 75",0,0))</f>
        <v/>
      </c>
      <c r="BB381" s="30" t="inlineStr">
        <is>
          <t>Stage 2</t>
        </is>
      </c>
      <c r="BC381" s="30">
        <f>IF(BB381="Stage 2",20,IF(BB381="Stage 1",0,IF(BB381="Stage 3",5,IF(BB381="Stage 4",-5,0))))</f>
        <v/>
      </c>
      <c r="BD381" s="30" t="inlineStr">
        <is>
          <t>Positive Trend</t>
        </is>
      </c>
      <c r="BE381" s="30">
        <f>IF(BD381="Positive Trend",20,IF(BD381="Negative Trend",-10,0))</f>
        <v/>
      </c>
      <c r="BF381" s="30" t="inlineStr">
        <is>
          <t>Uptrend</t>
        </is>
      </c>
      <c r="BG381" s="30">
        <f>IF(BF381="Uptrend",10,IF(BF381="Sideways",5,0))</f>
        <v/>
      </c>
      <c r="BH381" s="30" t="inlineStr">
        <is>
          <t>Uptrend</t>
        </is>
      </c>
      <c r="BI381" s="30">
        <f>IF(BH381="Uptrend",10,IF(BH381="Sideways",5,0))</f>
        <v/>
      </c>
      <c r="BJ381" s="30" t="inlineStr">
        <is>
          <t>Close to 52 week high or retracement</t>
        </is>
      </c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inlineStr">
        <is>
          <t>Yes</t>
        </is>
      </c>
      <c r="BM381" s="30">
        <f>IF(BL381="Yes",10,0)</f>
        <v/>
      </c>
      <c r="BN381" s="30" t="inlineStr">
        <is>
          <t>More than 20%</t>
        </is>
      </c>
      <c r="BO381" s="30">
        <f>IF(BN381="More than 20%",10,IF(BN381="Between 12 to 20%",5,IF(BN381="Less than 12%",0,0)))</f>
        <v/>
      </c>
      <c r="BP381" s="30" t="inlineStr">
        <is>
          <t>No</t>
        </is>
      </c>
      <c r="BQ381" s="30">
        <f>IF(BP381="No",10,0)</f>
        <v/>
      </c>
      <c r="BR381" s="30" t="inlineStr">
        <is>
          <t>No</t>
        </is>
      </c>
      <c r="BS381" s="30">
        <f>IF(BR381="NO",5,0)</f>
        <v/>
      </c>
      <c r="BT381" s="30" t="inlineStr">
        <is>
          <t>Above 2</t>
        </is>
      </c>
      <c r="BU381" s="30">
        <f>IF(BT381="Above 2",0,IF(BT381="Between 1.5 to 2",5,IF(BT381="Less than 1.5",10,0)))</f>
        <v/>
      </c>
      <c r="BV381" s="30" t="inlineStr">
        <is>
          <t>Above 70%</t>
        </is>
      </c>
      <c r="BW381" s="30">
        <f>IF(BV381="Above 70%",10,IF(BV381="Between 50% to 70%",5,IF(BV381="Less than 50%",0,IF(BV381="Negative",-10,IF(BV381="Less than 50% and Borrowings are increasing",-5,0)))))</f>
        <v/>
      </c>
      <c r="BX381" s="30" t="inlineStr">
        <is>
          <t>Between 0.7 to 1.2</t>
        </is>
      </c>
      <c r="BY381" s="30">
        <f>IF(BX381="More than 1.2",-10,IF(BX381="Between 0.7 to 1.2",0,IF(BX381="Less than 0.7",10,0)))</f>
        <v/>
      </c>
      <c r="BZ381" s="30" t="inlineStr">
        <is>
          <t>No</t>
        </is>
      </c>
      <c r="CA381" s="30">
        <f>IF(BZ381="Yes",-10,0)</f>
        <v/>
      </c>
      <c r="CB381" s="30" t="inlineStr">
        <is>
          <t>Less than 15%</t>
        </is>
      </c>
      <c r="CC381" s="30">
        <f>IF(CB381="More than 15%",-10,IF(CB381="Less than 15%",10,0))</f>
        <v/>
      </c>
      <c r="CD381" s="30" t="inlineStr">
        <is>
          <t>No</t>
        </is>
      </c>
      <c r="CE381" s="30">
        <f>IF(CD381="Yes, more than 10%",-10,IF(CD381="No",10,0))</f>
        <v/>
      </c>
    </row>
    <row r="382">
      <c r="A382" s="30">
        <f>IF(B382=0,"",RANK(B382,$B$2:$B$395,0))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0" t="inlineStr">
        <is>
          <t>OIL</t>
        </is>
      </c>
      <c r="D382" s="30" t="inlineStr">
        <is>
          <t>Oil India Limited</t>
        </is>
      </c>
      <c r="E382" s="30" t="inlineStr">
        <is>
          <t>energy</t>
        </is>
      </c>
      <c r="F382" s="30" t="inlineStr">
        <is>
          <t>oil drilling / allied services</t>
        </is>
      </c>
      <c r="G382" s="30" t="inlineStr">
        <is>
          <t>largecap</t>
        </is>
      </c>
      <c r="H382" s="31" t="n">
        <v>73685.33</v>
      </c>
      <c r="I382" s="31" t="n">
        <v>470.35</v>
      </c>
      <c r="J382" s="31" t="n">
        <v>3.83</v>
      </c>
      <c r="K382" s="31" t="n">
        <v>21946689</v>
      </c>
      <c r="L382" s="30" t="n">
        <v>12</v>
      </c>
      <c r="M382" s="30" t="inlineStr">
        <is>
          <t>Outperforming</t>
        </is>
      </c>
      <c r="N382" s="31">
        <f>IF(M382="Underperforming",-5,IF(L382&gt;=95,15,IF(L382&gt;=90,10,IF(L382&gt;=80,5,0))))</f>
        <v/>
      </c>
      <c r="O382" s="31" t="n">
        <v>54.49</v>
      </c>
      <c r="P382" s="31" t="n">
        <v>16.55</v>
      </c>
      <c r="Q382" s="31" t="n">
        <v>428.1</v>
      </c>
      <c r="R382" s="30" t="inlineStr">
        <is>
          <t>Earnings / Momentum Support</t>
        </is>
      </c>
      <c r="S382" s="30" t="inlineStr">
        <is>
          <t>Nifty Energy</t>
        </is>
      </c>
      <c r="T382" s="31" t="n">
        <v>9.81</v>
      </c>
      <c r="U382" s="31" t="n">
        <v>11.15</v>
      </c>
      <c r="V382" s="31" t="n">
        <v>1.22</v>
      </c>
      <c r="W382" s="31" t="n">
        <v>2.1</v>
      </c>
      <c r="X382" s="30" t="inlineStr">
        <is>
          <t>Cyclical in an Upturn</t>
        </is>
      </c>
      <c r="Y382" s="30">
        <f>IF(X382="Growing Industry",10,IF(X382="Cyclical in an Upturn",5,0))</f>
        <v/>
      </c>
      <c r="Z382" s="30" t="inlineStr">
        <is>
          <t>Oligopoly</t>
        </is>
      </c>
      <c r="AA382" s="30">
        <f>IF(Z382="Monopoly",10,IF(Z382="Oligopoly",5,IF(Z382="Duopoly that cooperate",10,IF(Z382="Duopoly that compete",5,IF(Z382="Too many players with High ROCE",5,0)))))</f>
        <v/>
      </c>
      <c r="AB382" s="30" t="inlineStr">
        <is>
          <t>Yes</t>
        </is>
      </c>
      <c r="AC382" s="30">
        <f>IF(AB382="No",5,0)</f>
        <v/>
      </c>
      <c r="AD382" s="30" t="inlineStr">
        <is>
          <t>Headwind</t>
        </is>
      </c>
      <c r="AE382" s="30">
        <f>IF(AD382="Tailwind",10,0)</f>
        <v/>
      </c>
      <c r="AF382" s="30" t="inlineStr">
        <is>
          <t>Cyclical</t>
        </is>
      </c>
      <c r="AG382" s="30">
        <f>IF(AF382="Structural (10 Years Consistency)",10,IF(AF382="Shallow Cyclical (2 to 3 years growth)",5,0))</f>
        <v/>
      </c>
      <c r="AH382" s="30" t="inlineStr">
        <is>
          <t>No</t>
        </is>
      </c>
      <c r="AI382" s="30">
        <f>IF(AH382="Yes due to Product Mix change or Operating Leverage",10,IF(AH382="Yes, these are peak margins",-5,IF(AH382="No",5,0)))</f>
        <v/>
      </c>
      <c r="AJ382" s="30" t="inlineStr">
        <is>
          <t>Volatile</t>
        </is>
      </c>
      <c r="AK382" s="30">
        <f>IF(AJ382="Stable",10,0)</f>
        <v/>
      </c>
      <c r="AL382" s="30" t="inlineStr">
        <is>
          <t>Yes</t>
        </is>
      </c>
      <c r="AM382" s="30">
        <f>IF(AL382="Yes",10,0)</f>
        <v/>
      </c>
      <c r="AN382" s="30" t="inlineStr">
        <is>
          <t>B2B</t>
        </is>
      </c>
      <c r="AO382" s="30">
        <f>IF(AN382="B2C",10,IF(AN382="B2B",5,0))</f>
        <v/>
      </c>
      <c r="AP382" s="30" t="inlineStr">
        <is>
          <t>No</t>
        </is>
      </c>
      <c r="AQ382" s="30">
        <f>IF(AP382="Yes",10,0)</f>
        <v/>
      </c>
      <c r="AR382" s="30" t="inlineStr">
        <is>
          <t>Higher One Time, Lower Annuity</t>
        </is>
      </c>
      <c r="AS382" s="30">
        <f>IF(AR382="Fully Annuity",10,IF(AR382="Higher Annuity, Lower One Time",5,IF(AR382="Higher One Time, Lower Annuity",3,0)))</f>
        <v/>
      </c>
      <c r="AT382" s="30" t="inlineStr">
        <is>
          <t>Good</t>
        </is>
      </c>
      <c r="AU382" s="30">
        <f>IF(AT382="Good",10,0)</f>
        <v/>
      </c>
      <c r="AV382" s="30" t="inlineStr">
        <is>
          <t>Yes for more than 2 years</t>
        </is>
      </c>
      <c r="AW382" s="30">
        <f>IF(AV382="Yes for more than 2 years",10,IF(AV382="Yes only for next 1 to 2 years",5,0))</f>
        <v/>
      </c>
      <c r="AX382" s="30" t="inlineStr">
        <is>
          <t>0 to 20</t>
        </is>
      </c>
      <c r="AY382" s="30">
        <f>IF(AX382="Above 40",20,IF(AX382="20 to 40",10,IF(AX382="0 to 20",-5,0)))</f>
        <v/>
      </c>
      <c r="AZ382" s="30" t="inlineStr">
        <is>
          <t>Between 50 to 75</t>
        </is>
      </c>
      <c r="BA382" s="30">
        <f>IF(AZ382="Between 50 to 75",10,IF(AZ382="Above 75",0,0))</f>
        <v/>
      </c>
      <c r="BB382" s="30" t="inlineStr">
        <is>
          <t>Stage 1</t>
        </is>
      </c>
      <c r="BC382" s="30">
        <f>IF(BB382="Stage 2",20,IF(BB382="Stage 1",0,IF(BB382="Stage 3",5,IF(BB382="Stage 4",-5,0))))</f>
        <v/>
      </c>
      <c r="BD382" s="30" t="inlineStr">
        <is>
          <t>Positive Trend</t>
        </is>
      </c>
      <c r="BE382" s="30">
        <f>IF(BD382="Positive Trend",20,IF(BD382="Negative Trend",-10,0))</f>
        <v/>
      </c>
      <c r="BF382" s="30" t="inlineStr">
        <is>
          <t>Uptrend</t>
        </is>
      </c>
      <c r="BG382" s="30">
        <f>IF(BF382="Uptrend",10,IF(BF382="Sideways",5,0))</f>
        <v/>
      </c>
      <c r="BH382" s="30" t="inlineStr">
        <is>
          <t>Uptrend</t>
        </is>
      </c>
      <c r="BI382" s="30">
        <f>IF(BH382="Uptrend",10,IF(BH382="Sideways",5,0))</f>
        <v/>
      </c>
      <c r="BJ382" s="30" t="inlineStr">
        <is>
          <t>Close to 52 week high or retracement</t>
        </is>
      </c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inlineStr">
        <is>
          <t>Yes</t>
        </is>
      </c>
      <c r="BM382" s="30">
        <f>IF(BL382="Yes",10,0)</f>
        <v/>
      </c>
      <c r="BN382" s="30" t="inlineStr">
        <is>
          <t>More than 20%</t>
        </is>
      </c>
      <c r="BO382" s="30">
        <f>IF(BN382="More than 20%",10,IF(BN382="Between 12 to 20%",5,IF(BN382="Less than 12%",0,0)))</f>
        <v/>
      </c>
      <c r="BP382" s="30" t="inlineStr">
        <is>
          <t>No</t>
        </is>
      </c>
      <c r="BQ382" s="30">
        <f>IF(BP382="No",10,0)</f>
        <v/>
      </c>
      <c r="BR382" s="30" t="inlineStr">
        <is>
          <t>No</t>
        </is>
      </c>
      <c r="BS382" s="30">
        <f>IF(BR382="NO",5,0)</f>
        <v/>
      </c>
      <c r="BT382" s="30" t="inlineStr">
        <is>
          <t>Less than 1.5</t>
        </is>
      </c>
      <c r="BU382" s="30">
        <f>IF(BT382="Above 2",0,IF(BT382="Between 1.5 to 2",5,IF(BT382="Less than 1.5",10,0)))</f>
        <v/>
      </c>
      <c r="BV382" s="30" t="inlineStr">
        <is>
          <t>Above 70%</t>
        </is>
      </c>
      <c r="BW382" s="30">
        <f>IF(BV382="Above 70%",10,IF(BV382="Between 50% to 70%",5,IF(BV382="Less than 50%",0,IF(BV382="Negative",-10,IF(BV382="Less than 50% and Borrowings are increasing",-5,0)))))</f>
        <v/>
      </c>
      <c r="BX382" s="30" t="inlineStr">
        <is>
          <t>Less than 0.7</t>
        </is>
      </c>
      <c r="BY382" s="30">
        <f>IF(BX382="More than 1.2",-10,IF(BX382="Between 0.7 to 1.2",0,IF(BX382="Less than 0.7",10,0)))</f>
        <v/>
      </c>
      <c r="BZ382" s="30" t="inlineStr">
        <is>
          <t>No</t>
        </is>
      </c>
      <c r="CA382" s="30">
        <f>IF(BZ382="Yes",-10,0)</f>
        <v/>
      </c>
      <c r="CB382" s="30" t="inlineStr">
        <is>
          <t>Less than 15%</t>
        </is>
      </c>
      <c r="CC382" s="30">
        <f>IF(CB382="More than 15%",-10,IF(CB382="Less than 15%",10,0))</f>
        <v/>
      </c>
      <c r="CD382" s="30" t="inlineStr">
        <is>
          <t>No</t>
        </is>
      </c>
      <c r="CE382" s="30">
        <f>IF(CD382="Yes, more than 10%",-10,IF(CD382="No",10,0))</f>
        <v/>
      </c>
    </row>
    <row r="383">
      <c r="A383" s="30">
        <f>IF(B383=0,"",RANK(B383,$B$2:$B$395,0))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2" t="inlineStr">
        <is>
          <t>HINDZINC</t>
        </is>
      </c>
      <c r="D383" s="32" t="inlineStr">
        <is>
          <t>Hindustan Zinc Limited</t>
        </is>
      </c>
      <c r="E383" s="30" t="inlineStr">
        <is>
          <t>metals &amp; mining</t>
        </is>
      </c>
      <c r="F383" s="30" t="inlineStr">
        <is>
          <t>mining / minerals / metals</t>
        </is>
      </c>
      <c r="G383" s="30" t="inlineStr">
        <is>
          <t>largecap</t>
        </is>
      </c>
      <c r="H383" s="31" t="n">
        <v>251469.86</v>
      </c>
      <c r="I383" s="31" t="n">
        <v>586.65</v>
      </c>
      <c r="J383" s="31" t="n">
        <v>-1.43</v>
      </c>
      <c r="K383" s="31" t="n">
        <v>10276247</v>
      </c>
      <c r="L383" s="30" t="n">
        <v>35</v>
      </c>
      <c r="M383" s="30" t="inlineStr">
        <is>
          <t>Underperforming</t>
        </is>
      </c>
      <c r="N383" s="31">
        <f>IF(M383="Underperforming",-5,IF(L383&gt;=95,15,IF(L383&gt;=90,10,IF(L383&gt;=80,5,0))))</f>
        <v/>
      </c>
      <c r="O383" s="31" t="n">
        <v>54.59</v>
      </c>
      <c r="P383" s="31" t="n">
        <v>13.51</v>
      </c>
      <c r="Q383" s="31" t="n">
        <v>517.9</v>
      </c>
      <c r="R383" s="30" t="inlineStr">
        <is>
          <t>Earnings / Momentum Support</t>
        </is>
      </c>
      <c r="S383" s="30" t="inlineStr">
        <is>
          <t>Nifty Metal</t>
        </is>
      </c>
      <c r="T383" s="31" t="n">
        <v>39</v>
      </c>
      <c r="U383" s="31" t="n">
        <v>36.01</v>
      </c>
      <c r="V383" s="31" t="n">
        <v>-2.15</v>
      </c>
      <c r="W383" s="31" t="n">
        <v>8.32</v>
      </c>
      <c r="X383" s="30" t="inlineStr">
        <is>
          <t>Cyclical in an Upturn</t>
        </is>
      </c>
      <c r="Y383" s="30">
        <f>IF(X383="Growing Industry",10,IF(X383="Cyclical in an Upturn",5,0))</f>
        <v/>
      </c>
      <c r="Z383" s="30" t="inlineStr">
        <is>
          <t>Too Many Players with High ROCE</t>
        </is>
      </c>
      <c r="AA383" s="30">
        <f>IF(Z383="Monopoly",10,IF(Z383="Oligopoly",5,IF(Z383="Duopoly that cooperate",10,IF(Z383="Duopoly that compete",5,IF(Z383="Too many players with High ROCE",5,0)))))</f>
        <v/>
      </c>
      <c r="AB383" s="30" t="inlineStr">
        <is>
          <t>No</t>
        </is>
      </c>
      <c r="AC383" s="30">
        <f>IF(AB383="No",5,0)</f>
        <v/>
      </c>
      <c r="AD383" s="30" t="inlineStr">
        <is>
          <t>Tailwind</t>
        </is>
      </c>
      <c r="AE383" s="30">
        <f>IF(AD383="Tailwind",10,0)</f>
        <v/>
      </c>
      <c r="AF383" s="30" t="inlineStr">
        <is>
          <t>Cyclical</t>
        </is>
      </c>
      <c r="AG383" s="30">
        <f>IF(AF383="Structural (10 Years Consistency)",10,IF(AF383="Shallow Cyclical (2 to 3 years growth)",5,0))</f>
        <v/>
      </c>
      <c r="AH383" s="30" t="inlineStr">
        <is>
          <t>No</t>
        </is>
      </c>
      <c r="AI383" s="30">
        <f>IF(AH383="Yes due to Product Mix change or Operating Leverage",10,IF(AH383="Yes, these are peak margins",-5,IF(AH383="No",5,0)))</f>
        <v/>
      </c>
      <c r="AJ383" s="30" t="inlineStr">
        <is>
          <t>Volatile</t>
        </is>
      </c>
      <c r="AK383" s="30">
        <f>IF(AJ383="Stable",10,0)</f>
        <v/>
      </c>
      <c r="AL383" s="30" t="inlineStr">
        <is>
          <t>Yes</t>
        </is>
      </c>
      <c r="AM383" s="30">
        <f>IF(AL383="Yes",10,0)</f>
        <v/>
      </c>
      <c r="AN383" s="30" t="inlineStr">
        <is>
          <t>B2B</t>
        </is>
      </c>
      <c r="AO383" s="30">
        <f>IF(AN383="B2C",10,IF(AN383="B2B",5,0))</f>
        <v/>
      </c>
      <c r="AP383" s="30" t="inlineStr">
        <is>
          <t>No</t>
        </is>
      </c>
      <c r="AQ383" s="30">
        <f>IF(AP383="Yes",10,0)</f>
        <v/>
      </c>
      <c r="AR383" s="30" t="inlineStr">
        <is>
          <t>Higher One Time, Lower Annuity</t>
        </is>
      </c>
      <c r="AS383" s="30">
        <f>IF(AR383="Fully Annuity",10,IF(AR383="Higher Annuity, Lower One Time",5,IF(AR383="Higher One Time, Lower Annuity",3,0)))</f>
        <v/>
      </c>
      <c r="AT383" s="30" t="inlineStr">
        <is>
          <t>Good</t>
        </is>
      </c>
      <c r="AU383" s="30">
        <f>IF(AT383="Good",10,0)</f>
        <v/>
      </c>
      <c r="AV383" s="30" t="inlineStr">
        <is>
          <t>Yes for more than 2 years</t>
        </is>
      </c>
      <c r="AW383" s="30">
        <f>IF(AV383="Yes for more than 2 years",10,IF(AV383="Yes only for next 1 to 2 years",5,0))</f>
        <v/>
      </c>
      <c r="AX383" s="30" t="inlineStr">
        <is>
          <t>0 to 20</t>
        </is>
      </c>
      <c r="AY383" s="30">
        <f>IF(AX383="Above 40",20,IF(AX383="20 to 40",10,IF(AX383="0 to 20",-5,0)))</f>
        <v/>
      </c>
      <c r="AZ383" s="30" t="inlineStr">
        <is>
          <t>Between 50 to 75</t>
        </is>
      </c>
      <c r="BA383" s="30">
        <f>IF(AZ383="Between 50 to 75",10,IF(AZ383="Above 75",0,0))</f>
        <v/>
      </c>
      <c r="BB383" s="30" t="inlineStr">
        <is>
          <t>Stage 1</t>
        </is>
      </c>
      <c r="BC383" s="30">
        <f>IF(BB383="Stage 2",20,IF(BB383="Stage 1",0,IF(BB383="Stage 3",5,IF(BB383="Stage 4",-5,0))))</f>
        <v/>
      </c>
      <c r="BD383" s="30" t="inlineStr">
        <is>
          <t>Positive Trend</t>
        </is>
      </c>
      <c r="BE383" s="30">
        <f>IF(BD383="Positive Trend",20,IF(BD383="Negative Trend",-10,0))</f>
        <v/>
      </c>
      <c r="BF383" s="30" t="inlineStr">
        <is>
          <t>Uptrend</t>
        </is>
      </c>
      <c r="BG383" s="30">
        <f>IF(BF383="Uptrend",10,IF(BF383="Sideways",5,0))</f>
        <v/>
      </c>
      <c r="BH383" s="30" t="inlineStr">
        <is>
          <t>Uptrend</t>
        </is>
      </c>
      <c r="BI383" s="30">
        <f>IF(BH383="Uptrend",10,IF(BH383="Sideways",5,0))</f>
        <v/>
      </c>
      <c r="BJ383" s="30" t="inlineStr">
        <is>
          <t>Close to 52 week high or retracement</t>
        </is>
      </c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inlineStr">
        <is>
          <t>Yes</t>
        </is>
      </c>
      <c r="BM383" s="30">
        <f>IF(BL383="Yes",10,0)</f>
        <v/>
      </c>
      <c r="BN383" s="30" t="inlineStr">
        <is>
          <t>More than 20%</t>
        </is>
      </c>
      <c r="BO383" s="30">
        <f>IF(BN383="More than 20%",10,IF(BN383="Between 12 to 20%",5,IF(BN383="Less than 12%",0,0)))</f>
        <v/>
      </c>
      <c r="BP383" s="30" t="inlineStr">
        <is>
          <t>No</t>
        </is>
      </c>
      <c r="BQ383" s="30">
        <f>IF(BP383="No",10,0)</f>
        <v/>
      </c>
      <c r="BR383" s="30" t="inlineStr">
        <is>
          <t>No</t>
        </is>
      </c>
      <c r="BS383" s="30">
        <f>IF(BR383="NO",5,0)</f>
        <v/>
      </c>
      <c r="BT383" s="30" t="inlineStr">
        <is>
          <t>Above 2</t>
        </is>
      </c>
      <c r="BU383" s="30">
        <f>IF(BT383="Above 2",0,IF(BT383="Between 1.5 to 2",5,IF(BT383="Less than 1.5",10,0)))</f>
        <v/>
      </c>
      <c r="BV383" s="30" t="inlineStr">
        <is>
          <t>Above 70%</t>
        </is>
      </c>
      <c r="BW383" s="30">
        <f>IF(BV383="Above 70%",10,IF(BV383="Between 50% to 70%",5,IF(BV383="Less than 50%",0,IF(BV383="Negative",-10,IF(BV383="Less than 50% and Borrowings are increasing",-5,0)))))</f>
        <v/>
      </c>
      <c r="BX383" s="30" t="inlineStr">
        <is>
          <t>Less than 0.7</t>
        </is>
      </c>
      <c r="BY383" s="30">
        <f>IF(BX383="More than 1.2",-10,IF(BX383="Between 0.7 to 1.2",0,IF(BX383="Less than 0.7",10,0)))</f>
        <v/>
      </c>
      <c r="BZ383" s="30" t="inlineStr">
        <is>
          <t>No</t>
        </is>
      </c>
      <c r="CA383" s="30">
        <f>IF(BZ383="Yes",-10,0)</f>
        <v/>
      </c>
      <c r="CB383" s="30" t="inlineStr">
        <is>
          <t>Less than 15%</t>
        </is>
      </c>
      <c r="CC383" s="30">
        <f>IF(CB383="More than 15%",-10,IF(CB383="Less than 15%",10,0))</f>
        <v/>
      </c>
      <c r="CD383" s="30" t="inlineStr">
        <is>
          <t>No</t>
        </is>
      </c>
      <c r="CE383" s="30">
        <f>IF(CD383="Yes, more than 10%",-10,IF(CD383="No",10,0))</f>
        <v/>
      </c>
    </row>
    <row r="384">
      <c r="A384" s="30">
        <f>IF(B384=0,"",RANK(B384,$B$2:$B$395,0))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2" t="inlineStr">
        <is>
          <t>GRAVITA</t>
        </is>
      </c>
      <c r="D384" s="32" t="inlineStr">
        <is>
          <t>Gravita India Limited</t>
        </is>
      </c>
      <c r="E384" s="30" t="inlineStr">
        <is>
          <t>metals &amp; mining</t>
        </is>
      </c>
      <c r="F384" s="30" t="inlineStr">
        <is>
          <t>mining / minerals / metals</t>
        </is>
      </c>
      <c r="G384" s="30" t="inlineStr">
        <is>
          <t>midcap</t>
        </is>
      </c>
      <c r="H384" s="31" t="n">
        <v>13163.74</v>
      </c>
      <c r="I384" s="31" t="n">
        <v>1784.5</v>
      </c>
      <c r="J384" s="31" t="n">
        <v>0.06</v>
      </c>
      <c r="K384" s="31" t="n">
        <v>177984</v>
      </c>
      <c r="L384" s="30" t="n">
        <v>11</v>
      </c>
      <c r="M384" s="30" t="inlineStr">
        <is>
          <t>Underperforming</t>
        </is>
      </c>
      <c r="N384" s="31">
        <f>IF(M384="Underperforming",-5,IF(L384&gt;=95,15,IF(L384&gt;=90,10,IF(L384&gt;=80,5,0))))</f>
        <v/>
      </c>
      <c r="O384" s="31" t="n">
        <v>55.24</v>
      </c>
      <c r="P384" s="31" t="n">
        <v>15.12</v>
      </c>
      <c r="Q384" s="31" t="n">
        <v>1447.42</v>
      </c>
      <c r="R384" s="30" t="inlineStr">
        <is>
          <t>Near 52W High Breakout</t>
        </is>
      </c>
      <c r="S384" s="30" t="inlineStr">
        <is>
          <t>Nifty Metal</t>
        </is>
      </c>
      <c r="T384" s="31" t="n">
        <v>39</v>
      </c>
      <c r="U384" s="31" t="n">
        <v>-5.41</v>
      </c>
      <c r="V384" s="31" t="n">
        <v>-31.95</v>
      </c>
      <c r="W384" s="31" t="n">
        <v>2.02</v>
      </c>
      <c r="X384" s="30" t="inlineStr">
        <is>
          <t>Cyclical in an Upturn</t>
        </is>
      </c>
      <c r="Y384" s="30">
        <f>IF(X384="Growing Industry",10,IF(X384="Cyclical in an Upturn",5,0))</f>
        <v/>
      </c>
      <c r="Z384" s="30" t="inlineStr">
        <is>
          <t>Too Many Players with High ROCE</t>
        </is>
      </c>
      <c r="AA384" s="30">
        <f>IF(Z384="Monopoly",10,IF(Z384="Oligopoly",5,IF(Z384="Duopoly that cooperate",10,IF(Z384="Duopoly that compete",5,IF(Z384="Too many players with High ROCE",5,0)))))</f>
        <v/>
      </c>
      <c r="AB384" s="30" t="inlineStr">
        <is>
          <t>No</t>
        </is>
      </c>
      <c r="AC384" s="30">
        <f>IF(AB384="No",5,0)</f>
        <v/>
      </c>
      <c r="AD384" s="30" t="inlineStr">
        <is>
          <t>Tailwind</t>
        </is>
      </c>
      <c r="AE384" s="30">
        <f>IF(AD384="Tailwind",10,0)</f>
        <v/>
      </c>
      <c r="AF384" s="30" t="inlineStr">
        <is>
          <t>Cyclical</t>
        </is>
      </c>
      <c r="AG384" s="30">
        <f>IF(AF384="Structural (10 Years Consistency)",10,IF(AF384="Shallow Cyclical (2 to 3 years growth)",5,0))</f>
        <v/>
      </c>
      <c r="AH384" s="30" t="inlineStr">
        <is>
          <t>No</t>
        </is>
      </c>
      <c r="AI384" s="30">
        <f>IF(AH384="Yes due to Product Mix change or Operating Leverage",10,IF(AH384="Yes, these are peak margins",-5,IF(AH384="No",5,0)))</f>
        <v/>
      </c>
      <c r="AJ384" s="30" t="inlineStr">
        <is>
          <t>Volatile</t>
        </is>
      </c>
      <c r="AK384" s="30">
        <f>IF(AJ384="Stable",10,0)</f>
        <v/>
      </c>
      <c r="AL384" s="30" t="inlineStr">
        <is>
          <t>Yes</t>
        </is>
      </c>
      <c r="AM384" s="30">
        <f>IF(AL384="Yes",10,0)</f>
        <v/>
      </c>
      <c r="AN384" s="30" t="inlineStr">
        <is>
          <t>B2B</t>
        </is>
      </c>
      <c r="AO384" s="30">
        <f>IF(AN384="B2C",10,IF(AN384="B2B",5,0))</f>
        <v/>
      </c>
      <c r="AP384" s="30" t="inlineStr">
        <is>
          <t>Yes</t>
        </is>
      </c>
      <c r="AQ384" s="30">
        <f>IF(AP384="Yes",10,0)</f>
        <v/>
      </c>
      <c r="AR384" s="30" t="inlineStr">
        <is>
          <t>Higher One Time, Lower Annuity</t>
        </is>
      </c>
      <c r="AS384" s="30">
        <f>IF(AR384="Fully Annuity",10,IF(AR384="Higher Annuity, Lower One Time",5,IF(AR384="Higher One Time, Lower Annuity",3,0)))</f>
        <v/>
      </c>
      <c r="AT384" s="30" t="inlineStr">
        <is>
          <t>Good</t>
        </is>
      </c>
      <c r="AU384" s="30">
        <f>IF(AT384="Good",10,0)</f>
        <v/>
      </c>
      <c r="AV384" s="30" t="inlineStr">
        <is>
          <t>Yes for more than 2 years</t>
        </is>
      </c>
      <c r="AW384" s="30">
        <f>IF(AV384="Yes for more than 2 years",10,IF(AV384="Yes only for next 1 to 2 years",5,0))</f>
        <v/>
      </c>
      <c r="AX384" s="30" t="inlineStr">
        <is>
          <t>0 to 20</t>
        </is>
      </c>
      <c r="AY384" s="30">
        <f>IF(AX384="Above 40",20,IF(AX384="20 to 40",10,IF(AX384="0 to 20",-5,0)))</f>
        <v/>
      </c>
      <c r="AZ384" s="30" t="inlineStr">
        <is>
          <t>Between 50 to 75</t>
        </is>
      </c>
      <c r="BA384" s="30">
        <f>IF(AZ384="Between 50 to 75",10,IF(AZ384="Above 75",0,0))</f>
        <v/>
      </c>
      <c r="BB384" s="30" t="inlineStr">
        <is>
          <t>Stage 2</t>
        </is>
      </c>
      <c r="BC384" s="30">
        <f>IF(BB384="Stage 2",20,IF(BB384="Stage 1",0,IF(BB384="Stage 3",5,IF(BB384="Stage 4",-5,0))))</f>
        <v/>
      </c>
      <c r="BD384" s="30" t="inlineStr">
        <is>
          <t>Negative Trend</t>
        </is>
      </c>
      <c r="BE384" s="30">
        <f>IF(BD384="Positive Trend",20,IF(BD384="Negative Trend",-10,0))</f>
        <v/>
      </c>
      <c r="BF384" s="30" t="inlineStr">
        <is>
          <t>Uptrend</t>
        </is>
      </c>
      <c r="BG384" s="30">
        <f>IF(BF384="Uptrend",10,IF(BF384="Sideways",5,0))</f>
        <v/>
      </c>
      <c r="BH384" s="30" t="inlineStr">
        <is>
          <t>Uptrend</t>
        </is>
      </c>
      <c r="BI384" s="30">
        <f>IF(BH384="Uptrend",10,IF(BH384="Sideways",5,0))</f>
        <v/>
      </c>
      <c r="BJ384" s="30" t="inlineStr">
        <is>
          <t>Close to 52 week high or retracement</t>
        </is>
      </c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inlineStr">
        <is>
          <t>Yes</t>
        </is>
      </c>
      <c r="BM384" s="30">
        <f>IF(BL384="Yes",10,0)</f>
        <v/>
      </c>
      <c r="BN384" s="30" t="inlineStr">
        <is>
          <t>Between 12 to 20%</t>
        </is>
      </c>
      <c r="BO384" s="30">
        <f>IF(BN384="More than 20%",10,IF(BN384="Between 12 to 20%",5,IF(BN384="Less than 12%",0,0)))</f>
        <v/>
      </c>
      <c r="BP384" s="30" t="inlineStr">
        <is>
          <t>No</t>
        </is>
      </c>
      <c r="BQ384" s="30">
        <f>IF(BP384="No",10,0)</f>
        <v/>
      </c>
      <c r="BR384" s="30" t="inlineStr">
        <is>
          <t>No</t>
        </is>
      </c>
      <c r="BS384" s="30">
        <f>IF(BR384="NO",5,0)</f>
        <v/>
      </c>
      <c r="BT384" s="30" t="inlineStr">
        <is>
          <t>Above 2</t>
        </is>
      </c>
      <c r="BU384" s="30">
        <f>IF(BT384="Above 2",0,IF(BT384="Between 1.5 to 2",5,IF(BT384="Less than 1.5",10,0)))</f>
        <v/>
      </c>
      <c r="BV384" s="30" t="inlineStr">
        <is>
          <t>Above 70%</t>
        </is>
      </c>
      <c r="BW384" s="30">
        <f>IF(BV384="Above 70%",10,IF(BV384="Between 50% to 70%",5,IF(BV384="Less than 50%",0,IF(BV384="Negative",-10,IF(BV384="Less than 50% and Borrowings are increasing",-5,0)))))</f>
        <v/>
      </c>
      <c r="BX384" s="30" t="inlineStr">
        <is>
          <t>Less than 0.7</t>
        </is>
      </c>
      <c r="BY384" s="30">
        <f>IF(BX384="More than 1.2",-10,IF(BX384="Between 0.7 to 1.2",0,IF(BX384="Less than 0.7",10,0)))</f>
        <v/>
      </c>
      <c r="BZ384" s="30" t="inlineStr">
        <is>
          <t>No</t>
        </is>
      </c>
      <c r="CA384" s="30">
        <f>IF(BZ384="Yes",-10,0)</f>
        <v/>
      </c>
      <c r="CB384" s="30" t="inlineStr">
        <is>
          <t>Less than 15%</t>
        </is>
      </c>
      <c r="CC384" s="30">
        <f>IF(CB384="More than 15%",-10,IF(CB384="Less than 15%",10,0))</f>
        <v/>
      </c>
      <c r="CD384" s="30" t="inlineStr">
        <is>
          <t>No</t>
        </is>
      </c>
      <c r="CE384" s="30">
        <f>IF(CD384="Yes, more than 10%",-10,IF(CD384="No",10,0))</f>
        <v/>
      </c>
    </row>
    <row r="385">
      <c r="A385" s="30">
        <f>IF(B385=0,"",RANK(B385,$B$2:$B$395,0))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2" t="inlineStr">
        <is>
          <t>MAXESTATES</t>
        </is>
      </c>
      <c r="D385" s="32" t="inlineStr">
        <is>
          <t>Max Estates Ltd</t>
        </is>
      </c>
      <c r="E385" s="30" t="inlineStr">
        <is>
          <t>realty</t>
        </is>
      </c>
      <c r="F385" s="30" t="inlineStr">
        <is>
          <t>construction</t>
        </is>
      </c>
      <c r="G385" s="30" t="inlineStr">
        <is>
          <t>midcap</t>
        </is>
      </c>
      <c r="H385" s="31" t="n">
        <v>6890.59</v>
      </c>
      <c r="I385" s="31" t="n">
        <v>427</v>
      </c>
      <c r="J385" s="31" t="n">
        <v>1.32</v>
      </c>
      <c r="K385" s="31" t="n">
        <v>66539</v>
      </c>
      <c r="L385" s="30" t="n">
        <v>2</v>
      </c>
      <c r="M385" s="30" t="inlineStr">
        <is>
          <t>Underperforming</t>
        </is>
      </c>
      <c r="N385" s="31">
        <f>IF(M385="Underperforming",-5,IF(L385&gt;=95,15,IF(L385&gt;=90,10,IF(L385&gt;=80,5,0))))</f>
        <v/>
      </c>
      <c r="O385" s="31" t="n">
        <v>52.7</v>
      </c>
      <c r="P385" s="31" t="n">
        <v>16.31</v>
      </c>
      <c r="Q385" s="31" t="n">
        <v>348.11</v>
      </c>
      <c r="R385" s="30" t="inlineStr">
        <is>
          <t>Earnings / Momentum Support</t>
        </is>
      </c>
      <c r="S385" s="30" t="inlineStr">
        <is>
          <t>Nifty Realty</t>
        </is>
      </c>
      <c r="T385" s="31" t="n">
        <v>-6.47</v>
      </c>
      <c r="U385" s="31" t="n">
        <v>-16.53</v>
      </c>
      <c r="V385" s="31" t="n">
        <v>-10.76</v>
      </c>
      <c r="W385" s="31" t="n">
        <v>-1.34</v>
      </c>
      <c r="X385" s="30" t="inlineStr">
        <is>
          <t>Growing Industry</t>
        </is>
      </c>
      <c r="Y385" s="30">
        <f>IF(X385="Growing Industry",10,IF(X385="Cyclical in an Upturn",5,0))</f>
        <v/>
      </c>
      <c r="Z385" s="30" t="inlineStr">
        <is>
          <t>Too Many Players with High ROCE</t>
        </is>
      </c>
      <c r="AA385" s="30">
        <f>IF(Z385="Monopoly",10,IF(Z385="Oligopoly",5,IF(Z385="Duopoly that cooperate",10,IF(Z385="Duopoly that compete",5,IF(Z385="Too many players with High ROCE",5,0)))))</f>
        <v/>
      </c>
      <c r="AB385" s="30" t="inlineStr">
        <is>
          <t>No</t>
        </is>
      </c>
      <c r="AC385" s="30">
        <f>IF(AB385="No",5,0)</f>
        <v/>
      </c>
      <c r="AD385" s="30" t="inlineStr">
        <is>
          <t>Tailwind</t>
        </is>
      </c>
      <c r="AE385" s="30">
        <f>IF(AD385="Tailwind",10,0)</f>
        <v/>
      </c>
      <c r="AF385" s="30" t="inlineStr">
        <is>
          <t>Structural (10 Years Consistency)</t>
        </is>
      </c>
      <c r="AG385" s="30">
        <f>IF(AF385="Structural (10 Years Consistency)",10,IF(AF385="Shallow Cyclical (2 to 3 years growth)",5,0))</f>
        <v/>
      </c>
      <c r="AH385" s="30" t="inlineStr">
        <is>
          <t>No</t>
        </is>
      </c>
      <c r="AI385" s="30">
        <f>IF(AH385="Yes due to Product Mix change or Operating Leverage",10,IF(AH385="Yes, these are peak margins",-5,IF(AH385="No",5,0)))</f>
        <v/>
      </c>
      <c r="AJ385" s="30" t="inlineStr">
        <is>
          <t>Stable</t>
        </is>
      </c>
      <c r="AK385" s="30">
        <f>IF(AJ385="Stable",10,0)</f>
        <v/>
      </c>
      <c r="AL385" s="30" t="inlineStr">
        <is>
          <t>Yes</t>
        </is>
      </c>
      <c r="AM385" s="30">
        <f>IF(AL385="Yes",10,0)</f>
        <v/>
      </c>
      <c r="AN385" s="30" t="inlineStr">
        <is>
          <t>B2B</t>
        </is>
      </c>
      <c r="AO385" s="30">
        <f>IF(AN385="B2C",10,IF(AN385="B2B",5,0))</f>
        <v/>
      </c>
      <c r="AP385" s="30" t="inlineStr">
        <is>
          <t>No</t>
        </is>
      </c>
      <c r="AQ385" s="30">
        <f>IF(AP385="Yes",10,0)</f>
        <v/>
      </c>
      <c r="AR385" s="30" t="inlineStr">
        <is>
          <t>Higher One Time, Lower Annuity</t>
        </is>
      </c>
      <c r="AS385" s="30">
        <f>IF(AR385="Fully Annuity",10,IF(AR385="Higher Annuity, Lower One Time",5,IF(AR385="Higher One Time, Lower Annuity",3,0)))</f>
        <v/>
      </c>
      <c r="AT385" s="30" t="inlineStr">
        <is>
          <t>Good</t>
        </is>
      </c>
      <c r="AU385" s="30">
        <f>IF(AT385="Good",10,0)</f>
        <v/>
      </c>
      <c r="AV385" s="30" t="inlineStr">
        <is>
          <t>Yes for more than 2 years</t>
        </is>
      </c>
      <c r="AW385" s="30">
        <f>IF(AV385="Yes for more than 2 years",10,IF(AV385="Yes only for next 1 to 2 years",5,0))</f>
        <v/>
      </c>
      <c r="AX385" s="30" t="inlineStr">
        <is>
          <t>0 to 20</t>
        </is>
      </c>
      <c r="AY385" s="30">
        <f>IF(AX385="Above 40",20,IF(AX385="20 to 40",10,IF(AX385="0 to 20",-5,0)))</f>
        <v/>
      </c>
      <c r="AZ385" s="30" t="inlineStr">
        <is>
          <t>Between 50 to 75</t>
        </is>
      </c>
      <c r="BA385" s="30">
        <f>IF(AZ385="Between 50 to 75",10,IF(AZ385="Above 75",0,0))</f>
        <v/>
      </c>
      <c r="BB385" s="30" t="inlineStr">
        <is>
          <t>Stage 1</t>
        </is>
      </c>
      <c r="BC385" s="30">
        <f>IF(BB385="Stage 2",20,IF(BB385="Stage 1",0,IF(BB385="Stage 3",5,IF(BB385="Stage 4",-5,0))))</f>
        <v/>
      </c>
      <c r="BD385" s="30" t="inlineStr">
        <is>
          <t>Positive Trend</t>
        </is>
      </c>
      <c r="BE385" s="30">
        <f>IF(BD385="Positive Trend",20,IF(BD385="Negative Trend",-10,0))</f>
        <v/>
      </c>
      <c r="BF385" s="30" t="inlineStr">
        <is>
          <t>Uptrend</t>
        </is>
      </c>
      <c r="BG385" s="30">
        <f>IF(BF385="Uptrend",10,IF(BF385="Sideways",5,0))</f>
        <v/>
      </c>
      <c r="BH385" s="30" t="inlineStr">
        <is>
          <t>Uptrend</t>
        </is>
      </c>
      <c r="BI385" s="30">
        <f>IF(BH385="Uptrend",10,IF(BH385="Sideways",5,0))</f>
        <v/>
      </c>
      <c r="BJ385" s="30" t="inlineStr">
        <is>
          <t>Close to 52 week high or retracement</t>
        </is>
      </c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inlineStr">
        <is>
          <t>Yes</t>
        </is>
      </c>
      <c r="BM385" s="30">
        <f>IF(BL385="Yes",10,0)</f>
        <v/>
      </c>
      <c r="BN385" s="30" t="inlineStr">
        <is>
          <t>More than 20%</t>
        </is>
      </c>
      <c r="BO385" s="30">
        <f>IF(BN385="More than 20%",10,IF(BN385="Between 12 to 20%",5,IF(BN385="Less than 12%",0,0)))</f>
        <v/>
      </c>
      <c r="BP385" s="30" t="inlineStr">
        <is>
          <t>No</t>
        </is>
      </c>
      <c r="BQ385" s="30">
        <f>IF(BP385="No",10,0)</f>
        <v/>
      </c>
      <c r="BR385" s="30" t="inlineStr">
        <is>
          <t>Yes</t>
        </is>
      </c>
      <c r="BS385" s="30">
        <f>IF(BR385="NO",5,0)</f>
        <v/>
      </c>
      <c r="BT385" s="30" t="inlineStr">
        <is>
          <t>Above 2</t>
        </is>
      </c>
      <c r="BU385" s="30">
        <f>IF(BT385="Above 2",0,IF(BT385="Between 1.5 to 2",5,IF(BT385="Less than 1.5",10,0)))</f>
        <v/>
      </c>
      <c r="BV385" s="30" t="inlineStr">
        <is>
          <t>Negative</t>
        </is>
      </c>
      <c r="BW385" s="30">
        <f>IF(BV385="Above 70%",10,IF(BV385="Between 50% to 70%",5,IF(BV385="Less than 50%",0,IF(BV385="Negative",-10,IF(BV385="Less than 50% and Borrowings are increasing",-5,0)))))</f>
        <v/>
      </c>
      <c r="BX385" s="30" t="inlineStr">
        <is>
          <t>Between 0.7 to 1.2</t>
        </is>
      </c>
      <c r="BY385" s="30">
        <f>IF(BX385="More than 1.2",-10,IF(BX385="Between 0.7 to 1.2",0,IF(BX385="Less than 0.7",10,0)))</f>
        <v/>
      </c>
      <c r="BZ385" s="30" t="inlineStr">
        <is>
          <t>No</t>
        </is>
      </c>
      <c r="CA385" s="30">
        <f>IF(BZ385="Yes",-10,0)</f>
        <v/>
      </c>
      <c r="CB385" s="30" t="inlineStr">
        <is>
          <t>Less than 15%</t>
        </is>
      </c>
      <c r="CC385" s="30">
        <f>IF(CB385="More than 15%",-10,IF(CB385="Less than 15%",10,0))</f>
        <v/>
      </c>
      <c r="CD385" s="30" t="inlineStr">
        <is>
          <t>No</t>
        </is>
      </c>
      <c r="CE385" s="30">
        <f>IF(CD385="Yes, more than 10%",-10,IF(CD385="No",10,0))</f>
        <v/>
      </c>
    </row>
    <row r="386">
      <c r="A386" s="30">
        <f>IF(B386=0,"",RANK(B386,$B$2:$B$395,0))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0" t="inlineStr">
        <is>
          <t>GNFC</t>
        </is>
      </c>
      <c r="D386" s="30" t="inlineStr">
        <is>
          <t>Gujarat Narmada Valley Fertilizers And Chemicals Limited</t>
        </is>
      </c>
      <c r="E386" s="30" t="inlineStr">
        <is>
          <t>chemicals</t>
        </is>
      </c>
      <c r="F386" s="30" t="inlineStr">
        <is>
          <t>chemicals</t>
        </is>
      </c>
      <c r="G386" s="30" t="inlineStr">
        <is>
          <t>midcap</t>
        </is>
      </c>
      <c r="H386" s="31" t="n">
        <v>7995.04</v>
      </c>
      <c r="I386" s="31" t="n">
        <v>548.4</v>
      </c>
      <c r="J386" s="31" t="n">
        <v>0.79</v>
      </c>
      <c r="K386" s="31" t="n">
        <v>347450</v>
      </c>
      <c r="L386" s="30" t="n">
        <v>17</v>
      </c>
      <c r="M386" s="30" t="inlineStr">
        <is>
          <t>Outperforming</t>
        </is>
      </c>
      <c r="N386" s="31">
        <f>IF(M386="Underperforming",-5,IF(L386&gt;=95,15,IF(L386&gt;=90,10,IF(L386&gt;=80,5,0))))</f>
        <v/>
      </c>
      <c r="O386" s="31" t="n">
        <v>61.93</v>
      </c>
      <c r="P386" s="31" t="n">
        <v>32.51</v>
      </c>
      <c r="Q386" s="31" t="n">
        <v>462.9</v>
      </c>
      <c r="R386" s="30" t="inlineStr">
        <is>
          <t>Near 52W High Breakout</t>
        </is>
      </c>
      <c r="S386" s="30" t="inlineStr">
        <is>
          <t>Nifty 50</t>
        </is>
      </c>
      <c r="T386" s="31" t="n">
        <v>-0.65</v>
      </c>
      <c r="U386" s="31" t="n">
        <v>13.12</v>
      </c>
      <c r="V386" s="31" t="n">
        <v>13.86</v>
      </c>
      <c r="W386" s="31" t="n">
        <v>4</v>
      </c>
      <c r="X386" s="30" t="inlineStr">
        <is>
          <t>Growing Industry</t>
        </is>
      </c>
      <c r="Y386" s="30">
        <f>IF(X386="Growing Industry",10,IF(X386="Cyclical in an Upturn",5,0))</f>
        <v/>
      </c>
      <c r="Z386" s="30" t="inlineStr">
        <is>
          <t>Oligopoly</t>
        </is>
      </c>
      <c r="AA386" s="30">
        <f>IF(Z386="Monopoly",10,IF(Z386="Oligopoly",5,IF(Z386="Duopoly that cooperate",10,IF(Z386="Duopoly that compete",5,IF(Z386="Too many players with High ROCE",5,0)))))</f>
        <v/>
      </c>
      <c r="AB386" s="30" t="inlineStr">
        <is>
          <t>No</t>
        </is>
      </c>
      <c r="AC386" s="30">
        <f>IF(AB386="No",5,0)</f>
        <v/>
      </c>
      <c r="AD386" s="30" t="inlineStr">
        <is>
          <t>Tailwind</t>
        </is>
      </c>
      <c r="AE386" s="30">
        <f>IF(AD386="Tailwind",10,0)</f>
        <v/>
      </c>
      <c r="AF386" s="30" t="inlineStr">
        <is>
          <t>Shallow Cyclical (2 to 3 Years Growth)</t>
        </is>
      </c>
      <c r="AG386" s="30">
        <f>IF(AF386="Structural (10 Years Consistency)",10,IF(AF386="Shallow Cyclical (2 to 3 years growth)",5,0))</f>
        <v/>
      </c>
      <c r="AH386" s="30" t="inlineStr">
        <is>
          <t>Yes due to Product Mix change or Operating Leverage</t>
        </is>
      </c>
      <c r="AI386" s="30">
        <f>IF(AH386="Yes due to Product Mix change or Operating Leverage",10,IF(AH386="Yes, these are peak margins",-5,IF(AH386="No",5,0)))</f>
        <v/>
      </c>
      <c r="AJ386" s="30" t="inlineStr">
        <is>
          <t>Volatile</t>
        </is>
      </c>
      <c r="AK386" s="30">
        <f>IF(AJ386="Stable",10,0)</f>
        <v/>
      </c>
      <c r="AL386" s="30" t="inlineStr">
        <is>
          <t>Yes</t>
        </is>
      </c>
      <c r="AM386" s="30">
        <f>IF(AL386="Yes",10,0)</f>
        <v/>
      </c>
      <c r="AN386" s="30" t="inlineStr">
        <is>
          <t>B2B</t>
        </is>
      </c>
      <c r="AO386" s="30">
        <f>IF(AN386="B2C",10,IF(AN386="B2B",5,0))</f>
        <v/>
      </c>
      <c r="AP386" s="30" t="inlineStr">
        <is>
          <t>Yes</t>
        </is>
      </c>
      <c r="AQ386" s="30">
        <f>IF(AP386="Yes",10,0)</f>
        <v/>
      </c>
      <c r="AR386" s="30" t="inlineStr">
        <is>
          <t>Higher One Time, Lower Annuity</t>
        </is>
      </c>
      <c r="AS386" s="30">
        <f>IF(AR386="Fully Annuity",10,IF(AR386="Higher Annuity, Lower One Time",5,IF(AR386="Higher One Time, Lower Annuity",3,0)))</f>
        <v/>
      </c>
      <c r="AT386" s="30" t="inlineStr">
        <is>
          <t>Allocated capital in Non-core Areas</t>
        </is>
      </c>
      <c r="AU386" s="30">
        <f>IF(AT386="Good",10,0)</f>
        <v/>
      </c>
      <c r="AV386" s="30" t="inlineStr">
        <is>
          <t>Yes for more than 2 years</t>
        </is>
      </c>
      <c r="AW386" s="30">
        <f>IF(AV386="Yes for more than 2 years",10,IF(AV386="Yes only for next 1 to 2 years",5,0))</f>
        <v/>
      </c>
      <c r="AX386" s="30" t="inlineStr">
        <is>
          <t>Above 40</t>
        </is>
      </c>
      <c r="AY386" s="30">
        <f>IF(AX386="Above 40",20,IF(AX386="20 to 40",10,IF(AX386="0 to 20",-5,0)))</f>
        <v/>
      </c>
      <c r="AZ386" s="30" t="inlineStr">
        <is>
          <t>Between 50 to 75</t>
        </is>
      </c>
      <c r="BA386" s="30">
        <f>IF(AZ386="Between 50 to 75",10,IF(AZ386="Above 75",0,0))</f>
        <v/>
      </c>
      <c r="BB386" s="30" t="inlineStr">
        <is>
          <t>Stage 3</t>
        </is>
      </c>
      <c r="BC386" s="30">
        <f>IF(BB386="Stage 2",20,IF(BB386="Stage 1",0,IF(BB386="Stage 3",5,IF(BB386="Stage 4",-5,0))))</f>
        <v/>
      </c>
      <c r="BD386" s="30" t="inlineStr">
        <is>
          <t>Negative Trend</t>
        </is>
      </c>
      <c r="BE386" s="30">
        <f>IF(BD386="Positive Trend",20,IF(BD386="Negative Trend",-10,0))</f>
        <v/>
      </c>
      <c r="BF386" s="30" t="inlineStr">
        <is>
          <t>Sideways</t>
        </is>
      </c>
      <c r="BG386" s="30">
        <f>IF(BF386="Uptrend",10,IF(BF386="Sideways",5,0))</f>
        <v/>
      </c>
      <c r="BH386" s="30" t="inlineStr">
        <is>
          <t>Uptrend</t>
        </is>
      </c>
      <c r="BI386" s="30">
        <f>IF(BH386="Uptrend",10,IF(BH386="Sideways",5,0))</f>
        <v/>
      </c>
      <c r="BJ386" s="30" t="inlineStr">
        <is>
          <t>Overhead supply in last 2 years in last 2 years</t>
        </is>
      </c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inlineStr">
        <is>
          <t>Yes</t>
        </is>
      </c>
      <c r="BM386" s="30">
        <f>IF(BL386="Yes",10,0)</f>
        <v/>
      </c>
      <c r="BN386" s="30" t="inlineStr">
        <is>
          <t>More than 20%</t>
        </is>
      </c>
      <c r="BO386" s="30">
        <f>IF(BN386="More than 20%",10,IF(BN386="Between 12 to 20%",5,IF(BN386="Less than 12%",0,0)))</f>
        <v/>
      </c>
      <c r="BP386" s="30" t="inlineStr">
        <is>
          <t>No</t>
        </is>
      </c>
      <c r="BQ386" s="30">
        <f>IF(BP386="No",10,0)</f>
        <v/>
      </c>
      <c r="BR386" s="30" t="inlineStr">
        <is>
          <t>No</t>
        </is>
      </c>
      <c r="BS386" s="30">
        <f>IF(BR386="NO",5,0)</f>
        <v/>
      </c>
      <c r="BT386" s="30" t="inlineStr">
        <is>
          <t>Less than 1.5</t>
        </is>
      </c>
      <c r="BU386" s="30">
        <f>IF(BT386="Above 2",0,IF(BT386="Between 1.5 to 2",5,IF(BT386="Less than 1.5",10,0)))</f>
        <v/>
      </c>
      <c r="BV386" s="30" t="inlineStr">
        <is>
          <t>Above 70%</t>
        </is>
      </c>
      <c r="BW386" s="30">
        <f>IF(BV386="Above 70%",10,IF(BV386="Between 50% to 70%",5,IF(BV386="Less than 50%",0,IF(BV386="Negative",-10,IF(BV386="Less than 50% and Borrowings are increasing",-5,0)))))</f>
        <v/>
      </c>
      <c r="BX386" s="30" t="inlineStr">
        <is>
          <t>Less than 0.7</t>
        </is>
      </c>
      <c r="BY386" s="30">
        <f>IF(BX386="More than 1.2",-10,IF(BX386="Between 0.7 to 1.2",0,IF(BX386="Less than 0.7",10,0)))</f>
        <v/>
      </c>
      <c r="BZ386" s="30" t="inlineStr">
        <is>
          <t>No</t>
        </is>
      </c>
      <c r="CA386" s="30">
        <f>IF(BZ386="Yes",-10,0)</f>
        <v/>
      </c>
      <c r="CB386" s="30" t="inlineStr">
        <is>
          <t>More than 15%</t>
        </is>
      </c>
      <c r="CC386" s="30">
        <f>IF(CB386="More than 15%",-10,IF(CB386="Less than 15%",10,0))</f>
        <v/>
      </c>
      <c r="CD386" s="30" t="inlineStr">
        <is>
          <t>Yes Upto 10%</t>
        </is>
      </c>
      <c r="CE386" s="30">
        <f>IF(CD386="Yes, more than 10%",-10,IF(CD386="No",10,0))</f>
        <v/>
      </c>
    </row>
    <row r="387">
      <c r="A387" s="30">
        <f>IF(B387=0,"",RANK(B387,$B$2:$B$395,0))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0" t="inlineStr">
        <is>
          <t>GUJALKALI</t>
        </is>
      </c>
      <c r="D387" s="30" t="inlineStr">
        <is>
          <t>Gujarat Alkalies And Chemicals Limited</t>
        </is>
      </c>
      <c r="E387" s="30" t="inlineStr">
        <is>
          <t>chemicals</t>
        </is>
      </c>
      <c r="F387" s="30" t="inlineStr">
        <is>
          <t>chemicals</t>
        </is>
      </c>
      <c r="G387" s="30" t="inlineStr">
        <is>
          <t>midcap</t>
        </is>
      </c>
      <c r="H387" s="31" t="n">
        <v>5013.17</v>
      </c>
      <c r="I387" s="31" t="n">
        <v>677.35</v>
      </c>
      <c r="J387" s="31" t="n">
        <v>-0.78</v>
      </c>
      <c r="K387" s="31" t="n">
        <v>28660</v>
      </c>
      <c r="L387" s="30" t="n">
        <v>27</v>
      </c>
      <c r="M387" s="30" t="inlineStr">
        <is>
          <t>Outperforming</t>
        </is>
      </c>
      <c r="N387" s="31">
        <f>IF(M387="Underperforming",-5,IF(L387&gt;=95,15,IF(L387&gt;=90,10,IF(L387&gt;=80,5,0))))</f>
        <v/>
      </c>
      <c r="O387" s="31" t="n">
        <v>58.59</v>
      </c>
      <c r="P387" s="31" t="n">
        <v>29.35</v>
      </c>
      <c r="Q387" s="31" t="n">
        <v>532.8</v>
      </c>
      <c r="R387" s="30" t="inlineStr">
        <is>
          <t>Earnings / Momentum Support</t>
        </is>
      </c>
      <c r="S387" s="30" t="inlineStr">
        <is>
          <t>Nifty 50</t>
        </is>
      </c>
      <c r="T387" s="31" t="n">
        <v>-0.65</v>
      </c>
      <c r="U387" s="31" t="n">
        <v>26.32</v>
      </c>
      <c r="V387" s="31" t="n">
        <v>27.15</v>
      </c>
      <c r="W387" s="31" t="n">
        <v>6.02</v>
      </c>
      <c r="X387" s="30" t="inlineStr">
        <is>
          <t>Growing Industry</t>
        </is>
      </c>
      <c r="Y387" s="30">
        <f>IF(X387="Growing Industry",10,IF(X387="Cyclical in an Upturn",5,0))</f>
        <v/>
      </c>
      <c r="Z387" s="30" t="inlineStr">
        <is>
          <t>Oligopoly</t>
        </is>
      </c>
      <c r="AA387" s="30">
        <f>IF(Z387="Monopoly",10,IF(Z387="Oligopoly",5,IF(Z387="Duopoly that cooperate",10,IF(Z387="Duopoly that compete",5,IF(Z387="Too many players with High ROCE",5,0)))))</f>
        <v/>
      </c>
      <c r="AB387" s="30" t="inlineStr">
        <is>
          <t>No</t>
        </is>
      </c>
      <c r="AC387" s="30">
        <f>IF(AB387="No",5,0)</f>
        <v/>
      </c>
      <c r="AD387" s="30" t="inlineStr">
        <is>
          <t>Tailwind</t>
        </is>
      </c>
      <c r="AE387" s="30">
        <f>IF(AD387="Tailwind",10,0)</f>
        <v/>
      </c>
      <c r="AF387" s="30" t="inlineStr">
        <is>
          <t>Shallow Cyclical (2 to 3 Years Growth)</t>
        </is>
      </c>
      <c r="AG387" s="30">
        <f>IF(AF387="Structural (10 Years Consistency)",10,IF(AF387="Shallow Cyclical (2 to 3 years growth)",5,0))</f>
        <v/>
      </c>
      <c r="AH387" s="30" t="inlineStr">
        <is>
          <t>Yes due to Product Mix change or Operating Leverage</t>
        </is>
      </c>
      <c r="AI387" s="30">
        <f>IF(AH387="Yes due to Product Mix change or Operating Leverage",10,IF(AH387="Yes, these are peak margins",-5,IF(AH387="No",5,0)))</f>
        <v/>
      </c>
      <c r="AJ387" s="30" t="inlineStr">
        <is>
          <t>Volatile</t>
        </is>
      </c>
      <c r="AK387" s="30">
        <f>IF(AJ387="Stable",10,0)</f>
        <v/>
      </c>
      <c r="AL387" s="30" t="inlineStr">
        <is>
          <t>Yes</t>
        </is>
      </c>
      <c r="AM387" s="30">
        <f>IF(AL387="Yes",10,0)</f>
        <v/>
      </c>
      <c r="AN387" s="30" t="inlineStr">
        <is>
          <t>B2B</t>
        </is>
      </c>
      <c r="AO387" s="30">
        <f>IF(AN387="B2C",10,IF(AN387="B2B",5,0))</f>
        <v/>
      </c>
      <c r="AP387" s="30" t="inlineStr">
        <is>
          <t>Yes</t>
        </is>
      </c>
      <c r="AQ387" s="30">
        <f>IF(AP387="Yes",10,0)</f>
        <v/>
      </c>
      <c r="AR387" s="30" t="inlineStr">
        <is>
          <t>Higher One Time, Lower Annuity</t>
        </is>
      </c>
      <c r="AS387" s="30">
        <f>IF(AR387="Fully Annuity",10,IF(AR387="Higher Annuity, Lower One Time",5,IF(AR387="Higher One Time, Lower Annuity",3,0)))</f>
        <v/>
      </c>
      <c r="AT387" s="30" t="inlineStr">
        <is>
          <t>Allocated capital in Non-core Areas</t>
        </is>
      </c>
      <c r="AU387" s="30">
        <f>IF(AT387="Good",10,0)</f>
        <v/>
      </c>
      <c r="AV387" s="30" t="inlineStr">
        <is>
          <t>Yes for more than 2 years</t>
        </is>
      </c>
      <c r="AW387" s="30">
        <f>IF(AV387="Yes for more than 2 years",10,IF(AV387="Yes only for next 1 to 2 years",5,0))</f>
        <v/>
      </c>
      <c r="AX387" s="30" t="inlineStr">
        <is>
          <t>Above 40</t>
        </is>
      </c>
      <c r="AY387" s="30">
        <f>IF(AX387="Above 40",20,IF(AX387="20 to 40",10,IF(AX387="0 to 20",-5,0)))</f>
        <v/>
      </c>
      <c r="AZ387" s="30" t="inlineStr">
        <is>
          <t>Between 50 to 75</t>
        </is>
      </c>
      <c r="BA387" s="30">
        <f>IF(AZ387="Between 50 to 75",10,IF(AZ387="Above 75",0,0))</f>
        <v/>
      </c>
      <c r="BB387" s="30" t="inlineStr">
        <is>
          <t>Stage 3</t>
        </is>
      </c>
      <c r="BC387" s="30">
        <f>IF(BB387="Stage 2",20,IF(BB387="Stage 1",0,IF(BB387="Stage 3",5,IF(BB387="Stage 4",-5,0))))</f>
        <v/>
      </c>
      <c r="BD387" s="30" t="inlineStr">
        <is>
          <t>Negative Trend</t>
        </is>
      </c>
      <c r="BE387" s="30">
        <f>IF(BD387="Positive Trend",20,IF(BD387="Negative Trend",-10,0))</f>
        <v/>
      </c>
      <c r="BF387" s="30" t="inlineStr">
        <is>
          <t>Sideways</t>
        </is>
      </c>
      <c r="BG387" s="30">
        <f>IF(BF387="Uptrend",10,IF(BF387="Sideways",5,0))</f>
        <v/>
      </c>
      <c r="BH387" s="30" t="inlineStr">
        <is>
          <t>Uptrend</t>
        </is>
      </c>
      <c r="BI387" s="30">
        <f>IF(BH387="Uptrend",10,IF(BH387="Sideways",5,0))</f>
        <v/>
      </c>
      <c r="BJ387" s="30" t="inlineStr">
        <is>
          <t>Overhead supply in last 2 years in last 2 years</t>
        </is>
      </c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inlineStr">
        <is>
          <t>Yes</t>
        </is>
      </c>
      <c r="BM387" s="30">
        <f>IF(BL387="Yes",10,0)</f>
        <v/>
      </c>
      <c r="BN387" s="30" t="inlineStr">
        <is>
          <t>More than 20%</t>
        </is>
      </c>
      <c r="BO387" s="30">
        <f>IF(BN387="More than 20%",10,IF(BN387="Between 12 to 20%",5,IF(BN387="Less than 12%",0,0)))</f>
        <v/>
      </c>
      <c r="BP387" s="30" t="inlineStr">
        <is>
          <t>No</t>
        </is>
      </c>
      <c r="BQ387" s="30">
        <f>IF(BP387="No",10,0)</f>
        <v/>
      </c>
      <c r="BR387" s="30" t="inlineStr">
        <is>
          <t>No</t>
        </is>
      </c>
      <c r="BS387" s="30">
        <f>IF(BR387="NO",5,0)</f>
        <v/>
      </c>
      <c r="BT387" s="30" t="inlineStr">
        <is>
          <t>Less than 1.5</t>
        </is>
      </c>
      <c r="BU387" s="30">
        <f>IF(BT387="Above 2",0,IF(BT387="Between 1.5 to 2",5,IF(BT387="Less than 1.5",10,0)))</f>
        <v/>
      </c>
      <c r="BV387" s="30" t="inlineStr">
        <is>
          <t>Above 70%</t>
        </is>
      </c>
      <c r="BW387" s="30">
        <f>IF(BV387="Above 70%",10,IF(BV387="Between 50% to 70%",5,IF(BV387="Less than 50%",0,IF(BV387="Negative",-10,IF(BV387="Less than 50% and Borrowings are increasing",-5,0)))))</f>
        <v/>
      </c>
      <c r="BX387" s="30" t="inlineStr">
        <is>
          <t>Less than 0.7</t>
        </is>
      </c>
      <c r="BY387" s="30">
        <f>IF(BX387="More than 1.2",-10,IF(BX387="Between 0.7 to 1.2",0,IF(BX387="Less than 0.7",10,0)))</f>
        <v/>
      </c>
      <c r="BZ387" s="30" t="inlineStr">
        <is>
          <t>No</t>
        </is>
      </c>
      <c r="CA387" s="30">
        <f>IF(BZ387="Yes",-10,0)</f>
        <v/>
      </c>
      <c r="CB387" s="30" t="inlineStr">
        <is>
          <t>More than 15%</t>
        </is>
      </c>
      <c r="CC387" s="30">
        <f>IF(CB387="More than 15%",-10,IF(CB387="Less than 15%",10,0))</f>
        <v/>
      </c>
      <c r="CD387" s="30" t="inlineStr">
        <is>
          <t>Yes Upto 10%</t>
        </is>
      </c>
      <c r="CE387" s="30">
        <f>IF(CD387="Yes, more than 10%",-10,IF(CD387="No",10,0))</f>
        <v/>
      </c>
    </row>
    <row r="388">
      <c r="A388" s="30">
        <f>IF(B388=0,"",RANK(B388,$B$2:$B$395,0))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0" t="inlineStr">
        <is>
          <t>GAEL</t>
        </is>
      </c>
      <c r="D388" s="30" t="inlineStr">
        <is>
          <t>Gujarat Ambuja Exports Limited</t>
        </is>
      </c>
      <c r="E388" s="30" t="inlineStr">
        <is>
          <t>fmcg</t>
        </is>
      </c>
      <c r="F388" s="30" t="inlineStr">
        <is>
          <t>miscellaneous</t>
        </is>
      </c>
      <c r="G388" s="30" t="inlineStr">
        <is>
          <t>midcap</t>
        </is>
      </c>
      <c r="H388" s="31" t="n">
        <v>7928.12</v>
      </c>
      <c r="I388" s="31" t="n">
        <v>168.87</v>
      </c>
      <c r="J388" s="31" t="n">
        <v>-2.3</v>
      </c>
      <c r="K388" s="31" t="n">
        <v>969399</v>
      </c>
      <c r="L388" s="30" t="n">
        <v>53</v>
      </c>
      <c r="M388" s="30" t="inlineStr">
        <is>
          <t>Outperforming</t>
        </is>
      </c>
      <c r="N388" s="31">
        <f>IF(M388="Underperforming",-5,IF(L388&gt;=95,15,IF(L388&gt;=90,10,IF(L388&gt;=80,5,0))))</f>
        <v/>
      </c>
      <c r="O388" s="31" t="n">
        <v>61.41</v>
      </c>
      <c r="P388" s="31" t="n">
        <v>36.81</v>
      </c>
      <c r="Q388" s="31" t="n">
        <v>136.09</v>
      </c>
      <c r="R388" s="30" t="inlineStr">
        <is>
          <t>Near 52W High Breakout</t>
        </is>
      </c>
      <c r="S388" s="30" t="inlineStr">
        <is>
          <t>Nifty FMCG</t>
        </is>
      </c>
      <c r="T388" s="31" t="n">
        <v>-10.61</v>
      </c>
      <c r="U388" s="31" t="n">
        <v>60.46</v>
      </c>
      <c r="V388" s="31" t="n">
        <v>79.51000000000001</v>
      </c>
      <c r="W388" s="31" t="n">
        <v>12.77</v>
      </c>
      <c r="X388" s="30" t="inlineStr">
        <is>
          <t>Growing Industry</t>
        </is>
      </c>
      <c r="Y388" s="30">
        <f>IF(X388="Growing Industry",10,IF(X388="Cyclical in an Upturn",5,0))</f>
        <v/>
      </c>
      <c r="Z388" s="30" t="inlineStr">
        <is>
          <t>Oligopoly</t>
        </is>
      </c>
      <c r="AA388" s="30">
        <f>IF(Z388="Monopoly",10,IF(Z388="Oligopoly",5,IF(Z388="Duopoly that cooperate",10,IF(Z388="Duopoly that compete",5,IF(Z388="Too many players with High ROCE",5,0)))))</f>
        <v/>
      </c>
      <c r="AB388" s="30" t="inlineStr">
        <is>
          <t>No</t>
        </is>
      </c>
      <c r="AC388" s="30">
        <f>IF(AB388="No",5,0)</f>
        <v/>
      </c>
      <c r="AD388" s="30" t="inlineStr">
        <is>
          <t>Tailwind</t>
        </is>
      </c>
      <c r="AE388" s="30">
        <f>IF(AD388="Tailwind",10,0)</f>
        <v/>
      </c>
      <c r="AF388" s="30" t="inlineStr">
        <is>
          <t>Shallow Cyclical (2 to 3 Years Growth)</t>
        </is>
      </c>
      <c r="AG388" s="30">
        <f>IF(AF388="Structural (10 Years Consistency)",10,IF(AF388="Shallow Cyclical (2 to 3 years growth)",5,0))</f>
        <v/>
      </c>
      <c r="AH388" s="30" t="inlineStr">
        <is>
          <t>Yes due to Product Mix change or Operating Leverage</t>
        </is>
      </c>
      <c r="AI388" s="30">
        <f>IF(AH388="Yes due to Product Mix change or Operating Leverage",10,IF(AH388="Yes, these are peak margins",-5,IF(AH388="No",5,0)))</f>
        <v/>
      </c>
      <c r="AJ388" s="30" t="inlineStr">
        <is>
          <t>Volatile</t>
        </is>
      </c>
      <c r="AK388" s="30">
        <f>IF(AJ388="Stable",10,0)</f>
        <v/>
      </c>
      <c r="AL388" s="30" t="inlineStr">
        <is>
          <t>Yes</t>
        </is>
      </c>
      <c r="AM388" s="30">
        <f>IF(AL388="Yes",10,0)</f>
        <v/>
      </c>
      <c r="AN388" s="30" t="inlineStr">
        <is>
          <t>B2B</t>
        </is>
      </c>
      <c r="AO388" s="30">
        <f>IF(AN388="B2C",10,IF(AN388="B2B",5,0))</f>
        <v/>
      </c>
      <c r="AP388" s="30" t="inlineStr">
        <is>
          <t>Yes</t>
        </is>
      </c>
      <c r="AQ388" s="30">
        <f>IF(AP388="Yes",10,0)</f>
        <v/>
      </c>
      <c r="AR388" s="30" t="inlineStr">
        <is>
          <t>Higher One Time, Lower Annuity</t>
        </is>
      </c>
      <c r="AS388" s="30">
        <f>IF(AR388="Fully Annuity",10,IF(AR388="Higher Annuity, Lower One Time",5,IF(AR388="Higher One Time, Lower Annuity",3,0)))</f>
        <v/>
      </c>
      <c r="AT388" s="30" t="inlineStr">
        <is>
          <t>Allocated capital in Non-core Areas</t>
        </is>
      </c>
      <c r="AU388" s="30">
        <f>IF(AT388="Good",10,0)</f>
        <v/>
      </c>
      <c r="AV388" s="30" t="inlineStr">
        <is>
          <t>Yes for more than 2 years</t>
        </is>
      </c>
      <c r="AW388" s="30">
        <f>IF(AV388="Yes for more than 2 years",10,IF(AV388="Yes only for next 1 to 2 years",5,0))</f>
        <v/>
      </c>
      <c r="AX388" s="30" t="inlineStr">
        <is>
          <t>Above 40</t>
        </is>
      </c>
      <c r="AY388" s="30">
        <f>IF(AX388="Above 40",20,IF(AX388="20 to 40",10,IF(AX388="0 to 20",-5,0)))</f>
        <v/>
      </c>
      <c r="AZ388" s="30" t="inlineStr">
        <is>
          <t>Between 50 to 75</t>
        </is>
      </c>
      <c r="BA388" s="30">
        <f>IF(AZ388="Between 50 to 75",10,IF(AZ388="Above 75",0,0))</f>
        <v/>
      </c>
      <c r="BB388" s="30" t="inlineStr">
        <is>
          <t>Stage 3</t>
        </is>
      </c>
      <c r="BC388" s="30">
        <f>IF(BB388="Stage 2",20,IF(BB388="Stage 1",0,IF(BB388="Stage 3",5,IF(BB388="Stage 4",-5,0))))</f>
        <v/>
      </c>
      <c r="BD388" s="30" t="inlineStr">
        <is>
          <t>Negative Trend</t>
        </is>
      </c>
      <c r="BE388" s="30">
        <f>IF(BD388="Positive Trend",20,IF(BD388="Negative Trend",-10,0))</f>
        <v/>
      </c>
      <c r="BF388" s="30" t="inlineStr">
        <is>
          <t>Sideways</t>
        </is>
      </c>
      <c r="BG388" s="30">
        <f>IF(BF388="Uptrend",10,IF(BF388="Sideways",5,0))</f>
        <v/>
      </c>
      <c r="BH388" s="30" t="inlineStr">
        <is>
          <t>Uptrend</t>
        </is>
      </c>
      <c r="BI388" s="30">
        <f>IF(BH388="Uptrend",10,IF(BH388="Sideways",5,0))</f>
        <v/>
      </c>
      <c r="BJ388" s="30" t="inlineStr">
        <is>
          <t>Overhead supply in last 2 years in last 2 years</t>
        </is>
      </c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inlineStr">
        <is>
          <t>Yes</t>
        </is>
      </c>
      <c r="BM388" s="30">
        <f>IF(BL388="Yes",10,0)</f>
        <v/>
      </c>
      <c r="BN388" s="30" t="inlineStr">
        <is>
          <t>More than 20%</t>
        </is>
      </c>
      <c r="BO388" s="30">
        <f>IF(BN388="More than 20%",10,IF(BN388="Between 12 to 20%",5,IF(BN388="Less than 12%",0,0)))</f>
        <v/>
      </c>
      <c r="BP388" s="30" t="inlineStr">
        <is>
          <t>No</t>
        </is>
      </c>
      <c r="BQ388" s="30">
        <f>IF(BP388="No",10,0)</f>
        <v/>
      </c>
      <c r="BR388" s="30" t="inlineStr">
        <is>
          <t>No</t>
        </is>
      </c>
      <c r="BS388" s="30">
        <f>IF(BR388="NO",5,0)</f>
        <v/>
      </c>
      <c r="BT388" s="30" t="inlineStr">
        <is>
          <t>Less than 1.5</t>
        </is>
      </c>
      <c r="BU388" s="30">
        <f>IF(BT388="Above 2",0,IF(BT388="Between 1.5 to 2",5,IF(BT388="Less than 1.5",10,0)))</f>
        <v/>
      </c>
      <c r="BV388" s="30" t="inlineStr">
        <is>
          <t>Above 70%</t>
        </is>
      </c>
      <c r="BW388" s="30">
        <f>IF(BV388="Above 70%",10,IF(BV388="Between 50% to 70%",5,IF(BV388="Less than 50%",0,IF(BV388="Negative",-10,IF(BV388="Less than 50% and Borrowings are increasing",-5,0)))))</f>
        <v/>
      </c>
      <c r="BX388" s="30" t="inlineStr">
        <is>
          <t>Less than 0.7</t>
        </is>
      </c>
      <c r="BY388" s="30">
        <f>IF(BX388="More than 1.2",-10,IF(BX388="Between 0.7 to 1.2",0,IF(BX388="Less than 0.7",10,0)))</f>
        <v/>
      </c>
      <c r="BZ388" s="30" t="inlineStr">
        <is>
          <t>No</t>
        </is>
      </c>
      <c r="CA388" s="30">
        <f>IF(BZ388="Yes",-10,0)</f>
        <v/>
      </c>
      <c r="CB388" s="30" t="inlineStr">
        <is>
          <t>More than 15%</t>
        </is>
      </c>
      <c r="CC388" s="30">
        <f>IF(CB388="More than 15%",-10,IF(CB388="Less than 15%",10,0))</f>
        <v/>
      </c>
      <c r="CD388" s="30" t="inlineStr">
        <is>
          <t>Yes Upto 10%</t>
        </is>
      </c>
      <c r="CE388" s="30">
        <f>IF(CD388="Yes, more than 10%",-10,IF(CD388="No",10,0))</f>
        <v/>
      </c>
    </row>
    <row r="389">
      <c r="A389" s="30">
        <f>IF(B389=0,"",RANK(B389,$B$2:$B$395,0))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0" t="inlineStr">
        <is>
          <t>POLICYBZR</t>
        </is>
      </c>
      <c r="D389" s="30" t="inlineStr">
        <is>
          <t>PB Fintech Ltd</t>
        </is>
      </c>
      <c r="E389" s="30" t="inlineStr">
        <is>
          <t>i.t</t>
        </is>
      </c>
      <c r="F389" s="30" t="inlineStr">
        <is>
          <t>miscellaneous</t>
        </is>
      </c>
      <c r="G389" s="30" t="inlineStr">
        <is>
          <t>largecap</t>
        </is>
      </c>
      <c r="H389" s="31" t="n">
        <v>75419.25999999999</v>
      </c>
      <c r="I389" s="31" t="n">
        <v>1733</v>
      </c>
      <c r="J389" s="31" t="n">
        <v>6.32</v>
      </c>
      <c r="K389" s="31" t="n">
        <v>6207238</v>
      </c>
      <c r="L389" s="30" t="n">
        <v>4</v>
      </c>
      <c r="M389" s="30" t="inlineStr">
        <is>
          <t>Outperforming</t>
        </is>
      </c>
      <c r="N389" s="31">
        <f>IF(M389="Underperforming",-5,IF(L389&gt;=95,15,IF(L389&gt;=90,10,IF(L389&gt;=80,5,0))))</f>
        <v/>
      </c>
      <c r="O389" s="31" t="n">
        <v>58.07</v>
      </c>
      <c r="P389" s="31" t="n">
        <v>7.09</v>
      </c>
      <c r="Q389" s="31" t="n">
        <v>1445.19</v>
      </c>
      <c r="R389" s="30" t="inlineStr">
        <is>
          <t>Earnings / Momentum Support</t>
        </is>
      </c>
      <c r="S389" s="30" t="inlineStr">
        <is>
          <t>Nifty IT</t>
        </is>
      </c>
      <c r="T389" s="31" t="n">
        <v>-8.640000000000001</v>
      </c>
      <c r="U389" s="31" t="n">
        <v>-5.52</v>
      </c>
      <c r="V389" s="31" t="n">
        <v>3.42</v>
      </c>
      <c r="W389" s="31" t="n">
        <v>-0.3</v>
      </c>
      <c r="X389" s="30" t="inlineStr">
        <is>
          <t>Growing Industry</t>
        </is>
      </c>
      <c r="Y389" s="30">
        <f>IF(X389="Growing Industry",10,IF(X389="Cyclical in an Upturn",5,0))</f>
        <v/>
      </c>
      <c r="Z389" s="30" t="inlineStr">
        <is>
          <t>Monopoly</t>
        </is>
      </c>
      <c r="AA389" s="30">
        <f>IF(Z389="Monopoly",10,IF(Z389="Oligopoly",5,IF(Z389="Duopoly that cooperate",10,IF(Z389="Duopoly that compete",5,IF(Z389="Too many players with High ROCE",5,0)))))</f>
        <v/>
      </c>
      <c r="AB389" s="30" t="inlineStr">
        <is>
          <t>Yes</t>
        </is>
      </c>
      <c r="AC389" s="30">
        <f>IF(AB389="No",5,0)</f>
        <v/>
      </c>
      <c r="AD389" s="30" t="inlineStr">
        <is>
          <t>Tailwind</t>
        </is>
      </c>
      <c r="AE389" s="30">
        <f>IF(AD389="Tailwind",10,0)</f>
        <v/>
      </c>
      <c r="AF389" s="30" t="inlineStr">
        <is>
          <t>Structural (10 Years Consistency)</t>
        </is>
      </c>
      <c r="AG389" s="30">
        <f>IF(AF389="Structural (10 Years Consistency)",10,IF(AF389="Shallow Cyclical (2 to 3 years growth)",5,0))</f>
        <v/>
      </c>
      <c r="AH389" s="30" t="inlineStr">
        <is>
          <t>No</t>
        </is>
      </c>
      <c r="AI389" s="30">
        <f>IF(AH389="Yes due to Product Mix change or Operating Leverage",10,IF(AH389="Yes, these are peak margins",-5,IF(AH389="No",5,0)))</f>
        <v/>
      </c>
      <c r="AJ389" s="30" t="inlineStr">
        <is>
          <t>Volatile</t>
        </is>
      </c>
      <c r="AK389" s="30">
        <f>IF(AJ389="Stable",10,0)</f>
        <v/>
      </c>
      <c r="AL389" s="30" t="inlineStr">
        <is>
          <t>Yes</t>
        </is>
      </c>
      <c r="AM389" s="30">
        <f>IF(AL389="Yes",10,0)</f>
        <v/>
      </c>
      <c r="AN389" s="30" t="inlineStr">
        <is>
          <t>B2C</t>
        </is>
      </c>
      <c r="AO389" s="30">
        <f>IF(AN389="B2C",10,IF(AN389="B2B",5,0))</f>
        <v/>
      </c>
      <c r="AP389" s="30" t="inlineStr">
        <is>
          <t>Yes</t>
        </is>
      </c>
      <c r="AQ389" s="30">
        <f>IF(AP389="Yes",10,0)</f>
        <v/>
      </c>
      <c r="AR389" s="30" t="inlineStr">
        <is>
          <t>Fully Annuity</t>
        </is>
      </c>
      <c r="AS389" s="30">
        <f>IF(AR389="Fully Annuity",10,IF(AR389="Higher Annuity, Lower One Time",5,IF(AR389="Higher One Time, Lower Annuity",3,0)))</f>
        <v/>
      </c>
      <c r="AT389" s="30" t="inlineStr">
        <is>
          <t>Allocated capital in Non-core Areas</t>
        </is>
      </c>
      <c r="AU389" s="30">
        <f>IF(AT389="Good",10,0)</f>
        <v/>
      </c>
      <c r="AV389" s="30" t="inlineStr">
        <is>
          <t>Yes for more than 2 years</t>
        </is>
      </c>
      <c r="AW389" s="30">
        <f>IF(AV389="Yes for more than 2 years",10,IF(AV389="Yes only for next 1 to 2 years",5,0))</f>
        <v/>
      </c>
      <c r="AX389" s="30" t="inlineStr">
        <is>
          <t>20 to 40</t>
        </is>
      </c>
      <c r="AY389" s="30">
        <f>IF(AX389="Above 40",20,IF(AX389="20 to 40",10,IF(AX389="0 to 20",-5,0)))</f>
        <v/>
      </c>
      <c r="AZ389" s="30" t="inlineStr">
        <is>
          <t>Below 45</t>
        </is>
      </c>
      <c r="BA389" s="30">
        <f>IF(AZ389="Between 50 to 75",10,IF(AZ389="Above 75",0,0))</f>
        <v/>
      </c>
      <c r="BB389" s="30" t="inlineStr">
        <is>
          <t>Stage 1</t>
        </is>
      </c>
      <c r="BC389" s="30">
        <f>IF(BB389="Stage 2",20,IF(BB389="Stage 1",0,IF(BB389="Stage 3",5,IF(BB389="Stage 4",-5,0))))</f>
        <v/>
      </c>
      <c r="BD389" s="30" t="inlineStr">
        <is>
          <t>Positive Trend</t>
        </is>
      </c>
      <c r="BE389" s="30">
        <f>IF(BD389="Positive Trend",20,IF(BD389="Negative Trend",-10,0))</f>
        <v/>
      </c>
      <c r="BF389" s="30" t="inlineStr">
        <is>
          <t>Downtrend</t>
        </is>
      </c>
      <c r="BG389" s="30">
        <f>IF(BF389="Uptrend",10,IF(BF389="Sideways",5,0))</f>
        <v/>
      </c>
      <c r="BH389" s="30" t="inlineStr">
        <is>
          <t>Downtrend</t>
        </is>
      </c>
      <c r="BI389" s="30">
        <f>IF(BH389="Uptrend",10,IF(BH389="Sideways",5,0))</f>
        <v/>
      </c>
      <c r="BJ389" s="30" t="inlineStr">
        <is>
          <t>Overhead supply in last 2 years in last 2 years</t>
        </is>
      </c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inlineStr">
        <is>
          <t>Yes</t>
        </is>
      </c>
      <c r="BM389" s="30">
        <f>IF(BL389="Yes",10,0)</f>
        <v/>
      </c>
      <c r="BN389" s="30" t="inlineStr">
        <is>
          <t>Less than 12%</t>
        </is>
      </c>
      <c r="BO389" s="30">
        <f>IF(BN389="More than 20%",10,IF(BN389="Between 12 to 20%",5,IF(BN389="Less than 12%",0,0)))</f>
        <v/>
      </c>
      <c r="BP389" s="30" t="inlineStr">
        <is>
          <t>Yes</t>
        </is>
      </c>
      <c r="BQ389" s="30">
        <f>IF(BP389="No",10,0)</f>
        <v/>
      </c>
      <c r="BR389" s="30" t="inlineStr">
        <is>
          <t>Yes</t>
        </is>
      </c>
      <c r="BS389" s="30">
        <f>IF(BR389="NO",5,0)</f>
        <v/>
      </c>
      <c r="BT389" s="30" t="inlineStr">
        <is>
          <t>Above 2</t>
        </is>
      </c>
      <c r="BU389" s="30">
        <f>IF(BT389="Above 2",0,IF(BT389="Between 1.5 to 2",5,IF(BT389="Less than 1.5",10,0)))</f>
        <v/>
      </c>
      <c r="BV389" s="30" t="inlineStr">
        <is>
          <t>Above 70%</t>
        </is>
      </c>
      <c r="BW389" s="30">
        <f>IF(BV389="Above 70%",10,IF(BV389="Between 50% to 70%",5,IF(BV389="Less than 50%",0,IF(BV389="Negative",-10,IF(BV389="Less than 50% and Borrowings are increasing",-5,0)))))</f>
        <v/>
      </c>
      <c r="BX389" s="30" t="inlineStr">
        <is>
          <t>Less than 0.7</t>
        </is>
      </c>
      <c r="BY389" s="30">
        <f>IF(BX389="More than 1.2",-10,IF(BX389="Between 0.7 to 1.2",0,IF(BX389="Less than 0.7",10,0)))</f>
        <v/>
      </c>
      <c r="BZ389" s="30" t="inlineStr">
        <is>
          <t>No</t>
        </is>
      </c>
      <c r="CA389" s="30">
        <f>IF(BZ389="Yes",-10,0)</f>
        <v/>
      </c>
      <c r="CB389" s="30" t="inlineStr">
        <is>
          <t>Less than 15%</t>
        </is>
      </c>
      <c r="CC389" s="30">
        <f>IF(CB389="More than 15%",-10,IF(CB389="Less than 15%",10,0))</f>
        <v/>
      </c>
      <c r="CD389" s="30" t="inlineStr">
        <is>
          <t>No</t>
        </is>
      </c>
      <c r="CE389" s="30">
        <f>IF(CD389="Yes, more than 10%",-10,IF(CD389="No",10,0))</f>
        <v/>
      </c>
    </row>
    <row r="390">
      <c r="A390" s="30">
        <f>IF(B390=0,"",RANK(B390,$B$2:$B$395,0))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2" t="inlineStr">
        <is>
          <t>GIPCL</t>
        </is>
      </c>
      <c r="D390" s="32" t="inlineStr">
        <is>
          <t>Gujarat Industries Power Company Limited</t>
        </is>
      </c>
      <c r="E390" s="30" t="inlineStr">
        <is>
          <t>power &amp; utilities</t>
        </is>
      </c>
      <c r="F390" s="30" t="inlineStr">
        <is>
          <t>power generation and supply</t>
        </is>
      </c>
      <c r="G390" s="30" t="inlineStr">
        <is>
          <t>smallcap</t>
        </is>
      </c>
      <c r="H390" s="31" t="n">
        <v>2556.87</v>
      </c>
      <c r="I390" s="31" t="n">
        <v>165</v>
      </c>
      <c r="J390" s="31" t="n">
        <v>0.16</v>
      </c>
      <c r="K390" s="31" t="n">
        <v>421354</v>
      </c>
      <c r="L390" s="30" t="n">
        <v>9</v>
      </c>
      <c r="M390" s="30" t="inlineStr">
        <is>
          <t>Underperforming</t>
        </is>
      </c>
      <c r="N390" s="31">
        <f>IF(M390="Underperforming",-5,IF(L390&gt;=95,15,IF(L390&gt;=90,10,IF(L390&gt;=80,5,0))))</f>
        <v/>
      </c>
      <c r="O390" s="31" t="n">
        <v>55.8</v>
      </c>
      <c r="P390" s="31" t="n">
        <v>10.58</v>
      </c>
      <c r="Q390" s="31" t="n">
        <v>138.24</v>
      </c>
      <c r="R390" s="30" t="inlineStr">
        <is>
          <t>Earnings / Momentum Support</t>
        </is>
      </c>
      <c r="S390" s="30" t="inlineStr">
        <is>
          <t>Nifty IT</t>
        </is>
      </c>
      <c r="T390" s="31" t="n">
        <v>-8.640000000000001</v>
      </c>
      <c r="U390" s="31" t="n">
        <v>-9.15</v>
      </c>
      <c r="V390" s="31" t="n">
        <v>-0.55</v>
      </c>
      <c r="W390" s="31" t="n">
        <v>1.07</v>
      </c>
      <c r="X390" s="30" t="inlineStr">
        <is>
          <t>Growing Industry</t>
        </is>
      </c>
      <c r="Y390" s="30">
        <f>IF(X390="Growing Industry",10,IF(X390="Cyclical in an Upturn",5,0))</f>
        <v/>
      </c>
      <c r="Z390" s="30" t="inlineStr">
        <is>
          <t>Oligopoly</t>
        </is>
      </c>
      <c r="AA390" s="30">
        <f>IF(Z390="Monopoly",10,IF(Z390="Oligopoly",5,IF(Z390="Duopoly that cooperate",10,IF(Z390="Duopoly that compete",5,IF(Z390="Too many players with High ROCE",5,0)))))</f>
        <v/>
      </c>
      <c r="AB390" s="30" t="inlineStr">
        <is>
          <t>No</t>
        </is>
      </c>
      <c r="AC390" s="30">
        <f>IF(AB390="No",5,0)</f>
        <v/>
      </c>
      <c r="AD390" s="30" t="inlineStr">
        <is>
          <t>Tailwind</t>
        </is>
      </c>
      <c r="AE390" s="30">
        <f>IF(AD390="Tailwind",10,0)</f>
        <v/>
      </c>
      <c r="AF390" s="30" t="inlineStr">
        <is>
          <t>Shallow Cyclical (2 to 3 Years Growth)</t>
        </is>
      </c>
      <c r="AG390" s="30">
        <f>IF(AF390="Structural (10 Years Consistency)",10,IF(AF390="Shallow Cyclical (2 to 3 years growth)",5,0))</f>
        <v/>
      </c>
      <c r="AH390" s="30" t="inlineStr">
        <is>
          <t>Yes due to Product Mix change or Operating Leverage</t>
        </is>
      </c>
      <c r="AI390" s="30">
        <f>IF(AH390="Yes due to Product Mix change or Operating Leverage",10,IF(AH390="Yes, these are peak margins",-5,IF(AH390="No",5,0)))</f>
        <v/>
      </c>
      <c r="AJ390" s="30" t="inlineStr">
        <is>
          <t>Volatile</t>
        </is>
      </c>
      <c r="AK390" s="30">
        <f>IF(AJ390="Stable",10,0)</f>
        <v/>
      </c>
      <c r="AL390" s="30" t="inlineStr">
        <is>
          <t>Yes</t>
        </is>
      </c>
      <c r="AM390" s="30">
        <f>IF(AL390="Yes",10,0)</f>
        <v/>
      </c>
      <c r="AN390" s="30" t="inlineStr">
        <is>
          <t>B2B</t>
        </is>
      </c>
      <c r="AO390" s="30">
        <f>IF(AN390="B2C",10,IF(AN390="B2B",5,0))</f>
        <v/>
      </c>
      <c r="AP390" s="30" t="inlineStr">
        <is>
          <t>Yes</t>
        </is>
      </c>
      <c r="AQ390" s="30">
        <f>IF(AP390="Yes",10,0)</f>
        <v/>
      </c>
      <c r="AR390" s="30" t="inlineStr">
        <is>
          <t>Higher One Time, Lower Annuity</t>
        </is>
      </c>
      <c r="AS390" s="30">
        <f>IF(AR390="Fully Annuity",10,IF(AR390="Higher Annuity, Lower One Time",5,IF(AR390="Higher One Time, Lower Annuity",3,0)))</f>
        <v/>
      </c>
      <c r="AT390" s="30" t="inlineStr">
        <is>
          <t>Allocated capital in Non-core Areas</t>
        </is>
      </c>
      <c r="AU390" s="30">
        <f>IF(AT390="Good",10,0)</f>
        <v/>
      </c>
      <c r="AV390" s="30" t="inlineStr">
        <is>
          <t>Yes for more than 2 years</t>
        </is>
      </c>
      <c r="AW390" s="30">
        <f>IF(AV390="Yes for more than 2 years",10,IF(AV390="Yes only for next 1 to 2 years",5,0))</f>
        <v/>
      </c>
      <c r="AX390" s="30" t="inlineStr">
        <is>
          <t>Above 40</t>
        </is>
      </c>
      <c r="AY390" s="30">
        <f>IF(AX390="Above 40",20,IF(AX390="20 to 40",10,IF(AX390="0 to 20",-5,0)))</f>
        <v/>
      </c>
      <c r="AZ390" s="30" t="inlineStr">
        <is>
          <t>Between 50 to 75</t>
        </is>
      </c>
      <c r="BA390" s="30">
        <f>IF(AZ390="Between 50 to 75",10,IF(AZ390="Above 75",0,0))</f>
        <v/>
      </c>
      <c r="BB390" s="30" t="inlineStr">
        <is>
          <t>Stage 3</t>
        </is>
      </c>
      <c r="BC390" s="30">
        <f>IF(BB390="Stage 2",20,IF(BB390="Stage 1",0,IF(BB390="Stage 3",5,IF(BB390="Stage 4",-5,0))))</f>
        <v/>
      </c>
      <c r="BD390" s="30" t="inlineStr">
        <is>
          <t>Negative Trend</t>
        </is>
      </c>
      <c r="BE390" s="30">
        <f>IF(BD390="Positive Trend",20,IF(BD390="Negative Trend",-10,0))</f>
        <v/>
      </c>
      <c r="BF390" s="30" t="inlineStr">
        <is>
          <t>Sideways</t>
        </is>
      </c>
      <c r="BG390" s="30">
        <f>IF(BF390="Uptrend",10,IF(BF390="Sideways",5,0))</f>
        <v/>
      </c>
      <c r="BH390" s="30" t="inlineStr">
        <is>
          <t>Uptrend</t>
        </is>
      </c>
      <c r="BI390" s="30">
        <f>IF(BH390="Uptrend",10,IF(BH390="Sideways",5,0))</f>
        <v/>
      </c>
      <c r="BJ390" s="30" t="inlineStr">
        <is>
          <t>Overhead supply in last 2 years in last 2 years</t>
        </is>
      </c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inlineStr">
        <is>
          <t>Yes</t>
        </is>
      </c>
      <c r="BM390" s="30">
        <f>IF(BL390="Yes",10,0)</f>
        <v/>
      </c>
      <c r="BN390" s="30" t="inlineStr">
        <is>
          <t>More than 20%</t>
        </is>
      </c>
      <c r="BO390" s="30">
        <f>IF(BN390="More than 20%",10,IF(BN390="Between 12 to 20%",5,IF(BN390="Less than 12%",0,0)))</f>
        <v/>
      </c>
      <c r="BP390" s="30" t="inlineStr">
        <is>
          <t>No</t>
        </is>
      </c>
      <c r="BQ390" s="30">
        <f>IF(BP390="No",10,0)</f>
        <v/>
      </c>
      <c r="BR390" s="30" t="inlineStr">
        <is>
          <t>No</t>
        </is>
      </c>
      <c r="BS390" s="30">
        <f>IF(BR390="NO",5,0)</f>
        <v/>
      </c>
      <c r="BT390" s="30" t="inlineStr">
        <is>
          <t>Less than 1.5</t>
        </is>
      </c>
      <c r="BU390" s="30">
        <f>IF(BT390="Above 2",0,IF(BT390="Between 1.5 to 2",5,IF(BT390="Less than 1.5",10,0)))</f>
        <v/>
      </c>
      <c r="BV390" s="30" t="inlineStr">
        <is>
          <t>Above 70%</t>
        </is>
      </c>
      <c r="BW390" s="30">
        <f>IF(BV390="Above 70%",10,IF(BV390="Between 50% to 70%",5,IF(BV390="Less than 50%",0,IF(BV390="Negative",-10,IF(BV390="Less than 50% and Borrowings are increasing",-5,0)))))</f>
        <v/>
      </c>
      <c r="BX390" s="30" t="inlineStr">
        <is>
          <t>Less than 0.7</t>
        </is>
      </c>
      <c r="BY390" s="30">
        <f>IF(BX390="More than 1.2",-10,IF(BX390="Between 0.7 to 1.2",0,IF(BX390="Less than 0.7",10,0)))</f>
        <v/>
      </c>
      <c r="BZ390" s="30" t="inlineStr">
        <is>
          <t>No</t>
        </is>
      </c>
      <c r="CA390" s="30">
        <f>IF(BZ390="Yes",-10,0)</f>
        <v/>
      </c>
      <c r="CB390" s="30" t="inlineStr">
        <is>
          <t>More than 15%</t>
        </is>
      </c>
      <c r="CC390" s="30">
        <f>IF(CB390="More than 15%",-10,IF(CB390="Less than 15%",10,0))</f>
        <v/>
      </c>
      <c r="CD390" s="30" t="inlineStr">
        <is>
          <t>Yes Upto 10%</t>
        </is>
      </c>
      <c r="CE390" s="30">
        <f>IF(CD390="Yes, more than 10%",-10,IF(CD390="No",10,0))</f>
        <v/>
      </c>
    </row>
    <row r="391">
      <c r="A391" s="30">
        <f>IF(B391=0,"",RANK(B391,$B$2:$B$395,0))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0" t="inlineStr">
        <is>
          <t>SIEMENS</t>
        </is>
      </c>
      <c r="D391" s="30" t="inlineStr">
        <is>
          <t>Siemens Limited</t>
        </is>
      </c>
      <c r="E391" s="30" t="inlineStr">
        <is>
          <t>industrials</t>
        </is>
      </c>
      <c r="F391" s="30" t="inlineStr">
        <is>
          <t>electric equipment</t>
        </is>
      </c>
      <c r="G391" s="30" t="inlineStr">
        <is>
          <t>largecap</t>
        </is>
      </c>
      <c r="H391" s="31" t="n">
        <v>139396.25</v>
      </c>
      <c r="I391" s="31" t="n">
        <v>4011</v>
      </c>
      <c r="J391" s="31" t="n">
        <v>2.47</v>
      </c>
      <c r="K391" s="31" t="n">
        <v>2518576</v>
      </c>
      <c r="L391" s="30" t="inlineStr"/>
      <c r="M391" s="30" t="inlineStr"/>
      <c r="N391" s="31">
        <f>IF(M391="Underperforming",-5,IF(L391&gt;=95,15,IF(L391&gt;=90,10,IF(L391&gt;=80,5,0))))</f>
        <v/>
      </c>
      <c r="O391" s="31" t="inlineStr"/>
      <c r="P391" s="31" t="inlineStr"/>
      <c r="Q391" s="31" t="inlineStr"/>
      <c r="R391" s="30" t="inlineStr"/>
      <c r="S391" s="30" t="inlineStr"/>
      <c r="T391" s="31" t="inlineStr"/>
      <c r="U391" s="31" t="inlineStr"/>
      <c r="V391" s="31" t="inlineStr"/>
      <c r="W391" s="31" t="inlineStr"/>
      <c r="X391" s="30" t="n"/>
      <c r="Y391" s="30">
        <f>IF(X391="Growing Industry",10,IF(X391="Cyclical in an Upturn",5,0))</f>
        <v/>
      </c>
      <c r="Z391" s="30" t="n"/>
      <c r="AA391" s="30">
        <f>IF(Z391="Monopoly",10,IF(Z391="Oligopoly",5,IF(Z391="Duopoly that cooperate",10,IF(Z391="Duopoly that compete",5,IF(Z391="Too many players with High ROCE",5,0)))))</f>
        <v/>
      </c>
      <c r="AB391" s="30" t="n"/>
      <c r="AC391" s="30">
        <f>IF(AB391="No",5,0)</f>
        <v/>
      </c>
      <c r="AD391" s="30" t="n"/>
      <c r="AE391" s="30">
        <f>IF(AD391="Tailwind",10,0)</f>
        <v/>
      </c>
      <c r="AF391" s="30" t="n"/>
      <c r="AG391" s="30">
        <f>IF(AF391="Structural (10 Years Consistency)",10,IF(AF391="Shallow Cyclical (2 to 3 years growth)",5,0))</f>
        <v/>
      </c>
      <c r="AH391" s="30" t="n"/>
      <c r="AI391" s="30">
        <f>IF(AH391="Yes due to Product Mix change or Operating Leverage",10,IF(AH391="Yes, these are peak margins",-5,IF(AH391="No",5,0)))</f>
        <v/>
      </c>
      <c r="AJ391" s="30" t="n"/>
      <c r="AK391" s="30">
        <f>IF(AJ391="Stable",10,0)</f>
        <v/>
      </c>
      <c r="AL391" s="30" t="n"/>
      <c r="AM391" s="30">
        <f>IF(AL391="Yes",10,0)</f>
        <v/>
      </c>
      <c r="AN391" s="30" t="n"/>
      <c r="AO391" s="30">
        <f>IF(AN391="B2C",10,IF(AN391="B2B",5,0))</f>
        <v/>
      </c>
      <c r="AP391" s="30" t="n"/>
      <c r="AQ391" s="30">
        <f>IF(AP391="Yes",10,0)</f>
        <v/>
      </c>
      <c r="AR391" s="30" t="n"/>
      <c r="AS391" s="30">
        <f>IF(AR391="Fully Annuity",10,IF(AR391="Higher Annuity, Lower One Time",5,IF(AR391="Higher One Time, Lower Annuity",3,0)))</f>
        <v/>
      </c>
      <c r="AT391" s="30" t="n"/>
      <c r="AU391" s="30">
        <f>IF(AT391="Good",10,0)</f>
        <v/>
      </c>
      <c r="AV391" s="30" t="n"/>
      <c r="AW391" s="30">
        <f>IF(AV391="Yes for more than 2 years",10,IF(AV391="Yes only for next 1 to 2 years",5,0))</f>
        <v/>
      </c>
      <c r="AX391" s="30" t="n"/>
      <c r="AY391" s="30">
        <f>IF(AX391="Above 40",20,IF(AX391="20 to 40",10,IF(AX391="0 to 20",-5,0)))</f>
        <v/>
      </c>
      <c r="AZ391" s="30" t="n"/>
      <c r="BA391" s="30">
        <f>IF(AZ391="Between 50 to 75",10,IF(AZ391="Above 75",0,0))</f>
        <v/>
      </c>
      <c r="BB391" s="30" t="n"/>
      <c r="BC391" s="30">
        <f>IF(BB391="Stage 2",20,IF(BB391="Stage 1",0,IF(BB391="Stage 3",5,IF(BB391="Stage 4",-5,0))))</f>
        <v/>
      </c>
      <c r="BD391" s="30" t="n"/>
      <c r="BE391" s="30">
        <f>IF(BD391="Positive Trend",20,IF(BD391="Negative Trend",-10,0))</f>
        <v/>
      </c>
      <c r="BF391" s="30" t="n"/>
      <c r="BG391" s="30">
        <f>IF(BF391="Uptrend",10,IF(BF391="Sideways",5,0))</f>
        <v/>
      </c>
      <c r="BH391" s="30" t="n"/>
      <c r="BI391" s="30">
        <f>IF(BH391="Uptrend",10,IF(BH391="Sideways",5,0))</f>
        <v/>
      </c>
      <c r="BJ391" s="30" t="n"/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n"/>
      <c r="BM391" s="30">
        <f>IF(BL391="Yes",10,0)</f>
        <v/>
      </c>
      <c r="BN391" s="30" t="n"/>
      <c r="BO391" s="30">
        <f>IF(BN391="More than 20%",10,IF(BN391="Between 12 to 20%",5,IF(BN391="Less than 12%",0,0)))</f>
        <v/>
      </c>
      <c r="BP391" s="30" t="n"/>
      <c r="BQ391" s="30">
        <f>IF(BP391="No",10,0)</f>
        <v/>
      </c>
      <c r="BR391" s="30" t="n"/>
      <c r="BS391" s="30">
        <f>IF(BR391="NO",5,0)</f>
        <v/>
      </c>
      <c r="BT391" s="30" t="n"/>
      <c r="BU391" s="30">
        <f>IF(BT391="Above 2",0,IF(BT391="Between 1.5 to 2",5,IF(BT391="Less than 1.5",10,0)))</f>
        <v/>
      </c>
      <c r="BV391" s="30" t="n"/>
      <c r="BW391" s="30">
        <f>IF(BV391="Above 70%",10,IF(BV391="Between 50% to 70%",5,IF(BV391="Less than 50%",0,IF(BV391="Negative",-10,IF(BV391="Less than 50% and Borrowings are increasing",-5,0)))))</f>
        <v/>
      </c>
      <c r="BX391" s="30" t="n"/>
      <c r="BY391" s="30">
        <f>IF(BX391="More than 1.2",-10,IF(BX391="Between 0.7 to 1.2",0,IF(BX391="Less than 0.7",10,0)))</f>
        <v/>
      </c>
      <c r="BZ391" s="30" t="n"/>
      <c r="CA391" s="30">
        <f>IF(BZ391="Yes",-10,0)</f>
        <v/>
      </c>
      <c r="CB391" s="30" t="n"/>
      <c r="CC391" s="30">
        <f>IF(CB391="More than 15%",-10,IF(CB391="Less than 15%",10,0))</f>
        <v/>
      </c>
      <c r="CD391" s="30" t="n"/>
      <c r="CE391" s="30">
        <f>IF(CD391="Yes, more than 10%",-10,IF(CD391="No",10,0))</f>
        <v/>
      </c>
    </row>
    <row r="392">
      <c r="A392" s="30">
        <f>IF(B392=0,"",RANK(B392,$B$2:$B$395,0))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0" t="inlineStr">
        <is>
          <t>PARAS</t>
        </is>
      </c>
      <c r="D392" s="30" t="inlineStr">
        <is>
          <t>Paras Defence and Space Technologies Ltd</t>
        </is>
      </c>
      <c r="E392" s="30" t="inlineStr">
        <is>
          <t>aerospace &amp; defence</t>
        </is>
      </c>
      <c r="F392" s="30" t="inlineStr">
        <is>
          <t>engineering</t>
        </is>
      </c>
      <c r="G392" s="30" t="inlineStr">
        <is>
          <t>midcap</t>
        </is>
      </c>
      <c r="H392" s="31" t="n">
        <v>10214.44</v>
      </c>
      <c r="I392" s="31" t="n">
        <v>1284</v>
      </c>
      <c r="J392" s="31" t="n">
        <v>1.3</v>
      </c>
      <c r="K392" s="31" t="n">
        <v>540285</v>
      </c>
      <c r="L392" s="30" t="inlineStr"/>
      <c r="M392" s="30" t="inlineStr"/>
      <c r="N392" s="31">
        <f>IF(M392="Underperforming",-5,IF(L392&gt;=95,15,IF(L392&gt;=90,10,IF(L392&gt;=80,5,0))))</f>
        <v/>
      </c>
      <c r="O392" s="31" t="inlineStr"/>
      <c r="P392" s="31" t="inlineStr"/>
      <c r="Q392" s="31" t="inlineStr"/>
      <c r="R392" s="30" t="inlineStr"/>
      <c r="S392" s="30" t="inlineStr"/>
      <c r="T392" s="31" t="inlineStr"/>
      <c r="U392" s="31" t="inlineStr"/>
      <c r="V392" s="31" t="inlineStr"/>
      <c r="W392" s="31" t="inlineStr"/>
      <c r="X392" s="30" t="n"/>
      <c r="Y392" s="30">
        <f>IF(X392="Growing Industry",10,IF(X392="Cyclical in an Upturn",5,0))</f>
        <v/>
      </c>
      <c r="Z392" s="30" t="n"/>
      <c r="AA392" s="30">
        <f>IF(Z392="Monopoly",10,IF(Z392="Oligopoly",5,IF(Z392="Duopoly that cooperate",10,IF(Z392="Duopoly that compete",5,IF(Z392="Too many players with High ROCE",5,0)))))</f>
        <v/>
      </c>
      <c r="AB392" s="30" t="n"/>
      <c r="AC392" s="30">
        <f>IF(AB392="No",5,0)</f>
        <v/>
      </c>
      <c r="AD392" s="30" t="n"/>
      <c r="AE392" s="30">
        <f>IF(AD392="Tailwind",10,0)</f>
        <v/>
      </c>
      <c r="AF392" s="30" t="n"/>
      <c r="AG392" s="30">
        <f>IF(AF392="Structural (10 Years Consistency)",10,IF(AF392="Shallow Cyclical (2 to 3 years growth)",5,0))</f>
        <v/>
      </c>
      <c r="AH392" s="30" t="n"/>
      <c r="AI392" s="30">
        <f>IF(AH392="Yes due to Product Mix change or Operating Leverage",10,IF(AH392="Yes, these are peak margins",-5,IF(AH392="No",5,0)))</f>
        <v/>
      </c>
      <c r="AJ392" s="30" t="n"/>
      <c r="AK392" s="30">
        <f>IF(AJ392="Stable",10,0)</f>
        <v/>
      </c>
      <c r="AL392" s="30" t="n"/>
      <c r="AM392" s="30">
        <f>IF(AL392="Yes",10,0)</f>
        <v/>
      </c>
      <c r="AN392" s="30" t="n"/>
      <c r="AO392" s="30">
        <f>IF(AN392="B2C",10,IF(AN392="B2B",5,0))</f>
        <v/>
      </c>
      <c r="AP392" s="30" t="n"/>
      <c r="AQ392" s="30">
        <f>IF(AP392="Yes",10,0)</f>
        <v/>
      </c>
      <c r="AR392" s="30" t="n"/>
      <c r="AS392" s="30">
        <f>IF(AR392="Fully Annuity",10,IF(AR392="Higher Annuity, Lower One Time",5,IF(AR392="Higher One Time, Lower Annuity",3,0)))</f>
        <v/>
      </c>
      <c r="AT392" s="30" t="n"/>
      <c r="AU392" s="30">
        <f>IF(AT392="Good",10,0)</f>
        <v/>
      </c>
      <c r="AV392" s="30" t="n"/>
      <c r="AW392" s="30">
        <f>IF(AV392="Yes for more than 2 years",10,IF(AV392="Yes only for next 1 to 2 years",5,0))</f>
        <v/>
      </c>
      <c r="AX392" s="30" t="n"/>
      <c r="AY392" s="30">
        <f>IF(AX392="Above 40",20,IF(AX392="20 to 40",10,IF(AX392="0 to 20",-5,0)))</f>
        <v/>
      </c>
      <c r="AZ392" s="30" t="n"/>
      <c r="BA392" s="30">
        <f>IF(AZ392="Between 50 to 75",10,IF(AZ392="Above 75",0,0))</f>
        <v/>
      </c>
      <c r="BB392" s="30" t="n"/>
      <c r="BC392" s="30">
        <f>IF(BB392="Stage 2",20,IF(BB392="Stage 1",0,IF(BB392="Stage 3",5,IF(BB392="Stage 4",-5,0))))</f>
        <v/>
      </c>
      <c r="BD392" s="30" t="n"/>
      <c r="BE392" s="30">
        <f>IF(BD392="Positive Trend",20,IF(BD392="Negative Trend",-10,0))</f>
        <v/>
      </c>
      <c r="BF392" s="30" t="n"/>
      <c r="BG392" s="30">
        <f>IF(BF392="Uptrend",10,IF(BF392="Sideways",5,0))</f>
        <v/>
      </c>
      <c r="BH392" s="30" t="n"/>
      <c r="BI392" s="30">
        <f>IF(BH392="Uptrend",10,IF(BH392="Sideways",5,0))</f>
        <v/>
      </c>
      <c r="BJ392" s="30" t="n"/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n"/>
      <c r="BM392" s="30">
        <f>IF(BL392="Yes",10,0)</f>
        <v/>
      </c>
      <c r="BN392" s="30" t="n"/>
      <c r="BO392" s="30">
        <f>IF(BN392="More than 20%",10,IF(BN392="Between 12 to 20%",5,IF(BN392="Less than 12%",0,0)))</f>
        <v/>
      </c>
      <c r="BP392" s="30" t="n"/>
      <c r="BQ392" s="30">
        <f>IF(BP392="No",10,0)</f>
        <v/>
      </c>
      <c r="BR392" s="30" t="n"/>
      <c r="BS392" s="30">
        <f>IF(BR392="NO",5,0)</f>
        <v/>
      </c>
      <c r="BT392" s="30" t="n"/>
      <c r="BU392" s="30">
        <f>IF(BT392="Above 2",0,IF(BT392="Between 1.5 to 2",5,IF(BT392="Less than 1.5",10,0)))</f>
        <v/>
      </c>
      <c r="BV392" s="30" t="n"/>
      <c r="BW392" s="30">
        <f>IF(BV392="Above 70%",10,IF(BV392="Between 50% to 70%",5,IF(BV392="Less than 50%",0,IF(BV392="Negative",-10,IF(BV392="Less than 50% and Borrowings are increasing",-5,0)))))</f>
        <v/>
      </c>
      <c r="BX392" s="30" t="n"/>
      <c r="BY392" s="30">
        <f>IF(BX392="More than 1.2",-10,IF(BX392="Between 0.7 to 1.2",0,IF(BX392="Less than 0.7",10,0)))</f>
        <v/>
      </c>
      <c r="BZ392" s="30" t="n"/>
      <c r="CA392" s="30">
        <f>IF(BZ392="Yes",-10,0)</f>
        <v/>
      </c>
      <c r="CB392" s="30" t="n"/>
      <c r="CC392" s="30">
        <f>IF(CB392="More than 15%",-10,IF(CB392="Less than 15%",10,0))</f>
        <v/>
      </c>
      <c r="CD392" s="30" t="n"/>
      <c r="CE392" s="30">
        <f>IF(CD392="Yes, more than 10%",-10,IF(CD392="No",10,0))</f>
        <v/>
      </c>
    </row>
    <row r="393">
      <c r="A393" s="30">
        <f>IF(B393=0,"",RANK(B393,$B$2:$B$395,0))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0" t="inlineStr">
        <is>
          <t>GRASIM</t>
        </is>
      </c>
      <c r="D393" s="30" t="inlineStr">
        <is>
          <t>Grasim Industries Limited</t>
        </is>
      </c>
      <c r="E393" s="30" t="inlineStr">
        <is>
          <t>textiles</t>
        </is>
      </c>
      <c r="F393" s="30" t="inlineStr">
        <is>
          <t>textiles - manmade</t>
        </is>
      </c>
      <c r="G393" s="30" t="inlineStr">
        <is>
          <t>largecap</t>
        </is>
      </c>
      <c r="H393" s="31" t="n">
        <v>230070.26</v>
      </c>
      <c r="I393" s="31" t="n">
        <v>3322.2</v>
      </c>
      <c r="J393" s="31" t="n">
        <v>-1.72</v>
      </c>
      <c r="K393" s="31" t="n">
        <v>1472462</v>
      </c>
      <c r="L393" s="30" t="inlineStr"/>
      <c r="M393" s="30" t="inlineStr"/>
      <c r="N393" s="31">
        <f>IF(M393="Underperforming",-5,IF(L393&gt;=95,15,IF(L393&gt;=90,10,IF(L393&gt;=80,5,0))))</f>
        <v/>
      </c>
      <c r="O393" s="31" t="inlineStr"/>
      <c r="P393" s="31" t="inlineStr"/>
      <c r="Q393" s="31" t="inlineStr"/>
      <c r="R393" s="30" t="inlineStr"/>
      <c r="S393" s="30" t="inlineStr"/>
      <c r="T393" s="31" t="inlineStr"/>
      <c r="U393" s="31" t="inlineStr"/>
      <c r="V393" s="31" t="inlineStr"/>
      <c r="W393" s="31" t="inlineStr"/>
      <c r="X393" s="30" t="n"/>
      <c r="Y393" s="30">
        <f>IF(X393="Growing Industry",10,IF(X393="Cyclical in an Upturn",5,0))</f>
        <v/>
      </c>
      <c r="Z393" s="30" t="n"/>
      <c r="AA393" s="30">
        <f>IF(Z393="Monopoly",10,IF(Z393="Oligopoly",5,IF(Z393="Duopoly that cooperate",10,IF(Z393="Duopoly that compete",5,IF(Z393="Too many players with High ROCE",5,0)))))</f>
        <v/>
      </c>
      <c r="AB393" s="30" t="n"/>
      <c r="AC393" s="30">
        <f>IF(AB393="No",5,0)</f>
        <v/>
      </c>
      <c r="AD393" s="30" t="n"/>
      <c r="AE393" s="30">
        <f>IF(AD393="Tailwind",10,0)</f>
        <v/>
      </c>
      <c r="AF393" s="30" t="n"/>
      <c r="AG393" s="30">
        <f>IF(AF393="Structural (10 Years Consistency)",10,IF(AF393="Shallow Cyclical (2 to 3 years growth)",5,0))</f>
        <v/>
      </c>
      <c r="AH393" s="30" t="n"/>
      <c r="AI393" s="30">
        <f>IF(AH393="Yes due to Product Mix change or Operating Leverage",10,IF(AH393="Yes, these are peak margins",-5,IF(AH393="No",5,0)))</f>
        <v/>
      </c>
      <c r="AJ393" s="30" t="n"/>
      <c r="AK393" s="30">
        <f>IF(AJ393="Stable",10,0)</f>
        <v/>
      </c>
      <c r="AL393" s="30" t="n"/>
      <c r="AM393" s="30">
        <f>IF(AL393="Yes",10,0)</f>
        <v/>
      </c>
      <c r="AN393" s="30" t="n"/>
      <c r="AO393" s="30">
        <f>IF(AN393="B2C",10,IF(AN393="B2B",5,0))</f>
        <v/>
      </c>
      <c r="AP393" s="30" t="n"/>
      <c r="AQ393" s="30">
        <f>IF(AP393="Yes",10,0)</f>
        <v/>
      </c>
      <c r="AR393" s="30" t="n"/>
      <c r="AS393" s="30">
        <f>IF(AR393="Fully Annuity",10,IF(AR393="Higher Annuity, Lower One Time",5,IF(AR393="Higher One Time, Lower Annuity",3,0)))</f>
        <v/>
      </c>
      <c r="AT393" s="30" t="n"/>
      <c r="AU393" s="30">
        <f>IF(AT393="Good",10,0)</f>
        <v/>
      </c>
      <c r="AV393" s="30" t="n"/>
      <c r="AW393" s="30">
        <f>IF(AV393="Yes for more than 2 years",10,IF(AV393="Yes only for next 1 to 2 years",5,0))</f>
        <v/>
      </c>
      <c r="AX393" s="30" t="n"/>
      <c r="AY393" s="30">
        <f>IF(AX393="Above 40",20,IF(AX393="20 to 40",10,IF(AX393="0 to 20",-5,0)))</f>
        <v/>
      </c>
      <c r="AZ393" s="30" t="n"/>
      <c r="BA393" s="30">
        <f>IF(AZ393="Between 50 to 75",10,IF(AZ393="Above 75",0,0))</f>
        <v/>
      </c>
      <c r="BB393" s="30" t="n"/>
      <c r="BC393" s="30">
        <f>IF(BB393="Stage 2",20,IF(BB393="Stage 1",0,IF(BB393="Stage 3",5,IF(BB393="Stage 4",-5,0))))</f>
        <v/>
      </c>
      <c r="BD393" s="30" t="n"/>
      <c r="BE393" s="30">
        <f>IF(BD393="Positive Trend",20,IF(BD393="Negative Trend",-10,0))</f>
        <v/>
      </c>
      <c r="BF393" s="30" t="n"/>
      <c r="BG393" s="30">
        <f>IF(BF393="Uptrend",10,IF(BF393="Sideways",5,0))</f>
        <v/>
      </c>
      <c r="BH393" s="30" t="n"/>
      <c r="BI393" s="30">
        <f>IF(BH393="Uptrend",10,IF(BH393="Sideways",5,0))</f>
        <v/>
      </c>
      <c r="BJ393" s="30" t="n"/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n"/>
      <c r="BM393" s="30">
        <f>IF(BL393="Yes",10,0)</f>
        <v/>
      </c>
      <c r="BN393" s="30" t="n"/>
      <c r="BO393" s="30">
        <f>IF(BN393="More than 20%",10,IF(BN393="Between 12 to 20%",5,IF(BN393="Less than 12%",0,0)))</f>
        <v/>
      </c>
      <c r="BP393" s="30" t="n"/>
      <c r="BQ393" s="30">
        <f>IF(BP393="No",10,0)</f>
        <v/>
      </c>
      <c r="BR393" s="30" t="n"/>
      <c r="BS393" s="30">
        <f>IF(BR393="NO",5,0)</f>
        <v/>
      </c>
      <c r="BT393" s="30" t="n"/>
      <c r="BU393" s="30">
        <f>IF(BT393="Above 2",0,IF(BT393="Between 1.5 to 2",5,IF(BT393="Less than 1.5",10,0)))</f>
        <v/>
      </c>
      <c r="BV393" s="30" t="n"/>
      <c r="BW393" s="30">
        <f>IF(BV393="Above 70%",10,IF(BV393="Between 50% to 70%",5,IF(BV393="Less than 50%",0,IF(BV393="Negative",-10,IF(BV393="Less than 50% and Borrowings are increasing",-5,0)))))</f>
        <v/>
      </c>
      <c r="BX393" s="30" t="n"/>
      <c r="BY393" s="30">
        <f>IF(BX393="More than 1.2",-10,IF(BX393="Between 0.7 to 1.2",0,IF(BX393="Less than 0.7",10,0)))</f>
        <v/>
      </c>
      <c r="BZ393" s="30" t="n"/>
      <c r="CA393" s="30">
        <f>IF(BZ393="Yes",-10,0)</f>
        <v/>
      </c>
      <c r="CB393" s="30" t="n"/>
      <c r="CC393" s="30">
        <f>IF(CB393="More than 15%",-10,IF(CB393="Less than 15%",10,0))</f>
        <v/>
      </c>
      <c r="CD393" s="30" t="n"/>
      <c r="CE393" s="30">
        <f>IF(CD393="Yes, more than 10%",-10,IF(CD393="No",10,0))</f>
        <v/>
      </c>
    </row>
    <row r="394">
      <c r="A394" s="30">
        <f>IF(B394=0,"",RANK(B394,$B$2:$B$395,0))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0" t="inlineStr">
        <is>
          <t>RAMRAT</t>
        </is>
      </c>
      <c r="D394" s="30" t="inlineStr">
        <is>
          <t>Ram Ratna Wires Ltd</t>
        </is>
      </c>
      <c r="E394" s="30" t="inlineStr">
        <is>
          <t>metals &amp; mining</t>
        </is>
      </c>
      <c r="F394" s="30" t="inlineStr">
        <is>
          <t>mining / minerals / metals</t>
        </is>
      </c>
      <c r="G394" s="30" t="inlineStr">
        <is>
          <t>smallcap</t>
        </is>
      </c>
      <c r="H394" s="31" t="n">
        <v>4273.52</v>
      </c>
      <c r="I394" s="31" t="n">
        <v>449.5</v>
      </c>
      <c r="J394" s="31" t="n">
        <v>-1.81</v>
      </c>
      <c r="K394" s="31" t="n">
        <v>114045</v>
      </c>
      <c r="L394" s="30" t="inlineStr"/>
      <c r="M394" s="30" t="inlineStr"/>
      <c r="N394" s="31">
        <f>IF(M394="Underperforming",-5,IF(L394&gt;=95,15,IF(L394&gt;=90,10,IF(L394&gt;=80,5,0))))</f>
        <v/>
      </c>
      <c r="O394" s="31" t="inlineStr"/>
      <c r="P394" s="31" t="inlineStr"/>
      <c r="Q394" s="31" t="inlineStr"/>
      <c r="R394" s="30" t="inlineStr"/>
      <c r="S394" s="30" t="inlineStr"/>
      <c r="T394" s="31" t="inlineStr"/>
      <c r="U394" s="31" t="inlineStr"/>
      <c r="V394" s="31" t="inlineStr"/>
      <c r="W394" s="31" t="inlineStr"/>
      <c r="X394" s="30" t="n"/>
      <c r="Y394" s="30">
        <f>IF(X394="Growing Industry",10,IF(X394="Cyclical in an Upturn",5,0))</f>
        <v/>
      </c>
      <c r="Z394" s="30" t="n"/>
      <c r="AA394" s="30">
        <f>IF(Z394="Monopoly",10,IF(Z394="Oligopoly",5,IF(Z394="Duopoly that cooperate",10,IF(Z394="Duopoly that compete",5,IF(Z394="Too many players with High ROCE",5,0)))))</f>
        <v/>
      </c>
      <c r="AB394" s="30" t="n"/>
      <c r="AC394" s="30">
        <f>IF(AB394="No",5,0)</f>
        <v/>
      </c>
      <c r="AD394" s="30" t="n"/>
      <c r="AE394" s="30">
        <f>IF(AD394="Tailwind",10,0)</f>
        <v/>
      </c>
      <c r="AF394" s="30" t="n"/>
      <c r="AG394" s="30">
        <f>IF(AF394="Structural (10 Years Consistency)",10,IF(AF394="Shallow Cyclical (2 to 3 years growth)",5,0))</f>
        <v/>
      </c>
      <c r="AH394" s="30" t="n"/>
      <c r="AI394" s="30">
        <f>IF(AH394="Yes due to Product Mix change or Operating Leverage",10,IF(AH394="Yes, these are peak margins",-5,IF(AH394="No",5,0)))</f>
        <v/>
      </c>
      <c r="AJ394" s="30" t="n"/>
      <c r="AK394" s="30">
        <f>IF(AJ394="Stable",10,0)</f>
        <v/>
      </c>
      <c r="AL394" s="30" t="n"/>
      <c r="AM394" s="30">
        <f>IF(AL394="Yes",10,0)</f>
        <v/>
      </c>
      <c r="AN394" s="30" t="n"/>
      <c r="AO394" s="30">
        <f>IF(AN394="B2C",10,IF(AN394="B2B",5,0))</f>
        <v/>
      </c>
      <c r="AP394" s="30" t="n"/>
      <c r="AQ394" s="30">
        <f>IF(AP394="Yes",10,0)</f>
        <v/>
      </c>
      <c r="AR394" s="30" t="n"/>
      <c r="AS394" s="30">
        <f>IF(AR394="Fully Annuity",10,IF(AR394="Higher Annuity, Lower One Time",5,IF(AR394="Higher One Time, Lower Annuity",3,0)))</f>
        <v/>
      </c>
      <c r="AT394" s="30" t="n"/>
      <c r="AU394" s="30">
        <f>IF(AT394="Good",10,0)</f>
        <v/>
      </c>
      <c r="AV394" s="30" t="n"/>
      <c r="AW394" s="30">
        <f>IF(AV394="Yes for more than 2 years",10,IF(AV394="Yes only for next 1 to 2 years",5,0))</f>
        <v/>
      </c>
      <c r="AX394" s="30" t="n"/>
      <c r="AY394" s="30">
        <f>IF(AX394="Above 40",20,IF(AX394="20 to 40",10,IF(AX394="0 to 20",-5,0)))</f>
        <v/>
      </c>
      <c r="AZ394" s="30" t="n"/>
      <c r="BA394" s="30">
        <f>IF(AZ394="Between 50 to 75",10,IF(AZ394="Above 75",0,0))</f>
        <v/>
      </c>
      <c r="BB394" s="30" t="n"/>
      <c r="BC394" s="30">
        <f>IF(BB394="Stage 2",20,IF(BB394="Stage 1",0,IF(BB394="Stage 3",5,IF(BB394="Stage 4",-5,0))))</f>
        <v/>
      </c>
      <c r="BD394" s="30" t="n"/>
      <c r="BE394" s="30">
        <f>IF(BD394="Positive Trend",20,IF(BD394="Negative Trend",-10,0))</f>
        <v/>
      </c>
      <c r="BF394" s="30" t="n"/>
      <c r="BG394" s="30">
        <f>IF(BF394="Uptrend",10,IF(BF394="Sideways",5,0))</f>
        <v/>
      </c>
      <c r="BH394" s="30" t="n"/>
      <c r="BI394" s="30">
        <f>IF(BH394="Uptrend",10,IF(BH394="Sideways",5,0))</f>
        <v/>
      </c>
      <c r="BJ394" s="30" t="n"/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n"/>
      <c r="BM394" s="30">
        <f>IF(BL394="Yes",10,0)</f>
        <v/>
      </c>
      <c r="BN394" s="30" t="n"/>
      <c r="BO394" s="30">
        <f>IF(BN394="More than 20%",10,IF(BN394="Between 12 to 20%",5,IF(BN394="Less than 12%",0,0)))</f>
        <v/>
      </c>
      <c r="BP394" s="30" t="n"/>
      <c r="BQ394" s="30">
        <f>IF(BP394="No",10,0)</f>
        <v/>
      </c>
      <c r="BR394" s="30" t="n"/>
      <c r="BS394" s="30">
        <f>IF(BR394="NO",5,0)</f>
        <v/>
      </c>
      <c r="BT394" s="30" t="n"/>
      <c r="BU394" s="30">
        <f>IF(BT394="Above 2",0,IF(BT394="Between 1.5 to 2",5,IF(BT394="Less than 1.5",10,0)))</f>
        <v/>
      </c>
      <c r="BV394" s="30" t="n"/>
      <c r="BW394" s="30">
        <f>IF(BV394="Above 70%",10,IF(BV394="Between 50% to 70%",5,IF(BV394="Less than 50%",0,IF(BV394="Negative",-10,IF(BV394="Less than 50% and Borrowings are increasing",-5,0)))))</f>
        <v/>
      </c>
      <c r="BX394" s="30" t="n"/>
      <c r="BY394" s="30">
        <f>IF(BX394="More than 1.2",-10,IF(BX394="Between 0.7 to 1.2",0,IF(BX394="Less than 0.7",10,0)))</f>
        <v/>
      </c>
      <c r="BZ394" s="30" t="n"/>
      <c r="CA394" s="30">
        <f>IF(BZ394="Yes",-10,0)</f>
        <v/>
      </c>
      <c r="CB394" s="30" t="n"/>
      <c r="CC394" s="30">
        <f>IF(CB394="More than 15%",-10,IF(CB394="Less than 15%",10,0))</f>
        <v/>
      </c>
      <c r="CD394" s="30" t="n"/>
      <c r="CE394" s="30">
        <f>IF(CD394="Yes, more than 10%",-10,IF(CD394="No",10,0))</f>
        <v/>
      </c>
    </row>
    <row r="395">
      <c r="A395" s="30">
        <f>IF(B395=0,"",RANK(B395,$B$2:$B$395,0))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0" t="inlineStr">
        <is>
          <t>GANESHBE</t>
        </is>
      </c>
      <c r="D395" s="30" t="inlineStr">
        <is>
          <t>Ganesh Benzoplast Ltd</t>
        </is>
      </c>
      <c r="E395" s="30" t="inlineStr">
        <is>
          <t>miscellaneous</t>
        </is>
      </c>
      <c r="F395" s="30" t="inlineStr">
        <is>
          <t>miscellaneous</t>
        </is>
      </c>
      <c r="G395" s="30" t="inlineStr">
        <is>
          <t>smallcap</t>
        </is>
      </c>
      <c r="H395" s="31" t="n">
        <v>866.46</v>
      </c>
      <c r="I395" s="31" t="n">
        <v>116.74</v>
      </c>
      <c r="J395" s="31" t="n">
        <v>-3.01</v>
      </c>
      <c r="K395" s="31" t="n">
        <v>91939</v>
      </c>
      <c r="L395" s="30" t="inlineStr"/>
      <c r="M395" s="30" t="inlineStr"/>
      <c r="N395" s="31">
        <f>IF(M395="Underperforming",-5,IF(L395&gt;=95,15,IF(L395&gt;=90,10,IF(L395&gt;=80,5,0))))</f>
        <v/>
      </c>
      <c r="O395" s="31" t="inlineStr"/>
      <c r="P395" s="31" t="inlineStr"/>
      <c r="Q395" s="31" t="inlineStr"/>
      <c r="R395" s="30" t="inlineStr"/>
      <c r="S395" s="30" t="inlineStr"/>
      <c r="T395" s="31" t="inlineStr"/>
      <c r="U395" s="31" t="inlineStr"/>
      <c r="V395" s="31" t="inlineStr"/>
      <c r="W395" s="31" t="inlineStr"/>
      <c r="X395" s="30" t="n"/>
      <c r="Y395" s="30">
        <f>IF(X395="Growing Industry",10,IF(X395="Cyclical in an Upturn",5,0))</f>
        <v/>
      </c>
      <c r="Z395" s="30" t="n"/>
      <c r="AA395" s="30">
        <f>IF(Z395="Monopoly",10,IF(Z395="Oligopoly",5,IF(Z395="Duopoly that cooperate",10,IF(Z395="Duopoly that compete",5,IF(Z395="Too many players with High ROCE",5,0)))))</f>
        <v/>
      </c>
      <c r="AB395" s="30" t="n"/>
      <c r="AC395" s="30">
        <f>IF(AB395="No",5,0)</f>
        <v/>
      </c>
      <c r="AD395" s="30" t="n"/>
      <c r="AE395" s="30">
        <f>IF(AD395="Tailwind",10,0)</f>
        <v/>
      </c>
      <c r="AF395" s="30" t="n"/>
      <c r="AG395" s="30">
        <f>IF(AF395="Structural (10 Years Consistency)",10,IF(AF395="Shallow Cyclical (2 to 3 years growth)",5,0))</f>
        <v/>
      </c>
      <c r="AH395" s="30" t="n"/>
      <c r="AI395" s="30">
        <f>IF(AH395="Yes due to Product Mix change or Operating Leverage",10,IF(AH395="Yes, these are peak margins",-5,IF(AH395="No",5,0)))</f>
        <v/>
      </c>
      <c r="AJ395" s="30" t="n"/>
      <c r="AK395" s="30">
        <f>IF(AJ395="Stable",10,0)</f>
        <v/>
      </c>
      <c r="AL395" s="30" t="n"/>
      <c r="AM395" s="30">
        <f>IF(AL395="Yes",10,0)</f>
        <v/>
      </c>
      <c r="AN395" s="30" t="n"/>
      <c r="AO395" s="30">
        <f>IF(AN395="B2C",10,IF(AN395="B2B",5,0))</f>
        <v/>
      </c>
      <c r="AP395" s="30" t="n"/>
      <c r="AQ395" s="30">
        <f>IF(AP395="Yes",10,0)</f>
        <v/>
      </c>
      <c r="AR395" s="30" t="n"/>
      <c r="AS395" s="30">
        <f>IF(AR395="Fully Annuity",10,IF(AR395="Higher Annuity, Lower One Time",5,IF(AR395="Higher One Time, Lower Annuity",3,0)))</f>
        <v/>
      </c>
      <c r="AT395" s="30" t="n"/>
      <c r="AU395" s="30">
        <f>IF(AT395="Good",10,0)</f>
        <v/>
      </c>
      <c r="AV395" s="30" t="n"/>
      <c r="AW395" s="30">
        <f>IF(AV395="Yes for more than 2 years",10,IF(AV395="Yes only for next 1 to 2 years",5,0))</f>
        <v/>
      </c>
      <c r="AX395" s="30" t="n"/>
      <c r="AY395" s="30">
        <f>IF(AX395="Above 40",20,IF(AX395="20 to 40",10,IF(AX395="0 to 20",-5,0)))</f>
        <v/>
      </c>
      <c r="AZ395" s="30" t="n"/>
      <c r="BA395" s="30">
        <f>IF(AZ395="Between 50 to 75",10,IF(AZ395="Above 75",0,0))</f>
        <v/>
      </c>
      <c r="BB395" s="30" t="n"/>
      <c r="BC395" s="30">
        <f>IF(BB395="Stage 2",20,IF(BB395="Stage 1",0,IF(BB395="Stage 3",5,IF(BB395="Stage 4",-5,0))))</f>
        <v/>
      </c>
      <c r="BD395" s="30" t="n"/>
      <c r="BE395" s="30">
        <f>IF(BD395="Positive Trend",20,IF(BD395="Negative Trend",-10,0))</f>
        <v/>
      </c>
      <c r="BF395" s="30" t="n"/>
      <c r="BG395" s="30">
        <f>IF(BF395="Uptrend",10,IF(BF395="Sideways",5,0))</f>
        <v/>
      </c>
      <c r="BH395" s="30" t="n"/>
      <c r="BI395" s="30">
        <f>IF(BH395="Uptrend",10,IF(BH395="Sideways",5,0))</f>
        <v/>
      </c>
      <c r="BJ395" s="30" t="n"/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n"/>
      <c r="BM395" s="30">
        <f>IF(BL395="Yes",10,0)</f>
        <v/>
      </c>
      <c r="BN395" s="30" t="n"/>
      <c r="BO395" s="30">
        <f>IF(BN395="More than 20%",10,IF(BN395="Between 12 to 20%",5,IF(BN395="Less than 12%",0,0)))</f>
        <v/>
      </c>
      <c r="BP395" s="30" t="n"/>
      <c r="BQ395" s="30">
        <f>IF(BP395="No",10,0)</f>
        <v/>
      </c>
      <c r="BR395" s="30" t="n"/>
      <c r="BS395" s="30">
        <f>IF(BR395="NO",5,0)</f>
        <v/>
      </c>
      <c r="BT395" s="30" t="n"/>
      <c r="BU395" s="30">
        <f>IF(BT395="Above 2",0,IF(BT395="Between 1.5 to 2",5,IF(BT395="Less than 1.5",10,0)))</f>
        <v/>
      </c>
      <c r="BV395" s="30" t="n"/>
      <c r="BW395" s="30">
        <f>IF(BV395="Above 70%",10,IF(BV395="Between 50% to 70%",5,IF(BV395="Less than 50%",0,IF(BV395="Negative",-10,IF(BV395="Less than 50% and Borrowings are increasing",-5,0)))))</f>
        <v/>
      </c>
      <c r="BX395" s="30" t="n"/>
      <c r="BY395" s="30">
        <f>IF(BX395="More than 1.2",-10,IF(BX395="Between 0.7 to 1.2",0,IF(BX395="Less than 0.7",10,0)))</f>
        <v/>
      </c>
      <c r="BZ395" s="30" t="n"/>
      <c r="CA395" s="30">
        <f>IF(BZ395="Yes",-10,0)</f>
        <v/>
      </c>
      <c r="CB395" s="30" t="n"/>
      <c r="CC395" s="30">
        <f>IF(CB395="More than 15%",-10,IF(CB395="Less than 15%",10,0))</f>
        <v/>
      </c>
      <c r="CD395" s="30" t="n"/>
      <c r="CE395" s="30">
        <f>IF(CD395="Yes, more than 10%",-10,IF(CD395="No",10,0))</f>
        <v/>
      </c>
    </row>
  </sheetData>
  <autoFilter ref="A1:CE395"/>
  <conditionalFormatting sqref="B2:B3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95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95">
    <cfRule type="cellIs" priority="36" operator="equal" dxfId="3" stopIfTrue="1">
      <formula>"Underperforming"</formula>
    </cfRule>
  </conditionalFormatting>
  <conditionalFormatting sqref="N2:N395">
    <cfRule type="cellIs" priority="37" operator="equal" dxfId="3" stopIfTrue="1">
      <formula>-5</formula>
    </cfRule>
  </conditionalFormatting>
  <conditionalFormatting sqref="Q2:Q395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95" showDropDown="0" showInputMessage="0" showErrorMessage="0" allowBlank="1" type="list">
      <formula1>"Growing Industry,Stagnant Industry,Cyclical in an Upturn"</formula1>
    </dataValidation>
    <dataValidation sqref="Z2:Z3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95" showDropDown="0" showInputMessage="0" showErrorMessage="0" allowBlank="1" type="list">
      <formula1>"Yes,No"</formula1>
    </dataValidation>
    <dataValidation sqref="AD2:AD395" showDropDown="0" showInputMessage="0" showErrorMessage="0" allowBlank="1" type="list">
      <formula1>"Tailwind,Headwind"</formula1>
    </dataValidation>
    <dataValidation sqref="AF2:AF395" showDropDown="0" showInputMessage="0" showErrorMessage="0" allowBlank="1" type="list">
      <formula1>"Structural (10 Years Consistency),Shallow Cyclical (2 to 3 Years Growth),Cyclical"</formula1>
    </dataValidation>
    <dataValidation sqref="AH2:AH395" showDropDown="0" showInputMessage="0" showErrorMessage="0" allowBlank="1" type="list">
      <formula1>"Yes due to Product Mix change or Operating Leverage,Yes, these are peak margins,No"</formula1>
    </dataValidation>
    <dataValidation sqref="AJ2:AJ395" showDropDown="0" showInputMessage="0" showErrorMessage="0" allowBlank="1" type="list">
      <formula1>"Stable,Volatile"</formula1>
    </dataValidation>
    <dataValidation sqref="AL2:AL395" showDropDown="0" showInputMessage="0" showErrorMessage="0" allowBlank="1" type="list">
      <formula1>"Yes,No"</formula1>
    </dataValidation>
    <dataValidation sqref="AN2:AN395" showDropDown="0" showInputMessage="0" showErrorMessage="0" allowBlank="1" type="list">
      <formula1>"B2C,B2B,B2G"</formula1>
    </dataValidation>
    <dataValidation sqref="AP2:AP395" showDropDown="0" showInputMessage="0" showErrorMessage="0" allowBlank="1" type="list">
      <formula1>"Yes,No"</formula1>
    </dataValidation>
    <dataValidation sqref="AR2:AR395" showDropDown="0" showInputMessage="0" showErrorMessage="0" allowBlank="1" type="list">
      <formula1>"Fully Annuity,Higher Annuity, Lower One time,Higher One Time, Lower Annuity,Fully One Time"</formula1>
    </dataValidation>
    <dataValidation sqref="AT2:AT395" showDropDown="0" showInputMessage="0" showErrorMessage="0" allowBlank="1" type="list">
      <formula1>"Good,Allocated capital in Non-core Areas"</formula1>
    </dataValidation>
    <dataValidation sqref="AV2:AV395" showDropDown="0" showInputMessage="0" showErrorMessage="0" allowBlank="1" type="list">
      <formula1>"Yes for more than 2 years,Yes only for next 1 to 2 years,No"</formula1>
    </dataValidation>
    <dataValidation sqref="AX2:AX395" showDropDown="0" showInputMessage="0" showErrorMessage="0" allowBlank="1" type="list">
      <formula1>"Above 40,20 to 40,0 to 20"</formula1>
    </dataValidation>
    <dataValidation sqref="AZ2:AZ395" showDropDown="0" showInputMessage="0" showErrorMessage="0" allowBlank="1" type="list">
      <formula1>"Between 50 to 75,Above 75,Below 45"</formula1>
    </dataValidation>
    <dataValidation sqref="BB2:BB395" showDropDown="0" showInputMessage="0" showErrorMessage="0" allowBlank="1" type="list">
      <formula1>"Stage 1,Stage 2,Stage 3,Stage 4"</formula1>
    </dataValidation>
    <dataValidation sqref="BD2:BD395" showDropDown="0" showInputMessage="0" showErrorMessage="0" allowBlank="1" type="list">
      <formula1>"Positive Trend,Negative Trend"</formula1>
    </dataValidation>
    <dataValidation sqref="BF2:BF395" showDropDown="0" showInputMessage="0" showErrorMessage="0" allowBlank="1" type="list">
      <formula1>"Uptrend,Sideways,Downtrend"</formula1>
    </dataValidation>
    <dataValidation sqref="BH2:BH395" showDropDown="0" showInputMessage="0" showErrorMessage="0" allowBlank="1" type="list">
      <formula1>"Uptrend,Sideways,Downtrend"</formula1>
    </dataValidation>
    <dataValidation sqref="BJ2:BJ3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95" showDropDown="0" showInputMessage="0" showErrorMessage="0" allowBlank="1" type="list">
      <formula1>"Yes,No"</formula1>
    </dataValidation>
    <dataValidation sqref="BN2:BN395" showDropDown="0" showInputMessage="0" showErrorMessage="0" allowBlank="1" type="list">
      <formula1>"More than 20%,Between 12 to 20%,Less than 12%"</formula1>
    </dataValidation>
    <dataValidation sqref="BP2:BP395" showDropDown="0" showInputMessage="0" showErrorMessage="0" allowBlank="1" type="list">
      <formula1>"Yes,No"</formula1>
    </dataValidation>
    <dataValidation sqref="BR2:BR395" showDropDown="0" showInputMessage="0" showErrorMessage="0" allowBlank="1" type="list">
      <formula1>"Yes,No"</formula1>
    </dataValidation>
    <dataValidation sqref="BT2:BT395" showDropDown="0" showInputMessage="0" showErrorMessage="0" allowBlank="1" type="list">
      <formula1>"Above 2,Between 1.5 to 2,Less than 1.5"</formula1>
    </dataValidation>
    <dataValidation sqref="BV2:BV395" showDropDown="0" showInputMessage="0" showErrorMessage="0" allowBlank="1" type="list">
      <formula1>"Above 70%,Between 50% to 70%,Less than 50%,Less than 50% and Borrowings are increasing,Negative"</formula1>
    </dataValidation>
    <dataValidation sqref="BX2:BX395" showDropDown="0" showInputMessage="0" showErrorMessage="0" allowBlank="1" type="list">
      <formula1>"More than 1.2,Between 0.7 to 1.2,Less than 0.7"</formula1>
    </dataValidation>
    <dataValidation sqref="BZ2:BZ395" showDropDown="0" showInputMessage="0" showErrorMessage="0" allowBlank="1" type="list">
      <formula1>"Yes,No"</formula1>
    </dataValidation>
    <dataValidation sqref="CB2:CB395" showDropDown="0" showInputMessage="0" showErrorMessage="0" allowBlank="1" type="list">
      <formula1>"More than 15%,Less than 15%"</formula1>
    </dataValidation>
    <dataValidation sqref="CD2:CD3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IF(B2=0,"",RANK(B2,$B$2:$B$41,0))</f>
        <v/>
      </c>
      <c r="B2" s="31">
        <f>SUM(N2,Y2,AA2,AC2,AE2,AG2,AI2,AK2,AM2,AO2,AQ2,AS2,AU2,AW2,AY2,BA2,BC2,BE2,BG2,BI2,BK2,BM2,BO2,BQ2,BS2,BU2,BW2,BY2,CA2)</f>
        <v/>
      </c>
      <c r="C2" s="30" t="inlineStr">
        <is>
          <t>KTKBANK</t>
        </is>
      </c>
      <c r="D2" s="30" t="inlineStr">
        <is>
          <t>The Karnataka Bank Limited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11544.66</v>
      </c>
      <c r="I2" s="31" t="n">
        <v>302.85</v>
      </c>
      <c r="J2" s="31" t="n">
        <v>-0.79</v>
      </c>
      <c r="K2" s="31" t="n">
        <v>2752855</v>
      </c>
      <c r="L2" s="30" t="n">
        <v>69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70.23</v>
      </c>
      <c r="P2" s="31" t="n">
        <v>45.49</v>
      </c>
      <c r="Q2" s="31" t="n">
        <v>255.5</v>
      </c>
      <c r="R2" s="30" t="inlineStr">
        <is>
          <t>Near 52W High Breakout</t>
        </is>
      </c>
      <c r="S2" s="30" t="inlineStr">
        <is>
          <t>Nifty Bank</t>
        </is>
      </c>
      <c r="T2" s="31" t="n">
        <v>3.8</v>
      </c>
      <c r="U2" s="31" t="n">
        <v>83.3</v>
      </c>
      <c r="V2" s="31" t="n">
        <v>76.59</v>
      </c>
      <c r="W2" s="31" t="n">
        <v>17.87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IF(B3=0,"",RANK(B3,$B$2:$B$41,0))</f>
        <v/>
      </c>
      <c r="B3" s="31">
        <f>SUM(N3,Y3,AA3,AC3,AE3,AG3,AI3,AK3,AM3,AO3,AQ3,AS3,AU3,AW3,AY3,BA3,BC3,BE3,BG3,BI3,BK3,BM3,BO3,BQ3,BS3,BU3,BW3,BY3,CA3)</f>
        <v/>
      </c>
      <c r="C3" s="30" t="inlineStr">
        <is>
          <t>RANEHOLDIN</t>
        </is>
      </c>
      <c r="D3" s="30" t="inlineStr">
        <is>
          <t>Rane Holdings Limited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smallcap</t>
        </is>
      </c>
      <c r="H3" s="31" t="n">
        <v>2497.05</v>
      </c>
      <c r="I3" s="31" t="n">
        <v>1776.2</v>
      </c>
      <c r="J3" s="31" t="n">
        <v>1.56</v>
      </c>
      <c r="K3" s="31" t="n">
        <v>10635</v>
      </c>
      <c r="L3" s="30" t="n">
        <v>44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71.28</v>
      </c>
      <c r="P3" s="31" t="n">
        <v>45.62</v>
      </c>
      <c r="Q3" s="31" t="n">
        <v>1396.54</v>
      </c>
      <c r="R3" s="30" t="inlineStr">
        <is>
          <t>Near 52W High Breakout</t>
        </is>
      </c>
      <c r="S3" s="30" t="inlineStr">
        <is>
          <t>Nifty Bank</t>
        </is>
      </c>
      <c r="T3" s="31" t="n">
        <v>3.8</v>
      </c>
      <c r="U3" s="31" t="n">
        <v>23.24</v>
      </c>
      <c r="V3" s="31" t="n">
        <v>18.73</v>
      </c>
      <c r="W3" s="31" t="n">
        <v>10.14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IF(B4=0,"",RANK(B4,$B$2:$B$41,0))</f>
        <v/>
      </c>
      <c r="B4" s="31">
        <f>SUM(N4,Y4,AA4,AC4,AE4,AG4,AI4,AK4,AM4,AO4,AQ4,AS4,AU4,AW4,AY4,BA4,BC4,BE4,BG4,BI4,BK4,BM4,BO4,BQ4,BS4,BU4,BW4,BY4,CA4)</f>
        <v/>
      </c>
      <c r="C4" s="30" t="inlineStr">
        <is>
          <t>KARURVYSYA</t>
        </is>
      </c>
      <c r="D4" s="30" t="inlineStr">
        <is>
          <t>Karur Vysya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largecap</t>
        </is>
      </c>
      <c r="H4" s="31" t="n">
        <v>32016.07</v>
      </c>
      <c r="I4" s="31" t="n">
        <v>334.2</v>
      </c>
      <c r="J4" s="31" t="n">
        <v>0.91</v>
      </c>
      <c r="K4" s="31" t="n">
        <v>1149593</v>
      </c>
      <c r="L4" s="30" t="n">
        <v>52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65.98</v>
      </c>
      <c r="P4" s="31" t="n">
        <v>20.01</v>
      </c>
      <c r="Q4" s="31" t="n">
        <v>283.84</v>
      </c>
      <c r="R4" s="30" t="inlineStr">
        <is>
          <t>Near 52W High Breakout</t>
        </is>
      </c>
      <c r="S4" s="30" t="inlineStr">
        <is>
          <t>Nifty Bank</t>
        </is>
      </c>
      <c r="T4" s="31" t="n">
        <v>3.8</v>
      </c>
      <c r="U4" s="31" t="n">
        <v>57.17</v>
      </c>
      <c r="V4" s="31" t="n">
        <v>51.41</v>
      </c>
      <c r="W4" s="31" t="n">
        <v>12.59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IF(B5=0,"",RANK(B5,$B$2:$B$41,0))</f>
        <v/>
      </c>
      <c r="B5" s="31">
        <f>SUM(N5,Y5,AA5,AC5,AE5,AG5,AI5,AK5,AM5,AO5,AQ5,AS5,AU5,AW5,AY5,BA5,BC5,BE5,BG5,BI5,BK5,BM5,BO5,BQ5,BS5,BU5,BW5,BY5,CA5)</f>
        <v/>
      </c>
      <c r="C5" s="30" t="inlineStr">
        <is>
          <t>UJJIVANSFB</t>
        </is>
      </c>
      <c r="D5" s="30" t="inlineStr">
        <is>
          <t>Ujjivan Small Finance Bank Ltd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midcap</t>
        </is>
      </c>
      <c r="H5" s="31" t="n">
        <v>13570.1</v>
      </c>
      <c r="I5" s="31" t="n">
        <v>70.14</v>
      </c>
      <c r="J5" s="31" t="n">
        <v>0.54</v>
      </c>
      <c r="K5" s="31" t="n">
        <v>9889163</v>
      </c>
      <c r="L5" s="30" t="n">
        <v>66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65.95999999999999</v>
      </c>
      <c r="P5" s="31" t="n">
        <v>35.92</v>
      </c>
      <c r="Q5" s="31" t="n">
        <v>57.29</v>
      </c>
      <c r="R5" s="30" t="inlineStr">
        <is>
          <t>Near 52W High Breakout</t>
        </is>
      </c>
      <c r="S5" s="30" t="inlineStr">
        <is>
          <t>Nifty Bank</t>
        </is>
      </c>
      <c r="T5" s="31" t="n">
        <v>3.8</v>
      </c>
      <c r="U5" s="31" t="n">
        <v>68.31999999999999</v>
      </c>
      <c r="V5" s="31" t="n">
        <v>62.16</v>
      </c>
      <c r="W5" s="31" t="n">
        <v>16.99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IF(B6=0,"",RANK(B6,$B$2:$B$41,0))</f>
        <v/>
      </c>
      <c r="B6" s="31">
        <f>SUM(N6,Y6,AA6,AC6,AE6,AG6,AI6,AK6,AM6,AO6,AQ6,AS6,AU6,AW6,AY6,BA6,BC6,BE6,BG6,BI6,BK6,BM6,BO6,BQ6,BS6,BU6,BW6,BY6,CA6)</f>
        <v/>
      </c>
      <c r="C6" s="30" t="inlineStr">
        <is>
          <t>RBLBANK</t>
        </is>
      </c>
      <c r="D6" s="30" t="inlineStr">
        <is>
          <t>Rbl Bank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largecap</t>
        </is>
      </c>
      <c r="H6" s="31" t="n">
        <v>60548.62</v>
      </c>
      <c r="I6" s="31" t="n">
        <v>389.7</v>
      </c>
      <c r="J6" s="31" t="n">
        <v>-0.33</v>
      </c>
      <c r="K6" s="31" t="n">
        <v>4231463</v>
      </c>
      <c r="L6" s="30" t="n">
        <v>53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65.20999999999999</v>
      </c>
      <c r="P6" s="31" t="n">
        <v>36.9</v>
      </c>
      <c r="Q6" s="31" t="n">
        <v>329.86</v>
      </c>
      <c r="R6" s="30" t="inlineStr">
        <is>
          <t>Near 52W High Breakout</t>
        </is>
      </c>
      <c r="S6" s="30" t="inlineStr">
        <is>
          <t>Nifty Bank</t>
        </is>
      </c>
      <c r="T6" s="31" t="n">
        <v>3.8</v>
      </c>
      <c r="U6" s="31" t="n">
        <v>55.3</v>
      </c>
      <c r="V6" s="31" t="n">
        <v>49.61</v>
      </c>
      <c r="W6" s="31" t="n">
        <v>12.75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IF(B7=0,"",RANK(B7,$B$2:$B$41,0))</f>
        <v/>
      </c>
      <c r="B7" s="31">
        <f>SUM(N7,Y7,AA7,AC7,AE7,AG7,AI7,AK7,AM7,AO7,AQ7,AS7,AU7,AW7,AY7,BA7,BC7,BE7,BG7,BI7,BK7,BM7,BO7,BQ7,BS7,BU7,BW7,BY7,CA7)</f>
        <v/>
      </c>
      <c r="C7" s="30" t="inlineStr">
        <is>
          <t>MANAPPURAM</t>
        </is>
      </c>
      <c r="D7" s="30" t="inlineStr">
        <is>
          <t>Manappuram Finance Limited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largecap</t>
        </is>
      </c>
      <c r="H7" s="31" t="n">
        <v>34689.68</v>
      </c>
      <c r="I7" s="31" t="n">
        <v>360</v>
      </c>
      <c r="J7" s="31" t="n">
        <v>-2.52</v>
      </c>
      <c r="K7" s="31" t="n">
        <v>12086543</v>
      </c>
      <c r="L7" s="30" t="n">
        <v>44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64.98999999999999</v>
      </c>
      <c r="P7" s="31" t="n">
        <v>20.25</v>
      </c>
      <c r="Q7" s="31" t="n">
        <v>300.23</v>
      </c>
      <c r="R7" s="30" t="inlineStr">
        <is>
          <t>Near 52W High Breakout</t>
        </is>
      </c>
      <c r="S7" s="30" t="inlineStr">
        <is>
          <t>Nifty Bank</t>
        </is>
      </c>
      <c r="T7" s="31" t="n">
        <v>3.8</v>
      </c>
      <c r="U7" s="31" t="n">
        <v>36.03</v>
      </c>
      <c r="V7" s="31" t="n">
        <v>31.05</v>
      </c>
      <c r="W7" s="31" t="n">
        <v>9.93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IF(B8=0,"",RANK(B8,$B$2:$B$41,0))</f>
        <v/>
      </c>
      <c r="B8" s="31">
        <f>SUM(N8,Y8,AA8,AC8,AE8,AG8,AI8,AK8,AM8,AO8,AQ8,AS8,AU8,AW8,AY8,BA8,BC8,BE8,BG8,BI8,BK8,BM8,BO8,BQ8,BS8,BU8,BW8,BY8,CA8)</f>
        <v/>
      </c>
      <c r="C8" s="30" t="inlineStr">
        <is>
          <t>TMB</t>
        </is>
      </c>
      <c r="D8" s="30" t="inlineStr">
        <is>
          <t>Tamilnad Mercantile Bank Ltd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midcap</t>
        </is>
      </c>
      <c r="H8" s="31" t="n">
        <v>14096.45</v>
      </c>
      <c r="I8" s="31" t="n">
        <v>867</v>
      </c>
      <c r="J8" s="31" t="n">
        <v>-2.61</v>
      </c>
      <c r="K8" s="31" t="n">
        <v>125939</v>
      </c>
      <c r="L8" s="30" t="n">
        <v>78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71.68000000000001</v>
      </c>
      <c r="P8" s="31" t="n">
        <v>37.97</v>
      </c>
      <c r="Q8" s="31" t="n">
        <v>712.53</v>
      </c>
      <c r="R8" s="30" t="inlineStr">
        <is>
          <t>Near 52W High Breakout</t>
        </is>
      </c>
      <c r="S8" s="30" t="inlineStr">
        <is>
          <t>Nifty Bank</t>
        </is>
      </c>
      <c r="T8" s="31" t="n">
        <v>3.8</v>
      </c>
      <c r="U8" s="31" t="n">
        <v>105.59</v>
      </c>
      <c r="V8" s="31" t="n">
        <v>98.06</v>
      </c>
      <c r="W8" s="31" t="n">
        <v>22.64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IF(B9=0,"",RANK(B9,$B$2:$B$41,0))</f>
        <v/>
      </c>
      <c r="B9" s="31">
        <f>SUM(N9,Y9,AA9,AC9,AE9,AG9,AI9,AK9,AM9,AO9,AQ9,AS9,AU9,AW9,AY9,BA9,BC9,BE9,BG9,BI9,BK9,BM9,BO9,BQ9,BS9,BU9,BW9,BY9,CA9)</f>
        <v/>
      </c>
      <c r="C9" s="30" t="inlineStr">
        <is>
          <t>M&amp;MFIN</t>
        </is>
      </c>
      <c r="D9" s="30" t="inlineStr">
        <is>
          <t>Mahindra &amp; Mahindra Financial Services Limited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largecap</t>
        </is>
      </c>
      <c r="H9" s="31" t="n">
        <v>57308.51</v>
      </c>
      <c r="I9" s="31" t="n">
        <v>398.8</v>
      </c>
      <c r="J9" s="31" t="n">
        <v>-3.27</v>
      </c>
      <c r="K9" s="31" t="n">
        <v>1587199</v>
      </c>
      <c r="L9" s="30" t="n">
        <v>64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66.65000000000001</v>
      </c>
      <c r="P9" s="31" t="n">
        <v>22.39</v>
      </c>
      <c r="Q9" s="31" t="n">
        <v>322.53</v>
      </c>
      <c r="R9" s="30" t="inlineStr">
        <is>
          <t>Near 52W High Breakout</t>
        </is>
      </c>
      <c r="S9" s="30" t="inlineStr">
        <is>
          <t>Nifty Bank</t>
        </is>
      </c>
      <c r="T9" s="31" t="n">
        <v>3.8</v>
      </c>
      <c r="U9" s="31" t="n">
        <v>59.85</v>
      </c>
      <c r="V9" s="31" t="n">
        <v>53.99</v>
      </c>
      <c r="W9" s="31" t="n">
        <v>16.26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IF(B10=0,"",RANK(B10,$B$2:$B$41,0))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GEECEE</t>
        </is>
      </c>
      <c r="D10" s="30" t="inlineStr">
        <is>
          <t>Geecee Ventures Limited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smallcap</t>
        </is>
      </c>
      <c r="H10" s="31" t="n">
        <v>777.71</v>
      </c>
      <c r="I10" s="31" t="n">
        <v>386</v>
      </c>
      <c r="J10" s="31" t="n">
        <v>3.79</v>
      </c>
      <c r="K10" s="31" t="n">
        <v>9476</v>
      </c>
      <c r="L10" s="30" t="n">
        <v>33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65.45</v>
      </c>
      <c r="P10" s="31" t="n">
        <v>32.44</v>
      </c>
      <c r="Q10" s="31" t="n">
        <v>300.1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3.8</v>
      </c>
      <c r="U10" s="31" t="n">
        <v>6.17</v>
      </c>
      <c r="V10" s="31" t="n">
        <v>2.28</v>
      </c>
      <c r="W10" s="31" t="n">
        <v>7.78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IF(B11=0,"",RANK(B11,$B$2:$B$41,0))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TFCILTD</t>
        </is>
      </c>
      <c r="D11" s="30" t="inlineStr">
        <is>
          <t>Tourism Finance Corporation Of India Limited</t>
        </is>
      </c>
      <c r="E11" s="30" t="inlineStr">
        <is>
          <t>financials</t>
        </is>
      </c>
      <c r="F11" s="30" t="inlineStr">
        <is>
          <t>finance - term-lending institutions</t>
        </is>
      </c>
      <c r="G11" s="30" t="inlineStr">
        <is>
          <t>midcap</t>
        </is>
      </c>
      <c r="H11" s="31" t="n">
        <v>5334.42</v>
      </c>
      <c r="I11" s="31" t="n">
        <v>115.6</v>
      </c>
      <c r="J11" s="31" t="n">
        <v>0.33</v>
      </c>
      <c r="K11" s="31" t="n">
        <v>11603923</v>
      </c>
      <c r="L11" s="30" t="n">
        <v>81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77.47</v>
      </c>
      <c r="P11" s="31" t="n">
        <v>51.34</v>
      </c>
      <c r="Q11" s="31" t="n">
        <v>93.26000000000001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3.8</v>
      </c>
      <c r="U11" s="31" t="n">
        <v>86.98999999999999</v>
      </c>
      <c r="V11" s="31" t="n">
        <v>80.14</v>
      </c>
      <c r="W11" s="31" t="n">
        <v>25.33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Above 40</t>
        </is>
      </c>
      <c r="BM11" s="30">
        <f>IF(BL11="Above 40",20,IF(BL11="20 to 40",10,IF(BL11="0 to 20",-5,0)))</f>
        <v/>
      </c>
      <c r="BN11" s="30" t="inlineStr">
        <is>
          <t>Above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IF(B12=0,"",RANK(B12,$B$2:$B$41,0))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LTF</t>
        </is>
      </c>
      <c r="D12" s="30" t="inlineStr">
        <is>
          <t>L&amp;T Finance Ltd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largecap</t>
        </is>
      </c>
      <c r="H12" s="31" t="n">
        <v>78384.75999999999</v>
      </c>
      <c r="I12" s="31" t="n">
        <v>315.4</v>
      </c>
      <c r="J12" s="31" t="n">
        <v>0.82</v>
      </c>
      <c r="K12" s="31" t="n">
        <v>4687188</v>
      </c>
      <c r="L12" s="30" t="n">
        <v>56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58.96</v>
      </c>
      <c r="P12" s="31" t="n">
        <v>23.69</v>
      </c>
      <c r="Q12" s="31" t="n">
        <v>265.06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3.8</v>
      </c>
      <c r="U12" s="31" t="n">
        <v>57.68</v>
      </c>
      <c r="V12" s="31" t="n">
        <v>51.91</v>
      </c>
      <c r="W12" s="31" t="n">
        <v>13.59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between 2.5x to 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IF(B13=0,"",RANK(B13,$B$2:$B$41,0))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AUBANK</t>
        </is>
      </c>
      <c r="D13" s="30" t="inlineStr">
        <is>
          <t>AU Small Finance Bank Ltd</t>
        </is>
      </c>
      <c r="E13" s="30" t="inlineStr">
        <is>
          <t>bank</t>
        </is>
      </c>
      <c r="F13" s="30" t="inlineStr">
        <is>
          <t>banks - private sector</t>
        </is>
      </c>
      <c r="G13" s="30" t="inlineStr">
        <is>
          <t>largecap</t>
        </is>
      </c>
      <c r="H13" s="31" t="n">
        <v>79990.21000000001</v>
      </c>
      <c r="I13" s="31" t="n">
        <v>1070.9</v>
      </c>
      <c r="J13" s="31" t="n">
        <v>0.27</v>
      </c>
      <c r="K13" s="31" t="n">
        <v>3720891</v>
      </c>
      <c r="L13" s="30" t="n">
        <v>41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60.01</v>
      </c>
      <c r="P13" s="31" t="n">
        <v>23.92</v>
      </c>
      <c r="Q13" s="31" t="n">
        <v>894.11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3.8</v>
      </c>
      <c r="U13" s="31" t="n">
        <v>42.81</v>
      </c>
      <c r="V13" s="31" t="n">
        <v>37.58</v>
      </c>
      <c r="W13" s="31" t="n">
        <v>9.27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IF(B14=0,"",RANK(B14,$B$2:$B$41,0))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FEDERALBNK</t>
        </is>
      </c>
      <c r="D14" s="30" t="inlineStr">
        <is>
          <t>The Federal Bank  Limited</t>
        </is>
      </c>
      <c r="E14" s="30" t="inlineStr">
        <is>
          <t>bank</t>
        </is>
      </c>
      <c r="F14" s="30" t="inlineStr">
        <is>
          <t>banks - private sector</t>
        </is>
      </c>
      <c r="G14" s="30" t="inlineStr">
        <is>
          <t>largecap</t>
        </is>
      </c>
      <c r="H14" s="31" t="n">
        <v>88442.17999999999</v>
      </c>
      <c r="I14" s="31" t="n">
        <v>354.55</v>
      </c>
      <c r="J14" s="31" t="n">
        <v>-1.06</v>
      </c>
      <c r="K14" s="31" t="n">
        <v>9573999</v>
      </c>
      <c r="L14" s="30" t="n">
        <v>70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76.73999999999999</v>
      </c>
      <c r="P14" s="31" t="n">
        <v>37.61</v>
      </c>
      <c r="Q14" s="31" t="n">
        <v>312.32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3.8</v>
      </c>
      <c r="U14" s="31" t="n">
        <v>82.12</v>
      </c>
      <c r="V14" s="31" t="n">
        <v>75.45</v>
      </c>
      <c r="W14" s="31" t="n">
        <v>18.61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Above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IF(B15=0,"",RANK(B15,$B$2:$B$41,0))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MUFIN</t>
        </is>
      </c>
      <c r="D15" s="30" t="inlineStr">
        <is>
          <t>Mufin Green Finance Ltd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2730.48</v>
      </c>
      <c r="I15" s="31" t="n">
        <v>135.98</v>
      </c>
      <c r="J15" s="31" t="n">
        <v>-1.31</v>
      </c>
      <c r="K15" s="31" t="n">
        <v>1644146</v>
      </c>
      <c r="L15" s="30" t="n">
        <v>52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63.88</v>
      </c>
      <c r="P15" s="31" t="n">
        <v>34.05</v>
      </c>
      <c r="Q15" s="31" t="n">
        <v>112.45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3.8</v>
      </c>
      <c r="U15" s="31" t="n">
        <v>46.4</v>
      </c>
      <c r="V15" s="31" t="n">
        <v>41.04</v>
      </c>
      <c r="W15" s="31" t="n">
        <v>12.45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between 2.5x to 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IF(B16=0,"",RANK(B16,$B$2:$B$41,0))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ANANDRATHI</t>
        </is>
      </c>
      <c r="D16" s="30" t="inlineStr">
        <is>
          <t>Anand Rathi Wealth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largecap</t>
        </is>
      </c>
      <c r="H16" s="31" t="n">
        <v>35391.7</v>
      </c>
      <c r="I16" s="31" t="n">
        <v>2158</v>
      </c>
      <c r="J16" s="31" t="n">
        <v>1.24</v>
      </c>
      <c r="K16" s="31" t="n">
        <v>248922</v>
      </c>
      <c r="L16" s="30" t="n">
        <v>58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74.40000000000001</v>
      </c>
      <c r="P16" s="31" t="n">
        <v>51.44</v>
      </c>
      <c r="Q16" s="31" t="n">
        <v>1861.18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3.8</v>
      </c>
      <c r="U16" s="31" t="n">
        <v>59.86</v>
      </c>
      <c r="V16" s="31" t="n">
        <v>54</v>
      </c>
      <c r="W16" s="31" t="n">
        <v>14.33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above 5x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Above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IF(B17=0,"",RANK(B17,$B$2:$B$41,0))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PNBHOUSING</t>
        </is>
      </c>
      <c r="D17" s="30" t="inlineStr">
        <is>
          <t>Pnb Housing Finance Limited</t>
        </is>
      </c>
      <c r="E17" s="30" t="inlineStr">
        <is>
          <t>financials</t>
        </is>
      </c>
      <c r="F17" s="30" t="inlineStr">
        <is>
          <t>finance - housing</t>
        </is>
      </c>
      <c r="G17" s="30" t="inlineStr">
        <is>
          <t>largecap</t>
        </is>
      </c>
      <c r="H17" s="31" t="n">
        <v>29949.6</v>
      </c>
      <c r="I17" s="31" t="n">
        <v>1142.1</v>
      </c>
      <c r="J17" s="31" t="n">
        <v>-0.63</v>
      </c>
      <c r="K17" s="31" t="n">
        <v>1126696</v>
      </c>
      <c r="L17" s="30" t="n">
        <v>47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66.05</v>
      </c>
      <c r="P17" s="31" t="n">
        <v>33.02</v>
      </c>
      <c r="Q17" s="31" t="n">
        <v>938.55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3.8</v>
      </c>
      <c r="U17" s="31" t="n">
        <v>50.07</v>
      </c>
      <c r="V17" s="31" t="n">
        <v>44.57</v>
      </c>
      <c r="W17" s="31" t="n">
        <v>10.77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less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IF(B18=0,"",RANK(B18,$B$2:$B$41,0))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IDFCFIRSTB</t>
        </is>
      </c>
      <c r="D18" s="30" t="inlineStr">
        <is>
          <t>IDFC First Bank Ltd</t>
        </is>
      </c>
      <c r="E18" s="30" t="inlineStr">
        <is>
          <t>bank</t>
        </is>
      </c>
      <c r="F18" s="30" t="inlineStr">
        <is>
          <t>banks - private sector</t>
        </is>
      </c>
      <c r="G18" s="30" t="inlineStr">
        <is>
          <t>largecap</t>
        </is>
      </c>
      <c r="H18" s="31" t="n">
        <v>73311.39999999999</v>
      </c>
      <c r="I18" s="31" t="n">
        <v>84.27</v>
      </c>
      <c r="J18" s="31" t="n">
        <v>-0.98</v>
      </c>
      <c r="K18" s="31" t="n">
        <v>11209173</v>
      </c>
      <c r="L18" s="30" t="n">
        <v>44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66.01000000000001</v>
      </c>
      <c r="P18" s="31" t="n">
        <v>23.02</v>
      </c>
      <c r="Q18" s="31" t="n">
        <v>72.62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3.8</v>
      </c>
      <c r="U18" s="31" t="n">
        <v>22.9</v>
      </c>
      <c r="V18" s="31" t="n">
        <v>18.4</v>
      </c>
      <c r="W18" s="31" t="n">
        <v>10.23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IF(B19=0,"",RANK(B19,$B$2:$B$41,0))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IIFL</t>
        </is>
      </c>
      <c r="D19" s="30" t="inlineStr">
        <is>
          <t>IIFL Finance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largecap</t>
        </is>
      </c>
      <c r="H19" s="31" t="n">
        <v>26621.09</v>
      </c>
      <c r="I19" s="31" t="n">
        <v>619.25</v>
      </c>
      <c r="J19" s="31" t="n">
        <v>-1.06</v>
      </c>
      <c r="K19" s="31" t="n">
        <v>1026272</v>
      </c>
      <c r="L19" s="30" t="n">
        <v>60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69.90000000000001</v>
      </c>
      <c r="P19" s="31" t="n">
        <v>19.97</v>
      </c>
      <c r="Q19" s="31" t="n">
        <v>497.36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3.8</v>
      </c>
      <c r="U19" s="31" t="n">
        <v>41.23</v>
      </c>
      <c r="V19" s="31" t="n">
        <v>36.06</v>
      </c>
      <c r="W19" s="31" t="n">
        <v>15.07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0 to 20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IF(B20=0,"",RANK(B20,$B$2:$B$41,0))</f>
        <v/>
      </c>
      <c r="B20" s="31">
        <f>SUM(N20,Y20,AA20,AC20,AE20,AG20,AI20,AK20,AM20,AO20,AQ20,AS20,AU20,AW20,AY20,BA20,BC20,BE20,BG20,BI20,BK20,BM20,BO20,BQ20,BS20,BU20,BW20,BY20,CA20)</f>
        <v/>
      </c>
      <c r="C20" s="32" t="inlineStr">
        <is>
          <t>AFSL</t>
        </is>
      </c>
      <c r="D20" s="32" t="inlineStr">
        <is>
          <t>Abans Financial Services Ltd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smallcap</t>
        </is>
      </c>
      <c r="H20" s="31" t="n">
        <v>1023.1</v>
      </c>
      <c r="I20" s="31" t="n">
        <v>212.04</v>
      </c>
      <c r="J20" s="31" t="n">
        <v>5.37</v>
      </c>
      <c r="K20" s="31" t="n">
        <v>220184</v>
      </c>
      <c r="L20" s="30" t="n">
        <v>6</v>
      </c>
      <c r="M20" s="30" t="inlineStr">
        <is>
          <t>Underperforming</t>
        </is>
      </c>
      <c r="N20" s="31">
        <f>IF(M20="Underperforming",-5,IF(L20&gt;=95,15,IF(L20&gt;=90,10,IF(L20&gt;=80,5,0))))</f>
        <v/>
      </c>
      <c r="O20" s="31" t="n">
        <v>67.53</v>
      </c>
      <c r="P20" s="31" t="n">
        <v>65.42</v>
      </c>
      <c r="Q20" s="31" t="n">
        <v>194.12</v>
      </c>
      <c r="R20" s="30" t="inlineStr">
        <is>
          <t>Volume Spike &amp; Near 52W High Breakout</t>
        </is>
      </c>
      <c r="S20" s="30" t="inlineStr">
        <is>
          <t>Nifty Bank</t>
        </is>
      </c>
      <c r="T20" s="31" t="n">
        <v>3.8</v>
      </c>
      <c r="U20" s="31" t="n">
        <v>-4.31</v>
      </c>
      <c r="V20" s="31" t="n">
        <v>-7.82</v>
      </c>
      <c r="W20" s="31" t="n">
        <v>0.11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Above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1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IF(B21=0,"",RANK(B21,$B$2:$B$41,0))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OFSS</t>
        </is>
      </c>
      <c r="D21" s="30" t="inlineStr">
        <is>
          <t>Oracle Financial Services Software Limited</t>
        </is>
      </c>
      <c r="E21" s="30" t="inlineStr">
        <is>
          <t>i.t</t>
        </is>
      </c>
      <c r="F21" s="30" t="inlineStr">
        <is>
          <t>computers - software - large</t>
        </is>
      </c>
      <c r="G21" s="30" t="inlineStr">
        <is>
          <t>largecap</t>
        </is>
      </c>
      <c r="H21" s="31" t="n">
        <v>103528.77</v>
      </c>
      <c r="I21" s="31" t="n">
        <v>11896</v>
      </c>
      <c r="J21" s="31" t="n">
        <v>0.05</v>
      </c>
      <c r="K21" s="31" t="n">
        <v>475167</v>
      </c>
      <c r="L21" s="30" t="n">
        <v>64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69.56</v>
      </c>
      <c r="P21" s="31" t="n">
        <v>30.81</v>
      </c>
      <c r="Q21" s="31" t="n">
        <v>9515.6</v>
      </c>
      <c r="R21" s="30" t="inlineStr">
        <is>
          <t>Near 52W High Breakout</t>
        </is>
      </c>
      <c r="S21" s="30" t="inlineStr">
        <is>
          <t>Nifty IT</t>
        </is>
      </c>
      <c r="T21" s="31" t="n">
        <v>-8.640000000000001</v>
      </c>
      <c r="U21" s="31" t="n">
        <v>44.72</v>
      </c>
      <c r="V21" s="31" t="n">
        <v>58.41</v>
      </c>
      <c r="W21" s="31" t="n">
        <v>16.32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above 5x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IF(B22=0,"",RANK(B22,$B$2:$B$41,0))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PRUDENT</t>
        </is>
      </c>
      <c r="D22" s="30" t="inlineStr">
        <is>
          <t>Prudent Corporate Advisory Services Ltd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midcap</t>
        </is>
      </c>
      <c r="H22" s="31" t="n">
        <v>13994.22</v>
      </c>
      <c r="I22" s="31" t="n">
        <v>3401.4</v>
      </c>
      <c r="J22" s="31" t="n">
        <v>0.64</v>
      </c>
      <c r="K22" s="31" t="n">
        <v>71894</v>
      </c>
      <c r="L22" s="30" t="n">
        <v>42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71.41</v>
      </c>
      <c r="P22" s="31" t="n">
        <v>28.38</v>
      </c>
      <c r="Q22" s="31" t="n">
        <v>2761.79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3.8</v>
      </c>
      <c r="U22" s="31" t="n">
        <v>27.51</v>
      </c>
      <c r="V22" s="31" t="n">
        <v>22.84</v>
      </c>
      <c r="W22" s="31" t="n">
        <v>9.369999999999999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above 5x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Blue sky scenario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IF(B23=0,"",RANK(B23,$B$2:$B$41,0))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SHRIRAMFIN</t>
        </is>
      </c>
      <c r="D23" s="30" t="inlineStr">
        <is>
          <t>Shriram Finance Ltd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largecap</t>
        </is>
      </c>
      <c r="H23" s="31" t="n">
        <v>267714.68</v>
      </c>
      <c r="I23" s="31" t="n">
        <v>1129.9</v>
      </c>
      <c r="J23" s="31" t="n">
        <v>-0.6899999999999999</v>
      </c>
      <c r="K23" s="31" t="n">
        <v>7404558</v>
      </c>
      <c r="L23" s="30" t="n">
        <v>72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65.66</v>
      </c>
      <c r="P23" s="31" t="n">
        <v>15.46</v>
      </c>
      <c r="Q23" s="31" t="n">
        <v>923.13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3.8</v>
      </c>
      <c r="U23" s="31" t="n">
        <v>85.45</v>
      </c>
      <c r="V23" s="31" t="n">
        <v>78.66</v>
      </c>
      <c r="W23" s="31" t="n">
        <v>18.82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between 2.5x to 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Blue sky scenario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IF(B24=0,"",RANK(B24,$B$2:$B$41,0))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BAJFINANCE</t>
        </is>
      </c>
      <c r="D24" s="30" t="inlineStr">
        <is>
          <t>Bajaj Finance Limited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largecap</t>
        </is>
      </c>
      <c r="H24" s="31" t="n">
        <v>686224.6800000001</v>
      </c>
      <c r="I24" s="31" t="n">
        <v>1093.3</v>
      </c>
      <c r="J24" s="31" t="n">
        <v>-0.8100000000000001</v>
      </c>
      <c r="K24" s="31" t="n">
        <v>12765120</v>
      </c>
      <c r="L24" s="30" t="n">
        <v>43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61.28</v>
      </c>
      <c r="P24" s="31" t="n">
        <v>20.92</v>
      </c>
      <c r="Q24" s="31" t="n">
        <v>943.54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3.8</v>
      </c>
      <c r="U24" s="31" t="n">
        <v>27.69</v>
      </c>
      <c r="V24" s="31" t="n">
        <v>23.02</v>
      </c>
      <c r="W24" s="31" t="n">
        <v>9.869999999999999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above 5x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Blue sky scenario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IF(B25=0,"",RANK(B25,$B$2:$B$41,0))</f>
        <v/>
      </c>
      <c r="B25" s="31">
        <f>SUM(N25,Y25,AA25,AC25,AE25,AG25,AI25,AK25,AM25,AO25,AQ25,AS25,AU25,AW25,AY25,BA25,BC25,BE25,BG25,BI25,BK25,BM25,BO25,BQ25,BS25,BU25,BW25,BY25,CA25)</f>
        <v/>
      </c>
      <c r="C25" s="32" t="inlineStr">
        <is>
          <t>CHOICEIN</t>
        </is>
      </c>
      <c r="D25" s="32" t="inlineStr">
        <is>
          <t>Choice International Ltd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midcap</t>
        </is>
      </c>
      <c r="H25" s="31" t="n">
        <v>18819.04</v>
      </c>
      <c r="I25" s="31" t="n">
        <v>822.4</v>
      </c>
      <c r="J25" s="31" t="n">
        <v>-2.65</v>
      </c>
      <c r="K25" s="31" t="n">
        <v>820414</v>
      </c>
      <c r="L25" s="30" t="n">
        <v>26</v>
      </c>
      <c r="M25" s="30" t="inlineStr">
        <is>
          <t>Underperforming</t>
        </is>
      </c>
      <c r="N25" s="31">
        <f>IF(M25="Underperforming",-5,IF(L25&gt;=95,15,IF(L25&gt;=90,10,IF(L25&gt;=80,5,0))))</f>
        <v/>
      </c>
      <c r="O25" s="31" t="n">
        <v>60.6</v>
      </c>
      <c r="P25" s="31" t="n">
        <v>22.17</v>
      </c>
      <c r="Q25" s="31" t="n">
        <v>699.88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3.8</v>
      </c>
      <c r="U25" s="31" t="n">
        <v>2.58</v>
      </c>
      <c r="V25" s="31" t="n">
        <v>-1.18</v>
      </c>
      <c r="W25" s="31" t="n">
        <v>5.94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above 5x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Blue sky scenario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IF(B26=0,"",RANK(B26,$B$2:$B$41,0))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MCX</t>
        </is>
      </c>
      <c r="D26" s="30" t="inlineStr">
        <is>
          <t>Multi Commodity Exchange Of India Limited</t>
        </is>
      </c>
      <c r="E26" s="30" t="inlineStr">
        <is>
          <t>financials</t>
        </is>
      </c>
      <c r="F26" s="30" t="inlineStr">
        <is>
          <t>miscellaneous</t>
        </is>
      </c>
      <c r="G26" s="30" t="inlineStr">
        <is>
          <t>largecap</t>
        </is>
      </c>
      <c r="H26" s="31" t="n">
        <v>70359.89999999999</v>
      </c>
      <c r="I26" s="31" t="n">
        <v>2895</v>
      </c>
      <c r="J26" s="31" t="n">
        <v>4.92</v>
      </c>
      <c r="K26" s="31" t="n">
        <v>12290707</v>
      </c>
      <c r="L26" s="30" t="n">
        <v>48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58.75</v>
      </c>
      <c r="P26" s="31" t="n">
        <v>26.3</v>
      </c>
      <c r="Q26" s="31" t="n">
        <v>2756.4</v>
      </c>
      <c r="R26" s="30" t="inlineStr">
        <is>
          <t>Earnings / Momentum Support</t>
        </is>
      </c>
      <c r="S26" s="30" t="inlineStr">
        <is>
          <t>Nifty Bank</t>
        </is>
      </c>
      <c r="T26" s="31" t="n">
        <v>3.8</v>
      </c>
      <c r="U26" s="31" t="n">
        <v>77.64</v>
      </c>
      <c r="V26" s="31" t="n">
        <v>71.13</v>
      </c>
      <c r="W26" s="31" t="n">
        <v>11.06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No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above 5x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IF(B27=0,"",RANK(B27,$B$2:$B$41,0))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POONAWALLA</t>
        </is>
      </c>
      <c r="D27" s="30" t="inlineStr">
        <is>
          <t>Poonawalla Fincorp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41973.37</v>
      </c>
      <c r="I27" s="31" t="n">
        <v>487.2</v>
      </c>
      <c r="J27" s="31" t="n">
        <v>2.2</v>
      </c>
      <c r="K27" s="31" t="n">
        <v>1133797</v>
      </c>
      <c r="L27" s="30" t="n">
        <v>23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61.38</v>
      </c>
      <c r="P27" s="31" t="n">
        <v>15.39</v>
      </c>
      <c r="Q27" s="31" t="n">
        <v>392.2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3.8</v>
      </c>
      <c r="U27" s="31" t="n">
        <v>6.9</v>
      </c>
      <c r="V27" s="31" t="n">
        <v>2.98</v>
      </c>
      <c r="W27" s="31" t="n">
        <v>5.33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0 to 20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IF(B28=0,"",RANK(B28,$B$2:$B$41,0))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TVSHLTD</t>
        </is>
      </c>
      <c r="D28" s="30" t="inlineStr">
        <is>
          <t>TVS Holdings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largecap</t>
        </is>
      </c>
      <c r="H28" s="31" t="n">
        <v>29619.8</v>
      </c>
      <c r="I28" s="31" t="n">
        <v>14650</v>
      </c>
      <c r="J28" s="31" t="n">
        <v>0.07000000000000001</v>
      </c>
      <c r="K28" s="31" t="n">
        <v>4000</v>
      </c>
      <c r="L28" s="30" t="n">
        <v>30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56.39</v>
      </c>
      <c r="P28" s="31" t="n">
        <v>15.21</v>
      </c>
      <c r="Q28" s="31" t="n">
        <v>12462.4</v>
      </c>
      <c r="R28" s="30" t="inlineStr">
        <is>
          <t>Earnings / Momentum Support</t>
        </is>
      </c>
      <c r="S28" s="30" t="inlineStr">
        <is>
          <t>Nifty Bank</t>
        </is>
      </c>
      <c r="T28" s="31" t="n">
        <v>3.8</v>
      </c>
      <c r="U28" s="31" t="n">
        <v>26.71</v>
      </c>
      <c r="V28" s="31" t="n">
        <v>22.07</v>
      </c>
      <c r="W28" s="31" t="n">
        <v>6.87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No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between 2.5x to 5x and Growth more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IF(B29=0,"",RANK(B29,$B$2:$B$41,0))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CHOLAFIN</t>
        </is>
      </c>
      <c r="D29" s="30" t="inlineStr">
        <is>
          <t>Cholamandalam Investment And Finance Company Limited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largecap</t>
        </is>
      </c>
      <c r="H29" s="31" t="n">
        <v>163696.63</v>
      </c>
      <c r="I29" s="31" t="n">
        <v>1914.4</v>
      </c>
      <c r="J29" s="31" t="n">
        <v>-0.29</v>
      </c>
      <c r="K29" s="31" t="n">
        <v>2839699</v>
      </c>
      <c r="L29" s="30" t="n">
        <v>48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64.95</v>
      </c>
      <c r="P29" s="31" t="n">
        <v>17.15</v>
      </c>
      <c r="Q29" s="31" t="n">
        <v>1574.9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3.8</v>
      </c>
      <c r="U29" s="31" t="n">
        <v>31.14</v>
      </c>
      <c r="V29" s="31" t="n">
        <v>26.33</v>
      </c>
      <c r="W29" s="31" t="n">
        <v>11.05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above 5x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Blue sky scenario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IF(B30=0,"",RANK(B30,$B$2:$B$41,0))</f>
        <v/>
      </c>
      <c r="B30" s="31">
        <f>SUM(N30,Y30,AA30,AC30,AE30,AG30,AI30,AK30,AM30,AO30,AQ30,AS30,AU30,AW30,AY30,BA30,BC30,BE30,BG30,BI30,BK30,BM30,BO30,BQ30,BS30,BU30,BW30,BY30,CA30)</f>
        <v/>
      </c>
      <c r="C30" s="32" t="inlineStr">
        <is>
          <t>5PAISA</t>
        </is>
      </c>
      <c r="D30" s="32" t="inlineStr">
        <is>
          <t>5Paisa Capital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smallcap</t>
        </is>
      </c>
      <c r="H30" s="31" t="n">
        <v>1802.15</v>
      </c>
      <c r="I30" s="31" t="n">
        <v>381</v>
      </c>
      <c r="J30" s="31" t="n">
        <v>-0.88</v>
      </c>
      <c r="K30" s="31" t="n">
        <v>30580</v>
      </c>
      <c r="L30" s="30" t="n">
        <v>29</v>
      </c>
      <c r="M30" s="30" t="inlineStr">
        <is>
          <t>Underperforming</t>
        </is>
      </c>
      <c r="N30" s="31">
        <f>IF(M30="Underperforming",-5,IF(L30&gt;=95,15,IF(L30&gt;=90,10,IF(L30&gt;=80,5,0))))</f>
        <v/>
      </c>
      <c r="O30" s="31" t="n">
        <v>59.03</v>
      </c>
      <c r="P30" s="31" t="n">
        <v>16.4</v>
      </c>
      <c r="Q30" s="31" t="n">
        <v>292.73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3.8</v>
      </c>
      <c r="U30" s="31" t="n">
        <v>3.78</v>
      </c>
      <c r="V30" s="31" t="n">
        <v>-0.02</v>
      </c>
      <c r="W30" s="31" t="n">
        <v>6.75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less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IF(B31=0,"",RANK(B31,$B$2:$B$41,0))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INDIANB</t>
        </is>
      </c>
      <c r="D31" s="30" t="inlineStr">
        <is>
          <t>Indian Bank Ltd</t>
        </is>
      </c>
      <c r="E31" s="30" t="inlineStr">
        <is>
          <t>bank</t>
        </is>
      </c>
      <c r="F31" s="30" t="inlineStr">
        <is>
          <t>banks - public sector</t>
        </is>
      </c>
      <c r="G31" s="30" t="inlineStr">
        <is>
          <t>largecap</t>
        </is>
      </c>
      <c r="H31" s="31" t="n">
        <v>119091.82</v>
      </c>
      <c r="I31" s="31" t="n">
        <v>875.6</v>
      </c>
      <c r="J31" s="31" t="n">
        <v>-0.97</v>
      </c>
      <c r="K31" s="31" t="n">
        <v>2108022</v>
      </c>
      <c r="L31" s="30" t="n">
        <v>37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54.58</v>
      </c>
      <c r="P31" s="31" t="n">
        <v>8.109999999999999</v>
      </c>
      <c r="Q31" s="31" t="n">
        <v>722.11</v>
      </c>
      <c r="R31" s="30" t="inlineStr">
        <is>
          <t>Earnings / Momentum Support</t>
        </is>
      </c>
      <c r="S31" s="30" t="inlineStr">
        <is>
          <t>Nifty Bank</t>
        </is>
      </c>
      <c r="T31" s="31" t="n">
        <v>3.8</v>
      </c>
      <c r="U31" s="31" t="n">
        <v>33.82</v>
      </c>
      <c r="V31" s="31" t="n">
        <v>28.92</v>
      </c>
      <c r="W31" s="31" t="n">
        <v>8.49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No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less than 2.5x and Growth more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0 to 20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IF(B32=0,"",RANK(B32,$B$2:$B$41,0))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360ONE</t>
        </is>
      </c>
      <c r="D32" s="30" t="inlineStr">
        <is>
          <t>360 ONE WAM Ltd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largecap</t>
        </is>
      </c>
      <c r="H32" s="31" t="n">
        <v>47809.89</v>
      </c>
      <c r="I32" s="31" t="n">
        <v>1168</v>
      </c>
      <c r="J32" s="31" t="n">
        <v>-0.65</v>
      </c>
      <c r="K32" s="31" t="n">
        <v>948519</v>
      </c>
      <c r="L32" s="30" t="n">
        <v>18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57.77</v>
      </c>
      <c r="P32" s="31" t="n">
        <v>14.6</v>
      </c>
      <c r="Q32" s="31" t="n">
        <v>954.7</v>
      </c>
      <c r="R32" s="30" t="inlineStr">
        <is>
          <t>Near 52W High Breakout</t>
        </is>
      </c>
      <c r="S32" s="30" t="inlineStr">
        <is>
          <t>Nifty Bank</t>
        </is>
      </c>
      <c r="T32" s="31" t="n">
        <v>3.8</v>
      </c>
      <c r="U32" s="31" t="n">
        <v>13.7</v>
      </c>
      <c r="V32" s="31" t="n">
        <v>9.529999999999999</v>
      </c>
      <c r="W32" s="31" t="n">
        <v>4.02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between 2.5x to 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IF(B33=0,"",RANK(B33,$B$2:$B$41,0))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ARMANFIN</t>
        </is>
      </c>
      <c r="D33" s="30" t="inlineStr">
        <is>
          <t>Arman Financial Services Limited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smallcap</t>
        </is>
      </c>
      <c r="H33" s="31" t="n">
        <v>2086.55</v>
      </c>
      <c r="I33" s="31" t="n">
        <v>2009</v>
      </c>
      <c r="J33" s="31" t="n">
        <v>1.24</v>
      </c>
      <c r="K33" s="31" t="n">
        <v>39677</v>
      </c>
      <c r="L33" s="30" t="n">
        <v>47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64.62</v>
      </c>
      <c r="P33" s="31" t="n">
        <v>22.54</v>
      </c>
      <c r="Q33" s="31" t="n">
        <v>1562.33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3.8</v>
      </c>
      <c r="U33" s="31" t="n">
        <v>45.98</v>
      </c>
      <c r="V33" s="31" t="n">
        <v>40.63</v>
      </c>
      <c r="W33" s="31" t="n">
        <v>10.76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Cyclical in an Uptick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Not Applicable</t>
        </is>
      </c>
      <c r="AK33" s="30">
        <f>IF(AJ33="Yes",10,0)</f>
        <v/>
      </c>
      <c r="AL33" s="30" t="inlineStr">
        <is>
          <t>Yes</t>
        </is>
      </c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Not Applicable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between 2.5x to 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20 to 40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Sideways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IF(B34=0,"",RANK(B34,$B$2:$B$41,0))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UNIONBANK</t>
        </is>
      </c>
      <c r="D34" s="30" t="inlineStr">
        <is>
          <t>Union Bank Of India Ltd</t>
        </is>
      </c>
      <c r="E34" s="30" t="inlineStr">
        <is>
          <t>bank</t>
        </is>
      </c>
      <c r="F34" s="30" t="inlineStr">
        <is>
          <t>banks - public sector</t>
        </is>
      </c>
      <c r="G34" s="30" t="inlineStr">
        <is>
          <t>largecap</t>
        </is>
      </c>
      <c r="H34" s="31" t="n">
        <v>138275.13</v>
      </c>
      <c r="I34" s="31" t="n">
        <v>182.5</v>
      </c>
      <c r="J34" s="31" t="n">
        <v>0.75</v>
      </c>
      <c r="K34" s="31" t="n">
        <v>29338706</v>
      </c>
      <c r="L34" s="30" t="n">
        <v>46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62.27</v>
      </c>
      <c r="P34" s="31" t="n">
        <v>16.83</v>
      </c>
      <c r="Q34" s="31" t="n">
        <v>151.33</v>
      </c>
      <c r="R34" s="30" t="inlineStr">
        <is>
          <t>Earnings / Momentum Support</t>
        </is>
      </c>
      <c r="S34" s="30" t="inlineStr">
        <is>
          <t>Nifty Bank</t>
        </is>
      </c>
      <c r="T34" s="31" t="n">
        <v>3.8</v>
      </c>
      <c r="U34" s="31" t="n">
        <v>39.34</v>
      </c>
      <c r="V34" s="31" t="n">
        <v>34.24</v>
      </c>
      <c r="W34" s="31" t="n">
        <v>10.59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less than 2.5x and Growth less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IF(B35=0,"",RANK(B35,$B$2:$B$41,0))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PNB</t>
        </is>
      </c>
      <c r="D35" s="30" t="inlineStr">
        <is>
          <t>Punjab National Bank Ltd</t>
        </is>
      </c>
      <c r="E35" s="30" t="inlineStr">
        <is>
          <t>bank</t>
        </is>
      </c>
      <c r="F35" s="30" t="inlineStr">
        <is>
          <t>banks - public sector</t>
        </is>
      </c>
      <c r="G35" s="30" t="inlineStr">
        <is>
          <t>largecap</t>
        </is>
      </c>
      <c r="H35" s="31" t="n">
        <v>130444.91</v>
      </c>
      <c r="I35" s="31" t="n">
        <v>114.03</v>
      </c>
      <c r="J35" s="31" t="n">
        <v>0.47</v>
      </c>
      <c r="K35" s="31" t="n">
        <v>28410023</v>
      </c>
      <c r="L35" s="30" t="n">
        <v>24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56.95</v>
      </c>
      <c r="P35" s="31" t="n">
        <v>9.359999999999999</v>
      </c>
      <c r="Q35" s="31" t="n">
        <v>98.8</v>
      </c>
      <c r="R35" s="30" t="inlineStr">
        <is>
          <t>Earnings / Momentum Support</t>
        </is>
      </c>
      <c r="S35" s="30" t="inlineStr">
        <is>
          <t>Nifty Bank</t>
        </is>
      </c>
      <c r="T35" s="31" t="n">
        <v>3.8</v>
      </c>
      <c r="U35" s="31" t="n">
        <v>10.41</v>
      </c>
      <c r="V35" s="31" t="n">
        <v>6.37</v>
      </c>
      <c r="W35" s="31" t="n">
        <v>5.61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No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less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IF(B36=0,"",RANK(B36,$B$2:$B$41,0))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SBIN</t>
        </is>
      </c>
      <c r="D36" s="30" t="inlineStr">
        <is>
          <t>State Bank Of India Ltd</t>
        </is>
      </c>
      <c r="E36" s="30" t="inlineStr">
        <is>
          <t>bank</t>
        </is>
      </c>
      <c r="F36" s="30" t="inlineStr">
        <is>
          <t>banks - public sector</t>
        </is>
      </c>
      <c r="G36" s="30" t="inlineStr">
        <is>
          <t>largecap</t>
        </is>
      </c>
      <c r="H36" s="31" t="n">
        <v>988599.14</v>
      </c>
      <c r="I36" s="31" t="n">
        <v>1066</v>
      </c>
      <c r="J36" s="31" t="n">
        <v>-0.47</v>
      </c>
      <c r="K36" s="31" t="n">
        <v>18714278</v>
      </c>
      <c r="L36" s="30" t="n">
        <v>38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56.42</v>
      </c>
      <c r="P36" s="31" t="n">
        <v>10.69</v>
      </c>
      <c r="Q36" s="31" t="n">
        <v>945.47</v>
      </c>
      <c r="R36" s="30" t="inlineStr">
        <is>
          <t>Earnings / Momentum Support</t>
        </is>
      </c>
      <c r="S36" s="30" t="inlineStr">
        <is>
          <t>Nifty Bank</t>
        </is>
      </c>
      <c r="T36" s="31" t="n">
        <v>3.8</v>
      </c>
      <c r="U36" s="31" t="n">
        <v>31.29</v>
      </c>
      <c r="V36" s="31" t="n">
        <v>26.48</v>
      </c>
      <c r="W36" s="31" t="n">
        <v>8.82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No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less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IF(B37=0,"",RANK(B37,$B$2:$B$41,0))</f>
        <v/>
      </c>
      <c r="B37" s="31">
        <f>SUM(N37,Y37,AA37,AC37,AE37,AG37,AI37,AK37,AM37,AO37,AQ37,AS37,AU37,AW37,AY37,BA37,BC37,BE37,BG37,BI37,BK37,BM37,BO37,BQ37,BS37,BU37,BW37,BY37,CA37)</f>
        <v/>
      </c>
      <c r="C37" s="32" t="inlineStr">
        <is>
          <t>AIIL</t>
        </is>
      </c>
      <c r="D37" s="32" t="inlineStr">
        <is>
          <t>Authum Investment &amp; Infrastructure Ltd</t>
        </is>
      </c>
      <c r="E37" s="30" t="inlineStr">
        <is>
          <t>financials</t>
        </is>
      </c>
      <c r="F37" s="30" t="inlineStr">
        <is>
          <t>finance &amp; investments</t>
        </is>
      </c>
      <c r="G37" s="30" t="inlineStr">
        <is>
          <t>largecap</t>
        </is>
      </c>
      <c r="H37" s="31" t="n">
        <v>49781.6</v>
      </c>
      <c r="I37" s="31" t="n">
        <v>572.6</v>
      </c>
      <c r="J37" s="31" t="n">
        <v>-2.32</v>
      </c>
      <c r="K37" s="31" t="n">
        <v>216216</v>
      </c>
      <c r="L37" s="30" t="n">
        <v>15</v>
      </c>
      <c r="M37" s="30" t="inlineStr">
        <is>
          <t>Underperforming</t>
        </is>
      </c>
      <c r="N37" s="31">
        <f>IF(M37="Underperforming",-5,IF(L37&gt;=95,15,IF(L37&gt;=90,10,IF(L37&gt;=80,5,0))))</f>
        <v/>
      </c>
      <c r="O37" s="31" t="n">
        <v>56.88</v>
      </c>
      <c r="P37" s="31" t="n">
        <v>15.48</v>
      </c>
      <c r="Q37" s="31" t="n">
        <v>443.49</v>
      </c>
      <c r="R37" s="30" t="inlineStr">
        <is>
          <t>Earnings / Momentum Support</t>
        </is>
      </c>
      <c r="S37" s="30" t="inlineStr">
        <is>
          <t>Nifty Bank</t>
        </is>
      </c>
      <c r="T37" s="31" t="n">
        <v>3.8</v>
      </c>
      <c r="U37" s="31" t="n">
        <v>-1.05</v>
      </c>
      <c r="V37" s="31" t="n">
        <v>-4.68</v>
      </c>
      <c r="W37" s="31" t="n">
        <v>2.84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No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between 2.5x to 5x and Growth less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IF(B38=0,"",RANK(B38,$B$2:$B$41,0))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PRIMESECU</t>
        </is>
      </c>
      <c r="D38" s="30" t="inlineStr">
        <is>
          <t>Prime Securities Limited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smallcap</t>
        </is>
      </c>
      <c r="H38" s="31" t="n">
        <v>1025.17</v>
      </c>
      <c r="I38" s="31" t="n">
        <v>295</v>
      </c>
      <c r="J38" s="31" t="n">
        <v>-2.33</v>
      </c>
      <c r="K38" s="31" t="n">
        <v>38400</v>
      </c>
      <c r="L38" s="30" t="n">
        <v>16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55.59</v>
      </c>
      <c r="P38" s="31" t="n">
        <v>26.97</v>
      </c>
      <c r="Q38" s="31" t="n">
        <v>235.17</v>
      </c>
      <c r="R38" s="30" t="inlineStr">
        <is>
          <t>Earnings / Momentum Support</t>
        </is>
      </c>
      <c r="S38" s="30" t="inlineStr">
        <is>
          <t>Nifty Bank</t>
        </is>
      </c>
      <c r="T38" s="31" t="n">
        <v>3.8</v>
      </c>
      <c r="U38" s="31" t="n">
        <v>8.34</v>
      </c>
      <c r="V38" s="31" t="n">
        <v>4.37</v>
      </c>
      <c r="W38" s="31" t="n">
        <v>3.39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No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between 2.5x to 5x and Growth less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20 to 40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1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IF(B39=0,"",RANK(B39,$B$2:$B$41,0))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BAJAJFINSV</t>
        </is>
      </c>
      <c r="D39" s="30" t="inlineStr">
        <is>
          <t>Bajaj Finserv Limited</t>
        </is>
      </c>
      <c r="E39" s="30" t="inlineStr">
        <is>
          <t>financials</t>
        </is>
      </c>
      <c r="F39" s="30" t="inlineStr">
        <is>
          <t>finance &amp; investments</t>
        </is>
      </c>
      <c r="G39" s="30" t="inlineStr">
        <is>
          <t>largecap</t>
        </is>
      </c>
      <c r="H39" s="31" t="n">
        <v>323519.17</v>
      </c>
      <c r="I39" s="31" t="n">
        <v>2032</v>
      </c>
      <c r="J39" s="31" t="n">
        <v>0.53</v>
      </c>
      <c r="K39" s="31" t="n">
        <v>2083132</v>
      </c>
      <c r="L39" s="30" t="n">
        <v>22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61.01</v>
      </c>
      <c r="P39" s="31" t="n">
        <v>16.84</v>
      </c>
      <c r="Q39" s="31" t="n">
        <v>1738.74</v>
      </c>
      <c r="R39" s="30" t="inlineStr">
        <is>
          <t>Earnings / Momentum Support</t>
        </is>
      </c>
      <c r="S39" s="30" t="inlineStr">
        <is>
          <t>Nifty Bank</t>
        </is>
      </c>
      <c r="T39" s="31" t="n">
        <v>3.8</v>
      </c>
      <c r="U39" s="31" t="n">
        <v>5.64</v>
      </c>
      <c r="V39" s="31" t="n">
        <v>1.77</v>
      </c>
      <c r="W39" s="31" t="n">
        <v>5.21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No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between 2.5x to 5x and Growth less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IF(B40=0,"",RANK(B40,$B$2:$B$41,0))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SMCGLOBAL</t>
        </is>
      </c>
      <c r="D40" s="30" t="inlineStr">
        <is>
          <t>SMC Global Securities Ltd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smallcap</t>
        </is>
      </c>
      <c r="H40" s="31" t="n">
        <v>1662.43</v>
      </c>
      <c r="I40" s="31" t="n">
        <v>79.25</v>
      </c>
      <c r="J40" s="31" t="n">
        <v>-0.18</v>
      </c>
      <c r="K40" s="31" t="n">
        <v>350310</v>
      </c>
      <c r="L40" s="30" t="n">
        <v>39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58.04</v>
      </c>
      <c r="P40" s="31" t="n">
        <v>18.55</v>
      </c>
      <c r="Q40" s="31" t="n">
        <v>62.56</v>
      </c>
      <c r="R40" s="30" t="inlineStr">
        <is>
          <t>Earnings / Momentum Support</t>
        </is>
      </c>
      <c r="S40" s="30" t="inlineStr">
        <is>
          <t>Nifty Bank</t>
        </is>
      </c>
      <c r="T40" s="31" t="n">
        <v>3.8</v>
      </c>
      <c r="U40" s="31" t="n">
        <v>16.79</v>
      </c>
      <c r="V40" s="31" t="n">
        <v>12.51</v>
      </c>
      <c r="W40" s="31" t="n">
        <v>8.83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No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less than 2.5x and Growth more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Negative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IF(B41=0,"",RANK(B41,$B$2:$B$41,0))</f>
        <v/>
      </c>
      <c r="B41" s="31">
        <f>SUM(N41,Y41,AA41,AC41,AE41,AG41,AI41,AK41,AM41,AO41,AQ41,AS41,AU41,AW41,AY41,BA41,BC41,BE41,BG41,BI41,BK41,BM41,BO41,BQ41,BS41,BU41,BW41,BY41,CA41)</f>
        <v/>
      </c>
      <c r="C41" s="32" t="inlineStr">
        <is>
          <t>CRISIL</t>
        </is>
      </c>
      <c r="D41" s="32" t="inlineStr">
        <is>
          <t>Crisil Limited</t>
        </is>
      </c>
      <c r="E41" s="30" t="inlineStr">
        <is>
          <t>financials</t>
        </is>
      </c>
      <c r="F41" s="30" t="inlineStr">
        <is>
          <t>miscellaneous</t>
        </is>
      </c>
      <c r="G41" s="30" t="inlineStr">
        <is>
          <t>largecap</t>
        </is>
      </c>
      <c r="H41" s="31" t="n">
        <v>33898.69</v>
      </c>
      <c r="I41" s="31" t="n">
        <v>4480.8</v>
      </c>
      <c r="J41" s="31" t="n">
        <v>-3.34</v>
      </c>
      <c r="K41" s="31" t="n">
        <v>46066</v>
      </c>
      <c r="L41" s="30" t="n">
        <v>2</v>
      </c>
      <c r="M41" s="30" t="inlineStr">
        <is>
          <t>Underperforming</t>
        </is>
      </c>
      <c r="N41" s="31">
        <f>IF(M41="Underperforming",-5,IF(L41&gt;=95,15,IF(L41&gt;=90,10,IF(L41&gt;=80,5,0))))</f>
        <v/>
      </c>
      <c r="O41" s="31" t="n">
        <v>57.01</v>
      </c>
      <c r="P41" s="31" t="n">
        <v>15.26</v>
      </c>
      <c r="Q41" s="31" t="n">
        <v>3830.89</v>
      </c>
      <c r="R41" s="30" t="inlineStr">
        <is>
          <t>Earnings / Momentum Support</t>
        </is>
      </c>
      <c r="S41" s="30" t="inlineStr">
        <is>
          <t>Nifty Bank</t>
        </is>
      </c>
      <c r="T41" s="31" t="n">
        <v>3.8</v>
      </c>
      <c r="U41" s="31" t="n">
        <v>-14.82</v>
      </c>
      <c r="V41" s="31" t="n">
        <v>-17.94</v>
      </c>
      <c r="W41" s="31" t="n">
        <v>-1.19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above 5x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</sheetData>
  <autoFilter ref="A1:CA41"/>
  <conditionalFormatting sqref="B2:B4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1">
    <cfRule type="cellIs" priority="34" operator="equal" dxfId="3" stopIfTrue="1">
      <formula>"Underperforming"</formula>
    </cfRule>
  </conditionalFormatting>
  <conditionalFormatting sqref="N2:N41">
    <cfRule type="cellIs" priority="35" operator="equal" dxfId="3" stopIfTrue="1">
      <formula>-5</formula>
    </cfRule>
  </conditionalFormatting>
  <conditionalFormatting sqref="Q2:Q41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1" showDropDown="0" showInputMessage="0" showErrorMessage="0" allowBlank="1" type="list">
      <formula1>"Growing Industry,Stagnant Industry,Cyclical in an Upturn"</formula1>
    </dataValidation>
    <dataValidation sqref="Z2:Z41" showDropDown="0" showInputMessage="0" showErrorMessage="0" allowBlank="1" type="list">
      <formula1>"Fragmented with Low ROE,Fragmented with High ROE,Highly Cyclical"</formula1>
    </dataValidation>
    <dataValidation sqref="AB2:AB41" showDropDown="0" showInputMessage="0" showErrorMessage="0" allowBlank="1" type="list">
      <formula1>"Yes,No"</formula1>
    </dataValidation>
    <dataValidation sqref="AD2:AD41" showDropDown="0" showInputMessage="0" showErrorMessage="0" allowBlank="1" type="list">
      <formula1>"Tailwind,Headwind"</formula1>
    </dataValidation>
    <dataValidation sqref="AF2:AF4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1" showDropDown="0" showInputMessage="0" showErrorMessage="0" allowBlank="1" type="list">
      <formula1>"Yes,No"</formula1>
    </dataValidation>
    <dataValidation sqref="AJ2:AJ41" showDropDown="0" showInputMessage="0" showErrorMessage="0" allowBlank="1" type="list">
      <formula1>"Yes,No,Not Applicable"</formula1>
    </dataValidation>
    <dataValidation sqref="AL2:AL41" showDropDown="0" showInputMessage="0" showErrorMessage="0" allowBlank="1" type="list">
      <formula1>"Yes,No"</formula1>
    </dataValidation>
    <dataValidation sqref="AN2:AN41" showDropDown="0" showInputMessage="0" showErrorMessage="0" allowBlank="1" type="list">
      <formula1>"Yes,No"</formula1>
    </dataValidation>
    <dataValidation sqref="AP2:AP41" showDropDown="0" showInputMessage="0" showErrorMessage="0" allowBlank="1" type="list">
      <formula1>"Yes,No"</formula1>
    </dataValidation>
    <dataValidation sqref="AR2:AR41" showDropDown="0" showInputMessage="0" showErrorMessage="0" allowBlank="1" type="list">
      <formula1>"Yes,No"</formula1>
    </dataValidation>
    <dataValidation sqref="AT2:AT41" showDropDown="0" showInputMessage="0" showErrorMessage="0" allowBlank="1" type="list">
      <formula1>"No,Yes"</formula1>
    </dataValidation>
    <dataValidation sqref="AV2:AV41" showDropDown="0" showInputMessage="0" showErrorMessage="0" allowBlank="1" type="list">
      <formula1>"No,Yes"</formula1>
    </dataValidation>
    <dataValidation sqref="AX2:AX41" showDropDown="0" showInputMessage="0" showErrorMessage="0" allowBlank="1" type="list">
      <formula1>"No,Yes CEO Resignation,Yes CEO Retirement"</formula1>
    </dataValidation>
    <dataValidation sqref="AZ2:AZ41" showDropDown="0" showInputMessage="0" showErrorMessage="0" allowBlank="1" type="list">
      <formula1>"No,Yes"</formula1>
    </dataValidation>
    <dataValidation sqref="BB2:BB41" showDropDown="0" showInputMessage="0" showErrorMessage="0" allowBlank="1" type="list">
      <formula1>"No,Yes"</formula1>
    </dataValidation>
    <dataValidation sqref="BD2:BD41" showDropDown="0" showInputMessage="0" showErrorMessage="0" allowBlank="1" type="list">
      <formula1>"Yes,No"</formula1>
    </dataValidation>
    <dataValidation sqref="BF2:BF41" showDropDown="0" showInputMessage="0" showErrorMessage="0" allowBlank="1" type="list">
      <formula1>"Yes,No"</formula1>
    </dataValidation>
    <dataValidation sqref="BH2:BH41" showDropDown="0" showInputMessage="0" showErrorMessage="0" allowBlank="1" type="list">
      <formula1>"Yes,No"</formula1>
    </dataValidation>
    <dataValidation sqref="BJ2:BJ4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1" showDropDown="0" showInputMessage="0" showErrorMessage="0" allowBlank="1" type="list">
      <formula1>"Above 40,20 to 40,0 to 20"</formula1>
    </dataValidation>
    <dataValidation sqref="BN2:BN41" showDropDown="0" showInputMessage="0" showErrorMessage="0" allowBlank="1" type="list">
      <formula1>"Between 50 to 75,Above 75,Below 45"</formula1>
    </dataValidation>
    <dataValidation sqref="BP2:BP41" showDropDown="0" showInputMessage="0" showErrorMessage="0" allowBlank="1" type="list">
      <formula1>"Stage 1,Stage 2,Stage 3,Stage 4"</formula1>
    </dataValidation>
    <dataValidation sqref="BR2:BR41" showDropDown="0" showInputMessage="0" showErrorMessage="0" allowBlank="1" type="list">
      <formula1>"Positive Trend,Negative Trend"</formula1>
    </dataValidation>
    <dataValidation sqref="BT2:BT41" showDropDown="0" showInputMessage="0" showErrorMessage="0" allowBlank="1" type="list">
      <formula1>"Uptrend,Sideways,Downtrend"</formula1>
    </dataValidation>
    <dataValidation sqref="BV2:BV41" showDropDown="0" showInputMessage="0" showErrorMessage="0" allowBlank="1" type="list">
      <formula1>"Uptrend,Sideways,Downtrend"</formula1>
    </dataValidation>
    <dataValidation sqref="BX2:BX4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139.9</v>
      </c>
      <c r="E2" s="31" t="inlineStr">
        <is>
          <t>5%</t>
        </is>
      </c>
      <c r="F2" s="31" t="n">
        <v>50000</v>
      </c>
      <c r="G2" s="31" t="n">
        <v>180</v>
      </c>
      <c r="H2" s="30" t="inlineStr">
        <is>
          <t>CUPID</t>
        </is>
      </c>
      <c r="I2" s="30" t="inlineStr">
        <is>
          <t>Cupid Limited</t>
        </is>
      </c>
      <c r="J2" s="30" t="inlineStr">
        <is>
          <t>fmcg</t>
        </is>
      </c>
      <c r="K2" s="30" t="inlineStr">
        <is>
          <t>personal care - indian</t>
        </is>
      </c>
      <c r="L2" s="30" t="inlineStr">
        <is>
          <t>largecap</t>
        </is>
      </c>
      <c r="M2" s="31" t="n">
        <v>35325.58</v>
      </c>
      <c r="N2" s="31" t="n">
        <v>276.65</v>
      </c>
      <c r="O2" s="31" t="n">
        <v>5.31</v>
      </c>
      <c r="P2" s="31" t="n">
        <v>37869272</v>
      </c>
      <c r="Q2" s="30" t="n">
        <v>99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92.68000000000001</v>
      </c>
      <c r="U2" s="31" t="n">
        <v>70.94</v>
      </c>
      <c r="V2" s="31" t="n">
        <v>223.01</v>
      </c>
      <c r="W2" s="30" t="inlineStr">
        <is>
          <t>Near 52W High Breakout</t>
        </is>
      </c>
      <c r="X2" s="30" t="inlineStr">
        <is>
          <t>Nifty FMCG</t>
        </is>
      </c>
      <c r="Y2" s="31" t="n">
        <v>-10.61</v>
      </c>
      <c r="Z2" s="31" t="n">
        <v>835.2</v>
      </c>
      <c r="AA2" s="31" t="n">
        <v>946.22</v>
      </c>
      <c r="AB2" s="31" t="n">
        <v>91.90000000000001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B2C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Annuity, Lower One Time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Yes</t>
        </is>
      </c>
      <c r="BX2" s="30">
        <f>IF(BW2="NO",5,0)</f>
        <v/>
      </c>
      <c r="BY2" s="30" t="inlineStr">
        <is>
          <t>Above 2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139.2</v>
      </c>
      <c r="E3" s="31" t="inlineStr">
        <is>
          <t>5%</t>
        </is>
      </c>
      <c r="F3" s="31" t="n">
        <v>50000</v>
      </c>
      <c r="G3" s="31" t="n">
        <v>30</v>
      </c>
      <c r="H3" s="30" t="inlineStr">
        <is>
          <t>AUROPHARMA</t>
        </is>
      </c>
      <c r="I3" s="30" t="inlineStr">
        <is>
          <t>Aurobindo Pharma Limited</t>
        </is>
      </c>
      <c r="J3" s="30" t="inlineStr">
        <is>
          <t>healthcare</t>
        </is>
      </c>
      <c r="K3" s="30" t="inlineStr">
        <is>
          <t>pharmaceuticals - indian - bulk drugs &amp; formln</t>
        </is>
      </c>
      <c r="L3" s="30" t="inlineStr">
        <is>
          <t>largecap</t>
        </is>
      </c>
      <c r="M3" s="31" t="n">
        <v>94822.28</v>
      </c>
      <c r="N3" s="31" t="n">
        <v>1658</v>
      </c>
      <c r="O3" s="31" t="n">
        <v>0.61</v>
      </c>
      <c r="P3" s="31" t="n">
        <v>831376</v>
      </c>
      <c r="Q3" s="30" t="n">
        <v>48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71.95</v>
      </c>
      <c r="U3" s="31" t="n">
        <v>42.63</v>
      </c>
      <c r="V3" s="31" t="n">
        <v>1420.38</v>
      </c>
      <c r="W3" s="30" t="inlineStr">
        <is>
          <t>Near 52W High Breakout</t>
        </is>
      </c>
      <c r="X3" s="30" t="inlineStr">
        <is>
          <t>Nifty Pharma</t>
        </is>
      </c>
      <c r="Y3" s="31" t="n">
        <v>20.76</v>
      </c>
      <c r="Z3" s="31" t="n">
        <v>53.01</v>
      </c>
      <c r="AA3" s="31" t="n">
        <v>26.71</v>
      </c>
      <c r="AB3" s="31" t="n">
        <v>11.57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139.4</v>
      </c>
      <c r="E4" s="31" t="inlineStr">
        <is>
          <t>5%</t>
        </is>
      </c>
      <c r="F4" s="31" t="n">
        <v>50000</v>
      </c>
      <c r="G4" s="31" t="n">
        <v>32</v>
      </c>
      <c r="H4" s="30" t="inlineStr">
        <is>
          <t>ATHERENERG</t>
        </is>
      </c>
      <c r="I4" s="30" t="inlineStr">
        <is>
          <t>Ather Energy Ltd</t>
        </is>
      </c>
      <c r="J4" s="30" t="inlineStr">
        <is>
          <t>auto</t>
        </is>
      </c>
      <c r="K4" s="30" t="inlineStr">
        <is>
          <t>automobiles - scooters and 3 - wheelers</t>
        </is>
      </c>
      <c r="L4" s="30" t="inlineStr">
        <is>
          <t>largecap</t>
        </is>
      </c>
      <c r="M4" s="31" t="n">
        <v>57786.65</v>
      </c>
      <c r="N4" s="31" t="n">
        <v>1525.4</v>
      </c>
      <c r="O4" s="31" t="n">
        <v>4.04</v>
      </c>
      <c r="P4" s="31" t="n">
        <v>4867021</v>
      </c>
      <c r="Q4" s="30" t="n">
        <v>98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81.08</v>
      </c>
      <c r="U4" s="31" t="n">
        <v>60.2</v>
      </c>
      <c r="V4" s="31" t="n">
        <v>1193.99</v>
      </c>
      <c r="W4" s="30" t="inlineStr">
        <is>
          <t>Near 52W High Breakout</t>
        </is>
      </c>
      <c r="X4" s="30" t="inlineStr">
        <is>
          <t>Nifty Auto</t>
        </is>
      </c>
      <c r="Y4" s="31" t="n">
        <v>23.87</v>
      </c>
      <c r="Z4" s="31" t="n">
        <v>356.3</v>
      </c>
      <c r="AA4" s="31" t="n">
        <v>268.36</v>
      </c>
      <c r="AB4" s="31" t="n">
        <v>57.38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139.3</v>
      </c>
      <c r="E5" s="31" t="inlineStr">
        <is>
          <t>5%</t>
        </is>
      </c>
      <c r="F5" s="31" t="n">
        <v>50000</v>
      </c>
      <c r="G5" s="31" t="n">
        <v>79</v>
      </c>
      <c r="H5" s="30" t="inlineStr">
        <is>
          <t>E2E</t>
        </is>
      </c>
      <c r="I5" s="30" t="inlineStr">
        <is>
          <t>E2E Networks Ltd</t>
        </is>
      </c>
      <c r="J5" s="30" t="inlineStr">
        <is>
          <t>i.t</t>
        </is>
      </c>
      <c r="K5" s="30" t="inlineStr">
        <is>
          <t>computers - software - medium / small</t>
        </is>
      </c>
      <c r="L5" s="30" t="inlineStr">
        <is>
          <t>midcap</t>
        </is>
      </c>
      <c r="M5" s="31" t="n">
        <v>12391.45</v>
      </c>
      <c r="N5" s="31" t="n">
        <v>627.4</v>
      </c>
      <c r="O5" s="31" t="n">
        <v>4.08</v>
      </c>
      <c r="P5" s="31" t="n">
        <v>863194</v>
      </c>
      <c r="Q5" s="30" t="n">
        <v>97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75.61</v>
      </c>
      <c r="U5" s="31" t="n">
        <v>48.1</v>
      </c>
      <c r="V5" s="31" t="n">
        <v>442.78</v>
      </c>
      <c r="W5" s="30" t="inlineStr">
        <is>
          <t>Near 52W High Breakout</t>
        </is>
      </c>
      <c r="X5" s="30" t="inlineStr">
        <is>
          <t>Nifty IT</t>
        </is>
      </c>
      <c r="Y5" s="31" t="n">
        <v>-8.640000000000001</v>
      </c>
      <c r="Z5" s="31" t="n">
        <v>204.03</v>
      </c>
      <c r="AA5" s="31" t="n">
        <v>232.79</v>
      </c>
      <c r="AB5" s="31" t="n">
        <v>50.04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Annuity, Lower One Time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139.1</v>
      </c>
      <c r="E6" s="31" t="inlineStr">
        <is>
          <t>5%</t>
        </is>
      </c>
      <c r="F6" s="31" t="n">
        <v>50000</v>
      </c>
      <c r="G6" s="31" t="n">
        <v>35</v>
      </c>
      <c r="H6" s="30" t="inlineStr">
        <is>
          <t>VIJAYA</t>
        </is>
      </c>
      <c r="I6" s="30" t="inlineStr">
        <is>
          <t>Vijaya Diagnostic Centre Ltd</t>
        </is>
      </c>
      <c r="J6" s="30" t="inlineStr">
        <is>
          <t>healthcare</t>
        </is>
      </c>
      <c r="K6" s="30" t="inlineStr">
        <is>
          <t>healthcare</t>
        </is>
      </c>
      <c r="L6" s="30" t="inlineStr">
        <is>
          <t>midcap</t>
        </is>
      </c>
      <c r="M6" s="31" t="n">
        <v>14329.4</v>
      </c>
      <c r="N6" s="31" t="n">
        <v>1428.2</v>
      </c>
      <c r="O6" s="31" t="n">
        <v>2.56</v>
      </c>
      <c r="P6" s="31" t="n">
        <v>179501</v>
      </c>
      <c r="Q6" s="30" t="n">
        <v>38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66.81999999999999</v>
      </c>
      <c r="U6" s="31" t="n">
        <v>55.64</v>
      </c>
      <c r="V6" s="31" t="n">
        <v>1132.9</v>
      </c>
      <c r="W6" s="30" t="inlineStr">
        <is>
          <t>Near 52W High Breakout</t>
        </is>
      </c>
      <c r="X6" s="30" t="inlineStr">
        <is>
          <t>Nifty Pharma</t>
        </is>
      </c>
      <c r="Y6" s="31" t="n">
        <v>20.76</v>
      </c>
      <c r="Z6" s="31" t="n">
        <v>35.88</v>
      </c>
      <c r="AA6" s="31" t="n">
        <v>12.52</v>
      </c>
      <c r="AB6" s="31" t="n">
        <v>8.699999999999999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Yes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139.5</v>
      </c>
      <c r="E7" s="31" t="inlineStr">
        <is>
          <t>5%</t>
        </is>
      </c>
      <c r="F7" s="31" t="n">
        <v>50000</v>
      </c>
      <c r="G7" s="31" t="n">
        <v>46</v>
      </c>
      <c r="H7" s="30" t="inlineStr">
        <is>
          <t>DIVGIITTS</t>
        </is>
      </c>
      <c r="I7" s="30" t="inlineStr">
        <is>
          <t>Divgi Torqtransfer Systems Ltd</t>
        </is>
      </c>
      <c r="J7" s="30" t="inlineStr">
        <is>
          <t>auto</t>
        </is>
      </c>
      <c r="K7" s="30" t="inlineStr">
        <is>
          <t>auto ancillaries</t>
        </is>
      </c>
      <c r="L7" s="30" t="inlineStr">
        <is>
          <t>smallcap</t>
        </is>
      </c>
      <c r="M7" s="31" t="n">
        <v>3230.17</v>
      </c>
      <c r="N7" s="31" t="n">
        <v>1076.4</v>
      </c>
      <c r="O7" s="31" t="n">
        <v>1.91</v>
      </c>
      <c r="P7" s="31" t="n">
        <v>157986</v>
      </c>
      <c r="Q7" s="30" t="n">
        <v>75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70.39</v>
      </c>
      <c r="U7" s="31" t="n">
        <v>44.36</v>
      </c>
      <c r="V7" s="31" t="n">
        <v>829.1799999999999</v>
      </c>
      <c r="W7" s="30" t="inlineStr">
        <is>
          <t>Near 52W High Breakout</t>
        </is>
      </c>
      <c r="X7" s="30" t="inlineStr">
        <is>
          <t>Nifty Auto</t>
        </is>
      </c>
      <c r="Y7" s="31" t="n">
        <v>23.87</v>
      </c>
      <c r="Z7" s="31" t="n">
        <v>67.52</v>
      </c>
      <c r="AA7" s="31" t="n">
        <v>35.24</v>
      </c>
      <c r="AB7" s="31" t="n">
        <v>21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Between 50% to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139.3</v>
      </c>
      <c r="E8" s="31" t="inlineStr">
        <is>
          <t>5%</t>
        </is>
      </c>
      <c r="F8" s="31" t="n">
        <v>50000</v>
      </c>
      <c r="G8" s="31" t="n">
        <v>30</v>
      </c>
      <c r="H8" s="30" t="inlineStr">
        <is>
          <t>AETHER</t>
        </is>
      </c>
      <c r="I8" s="30" t="inlineStr">
        <is>
          <t>Aether Industries Ltd</t>
        </is>
      </c>
      <c r="J8" s="30" t="inlineStr">
        <is>
          <t>chemicals</t>
        </is>
      </c>
      <c r="K8" s="30" t="inlineStr">
        <is>
          <t>chemicals</t>
        </is>
      </c>
      <c r="L8" s="30" t="inlineStr">
        <is>
          <t>largecap</t>
        </is>
      </c>
      <c r="M8" s="31" t="n">
        <v>21200.83</v>
      </c>
      <c r="N8" s="31" t="n">
        <v>1634.2</v>
      </c>
      <c r="O8" s="31" t="n">
        <v>2.3</v>
      </c>
      <c r="P8" s="31" t="n">
        <v>214948</v>
      </c>
      <c r="Q8" s="30" t="n">
        <v>84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76.29000000000001</v>
      </c>
      <c r="U8" s="31" t="n">
        <v>45.92</v>
      </c>
      <c r="V8" s="31" t="n">
        <v>1323.04</v>
      </c>
      <c r="W8" s="30" t="inlineStr">
        <is>
          <t>Near 52W High Breakout</t>
        </is>
      </c>
      <c r="X8" s="30" t="inlineStr">
        <is>
          <t>Nifty 50</t>
        </is>
      </c>
      <c r="Y8" s="31" t="n">
        <v>-0.65</v>
      </c>
      <c r="Z8" s="31" t="n">
        <v>120.38</v>
      </c>
      <c r="AA8" s="31" t="n">
        <v>121.81</v>
      </c>
      <c r="AB8" s="31" t="n">
        <v>27.48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138.9</v>
      </c>
      <c r="E9" s="31" t="inlineStr">
        <is>
          <t>5%</t>
        </is>
      </c>
      <c r="F9" s="31" t="n">
        <v>50000</v>
      </c>
      <c r="G9" s="31" t="n">
        <v>17</v>
      </c>
      <c r="H9" s="30" t="inlineStr">
        <is>
          <t>RRKABEL</t>
        </is>
      </c>
      <c r="I9" s="30" t="inlineStr">
        <is>
          <t>R R Kabel Ltd</t>
        </is>
      </c>
      <c r="J9" s="30" t="inlineStr">
        <is>
          <t>industrials</t>
        </is>
      </c>
      <c r="K9" s="30" t="inlineStr">
        <is>
          <t>cables - power</t>
        </is>
      </c>
      <c r="L9" s="30" t="inlineStr">
        <is>
          <t>largecap</t>
        </is>
      </c>
      <c r="M9" s="31" t="n">
        <v>31182.06</v>
      </c>
      <c r="N9" s="31" t="n">
        <v>2812.8</v>
      </c>
      <c r="O9" s="31" t="n">
        <v>2.03</v>
      </c>
      <c r="P9" s="31" t="n">
        <v>311904</v>
      </c>
      <c r="Q9" s="30" t="n">
        <v>94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77.86</v>
      </c>
      <c r="U9" s="31" t="n">
        <v>67.23</v>
      </c>
      <c r="V9" s="31" t="n">
        <v>2246.76</v>
      </c>
      <c r="W9" s="30" t="inlineStr">
        <is>
          <t>Near 52W High Breakout</t>
        </is>
      </c>
      <c r="X9" s="30" t="inlineStr">
        <is>
          <t>Nifty Energy</t>
        </is>
      </c>
      <c r="Y9" s="31" t="n">
        <v>9.81</v>
      </c>
      <c r="Z9" s="31" t="n">
        <v>102.55</v>
      </c>
      <c r="AA9" s="31" t="n">
        <v>84.45999999999999</v>
      </c>
      <c r="AB9" s="31" t="n">
        <v>39.15</v>
      </c>
      <c r="AC9" s="30" t="inlineStr">
        <is>
          <t>Cyclical in an Upturn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139.3</v>
      </c>
      <c r="E10" s="31" t="inlineStr">
        <is>
          <t>5%</t>
        </is>
      </c>
      <c r="F10" s="31" t="n">
        <v>50000</v>
      </c>
      <c r="G10" s="31" t="n">
        <v>60</v>
      </c>
      <c r="H10" s="30" t="inlineStr">
        <is>
          <t>SHILPAMED</t>
        </is>
      </c>
      <c r="I10" s="30" t="inlineStr">
        <is>
          <t>Shilpa Medicare Limited</t>
        </is>
      </c>
      <c r="J10" s="30" t="inlineStr">
        <is>
          <t>healthcare</t>
        </is>
      </c>
      <c r="K10" s="30" t="inlineStr">
        <is>
          <t>pharmaceuticals - indian - formulations</t>
        </is>
      </c>
      <c r="L10" s="30" t="inlineStr">
        <is>
          <t>midcap</t>
        </is>
      </c>
      <c r="M10" s="31" t="n">
        <v>15794.21</v>
      </c>
      <c r="N10" s="31" t="n">
        <v>819.7</v>
      </c>
      <c r="O10" s="31" t="n">
        <v>1.5</v>
      </c>
      <c r="P10" s="31" t="n">
        <v>2415553</v>
      </c>
      <c r="Q10" s="30" t="n">
        <v>89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88.8</v>
      </c>
      <c r="U10" s="31" t="n">
        <v>73.13</v>
      </c>
      <c r="V10" s="31" t="n">
        <v>658.78</v>
      </c>
      <c r="W10" s="30" t="inlineStr">
        <is>
          <t>Near 52W High Breakout</t>
        </is>
      </c>
      <c r="X10" s="30" t="inlineStr">
        <is>
          <t>Nifty Pharma</t>
        </is>
      </c>
      <c r="Y10" s="31" t="n">
        <v>20.76</v>
      </c>
      <c r="Z10" s="31" t="n">
        <v>80.64</v>
      </c>
      <c r="AA10" s="31" t="n">
        <v>49.59</v>
      </c>
      <c r="AB10" s="31" t="n">
        <v>31.76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Annuity, Lower One Time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139.3</v>
      </c>
      <c r="E11" s="31" t="inlineStr">
        <is>
          <t>5%</t>
        </is>
      </c>
      <c r="F11" s="31" t="n">
        <v>50000</v>
      </c>
      <c r="G11" s="31" t="n">
        <v>26</v>
      </c>
      <c r="H11" s="30" t="inlineStr">
        <is>
          <t>LAURUSLABS</t>
        </is>
      </c>
      <c r="I11" s="30" t="inlineStr">
        <is>
          <t>Laurus Labs Limited</t>
        </is>
      </c>
      <c r="J11" s="30" t="inlineStr">
        <is>
          <t>healthcare</t>
        </is>
      </c>
      <c r="K11" s="30" t="inlineStr">
        <is>
          <t>pharmaceuticals - indian - bulk drugs &amp; formln</t>
        </is>
      </c>
      <c r="L11" s="30" t="inlineStr">
        <is>
          <t>largecap</t>
        </is>
      </c>
      <c r="M11" s="31" t="n">
        <v>100162.27</v>
      </c>
      <c r="N11" s="31" t="n">
        <v>1858</v>
      </c>
      <c r="O11" s="31" t="n">
        <v>0.22</v>
      </c>
      <c r="P11" s="31" t="n">
        <v>2985295</v>
      </c>
      <c r="Q11" s="30" t="n">
        <v>82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86.59</v>
      </c>
      <c r="U11" s="31" t="n">
        <v>64.89</v>
      </c>
      <c r="V11" s="31" t="n">
        <v>1606.28</v>
      </c>
      <c r="W11" s="30" t="inlineStr">
        <is>
          <t>Near 52W High Breakout</t>
        </is>
      </c>
      <c r="X11" s="30" t="inlineStr">
        <is>
          <t>Nifty Pharma</t>
        </is>
      </c>
      <c r="Y11" s="31" t="n">
        <v>20.76</v>
      </c>
      <c r="Z11" s="31" t="n">
        <v>116.52</v>
      </c>
      <c r="AA11" s="31" t="n">
        <v>79.29000000000001</v>
      </c>
      <c r="AB11" s="31" t="n">
        <v>25.86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Yes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Annuity, Lower One Time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</v>
      </c>
      <c r="E12" s="31" t="inlineStr">
        <is>
          <t>5%</t>
        </is>
      </c>
      <c r="F12" s="31" t="n">
        <v>50000</v>
      </c>
      <c r="G12" s="31" t="n">
        <v>77</v>
      </c>
      <c r="H12" s="30" t="inlineStr">
        <is>
          <t>THYROCARE</t>
        </is>
      </c>
      <c r="I12" s="30" t="inlineStr">
        <is>
          <t>Thyrocare Technologies Limited</t>
        </is>
      </c>
      <c r="J12" s="30" t="inlineStr">
        <is>
          <t>healthcare</t>
        </is>
      </c>
      <c r="K12" s="30" t="inlineStr">
        <is>
          <t>healthcare</t>
        </is>
      </c>
      <c r="L12" s="30" t="inlineStr">
        <is>
          <t>midcap</t>
        </is>
      </c>
      <c r="M12" s="31" t="n">
        <v>9901.67</v>
      </c>
      <c r="N12" s="31" t="n">
        <v>649.35</v>
      </c>
      <c r="O12" s="31" t="n">
        <v>4.38</v>
      </c>
      <c r="P12" s="31" t="n">
        <v>616069</v>
      </c>
      <c r="Q12" s="30" t="n">
        <v>69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75.5</v>
      </c>
      <c r="U12" s="31" t="n">
        <v>57.43</v>
      </c>
      <c r="V12" s="31" t="n">
        <v>507.1</v>
      </c>
      <c r="W12" s="30" t="inlineStr">
        <is>
          <t>Near 52W High Breakout</t>
        </is>
      </c>
      <c r="X12" s="30" t="inlineStr">
        <is>
          <t>Nifty Pharma</t>
        </is>
      </c>
      <c r="Y12" s="31" t="n">
        <v>20.76</v>
      </c>
      <c r="Z12" s="31" t="n">
        <v>43.42</v>
      </c>
      <c r="AA12" s="31" t="n">
        <v>18.77</v>
      </c>
      <c r="AB12" s="31" t="n">
        <v>18.06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Yes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Annuity, Lower One Time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Between 1.5 to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139.3</v>
      </c>
      <c r="E13" s="31" t="inlineStr">
        <is>
          <t>5%</t>
        </is>
      </c>
      <c r="F13" s="31" t="n">
        <v>50000</v>
      </c>
      <c r="G13" s="31" t="n">
        <v>8</v>
      </c>
      <c r="H13" s="30" t="inlineStr">
        <is>
          <t>KINGFA</t>
        </is>
      </c>
      <c r="I13" s="30" t="inlineStr">
        <is>
          <t>Kingfa Science &amp; Technology (india) Limited</t>
        </is>
      </c>
      <c r="J13" s="30" t="inlineStr">
        <is>
          <t>plastic products</t>
        </is>
      </c>
      <c r="K13" s="30" t="inlineStr">
        <is>
          <t>plastics products</t>
        </is>
      </c>
      <c r="L13" s="30" t="inlineStr">
        <is>
          <t>midcap</t>
        </is>
      </c>
      <c r="M13" s="31" t="n">
        <v>7619.26</v>
      </c>
      <c r="N13" s="31" t="n">
        <v>5720</v>
      </c>
      <c r="O13" s="31" t="n">
        <v>1.73</v>
      </c>
      <c r="P13" s="31" t="n">
        <v>13171</v>
      </c>
      <c r="Q13" s="30" t="n">
        <v>46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66.3</v>
      </c>
      <c r="U13" s="31" t="n">
        <v>30.55</v>
      </c>
      <c r="V13" s="31" t="n">
        <v>4579.7</v>
      </c>
      <c r="W13" s="30" t="inlineStr">
        <is>
          <t>Near 52W High Breakout</t>
        </is>
      </c>
      <c r="X13" s="30" t="inlineStr">
        <is>
          <t>Nifty 50</t>
        </is>
      </c>
      <c r="Y13" s="31" t="n">
        <v>-0.65</v>
      </c>
      <c r="Z13" s="31" t="n">
        <v>49.51</v>
      </c>
      <c r="AA13" s="31" t="n">
        <v>50.49</v>
      </c>
      <c r="AB13" s="31" t="n">
        <v>10.69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No</t>
        </is>
      </c>
      <c r="BX13" s="30">
        <f>IF(BW13="NO",5,0)</f>
        <v/>
      </c>
      <c r="BY13" s="30" t="inlineStr">
        <is>
          <t>Between 1.5 to 2</t>
        </is>
      </c>
      <c r="BZ13" s="30">
        <f>IF(BY13="Above 2",0,IF(BY13="Between 1.5 to 2",5,IF(BY13="Less than 1.5",10,0)))</f>
        <v/>
      </c>
      <c r="CA13" s="30" t="inlineStr">
        <is>
          <t>Less than 50%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138.5</v>
      </c>
      <c r="E14" s="31" t="inlineStr">
        <is>
          <t>5%</t>
        </is>
      </c>
      <c r="F14" s="31" t="n">
        <v>50000</v>
      </c>
      <c r="G14" s="31" t="n">
        <v>196</v>
      </c>
      <c r="H14" s="30" t="inlineStr">
        <is>
          <t>BELRISE</t>
        </is>
      </c>
      <c r="I14" s="30" t="inlineStr">
        <is>
          <t>Belrise Industries Ltd</t>
        </is>
      </c>
      <c r="J14" s="30" t="inlineStr">
        <is>
          <t>auto</t>
        </is>
      </c>
      <c r="K14" s="30" t="inlineStr">
        <is>
          <t>auto ancillaries</t>
        </is>
      </c>
      <c r="L14" s="30" t="inlineStr">
        <is>
          <t>largecap</t>
        </is>
      </c>
      <c r="M14" s="31" t="n">
        <v>24446.7</v>
      </c>
      <c r="N14" s="31" t="n">
        <v>253.97</v>
      </c>
      <c r="O14" s="31" t="n">
        <v>0.47</v>
      </c>
      <c r="P14" s="31" t="n">
        <v>2949047</v>
      </c>
      <c r="Q14" s="30" t="n">
        <v>71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71.39</v>
      </c>
      <c r="U14" s="31" t="n">
        <v>45.44</v>
      </c>
      <c r="V14" s="31" t="n">
        <v>207.92</v>
      </c>
      <c r="W14" s="30" t="inlineStr">
        <is>
          <t>Near 52W High Breakout</t>
        </is>
      </c>
      <c r="X14" s="30" t="inlineStr">
        <is>
          <t>Nifty Auto</t>
        </is>
      </c>
      <c r="Y14" s="31" t="n">
        <v>23.87</v>
      </c>
      <c r="Z14" s="31" t="n">
        <v>94.8</v>
      </c>
      <c r="AA14" s="31" t="n">
        <v>57.26</v>
      </c>
      <c r="AB14" s="31" t="n">
        <v>18.73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Less than 12%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138.9</v>
      </c>
      <c r="E15" s="31" t="inlineStr">
        <is>
          <t>5%</t>
        </is>
      </c>
      <c r="F15" s="31" t="n">
        <v>50000</v>
      </c>
      <c r="G15" s="31" t="n">
        <v>268</v>
      </c>
      <c r="H15" s="30" t="inlineStr">
        <is>
          <t>KRISHANA</t>
        </is>
      </c>
      <c r="I15" s="30" t="inlineStr">
        <is>
          <t>Krishana Phoschem Ltd</t>
        </is>
      </c>
      <c r="J15" s="30" t="inlineStr">
        <is>
          <t>chemicals</t>
        </is>
      </c>
      <c r="K15" s="30" t="inlineStr">
        <is>
          <t>fertilizers</t>
        </is>
      </c>
      <c r="L15" s="30" t="inlineStr">
        <is>
          <t>smallcap</t>
        </is>
      </c>
      <c r="M15" s="31" t="n">
        <v>1134.78</v>
      </c>
      <c r="N15" s="31" t="n">
        <v>186.45</v>
      </c>
      <c r="O15" s="31" t="n">
        <v>1.59</v>
      </c>
      <c r="P15" s="31" t="n">
        <v>567817</v>
      </c>
      <c r="Q15" s="30" t="n">
        <v>74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78.48999999999999</v>
      </c>
      <c r="U15" s="31" t="n">
        <v>46.21</v>
      </c>
      <c r="V15" s="31" t="n">
        <v>146.73</v>
      </c>
      <c r="W15" s="30" t="inlineStr">
        <is>
          <t>Near 52W High Breakout</t>
        </is>
      </c>
      <c r="X15" s="30" t="inlineStr">
        <is>
          <t>Nifty 50</t>
        </is>
      </c>
      <c r="Y15" s="31" t="n">
        <v>-0.65</v>
      </c>
      <c r="Z15" s="31" t="n">
        <v>71.5</v>
      </c>
      <c r="AA15" s="31" t="n">
        <v>72.62</v>
      </c>
      <c r="AB15" s="31" t="n">
        <v>20.69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No</t>
        </is>
      </c>
      <c r="BX15" s="30">
        <f>IF(BW15="NO",5,0)</f>
        <v/>
      </c>
      <c r="BY15" s="30" t="inlineStr">
        <is>
          <t>Less than 1.5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More than 1.2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139.2</v>
      </c>
      <c r="E16" s="31" t="inlineStr">
        <is>
          <t>5%</t>
        </is>
      </c>
      <c r="F16" s="31" t="n">
        <v>50000</v>
      </c>
      <c r="G16" s="31" t="n">
        <v>9</v>
      </c>
      <c r="H16" s="30" t="inlineStr">
        <is>
          <t>TITAN</t>
        </is>
      </c>
      <c r="I16" s="30" t="inlineStr">
        <is>
          <t>Titan Company Limited</t>
        </is>
      </c>
      <c r="J16" s="30" t="inlineStr">
        <is>
          <t>consumer discretionary</t>
        </is>
      </c>
      <c r="K16" s="30" t="inlineStr">
        <is>
          <t>diamond cutting / jewellery</t>
        </is>
      </c>
      <c r="L16" s="30" t="inlineStr">
        <is>
          <t>largecap</t>
        </is>
      </c>
      <c r="M16" s="31" t="n">
        <v>451883.16</v>
      </c>
      <c r="N16" s="31" t="n">
        <v>5128</v>
      </c>
      <c r="O16" s="31" t="n">
        <v>0.75</v>
      </c>
      <c r="P16" s="31" t="n">
        <v>3277829</v>
      </c>
      <c r="Q16" s="30" t="n">
        <v>54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72.90000000000001</v>
      </c>
      <c r="U16" s="31" t="n">
        <v>23.92</v>
      </c>
      <c r="V16" s="31" t="n">
        <v>4479.37</v>
      </c>
      <c r="W16" s="30" t="inlineStr">
        <is>
          <t>Near 52W High Breakout</t>
        </is>
      </c>
      <c r="X16" s="30" t="inlineStr">
        <is>
          <t>Nifty 50</t>
        </is>
      </c>
      <c r="Y16" s="31" t="n">
        <v>-0.65</v>
      </c>
      <c r="Z16" s="31" t="n">
        <v>47.44</v>
      </c>
      <c r="AA16" s="31" t="n">
        <v>48.4</v>
      </c>
      <c r="AB16" s="31" t="n">
        <v>13.09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Less than 1.5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More than 1.2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139.5</v>
      </c>
      <c r="E17" s="31" t="inlineStr">
        <is>
          <t>5%</t>
        </is>
      </c>
      <c r="F17" s="31" t="n">
        <v>50000</v>
      </c>
      <c r="G17" s="31" t="n">
        <v>24</v>
      </c>
      <c r="H17" s="30" t="inlineStr">
        <is>
          <t>LUMAXTECH</t>
        </is>
      </c>
      <c r="I17" s="30" t="inlineStr">
        <is>
          <t>Lumax Auto Technologies Limited</t>
        </is>
      </c>
      <c r="J17" s="30" t="inlineStr">
        <is>
          <t>auto</t>
        </is>
      </c>
      <c r="K17" s="30" t="inlineStr">
        <is>
          <t>auto ancillaries</t>
        </is>
      </c>
      <c r="L17" s="30" t="inlineStr">
        <is>
          <t>midcap</t>
        </is>
      </c>
      <c r="M17" s="31" t="n">
        <v>11847.17</v>
      </c>
      <c r="N17" s="31" t="n">
        <v>2076.3</v>
      </c>
      <c r="O17" s="31" t="n">
        <v>19.45</v>
      </c>
      <c r="P17" s="31" t="n">
        <v>5661267</v>
      </c>
      <c r="Q17" s="30" t="n">
        <v>72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68.83</v>
      </c>
      <c r="U17" s="31" t="n">
        <v>14.37</v>
      </c>
      <c r="V17" s="31" t="n">
        <v>1571.85</v>
      </c>
      <c r="W17" s="30" t="inlineStr">
        <is>
          <t>Volume Spike &amp; Near 52W High Breakout</t>
        </is>
      </c>
      <c r="X17" s="30" t="inlineStr">
        <is>
          <t>Nifty Auto</t>
        </is>
      </c>
      <c r="Y17" s="31" t="n">
        <v>23.87</v>
      </c>
      <c r="Z17" s="31" t="n">
        <v>101.76</v>
      </c>
      <c r="AA17" s="31" t="n">
        <v>62.88</v>
      </c>
      <c r="AB17" s="31" t="n">
        <v>19.56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0 to 20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Less than 1.5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Between 0.7 to 1.2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139.2</v>
      </c>
      <c r="E18" s="31" t="inlineStr">
        <is>
          <t>5%</t>
        </is>
      </c>
      <c r="F18" s="31" t="n">
        <v>50000</v>
      </c>
      <c r="G18" s="31" t="n">
        <v>91</v>
      </c>
      <c r="H18" s="30" t="inlineStr">
        <is>
          <t>PANAMAPET</t>
        </is>
      </c>
      <c r="I18" s="30" t="inlineStr">
        <is>
          <t>Panama Petrochem Limited</t>
        </is>
      </c>
      <c r="J18" s="30" t="inlineStr">
        <is>
          <t>energy</t>
        </is>
      </c>
      <c r="K18" s="30" t="inlineStr">
        <is>
          <t>petrochemicals</t>
        </is>
      </c>
      <c r="L18" s="30" t="inlineStr">
        <is>
          <t>smallcap</t>
        </is>
      </c>
      <c r="M18" s="31" t="n">
        <v>3199.2</v>
      </c>
      <c r="N18" s="31" t="n">
        <v>545.5</v>
      </c>
      <c r="O18" s="31" t="n">
        <v>3.15</v>
      </c>
      <c r="P18" s="31" t="n">
        <v>443464</v>
      </c>
      <c r="Q18" s="30" t="n">
        <v>92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69.48</v>
      </c>
      <c r="U18" s="31" t="n">
        <v>52.86</v>
      </c>
      <c r="V18" s="31" t="n">
        <v>394.3</v>
      </c>
      <c r="W18" s="30" t="inlineStr">
        <is>
          <t>Near 52W High Breakout</t>
        </is>
      </c>
      <c r="X18" s="30" t="inlineStr">
        <is>
          <t>Nifty Energy</t>
        </is>
      </c>
      <c r="Y18" s="31" t="n">
        <v>9.81</v>
      </c>
      <c r="Z18" s="31" t="n">
        <v>59.85</v>
      </c>
      <c r="AA18" s="31" t="n">
        <v>45.57</v>
      </c>
      <c r="AB18" s="31" t="n">
        <v>36.25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Oligopoly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Yes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Cyclical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Volatile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Above 40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No</t>
        </is>
      </c>
      <c r="BX18" s="30">
        <f>IF(BW18="NO",5,0)</f>
        <v/>
      </c>
      <c r="BY18" s="30" t="inlineStr">
        <is>
          <t>Less than 1.5</t>
        </is>
      </c>
      <c r="BZ18" s="30">
        <f>IF(BY18="Above 2",0,IF(BY18="Between 1.5 to 2",5,IF(BY18="Less than 1.5",10,0)))</f>
        <v/>
      </c>
      <c r="CA18" s="30" t="inlineStr">
        <is>
          <t>Negative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138.8</v>
      </c>
      <c r="E19" s="31" t="inlineStr">
        <is>
          <t>5%</t>
        </is>
      </c>
      <c r="F19" s="31" t="n">
        <v>50000</v>
      </c>
      <c r="G19" s="31" t="n">
        <v>1</v>
      </c>
      <c r="H19" s="32" t="inlineStr">
        <is>
          <t>BOSCHLTD</t>
        </is>
      </c>
      <c r="I19" s="32" t="inlineStr">
        <is>
          <t>Bosch Limited</t>
        </is>
      </c>
      <c r="J19" s="30" t="inlineStr">
        <is>
          <t>auto</t>
        </is>
      </c>
      <c r="K19" s="30" t="inlineStr">
        <is>
          <t>auto ancillaries</t>
        </is>
      </c>
      <c r="L19" s="30" t="inlineStr">
        <is>
          <t>largecap</t>
        </is>
      </c>
      <c r="M19" s="31" t="n">
        <v>128322.78</v>
      </c>
      <c r="N19" s="31" t="n">
        <v>45185</v>
      </c>
      <c r="O19" s="31" t="n">
        <v>3.86</v>
      </c>
      <c r="P19" s="31" t="n">
        <v>300806</v>
      </c>
      <c r="Q19" s="30" t="n">
        <v>42</v>
      </c>
      <c r="R19" s="30" t="inlineStr">
        <is>
          <t>Underperforming</t>
        </is>
      </c>
      <c r="S19" s="31">
        <f>IF(R19="Underperforming",-5,IF(Q19&gt;=95,15,IF(Q19&gt;=90,10,IF(Q19&gt;=80,5,0))))</f>
        <v/>
      </c>
      <c r="T19" s="31" t="n">
        <v>71.34</v>
      </c>
      <c r="U19" s="31" t="n">
        <v>30.84</v>
      </c>
      <c r="V19" s="31" t="n">
        <v>38249.5</v>
      </c>
      <c r="W19" s="30" t="inlineStr">
        <is>
          <t>Near 52W High Breakout</t>
        </is>
      </c>
      <c r="X19" s="30" t="inlineStr">
        <is>
          <t>Nifty Auto</t>
        </is>
      </c>
      <c r="Y19" s="31" t="n">
        <v>23.87</v>
      </c>
      <c r="Z19" s="31" t="n">
        <v>21.86</v>
      </c>
      <c r="AA19" s="31" t="n">
        <v>-1.62</v>
      </c>
      <c r="AB19" s="31" t="n">
        <v>9.35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Less than 12%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Above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138.5</v>
      </c>
      <c r="E20" s="31" t="inlineStr">
        <is>
          <t>5%</t>
        </is>
      </c>
      <c r="F20" s="31" t="n">
        <v>50000</v>
      </c>
      <c r="G20" s="31" t="n">
        <v>59</v>
      </c>
      <c r="H20" s="30" t="inlineStr">
        <is>
          <t>VARROC</t>
        </is>
      </c>
      <c r="I20" s="30" t="inlineStr">
        <is>
          <t>Varroc Engineering Ltd</t>
        </is>
      </c>
      <c r="J20" s="30" t="inlineStr">
        <is>
          <t>auto</t>
        </is>
      </c>
      <c r="K20" s="30" t="inlineStr">
        <is>
          <t>auto ancillaries</t>
        </is>
      </c>
      <c r="L20" s="30" t="inlineStr">
        <is>
          <t>midcap</t>
        </is>
      </c>
      <c r="M20" s="31" t="n">
        <v>12619.39</v>
      </c>
      <c r="N20" s="31" t="n">
        <v>842.15</v>
      </c>
      <c r="O20" s="31" t="n">
        <v>1.96</v>
      </c>
      <c r="P20" s="31" t="n">
        <v>823462</v>
      </c>
      <c r="Q20" s="30" t="n">
        <v>81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81.04000000000001</v>
      </c>
      <c r="U20" s="31" t="n">
        <v>39.27</v>
      </c>
      <c r="V20" s="31" t="n">
        <v>687.47</v>
      </c>
      <c r="W20" s="30" t="inlineStr">
        <is>
          <t>Near 52W High Breakout</t>
        </is>
      </c>
      <c r="X20" s="30" t="inlineStr">
        <is>
          <t>Nifty Auto</t>
        </is>
      </c>
      <c r="Y20" s="31" t="n">
        <v>23.87</v>
      </c>
      <c r="Z20" s="31" t="n">
        <v>57.02</v>
      </c>
      <c r="AA20" s="31" t="n">
        <v>26.76</v>
      </c>
      <c r="AB20" s="31" t="n">
        <v>25.23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Less than 12%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140</v>
      </c>
      <c r="E21" s="31" t="inlineStr">
        <is>
          <t>5%</t>
        </is>
      </c>
      <c r="F21" s="31" t="n">
        <v>50000</v>
      </c>
      <c r="G21" s="31" t="n">
        <v>175</v>
      </c>
      <c r="H21" s="30" t="inlineStr">
        <is>
          <t>INDSWFTLAB</t>
        </is>
      </c>
      <c r="I21" s="30" t="inlineStr">
        <is>
          <t>Ind-swift Laboratories Limited</t>
        </is>
      </c>
      <c r="J21" s="30" t="inlineStr">
        <is>
          <t>healthcare</t>
        </is>
      </c>
      <c r="K21" s="30" t="inlineStr">
        <is>
          <t>pharmaceuticals - indian - bulk drugs &amp; formln</t>
        </is>
      </c>
      <c r="L21" s="30" t="inlineStr">
        <is>
          <t>smallcap</t>
        </is>
      </c>
      <c r="M21" s="31" t="n">
        <v>2063.08</v>
      </c>
      <c r="N21" s="31" t="n">
        <v>284.68</v>
      </c>
      <c r="O21" s="31" t="n">
        <v>20</v>
      </c>
      <c r="P21" s="31" t="n">
        <v>9123251</v>
      </c>
      <c r="Q21" s="30" t="n">
        <v>97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82.28</v>
      </c>
      <c r="U21" s="31" t="n">
        <v>60.28</v>
      </c>
      <c r="V21" s="31" t="n">
        <v>218.35</v>
      </c>
      <c r="W21" s="30" t="inlineStr">
        <is>
          <t>Volume Spike &amp; Near 52W High Breakout</t>
        </is>
      </c>
      <c r="X21" s="30" t="inlineStr">
        <is>
          <t>Nifty Pharma</t>
        </is>
      </c>
      <c r="Y21" s="31" t="n">
        <v>20.76</v>
      </c>
      <c r="Z21" s="31" t="n">
        <v>180.64</v>
      </c>
      <c r="AA21" s="31" t="n">
        <v>132.39</v>
      </c>
      <c r="AB21" s="31" t="n">
        <v>51.41</v>
      </c>
      <c r="AC21" s="30" t="inlineStr">
        <is>
          <t>Growing Industry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Yes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Structural (10 Years Consistency)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Stable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Annuity, Lower One Time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Above 40</t>
        </is>
      </c>
      <c r="BD21" s="30">
        <f>IF(BC21="Above 40",20,IF(BC21="20 to 40",10,IF(BC21="0 to 20",-5,0)))</f>
        <v/>
      </c>
      <c r="BE21" s="30" t="inlineStr">
        <is>
          <t>Above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Less than 12%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Negative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Less than 0.7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52W Breakout</t>
        </is>
      </c>
      <c r="D22" s="31" t="n">
        <v>138.5</v>
      </c>
      <c r="E22" s="31" t="inlineStr">
        <is>
          <t>5%</t>
        </is>
      </c>
      <c r="F22" s="31" t="n">
        <v>50000</v>
      </c>
      <c r="G22" s="31" t="n">
        <v>74</v>
      </c>
      <c r="H22" s="30" t="inlineStr">
        <is>
          <t>DEEPINDS</t>
        </is>
      </c>
      <c r="I22" s="30" t="inlineStr">
        <is>
          <t>Deep Industries Ltd</t>
        </is>
      </c>
      <c r="J22" s="30" t="inlineStr">
        <is>
          <t>energy</t>
        </is>
      </c>
      <c r="K22" s="30" t="inlineStr">
        <is>
          <t>oil drilling / allied services</t>
        </is>
      </c>
      <c r="L22" s="30" t="inlineStr">
        <is>
          <t>smallcap</t>
        </is>
      </c>
      <c r="M22" s="31" t="n">
        <v>4146.88</v>
      </c>
      <c r="N22" s="31" t="n">
        <v>670.05</v>
      </c>
      <c r="O22" s="31" t="n">
        <v>3.41</v>
      </c>
      <c r="P22" s="31" t="n">
        <v>803877</v>
      </c>
      <c r="Q22" s="30" t="n">
        <v>70</v>
      </c>
      <c r="R22" s="30" t="inlineStr">
        <is>
          <t>Outperforming</t>
        </is>
      </c>
      <c r="S22" s="31">
        <f>IF(R22="Underperforming",-5,IF(Q22&gt;=95,15,IF(Q22&gt;=90,10,IF(Q22&gt;=80,5,0))))</f>
        <v/>
      </c>
      <c r="T22" s="31" t="n">
        <v>75.63</v>
      </c>
      <c r="U22" s="31" t="n">
        <v>19</v>
      </c>
      <c r="V22" s="31" t="n">
        <v>519.49</v>
      </c>
      <c r="W22" s="30" t="inlineStr">
        <is>
          <t>Near 52W High Breakout</t>
        </is>
      </c>
      <c r="X22" s="30" t="inlineStr">
        <is>
          <t>Nifty Energy</t>
        </is>
      </c>
      <c r="Y22" s="31" t="n">
        <v>9.81</v>
      </c>
      <c r="Z22" s="31" t="n">
        <v>49.44</v>
      </c>
      <c r="AA22" s="31" t="n">
        <v>36.09</v>
      </c>
      <c r="AB22" s="31" t="n">
        <v>18.52</v>
      </c>
      <c r="AC22" s="30" t="inlineStr">
        <is>
          <t>Cyclical in an Upturn</t>
        </is>
      </c>
      <c r="AD22" s="30">
        <f>IF(AC22="Growing Industry",10,IF(AC22="Cyclical in an Upturn",5,0))</f>
        <v/>
      </c>
      <c r="AE22" s="30" t="inlineStr">
        <is>
          <t>Oligopoly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Yes</t>
        </is>
      </c>
      <c r="AH22" s="30">
        <f>IF(AG22="No",5,0)</f>
        <v/>
      </c>
      <c r="AI22" s="30" t="inlineStr">
        <is>
          <t>Tailwind</t>
        </is>
      </c>
      <c r="AJ22" s="30">
        <f>IF(AI22="Tailwind",10,0)</f>
        <v/>
      </c>
      <c r="AK22" s="30" t="inlineStr">
        <is>
          <t>Cyclical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Volatile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Yes</t>
        </is>
      </c>
      <c r="AV22" s="30">
        <f>IF(AU22="Yes",10,0)</f>
        <v/>
      </c>
      <c r="AW22" s="30" t="inlineStr">
        <is>
          <t>Higher One Time, Lower Annuity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0 to 20</t>
        </is>
      </c>
      <c r="BD22" s="30">
        <f>IF(BC22="Above 40",20,IF(BC22="20 to 40",10,IF(BC22="0 to 20",-5,0)))</f>
        <v/>
      </c>
      <c r="BE22" s="30" t="inlineStr">
        <is>
          <t>Above 75</t>
        </is>
      </c>
      <c r="BF22" s="30">
        <f>IF(BE22="Between 50 to 75",10,IF(BE22="Above 75",0,0))</f>
        <v/>
      </c>
      <c r="BG22" s="30" t="inlineStr">
        <is>
          <t>Stage 2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Blue sky scenario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More than 20%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No</t>
        </is>
      </c>
      <c r="BX22" s="30">
        <f>IF(BW22="NO",5,0)</f>
        <v/>
      </c>
      <c r="BY22" s="30" t="inlineStr">
        <is>
          <t>Less than 1.5</t>
        </is>
      </c>
      <c r="BZ22" s="30">
        <f>IF(BY22="Above 2",0,IF(BY22="Between 1.5 to 2",5,IF(BY22="Less than 1.5",10,0)))</f>
        <v/>
      </c>
      <c r="CA22" s="30" t="inlineStr">
        <is>
          <t>Above 70%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Less than 0.7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139.2</v>
      </c>
      <c r="E2" s="31" t="inlineStr">
        <is>
          <t>5%</t>
        </is>
      </c>
      <c r="F2" s="31" t="n">
        <v>50000</v>
      </c>
      <c r="G2" s="31" t="n">
        <v>23</v>
      </c>
      <c r="H2" s="30" t="inlineStr">
        <is>
          <t>ANANDRATHI</t>
        </is>
      </c>
      <c r="I2" s="30" t="inlineStr">
        <is>
          <t>Anand Rathi Wealth Ltd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largecap</t>
        </is>
      </c>
      <c r="M2" s="31" t="n">
        <v>35391.7</v>
      </c>
      <c r="N2" s="31" t="n">
        <v>2158</v>
      </c>
      <c r="O2" s="31" t="n">
        <v>1.24</v>
      </c>
      <c r="P2" s="31" t="n">
        <v>248922</v>
      </c>
      <c r="Q2" s="30" t="n">
        <v>58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74.40000000000001</v>
      </c>
      <c r="U2" s="31" t="n">
        <v>51.44</v>
      </c>
      <c r="V2" s="31" t="n">
        <v>1861.18</v>
      </c>
      <c r="W2" s="30" t="inlineStr">
        <is>
          <t>Near 52W High Breakout</t>
        </is>
      </c>
      <c r="X2" s="30" t="inlineStr">
        <is>
          <t>Nifty Bank</t>
        </is>
      </c>
      <c r="Y2" s="31" t="n">
        <v>3.8</v>
      </c>
      <c r="Z2" s="31" t="n">
        <v>59.86</v>
      </c>
      <c r="AA2" s="31" t="n">
        <v>54</v>
      </c>
      <c r="AB2" s="31" t="n">
        <v>14.33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above 5x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RPTECH</t>
        </is>
      </c>
      <c r="D2" s="30" t="inlineStr">
        <is>
          <t>Rashi Peripherals Ltd</t>
        </is>
      </c>
      <c r="E2" s="30" t="inlineStr">
        <is>
          <t>services</t>
        </is>
      </c>
      <c r="F2" s="30" t="inlineStr">
        <is>
          <t>Trading</t>
        </is>
      </c>
      <c r="G2" s="30" t="inlineStr">
        <is>
          <t>midcap</t>
        </is>
      </c>
      <c r="H2" s="31" t="n">
        <v>5910.11</v>
      </c>
      <c r="I2" s="31" t="n">
        <v>890</v>
      </c>
      <c r="J2" s="31" t="n">
        <v>-0.75</v>
      </c>
      <c r="K2" s="31" t="n">
        <v>0</v>
      </c>
      <c r="L2" s="30" t="n">
        <v>95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81.77</v>
      </c>
      <c r="P2" s="31" t="n">
        <v>79.11</v>
      </c>
      <c r="Q2" s="31" t="n">
        <v>698.63</v>
      </c>
      <c r="R2" s="30" t="inlineStr">
        <is>
          <t>Near 52W High Breakout</t>
        </is>
      </c>
      <c r="S2" s="30" t="inlineStr">
        <is>
          <t>Nifty 50</t>
        </is>
      </c>
      <c r="T2" s="31" t="n">
        <v>-0.65</v>
      </c>
      <c r="U2" s="31" t="n">
        <v>213.32</v>
      </c>
      <c r="V2" s="31" t="n">
        <v>215.37</v>
      </c>
      <c r="W2" s="31" t="n">
        <v>43.22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25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SANGHVIMOV</t>
        </is>
      </c>
      <c r="D3" s="30" t="inlineStr">
        <is>
          <t>Sanghvi Movers Ltd</t>
        </is>
      </c>
      <c r="E3" s="30" t="inlineStr">
        <is>
          <t>miscellaneous</t>
        </is>
      </c>
      <c r="F3" s="30" t="inlineStr">
        <is>
          <t>Capital Goods - EPC/Cranes</t>
        </is>
      </c>
      <c r="G3" s="30" t="inlineStr">
        <is>
          <t>smallcap</t>
        </is>
      </c>
      <c r="H3" s="31" t="n">
        <v>4482.47</v>
      </c>
      <c r="I3" s="31" t="n">
        <v>517.75</v>
      </c>
      <c r="J3" s="31" t="n">
        <v>1.24</v>
      </c>
      <c r="K3" s="31" t="n">
        <v>0</v>
      </c>
      <c r="L3" s="30" t="n">
        <v>84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70.81</v>
      </c>
      <c r="P3" s="31" t="n">
        <v>40.67</v>
      </c>
      <c r="Q3" s="31" t="n">
        <v>389.57</v>
      </c>
      <c r="R3" s="30" t="inlineStr">
        <is>
          <t>Near 52W High Breakout</t>
        </is>
      </c>
      <c r="S3" s="30" t="inlineStr">
        <is>
          <t>Nifty 50</t>
        </is>
      </c>
      <c r="T3" s="31" t="n">
        <v>-0.65</v>
      </c>
      <c r="U3" s="31" t="n">
        <v>58.56</v>
      </c>
      <c r="V3" s="31" t="n">
        <v>59.59</v>
      </c>
      <c r="W3" s="31" t="n">
        <v>27.55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22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PIXTRANS</t>
        </is>
      </c>
      <c r="D4" s="30" t="inlineStr">
        <is>
          <t>Pix Transmission Ltd</t>
        </is>
      </c>
      <c r="E4" s="30" t="inlineStr">
        <is>
          <t>fmcg</t>
        </is>
      </c>
      <c r="F4" s="30" t="inlineStr">
        <is>
          <t>Rubber Processing/Rubber Products</t>
        </is>
      </c>
      <c r="G4" s="30" t="inlineStr">
        <is>
          <t>smallcap</t>
        </is>
      </c>
      <c r="H4" s="31" t="n">
        <v>2678.71</v>
      </c>
      <c r="I4" s="31" t="n">
        <v>1966</v>
      </c>
      <c r="J4" s="31" t="n">
        <v>-1.03</v>
      </c>
      <c r="K4" s="31" t="n">
        <v>0</v>
      </c>
      <c r="L4" s="30" t="n">
        <v>56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73.09</v>
      </c>
      <c r="P4" s="31" t="n">
        <v>45.06</v>
      </c>
      <c r="Q4" s="31" t="n">
        <v>1571.3</v>
      </c>
      <c r="R4" s="30" t="inlineStr">
        <is>
          <t>Volume Spike &amp; Near 52W High Breakout</t>
        </is>
      </c>
      <c r="S4" s="30" t="inlineStr">
        <is>
          <t>Nifty FMCG</t>
        </is>
      </c>
      <c r="T4" s="31" t="n">
        <v>-10.61</v>
      </c>
      <c r="U4" s="31" t="n">
        <v>32.17</v>
      </c>
      <c r="V4" s="31" t="n">
        <v>47.86</v>
      </c>
      <c r="W4" s="31" t="n">
        <v>13.73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22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ASMTEC</t>
        </is>
      </c>
      <c r="D5" s="30" t="inlineStr">
        <is>
          <t>ASM Technologies Ltd</t>
        </is>
      </c>
      <c r="E5" s="30" t="inlineStr">
        <is>
          <t>Technology</t>
        </is>
      </c>
      <c r="F5" s="30" t="inlineStr">
        <is>
          <t>IT - Software</t>
        </is>
      </c>
      <c r="G5" s="30" t="inlineStr">
        <is>
          <t>midcap</t>
        </is>
      </c>
      <c r="H5" s="31" t="n">
        <v>7153.3</v>
      </c>
      <c r="I5" s="31" t="n">
        <v>4904</v>
      </c>
      <c r="J5" s="31" t="n">
        <v>1.2</v>
      </c>
      <c r="K5" s="31" t="n">
        <v>0</v>
      </c>
      <c r="L5" s="30" t="n">
        <v>87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74.22</v>
      </c>
      <c r="P5" s="31" t="n">
        <v>40.18</v>
      </c>
      <c r="Q5" s="31" t="n">
        <v>3627.65</v>
      </c>
      <c r="R5" s="30" t="inlineStr">
        <is>
          <t>Near 52W High Breakout</t>
        </is>
      </c>
      <c r="S5" s="30" t="inlineStr">
        <is>
          <t>Nifty 50</t>
        </is>
      </c>
      <c r="T5" s="31" t="n">
        <v>-0.65</v>
      </c>
      <c r="U5" s="31" t="n">
        <v>80.37</v>
      </c>
      <c r="V5" s="31" t="n">
        <v>81.55</v>
      </c>
      <c r="W5" s="31" t="n">
        <v>30.09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20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PGIL</t>
        </is>
      </c>
      <c r="D6" s="30" t="inlineStr">
        <is>
          <t>Pearl Global Industries Ltd</t>
        </is>
      </c>
      <c r="E6" s="30" t="inlineStr">
        <is>
          <t>consumer discretionary</t>
        </is>
      </c>
      <c r="F6" s="30" t="inlineStr">
        <is>
          <t>Textiles - Readymade Apparel</t>
        </is>
      </c>
      <c r="G6" s="30" t="inlineStr">
        <is>
          <t>midcap</t>
        </is>
      </c>
      <c r="H6" s="31" t="n">
        <v>11238.16</v>
      </c>
      <c r="I6" s="31" t="n">
        <v>2433</v>
      </c>
      <c r="J6" s="31" t="n">
        <v>0.17</v>
      </c>
      <c r="K6" s="31" t="n">
        <v>0</v>
      </c>
      <c r="L6" s="30" t="n">
        <v>81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74.16</v>
      </c>
      <c r="P6" s="31" t="n">
        <v>53.76</v>
      </c>
      <c r="Q6" s="31" t="n">
        <v>1911.91</v>
      </c>
      <c r="R6" s="30" t="inlineStr">
        <is>
          <t>Near 52W High Breakout</t>
        </is>
      </c>
      <c r="S6" s="30" t="inlineStr">
        <is>
          <t>Nifty 50</t>
        </is>
      </c>
      <c r="T6" s="31" t="n">
        <v>-0.65</v>
      </c>
      <c r="U6" s="31" t="n">
        <v>95.47</v>
      </c>
      <c r="V6" s="31" t="n">
        <v>96.75</v>
      </c>
      <c r="W6" s="31" t="n">
        <v>25.38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28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SYRMA</t>
        </is>
      </c>
      <c r="D7" s="30" t="inlineStr">
        <is>
          <t>Syrma SGS Technology Ltd</t>
        </is>
      </c>
      <c r="E7" s="30" t="inlineStr">
        <is>
          <t>consumer discretionary</t>
        </is>
      </c>
      <c r="F7" s="30" t="inlineStr">
        <is>
          <t>Consumer Electronics - EMS</t>
        </is>
      </c>
      <c r="G7" s="30" t="inlineStr">
        <is>
          <t>largecap</t>
        </is>
      </c>
      <c r="H7" s="31" t="n">
        <v>28806.95</v>
      </c>
      <c r="I7" s="31" t="n">
        <v>1493.9</v>
      </c>
      <c r="J7" s="31" t="n">
        <v>-1.48</v>
      </c>
      <c r="K7" s="31" t="n">
        <v>0</v>
      </c>
      <c r="L7" s="30" t="n">
        <v>84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70.40000000000001</v>
      </c>
      <c r="P7" s="31" t="n">
        <v>60.06</v>
      </c>
      <c r="Q7" s="31" t="n">
        <v>1157.49</v>
      </c>
      <c r="R7" s="30" t="inlineStr">
        <is>
          <t>Near 52W High Breakout</t>
        </is>
      </c>
      <c r="S7" s="30" t="inlineStr">
        <is>
          <t>Nifty 50</t>
        </is>
      </c>
      <c r="T7" s="31" t="n">
        <v>-0.65</v>
      </c>
      <c r="U7" s="31" t="n">
        <v>116.21</v>
      </c>
      <c r="V7" s="31" t="n">
        <v>117.62</v>
      </c>
      <c r="W7" s="31" t="n">
        <v>27.62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23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SPORTKING</t>
        </is>
      </c>
      <c r="D8" s="30" t="inlineStr">
        <is>
          <t>Sportking India Ltd</t>
        </is>
      </c>
      <c r="E8" s="30" t="inlineStr">
        <is>
          <t>Consumer Cyclical</t>
        </is>
      </c>
      <c r="F8" s="30" t="inlineStr">
        <is>
          <t>Textiles - Spinning</t>
        </is>
      </c>
      <c r="G8" s="30" t="inlineStr">
        <is>
          <t>smallcap</t>
        </is>
      </c>
      <c r="H8" s="31" t="n">
        <v>2653.26</v>
      </c>
      <c r="I8" s="31" t="n">
        <v>208.8</v>
      </c>
      <c r="J8" s="31" t="n">
        <v>-0.54</v>
      </c>
      <c r="K8" s="31" t="n">
        <v>0</v>
      </c>
      <c r="L8" s="30" t="n">
        <v>80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71.06999999999999</v>
      </c>
      <c r="P8" s="31" t="n">
        <v>72.47</v>
      </c>
      <c r="Q8" s="31" t="n">
        <v>156.22</v>
      </c>
      <c r="R8" s="30" t="inlineStr">
        <is>
          <t>Near 52W High Breakout</t>
        </is>
      </c>
      <c r="S8" s="30" t="inlineStr">
        <is>
          <t>Nifty 50</t>
        </is>
      </c>
      <c r="T8" s="31" t="n">
        <v>-0.65</v>
      </c>
      <c r="U8" s="31" t="n">
        <v>94.18000000000001</v>
      </c>
      <c r="V8" s="31" t="n">
        <v>95.45</v>
      </c>
      <c r="W8" s="31" t="n">
        <v>23.87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22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MENONBE</t>
        </is>
      </c>
      <c r="D9" s="30" t="inlineStr">
        <is>
          <t>Menon Bearings Ltd</t>
        </is>
      </c>
      <c r="E9" s="30" t="inlineStr">
        <is>
          <t>auto</t>
        </is>
      </c>
      <c r="F9" s="30" t="inlineStr">
        <is>
          <t>Auto Ancillaries - Bearings</t>
        </is>
      </c>
      <c r="G9" s="30" t="inlineStr">
        <is>
          <t>smallcap</t>
        </is>
      </c>
      <c r="H9" s="31" t="n">
        <v>1361.49</v>
      </c>
      <c r="I9" s="31" t="n">
        <v>242.95</v>
      </c>
      <c r="J9" s="31" t="n">
        <v>-1.46</v>
      </c>
      <c r="K9" s="31" t="n">
        <v>0</v>
      </c>
      <c r="L9" s="30" t="n">
        <v>94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80.77</v>
      </c>
      <c r="P9" s="31" t="n">
        <v>54.26</v>
      </c>
      <c r="Q9" s="31" t="n">
        <v>181.09</v>
      </c>
      <c r="R9" s="30" t="inlineStr">
        <is>
          <t>Near 52W High Breakout</t>
        </is>
      </c>
      <c r="S9" s="30" t="inlineStr">
        <is>
          <t>Nifty Auto</t>
        </is>
      </c>
      <c r="T9" s="31" t="n">
        <v>23.87</v>
      </c>
      <c r="U9" s="31" t="n">
        <v>86.65000000000001</v>
      </c>
      <c r="V9" s="31" t="n">
        <v>50.68</v>
      </c>
      <c r="W9" s="31" t="n">
        <v>39.13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20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CUPID</t>
        </is>
      </c>
      <c r="D10" s="30" t="inlineStr">
        <is>
          <t>Cupid Ltd</t>
        </is>
      </c>
      <c r="E10" s="30" t="inlineStr">
        <is>
          <t>fmcg</t>
        </is>
      </c>
      <c r="F10" s="30" t="inlineStr">
        <is>
          <t>Contraceptives/Protectives</t>
        </is>
      </c>
      <c r="G10" s="30" t="inlineStr">
        <is>
          <t>largecap</t>
        </is>
      </c>
      <c r="H10" s="31" t="n">
        <v>37247.1</v>
      </c>
      <c r="I10" s="31" t="n">
        <v>277</v>
      </c>
      <c r="J10" s="31" t="n">
        <v>5.44</v>
      </c>
      <c r="K10" s="31" t="n">
        <v>0</v>
      </c>
      <c r="L10" s="30" t="n">
        <v>99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92.68000000000001</v>
      </c>
      <c r="P10" s="31" t="n">
        <v>70.94</v>
      </c>
      <c r="Q10" s="31" t="n">
        <v>223.01</v>
      </c>
      <c r="R10" s="30" t="inlineStr">
        <is>
          <t>Near 52W High Breakout</t>
        </is>
      </c>
      <c r="S10" s="30" t="inlineStr">
        <is>
          <t>Nifty FMCG</t>
        </is>
      </c>
      <c r="T10" s="31" t="n">
        <v>-10.61</v>
      </c>
      <c r="U10" s="31" t="n">
        <v>835.2</v>
      </c>
      <c r="V10" s="31" t="n">
        <v>946.22</v>
      </c>
      <c r="W10" s="31" t="n">
        <v>91.90000000000001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B2C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25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3" t="inlineStr">
        <is>
          <t>SENORES</t>
        </is>
      </c>
      <c r="D11" s="33" t="inlineStr">
        <is>
          <t>Senores Pharmaceuticals Ltd</t>
        </is>
      </c>
      <c r="E11" s="30" t="inlineStr">
        <is>
          <t>healthcare</t>
        </is>
      </c>
      <c r="F11" s="30" t="inlineStr">
        <is>
          <t>Pharma - API</t>
        </is>
      </c>
      <c r="G11" s="30" t="inlineStr">
        <is>
          <t>midcap</t>
        </is>
      </c>
      <c r="H11" s="31" t="n">
        <v>6829.75</v>
      </c>
      <c r="I11" s="31" t="n">
        <v>1483</v>
      </c>
      <c r="J11" s="31" t="n">
        <v>4.28</v>
      </c>
      <c r="K11" s="31" t="n">
        <v>0</v>
      </c>
      <c r="L11" s="30" t="n">
        <v>82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72.84</v>
      </c>
      <c r="P11" s="31" t="n">
        <v>61.95</v>
      </c>
      <c r="Q11" s="31" t="n">
        <v>1130.78</v>
      </c>
      <c r="R11" s="30" t="inlineStr">
        <is>
          <t>Near 52W High Breakout</t>
        </is>
      </c>
      <c r="S11" s="30" t="inlineStr">
        <is>
          <t>Nifty Pharma</t>
        </is>
      </c>
      <c r="T11" s="31" t="n">
        <v>20.76</v>
      </c>
      <c r="U11" s="31" t="n">
        <v>118.54</v>
      </c>
      <c r="V11" s="31" t="n">
        <v>80.97</v>
      </c>
      <c r="W11" s="31" t="n">
        <v>26.2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21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3" t="inlineStr">
        <is>
          <t>GOLDIAM</t>
        </is>
      </c>
      <c r="D12" s="33" t="inlineStr">
        <is>
          <t>Goldiam International Ltd</t>
        </is>
      </c>
      <c r="E12" s="30" t="inlineStr">
        <is>
          <t>Consumer Cyclical</t>
        </is>
      </c>
      <c r="F12" s="30" t="inlineStr">
        <is>
          <t>Lab Grown Diamonds</t>
        </is>
      </c>
      <c r="G12" s="30" t="inlineStr">
        <is>
          <t>midcap</t>
        </is>
      </c>
      <c r="H12" s="31" t="n">
        <v>5785.16</v>
      </c>
      <c r="I12" s="31" t="n">
        <v>384.25</v>
      </c>
      <c r="J12" s="31" t="n">
        <v>4.12</v>
      </c>
      <c r="K12" s="31" t="n">
        <v>0</v>
      </c>
      <c r="L12" s="30" t="n">
        <v>60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64.31999999999999</v>
      </c>
      <c r="P12" s="31" t="n">
        <v>41.63</v>
      </c>
      <c r="Q12" s="31" t="n">
        <v>274.23</v>
      </c>
      <c r="R12" s="30" t="inlineStr">
        <is>
          <t>Near 52W High Breakout</t>
        </is>
      </c>
      <c r="S12" s="30" t="inlineStr">
        <is>
          <t>Nifty 50</t>
        </is>
      </c>
      <c r="T12" s="31" t="n">
        <v>-0.65</v>
      </c>
      <c r="U12" s="31" t="n">
        <v>42.89</v>
      </c>
      <c r="V12" s="31" t="n">
        <v>43.82</v>
      </c>
      <c r="W12" s="31" t="n">
        <v>15.26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B2C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24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AXISOL</t>
        </is>
      </c>
      <c r="D13" s="30" t="inlineStr">
        <is>
          <t>Axis Solutions Ltd</t>
        </is>
      </c>
      <c r="E13" s="30" t="inlineStr">
        <is>
          <t>Industrials</t>
        </is>
      </c>
      <c r="F13" s="30" t="inlineStr">
        <is>
          <t>Engineering - Light - General</t>
        </is>
      </c>
      <c r="G13" s="30" t="inlineStr">
        <is>
          <t>smallcap</t>
        </is>
      </c>
      <c r="H13" s="31" t="n">
        <v>2309.61</v>
      </c>
      <c r="I13" s="31" t="n">
        <v>488.7</v>
      </c>
      <c r="J13" s="31" t="n">
        <v>5</v>
      </c>
      <c r="K13" s="31" t="n">
        <v>0</v>
      </c>
      <c r="L13" s="30" t="n">
        <v>99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86.43000000000001</v>
      </c>
      <c r="P13" s="31" t="n">
        <v>64.56</v>
      </c>
      <c r="Q13" s="31" t="n">
        <v>405.02</v>
      </c>
      <c r="R13" s="30" t="inlineStr">
        <is>
          <t>Near 52W High Breakout</t>
        </is>
      </c>
      <c r="S13" s="30" t="inlineStr">
        <is>
          <t>Nifty 50</t>
        </is>
      </c>
      <c r="T13" s="31" t="n">
        <v>-0.65</v>
      </c>
      <c r="U13" s="31" t="n">
        <v>2149.19</v>
      </c>
      <c r="V13" s="31" t="n">
        <v>2163.86</v>
      </c>
      <c r="W13" s="31" t="n">
        <v>116.19</v>
      </c>
      <c r="X13" s="30" t="inlineStr">
        <is>
          <t>Cyclical in an Upturn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23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REDINGTON</t>
        </is>
      </c>
      <c r="D14" s="30" t="inlineStr">
        <is>
          <t>Redington Ltd</t>
        </is>
      </c>
      <c r="E14" s="30" t="inlineStr">
        <is>
          <t>services</t>
        </is>
      </c>
      <c r="F14" s="30" t="inlineStr">
        <is>
          <t>Computer - Hardware</t>
        </is>
      </c>
      <c r="G14" s="30" t="inlineStr">
        <is>
          <t>largecap</t>
        </is>
      </c>
      <c r="H14" s="31" t="n">
        <v>27659.18</v>
      </c>
      <c r="I14" s="31" t="n">
        <v>353.8</v>
      </c>
      <c r="J14" s="31" t="n">
        <v>0.17</v>
      </c>
      <c r="K14" s="31" t="n">
        <v>0</v>
      </c>
      <c r="L14" s="30" t="n">
        <v>80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72.69</v>
      </c>
      <c r="P14" s="31" t="n">
        <v>31.67</v>
      </c>
      <c r="Q14" s="31" t="n">
        <v>276.35</v>
      </c>
      <c r="R14" s="30" t="inlineStr">
        <is>
          <t>Near 52W High Breakout</t>
        </is>
      </c>
      <c r="S14" s="30" t="inlineStr">
        <is>
          <t>Nifty 50</t>
        </is>
      </c>
      <c r="T14" s="31" t="n">
        <v>-0.65</v>
      </c>
      <c r="U14" s="31" t="n">
        <v>52.82</v>
      </c>
      <c r="V14" s="31" t="n">
        <v>53.82</v>
      </c>
      <c r="W14" s="31" t="n">
        <v>25.03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20 to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22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HFCL</t>
        </is>
      </c>
      <c r="D15" s="30" t="inlineStr">
        <is>
          <t>HFCL Ltd</t>
        </is>
      </c>
      <c r="E15" s="30" t="inlineStr">
        <is>
          <t>telecom</t>
        </is>
      </c>
      <c r="F15" s="30" t="inlineStr">
        <is>
          <t>Telecom Services</t>
        </is>
      </c>
      <c r="G15" s="30" t="inlineStr">
        <is>
          <t>largecap</t>
        </is>
      </c>
      <c r="H15" s="31" t="n">
        <v>32754.89</v>
      </c>
      <c r="I15" s="31" t="n">
        <v>214</v>
      </c>
      <c r="J15" s="31" t="n">
        <v>0.48</v>
      </c>
      <c r="K15" s="31" t="n">
        <v>0</v>
      </c>
      <c r="L15" s="30" t="n">
        <v>97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72.05</v>
      </c>
      <c r="P15" s="31" t="n">
        <v>66.02</v>
      </c>
      <c r="Q15" s="31" t="n">
        <v>159.83</v>
      </c>
      <c r="R15" s="30" t="inlineStr">
        <is>
          <t>Near 52W High Breakout</t>
        </is>
      </c>
      <c r="S15" s="30" t="inlineStr">
        <is>
          <t>Nifty Infra</t>
        </is>
      </c>
      <c r="T15" s="31" t="n">
        <v>3.51</v>
      </c>
      <c r="U15" s="31" t="n">
        <v>182.52</v>
      </c>
      <c r="V15" s="31" t="n">
        <v>172.95</v>
      </c>
      <c r="W15" s="31" t="n">
        <v>54.54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Oligopoly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20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TAALTECH</t>
        </is>
      </c>
      <c r="D16" s="30" t="inlineStr">
        <is>
          <t>TAAL Tech Ltd</t>
        </is>
      </c>
      <c r="E16" s="30" t="inlineStr">
        <is>
          <t>Industrials</t>
        </is>
      </c>
      <c r="F16" s="30" t="inlineStr">
        <is>
          <t>Air Transport Service</t>
        </is>
      </c>
      <c r="G16" s="30" t="inlineStr">
        <is>
          <t>smallcap</t>
        </is>
      </c>
      <c r="H16" s="31" t="n">
        <v>1357.76</v>
      </c>
      <c r="I16" s="31" t="n">
        <v>4356.9</v>
      </c>
      <c r="J16" s="31" t="n">
        <v>-4.27</v>
      </c>
      <c r="K16" s="31" t="n">
        <v>0</v>
      </c>
      <c r="L16" s="30" t="n">
        <v>74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69.14</v>
      </c>
      <c r="P16" s="31" t="n">
        <v>42.7</v>
      </c>
      <c r="Q16" s="31" t="n">
        <v>3377.65</v>
      </c>
      <c r="R16" s="30" t="inlineStr">
        <is>
          <t>Near 52W High Breakout</t>
        </is>
      </c>
      <c r="S16" s="30" t="inlineStr">
        <is>
          <t>Nifty 50</t>
        </is>
      </c>
      <c r="T16" s="31" t="n">
        <v>-0.65</v>
      </c>
      <c r="U16" s="31" t="n">
        <v>41.05</v>
      </c>
      <c r="V16" s="31" t="n">
        <v>41.97</v>
      </c>
      <c r="W16" s="31" t="n">
        <v>20.35</v>
      </c>
      <c r="X16" s="30" t="inlineStr">
        <is>
          <t>Cyclical in an Upturn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19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3" t="inlineStr">
        <is>
          <t>QUESS</t>
        </is>
      </c>
      <c r="D17" s="33" t="inlineStr">
        <is>
          <t>Quess Corp Ltd</t>
        </is>
      </c>
      <c r="E17" s="30" t="inlineStr">
        <is>
          <t>miscellaneous</t>
        </is>
      </c>
      <c r="F17" s="30" t="inlineStr">
        <is>
          <t>Facility Management</t>
        </is>
      </c>
      <c r="G17" s="30" t="inlineStr">
        <is>
          <t>smallcap</t>
        </is>
      </c>
      <c r="H17" s="31" t="n">
        <v>4839.26</v>
      </c>
      <c r="I17" s="31" t="n">
        <v>324</v>
      </c>
      <c r="J17" s="31" t="n">
        <v>0.08</v>
      </c>
      <c r="K17" s="31" t="n">
        <v>0</v>
      </c>
      <c r="L17" s="30" t="n">
        <v>73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73.03</v>
      </c>
      <c r="P17" s="31" t="n">
        <v>50.04</v>
      </c>
      <c r="Q17" s="31" t="n">
        <v>256</v>
      </c>
      <c r="R17" s="30" t="inlineStr">
        <is>
          <t>Near 52W High Breakout</t>
        </is>
      </c>
      <c r="S17" s="30" t="inlineStr">
        <is>
          <t>Nifty 50</t>
        </is>
      </c>
      <c r="T17" s="31" t="n">
        <v>-0.65</v>
      </c>
      <c r="U17" s="31" t="n">
        <v>27.64</v>
      </c>
      <c r="V17" s="31" t="n">
        <v>28.47</v>
      </c>
      <c r="W17" s="31" t="n">
        <v>20.31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19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SAKAR</t>
        </is>
      </c>
      <c r="D18" s="30" t="inlineStr">
        <is>
          <t>Sakar Healthcare Ltd</t>
        </is>
      </c>
      <c r="E18" s="30" t="inlineStr">
        <is>
          <t>healthcare</t>
        </is>
      </c>
      <c r="F18" s="30" t="inlineStr">
        <is>
          <t>Hospitals</t>
        </is>
      </c>
      <c r="G18" s="30" t="inlineStr">
        <is>
          <t>smallcap</t>
        </is>
      </c>
      <c r="H18" s="31" t="n">
        <v>2120.42</v>
      </c>
      <c r="I18" s="31" t="n">
        <v>953</v>
      </c>
      <c r="J18" s="31" t="n">
        <v>5.33</v>
      </c>
      <c r="K18" s="31" t="n">
        <v>0</v>
      </c>
      <c r="L18" s="30" t="n">
        <v>90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73.01000000000001</v>
      </c>
      <c r="P18" s="31" t="n">
        <v>55.96</v>
      </c>
      <c r="Q18" s="31" t="n">
        <v>688.15</v>
      </c>
      <c r="R18" s="30" t="inlineStr">
        <is>
          <t>Near 52W High Breakout</t>
        </is>
      </c>
      <c r="S18" s="30" t="inlineStr">
        <is>
          <t>Nifty Pharma</t>
        </is>
      </c>
      <c r="T18" s="31" t="n">
        <v>20.76</v>
      </c>
      <c r="U18" s="31" t="n">
        <v>192.88</v>
      </c>
      <c r="V18" s="31" t="n">
        <v>142.53</v>
      </c>
      <c r="W18" s="31" t="n">
        <v>32.83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23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UNIPARTS</t>
        </is>
      </c>
      <c r="D19" s="30" t="inlineStr">
        <is>
          <t>Uniparts India Ltd</t>
        </is>
      </c>
      <c r="E19" s="30" t="inlineStr">
        <is>
          <t>industrials</t>
        </is>
      </c>
      <c r="F19" s="30" t="inlineStr">
        <is>
          <t>Castings, Forgings &amp; Fastners</t>
        </is>
      </c>
      <c r="G19" s="30" t="inlineStr">
        <is>
          <t>smallcap</t>
        </is>
      </c>
      <c r="H19" s="31" t="n">
        <v>3645.85</v>
      </c>
      <c r="I19" s="31" t="n">
        <v>807.3</v>
      </c>
      <c r="J19" s="31" t="n">
        <v>-2.12</v>
      </c>
      <c r="K19" s="31" t="n">
        <v>0</v>
      </c>
      <c r="L19" s="30" t="n">
        <v>85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77.15000000000001</v>
      </c>
      <c r="P19" s="31" t="n">
        <v>61.65</v>
      </c>
      <c r="Q19" s="31" t="n">
        <v>653.66</v>
      </c>
      <c r="R19" s="30" t="inlineStr">
        <is>
          <t>Near 52W High Breakout</t>
        </is>
      </c>
      <c r="S19" s="30" t="inlineStr">
        <is>
          <t>Nifty 50</t>
        </is>
      </c>
      <c r="T19" s="31" t="n">
        <v>-0.65</v>
      </c>
      <c r="U19" s="31" t="n">
        <v>113.72</v>
      </c>
      <c r="V19" s="31" t="n">
        <v>115.12</v>
      </c>
      <c r="W19" s="31" t="n">
        <v>27.81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28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UNIVCABLES</t>
        </is>
      </c>
      <c r="D20" s="30" t="inlineStr">
        <is>
          <t>Universal Cables Ltd</t>
        </is>
      </c>
      <c r="E20" s="30" t="inlineStr">
        <is>
          <t>industrials</t>
        </is>
      </c>
      <c r="F20" s="30" t="inlineStr">
        <is>
          <t>Cables - Power</t>
        </is>
      </c>
      <c r="G20" s="30" t="inlineStr">
        <is>
          <t>midcap</t>
        </is>
      </c>
      <c r="H20" s="31" t="n">
        <v>5780.25</v>
      </c>
      <c r="I20" s="31" t="n">
        <v>1666</v>
      </c>
      <c r="J20" s="31" t="n">
        <v>-1.62</v>
      </c>
      <c r="K20" s="31" t="n">
        <v>0</v>
      </c>
      <c r="L20" s="30" t="n">
        <v>95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77.33</v>
      </c>
      <c r="P20" s="31" t="n">
        <v>58.23</v>
      </c>
      <c r="Q20" s="31" t="n">
        <v>1202.59</v>
      </c>
      <c r="R20" s="30" t="inlineStr">
        <is>
          <t>Volume Spike &amp; Near 52W High Breakout</t>
        </is>
      </c>
      <c r="S20" s="30" t="inlineStr">
        <is>
          <t>Nifty Energy</t>
        </is>
      </c>
      <c r="T20" s="31" t="n">
        <v>9.81</v>
      </c>
      <c r="U20" s="31" t="n">
        <v>125.94</v>
      </c>
      <c r="V20" s="31" t="n">
        <v>105.76</v>
      </c>
      <c r="W20" s="31" t="n">
        <v>44.3</v>
      </c>
      <c r="X20" s="30" t="inlineStr">
        <is>
          <t>Cyclical in an Upturn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25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E2E</t>
        </is>
      </c>
      <c r="D21" s="30" t="inlineStr">
        <is>
          <t>E2E Networks Ltd</t>
        </is>
      </c>
      <c r="E21" s="30" t="inlineStr">
        <is>
          <t>i.t</t>
        </is>
      </c>
      <c r="F21" s="30" t="inlineStr">
        <is>
          <t>Data Centre</t>
        </is>
      </c>
      <c r="G21" s="30" t="inlineStr">
        <is>
          <t>midcap</t>
        </is>
      </c>
      <c r="H21" s="31" t="n">
        <v>12829.3</v>
      </c>
      <c r="I21" s="31" t="n">
        <v>624.1</v>
      </c>
      <c r="J21" s="31" t="n">
        <v>3.29</v>
      </c>
      <c r="K21" s="31" t="n">
        <v>0</v>
      </c>
      <c r="L21" s="30" t="n">
        <v>97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75.61</v>
      </c>
      <c r="P21" s="31" t="n">
        <v>48.1</v>
      </c>
      <c r="Q21" s="31" t="n">
        <v>442.78</v>
      </c>
      <c r="R21" s="30" t="inlineStr">
        <is>
          <t>Near 52W High Breakout</t>
        </is>
      </c>
      <c r="S21" s="30" t="inlineStr">
        <is>
          <t>Nifty IT</t>
        </is>
      </c>
      <c r="T21" s="31" t="n">
        <v>-8.640000000000001</v>
      </c>
      <c r="U21" s="31" t="n">
        <v>204.03</v>
      </c>
      <c r="V21" s="31" t="n">
        <v>232.79</v>
      </c>
      <c r="W21" s="31" t="n">
        <v>50.04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22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KDDL</t>
        </is>
      </c>
      <c r="D22" s="30" t="inlineStr">
        <is>
          <t>KDDL Ltd</t>
        </is>
      </c>
      <c r="E22" s="30" t="inlineStr">
        <is>
          <t>consumer discretionary</t>
        </is>
      </c>
      <c r="F22" s="30" t="inlineStr">
        <is>
          <t>Watches</t>
        </is>
      </c>
      <c r="G22" s="30" t="inlineStr">
        <is>
          <t>smallcap</t>
        </is>
      </c>
      <c r="H22" s="31" t="n">
        <v>4720.96</v>
      </c>
      <c r="I22" s="31" t="n">
        <v>3838.4</v>
      </c>
      <c r="J22" s="31" t="n">
        <v>0.07000000000000001</v>
      </c>
      <c r="K22" s="31" t="n">
        <v>0</v>
      </c>
      <c r="L22" s="30" t="n">
        <v>82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76.48</v>
      </c>
      <c r="P22" s="31" t="n">
        <v>40.69</v>
      </c>
      <c r="Q22" s="31" t="n">
        <v>2942.3</v>
      </c>
      <c r="R22" s="30" t="inlineStr">
        <is>
          <t>Near 52W High Breakout</t>
        </is>
      </c>
      <c r="S22" s="30" t="inlineStr">
        <is>
          <t>Nifty 50</t>
        </is>
      </c>
      <c r="T22" s="31" t="n">
        <v>-0.65</v>
      </c>
      <c r="U22" s="31" t="n">
        <v>49.48</v>
      </c>
      <c r="V22" s="31" t="n">
        <v>50.46</v>
      </c>
      <c r="W22" s="31" t="n">
        <v>25.77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21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SJS</t>
        </is>
      </c>
      <c r="D23" s="30" t="inlineStr">
        <is>
          <t>S J S Enterprises Ltd</t>
        </is>
      </c>
      <c r="E23" s="30" t="inlineStr">
        <is>
          <t>auto</t>
        </is>
      </c>
      <c r="F23" s="30" t="inlineStr">
        <is>
          <t>Auto Ancillaries - Diversified</t>
        </is>
      </c>
      <c r="G23" s="30" t="inlineStr">
        <is>
          <t>midcap</t>
        </is>
      </c>
      <c r="H23" s="31" t="n">
        <v>7656.93</v>
      </c>
      <c r="I23" s="31" t="n">
        <v>2390.8</v>
      </c>
      <c r="J23" s="31" t="n">
        <v>0.79</v>
      </c>
      <c r="K23" s="31" t="n">
        <v>0</v>
      </c>
      <c r="L23" s="30" t="n">
        <v>80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68.87</v>
      </c>
      <c r="P23" s="31" t="n">
        <v>43.58</v>
      </c>
      <c r="Q23" s="31" t="n">
        <v>1962.03</v>
      </c>
      <c r="R23" s="30" t="inlineStr">
        <is>
          <t>Near 52W High Breakout</t>
        </is>
      </c>
      <c r="S23" s="30" t="inlineStr">
        <is>
          <t>Nifty Auto</t>
        </is>
      </c>
      <c r="T23" s="31" t="n">
        <v>23.87</v>
      </c>
      <c r="U23" s="31" t="n">
        <v>92.63</v>
      </c>
      <c r="V23" s="31" t="n">
        <v>55.51</v>
      </c>
      <c r="W23" s="31" t="n">
        <v>25.11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21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KPL</t>
        </is>
      </c>
      <c r="D24" s="30" t="inlineStr">
        <is>
          <t>Kwality Pharmaceuticals Ltd</t>
        </is>
      </c>
      <c r="E24" s="30" t="inlineStr">
        <is>
          <t>Healthcare</t>
        </is>
      </c>
      <c r="F24" s="30" t="inlineStr">
        <is>
          <t>Pharma - Formulators</t>
        </is>
      </c>
      <c r="G24" s="30" t="inlineStr">
        <is>
          <t>smallcap</t>
        </is>
      </c>
      <c r="H24" s="31" t="n">
        <v>3451.95</v>
      </c>
      <c r="I24" s="31" t="n">
        <v>3326.8</v>
      </c>
      <c r="J24" s="31" t="n">
        <v>6.26</v>
      </c>
      <c r="K24" s="31" t="n">
        <v>0</v>
      </c>
      <c r="L24" s="30" t="n">
        <v>96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78.83</v>
      </c>
      <c r="P24" s="31" t="n">
        <v>66.29000000000001</v>
      </c>
      <c r="Q24" s="31" t="n">
        <v>2439.99</v>
      </c>
      <c r="R24" s="30" t="inlineStr">
        <is>
          <t>Volume Spike &amp; Near 52W High Breakout</t>
        </is>
      </c>
      <c r="S24" s="30" t="inlineStr">
        <is>
          <t>Nifty Pharma</t>
        </is>
      </c>
      <c r="T24" s="31" t="n">
        <v>20.76</v>
      </c>
      <c r="U24" s="31" t="n">
        <v>209.47</v>
      </c>
      <c r="V24" s="31" t="n">
        <v>156.27</v>
      </c>
      <c r="W24" s="31" t="n">
        <v>48.81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Less than 50%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29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CENTENKA</t>
        </is>
      </c>
      <c r="D25" s="30" t="inlineStr">
        <is>
          <t>Century Enka Ltd</t>
        </is>
      </c>
      <c r="E25" s="30" t="inlineStr">
        <is>
          <t>textiles</t>
        </is>
      </c>
      <c r="F25" s="30" t="inlineStr">
        <is>
          <t>Textiles - Manmade Fibre - PFY/PSF</t>
        </is>
      </c>
      <c r="G25" s="30" t="inlineStr">
        <is>
          <t>smallcap</t>
        </is>
      </c>
      <c r="H25" s="31" t="n">
        <v>1321.96</v>
      </c>
      <c r="I25" s="31" t="n">
        <v>605</v>
      </c>
      <c r="J25" s="31" t="n">
        <v>-0.89</v>
      </c>
      <c r="K25" s="31" t="n">
        <v>0</v>
      </c>
      <c r="L25" s="30" t="n">
        <v>54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69.40000000000001</v>
      </c>
      <c r="P25" s="31" t="n">
        <v>64.03</v>
      </c>
      <c r="Q25" s="31" t="n">
        <v>473.77</v>
      </c>
      <c r="R25" s="30" t="inlineStr">
        <is>
          <t>Near 52W High Breakout</t>
        </is>
      </c>
      <c r="S25" s="30" t="inlineStr">
        <is>
          <t>Nifty 50</t>
        </is>
      </c>
      <c r="T25" s="31" t="n">
        <v>-0.65</v>
      </c>
      <c r="U25" s="31" t="n">
        <v>21.2</v>
      </c>
      <c r="V25" s="31" t="n">
        <v>21.99</v>
      </c>
      <c r="W25" s="31" t="n">
        <v>13.01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24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MPSLTD</t>
        </is>
      </c>
      <c r="D26" s="30" t="inlineStr">
        <is>
          <t>MPS Ltd</t>
        </is>
      </c>
      <c r="E26" s="30" t="inlineStr">
        <is>
          <t>i.t</t>
        </is>
      </c>
      <c r="F26" s="30" t="inlineStr">
        <is>
          <t>E-Commerce - Platform - Utility</t>
        </is>
      </c>
      <c r="G26" s="30" t="inlineStr">
        <is>
          <t>smallcap</t>
        </is>
      </c>
      <c r="H26" s="31" t="n">
        <v>4875.16</v>
      </c>
      <c r="I26" s="31" t="n">
        <v>2850</v>
      </c>
      <c r="J26" s="31" t="n">
        <v>-0.5</v>
      </c>
      <c r="K26" s="31" t="n">
        <v>0</v>
      </c>
      <c r="L26" s="30" t="n">
        <v>76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73.52</v>
      </c>
      <c r="P26" s="31" t="n">
        <v>35.02</v>
      </c>
      <c r="Q26" s="31" t="n">
        <v>2318.71</v>
      </c>
      <c r="R26" s="30" t="inlineStr">
        <is>
          <t>Near 52W High Breakout</t>
        </is>
      </c>
      <c r="S26" s="30" t="inlineStr">
        <is>
          <t>Nifty IT</t>
        </is>
      </c>
      <c r="T26" s="31" t="n">
        <v>-8.640000000000001</v>
      </c>
      <c r="U26" s="31" t="n">
        <v>34.08</v>
      </c>
      <c r="V26" s="31" t="n">
        <v>46.76</v>
      </c>
      <c r="W26" s="31" t="n">
        <v>21.16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Oligopoly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20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VADILALIND</t>
        </is>
      </c>
      <c r="D27" s="30" t="inlineStr">
        <is>
          <t>Vadilal Industries Ltd</t>
        </is>
      </c>
      <c r="E27" s="30" t="inlineStr">
        <is>
          <t>fmcg</t>
        </is>
      </c>
      <c r="F27" s="30" t="inlineStr">
        <is>
          <t>FMCG - Dairy Products</t>
        </is>
      </c>
      <c r="G27" s="30" t="inlineStr">
        <is>
          <t>midcap</t>
        </is>
      </c>
      <c r="H27" s="31" t="n">
        <v>5297.43</v>
      </c>
      <c r="I27" s="31" t="n">
        <v>7370</v>
      </c>
      <c r="J27" s="31" t="n">
        <v>-0.14</v>
      </c>
      <c r="K27" s="31" t="n">
        <v>0</v>
      </c>
      <c r="L27" s="30" t="n">
        <v>79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76.86</v>
      </c>
      <c r="P27" s="31" t="n">
        <v>40.77</v>
      </c>
      <c r="Q27" s="31" t="n">
        <v>5977.14</v>
      </c>
      <c r="R27" s="30" t="inlineStr">
        <is>
          <t>Near 52W High Breakout</t>
        </is>
      </c>
      <c r="S27" s="30" t="inlineStr">
        <is>
          <t>Nifty FMCG</t>
        </is>
      </c>
      <c r="T27" s="31" t="n">
        <v>-10.61</v>
      </c>
      <c r="U27" s="31" t="n">
        <v>34.56</v>
      </c>
      <c r="V27" s="31" t="n">
        <v>50.54</v>
      </c>
      <c r="W27" s="31" t="n">
        <v>23.08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B2C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20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3" t="inlineStr">
        <is>
          <t>CNL</t>
        </is>
      </c>
      <c r="D28" s="33" t="inlineStr">
        <is>
          <t>Creative Newtech Ltd</t>
        </is>
      </c>
      <c r="E28" s="30" t="inlineStr">
        <is>
          <t>Technology</t>
        </is>
      </c>
      <c r="F28" s="30" t="inlineStr">
        <is>
          <t>E-Commerce - Platform - Utility</t>
        </is>
      </c>
      <c r="G28" s="30" t="inlineStr">
        <is>
          <t>smallcap</t>
        </is>
      </c>
      <c r="H28" s="31" t="n">
        <v>1683.37</v>
      </c>
      <c r="I28" s="31" t="n">
        <v>1121</v>
      </c>
      <c r="J28" s="31" t="n">
        <v>3.45</v>
      </c>
      <c r="K28" s="31" t="n">
        <v>0</v>
      </c>
      <c r="L28" s="30" t="n">
        <v>88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85.52</v>
      </c>
      <c r="P28" s="31" t="n">
        <v>48.94</v>
      </c>
      <c r="Q28" s="31" t="n">
        <v>862.3099999999999</v>
      </c>
      <c r="R28" s="30" t="inlineStr">
        <is>
          <t>Near 52W High Breakout</t>
        </is>
      </c>
      <c r="S28" s="30" t="inlineStr">
        <is>
          <t>Nifty 50</t>
        </is>
      </c>
      <c r="T28" s="31" t="n">
        <v>-0.65</v>
      </c>
      <c r="U28" s="31" t="n">
        <v>79.42</v>
      </c>
      <c r="V28" s="31" t="n">
        <v>80.59</v>
      </c>
      <c r="W28" s="31" t="n">
        <v>30.76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Oligopoly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Between 0.7 to 1.2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19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FIEMIND</t>
        </is>
      </c>
      <c r="D29" s="30" t="inlineStr">
        <is>
          <t>Fiem Industries Ltd</t>
        </is>
      </c>
      <c r="E29" s="30" t="inlineStr">
        <is>
          <t>auto</t>
        </is>
      </c>
      <c r="F29" s="30" t="inlineStr">
        <is>
          <t>Auto Ancillaries - 2&amp;3 Wheelers</t>
        </is>
      </c>
      <c r="G29" s="30" t="inlineStr">
        <is>
          <t>midcap</t>
        </is>
      </c>
      <c r="H29" s="31" t="n">
        <v>6843.11</v>
      </c>
      <c r="I29" s="31" t="n">
        <v>2600</v>
      </c>
      <c r="J29" s="31" t="n">
        <v>2.39</v>
      </c>
      <c r="K29" s="31" t="n">
        <v>0</v>
      </c>
      <c r="L29" s="30" t="n">
        <v>45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72.72</v>
      </c>
      <c r="P29" s="31" t="n">
        <v>26.83</v>
      </c>
      <c r="Q29" s="31" t="n">
        <v>2149.24</v>
      </c>
      <c r="R29" s="30" t="inlineStr">
        <is>
          <t>Near 52W High Breakout</t>
        </is>
      </c>
      <c r="S29" s="30" t="inlineStr">
        <is>
          <t>Nifty Auto</t>
        </is>
      </c>
      <c r="T29" s="31" t="n">
        <v>23.87</v>
      </c>
      <c r="U29" s="31" t="n">
        <v>32.73</v>
      </c>
      <c r="V29" s="31" t="n">
        <v>7.15</v>
      </c>
      <c r="W29" s="31" t="n">
        <v>10.35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Less than 50%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25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AVALON</t>
        </is>
      </c>
      <c r="D30" s="30" t="inlineStr">
        <is>
          <t>Avalon Technologies Ltd</t>
        </is>
      </c>
      <c r="E30" s="30" t="inlineStr">
        <is>
          <t>consumer discretionary</t>
        </is>
      </c>
      <c r="F30" s="30" t="inlineStr">
        <is>
          <t>Consumer Electronics - EMS</t>
        </is>
      </c>
      <c r="G30" s="30" t="inlineStr">
        <is>
          <t>midcap</t>
        </is>
      </c>
      <c r="H30" s="31" t="n">
        <v>12961.48</v>
      </c>
      <c r="I30" s="31" t="n">
        <v>1940</v>
      </c>
      <c r="J30" s="31" t="n">
        <v>0.85</v>
      </c>
      <c r="K30" s="31" t="n">
        <v>0</v>
      </c>
      <c r="L30" s="30" t="n">
        <v>86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77.45</v>
      </c>
      <c r="P30" s="31" t="n">
        <v>58.39</v>
      </c>
      <c r="Q30" s="31" t="n">
        <v>1508.18</v>
      </c>
      <c r="R30" s="30" t="inlineStr">
        <is>
          <t>Near 52W High Breakout</t>
        </is>
      </c>
      <c r="S30" s="30" t="inlineStr">
        <is>
          <t>Nifty 50</t>
        </is>
      </c>
      <c r="T30" s="31" t="n">
        <v>-0.65</v>
      </c>
      <c r="U30" s="31" t="n">
        <v>131.37</v>
      </c>
      <c r="V30" s="31" t="n">
        <v>132.88</v>
      </c>
      <c r="W30" s="31" t="n">
        <v>28.83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24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GHCLTEXTIL</t>
        </is>
      </c>
      <c r="D31" s="30" t="inlineStr">
        <is>
          <t>GHCL Textiles Ltd</t>
        </is>
      </c>
      <c r="E31" s="30" t="inlineStr">
        <is>
          <t>textiles</t>
        </is>
      </c>
      <c r="F31" s="30" t="inlineStr">
        <is>
          <t>Textiles - General</t>
        </is>
      </c>
      <c r="G31" s="30" t="inlineStr">
        <is>
          <t>smallcap</t>
        </is>
      </c>
      <c r="H31" s="31" t="n">
        <v>1138.24</v>
      </c>
      <c r="I31" s="31" t="n">
        <v>119.08</v>
      </c>
      <c r="J31" s="31" t="n">
        <v>-1.47</v>
      </c>
      <c r="K31" s="31" t="n">
        <v>0</v>
      </c>
      <c r="L31" s="30" t="n">
        <v>67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70.59999999999999</v>
      </c>
      <c r="P31" s="31" t="n">
        <v>32.92</v>
      </c>
      <c r="Q31" s="31" t="n">
        <v>94.47</v>
      </c>
      <c r="R31" s="30" t="inlineStr">
        <is>
          <t>Near 52W High Breakout</t>
        </is>
      </c>
      <c r="S31" s="30" t="inlineStr">
        <is>
          <t>Nifty 50</t>
        </is>
      </c>
      <c r="T31" s="31" t="n">
        <v>-0.65</v>
      </c>
      <c r="U31" s="31" t="n">
        <v>55.36</v>
      </c>
      <c r="V31" s="31" t="n">
        <v>56.37</v>
      </c>
      <c r="W31" s="31" t="n">
        <v>17.45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22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UFBL</t>
        </is>
      </c>
      <c r="D32" s="30" t="inlineStr">
        <is>
          <t>United Foodbrands Ltd</t>
        </is>
      </c>
      <c r="E32" s="30" t="inlineStr">
        <is>
          <t>consumer discretionary</t>
        </is>
      </c>
      <c r="F32" s="30" t="inlineStr">
        <is>
          <t>Quick Service Restaurant - QSR</t>
        </is>
      </c>
      <c r="G32" s="30" t="inlineStr">
        <is>
          <t>smallcap</t>
        </is>
      </c>
      <c r="H32" s="31" t="n">
        <v>3168.53</v>
      </c>
      <c r="I32" s="31" t="n">
        <v>810</v>
      </c>
      <c r="J32" s="31" t="n">
        <v>1.49</v>
      </c>
      <c r="K32" s="31" t="n">
        <v>0</v>
      </c>
      <c r="L32" s="30" t="n">
        <v>98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79.94</v>
      </c>
      <c r="P32" s="31" t="n">
        <v>56.36</v>
      </c>
      <c r="Q32" s="31" t="n">
        <v>601.55</v>
      </c>
      <c r="R32" s="30" t="inlineStr">
        <is>
          <t>Near 52W High Breakout</t>
        </is>
      </c>
      <c r="S32" s="30" t="inlineStr">
        <is>
          <t>Nifty 50</t>
        </is>
      </c>
      <c r="T32" s="31" t="n">
        <v>-0.65</v>
      </c>
      <c r="U32" s="31" t="n">
        <v>218.68</v>
      </c>
      <c r="V32" s="31" t="n">
        <v>220.76</v>
      </c>
      <c r="W32" s="31" t="n">
        <v>59.82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Between 1.5 to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More than 1.2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21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THELEELA</t>
        </is>
      </c>
      <c r="D33" s="30" t="inlineStr">
        <is>
          <t>Leela Palaces Hotels &amp; Resorts Ltd</t>
        </is>
      </c>
      <c r="E33" s="30" t="inlineStr">
        <is>
          <t>services</t>
        </is>
      </c>
      <c r="F33" s="30" t="inlineStr">
        <is>
          <t>Hotels</t>
        </is>
      </c>
      <c r="G33" s="30" t="inlineStr">
        <is>
          <t>midcap</t>
        </is>
      </c>
      <c r="H33" s="31" t="n">
        <v>17098.64</v>
      </c>
      <c r="I33" s="31" t="n">
        <v>512</v>
      </c>
      <c r="J33" s="31" t="n">
        <v>0.99</v>
      </c>
      <c r="K33" s="31" t="n">
        <v>0</v>
      </c>
      <c r="L33" s="30" t="n">
        <v>36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63.49</v>
      </c>
      <c r="P33" s="31" t="n">
        <v>26.46</v>
      </c>
      <c r="Q33" s="31" t="n">
        <v>421.97</v>
      </c>
      <c r="R33" s="30" t="inlineStr">
        <is>
          <t>Near 52W High Breakout</t>
        </is>
      </c>
      <c r="S33" s="30" t="inlineStr">
        <is>
          <t>Nifty 50</t>
        </is>
      </c>
      <c r="T33" s="31" t="n">
        <v>-0.65</v>
      </c>
      <c r="U33" s="31" t="n">
        <v>16.63</v>
      </c>
      <c r="V33" s="31" t="n">
        <v>17.39</v>
      </c>
      <c r="W33" s="31" t="n">
        <v>8.369999999999999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20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RRKABEL</t>
        </is>
      </c>
      <c r="D34" s="30" t="inlineStr">
        <is>
          <t>R R Kabel Ltd</t>
        </is>
      </c>
      <c r="E34" s="30" t="inlineStr">
        <is>
          <t>industrials</t>
        </is>
      </c>
      <c r="F34" s="30" t="inlineStr">
        <is>
          <t>Cables - Power</t>
        </is>
      </c>
      <c r="G34" s="30" t="inlineStr">
        <is>
          <t>largecap</t>
        </is>
      </c>
      <c r="H34" s="31" t="n">
        <v>32007.73</v>
      </c>
      <c r="I34" s="31" t="n">
        <v>2829.9</v>
      </c>
      <c r="J34" s="31" t="n">
        <v>2.65</v>
      </c>
      <c r="K34" s="31" t="n">
        <v>0</v>
      </c>
      <c r="L34" s="30" t="n">
        <v>94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77.86</v>
      </c>
      <c r="P34" s="31" t="n">
        <v>67.23</v>
      </c>
      <c r="Q34" s="31" t="n">
        <v>2246.76</v>
      </c>
      <c r="R34" s="30" t="inlineStr">
        <is>
          <t>Near 52W High Breakout</t>
        </is>
      </c>
      <c r="S34" s="30" t="inlineStr">
        <is>
          <t>Nifty Energy</t>
        </is>
      </c>
      <c r="T34" s="31" t="n">
        <v>9.81</v>
      </c>
      <c r="U34" s="31" t="n">
        <v>102.55</v>
      </c>
      <c r="V34" s="31" t="n">
        <v>84.45999999999999</v>
      </c>
      <c r="W34" s="31" t="n">
        <v>39.15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19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SHILPAMED</t>
        </is>
      </c>
      <c r="D35" s="30" t="inlineStr">
        <is>
          <t>Shilpa Medicare Ltd</t>
        </is>
      </c>
      <c r="E35" s="30" t="inlineStr">
        <is>
          <t>healthcare</t>
        </is>
      </c>
      <c r="F35" s="30" t="inlineStr">
        <is>
          <t>Pharma - API &amp; CRAMS</t>
        </is>
      </c>
      <c r="G35" s="30" t="inlineStr">
        <is>
          <t>midcap</t>
        </is>
      </c>
      <c r="H35" s="31" t="n">
        <v>16088.56</v>
      </c>
      <c r="I35" s="31" t="n">
        <v>822.6</v>
      </c>
      <c r="J35" s="31" t="n">
        <v>1.86</v>
      </c>
      <c r="K35" s="31" t="n">
        <v>0</v>
      </c>
      <c r="L35" s="30" t="n">
        <v>89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88.8</v>
      </c>
      <c r="P35" s="31" t="n">
        <v>73.13</v>
      </c>
      <c r="Q35" s="31" t="n">
        <v>658.78</v>
      </c>
      <c r="R35" s="30" t="inlineStr">
        <is>
          <t>Near 52W High Breakout</t>
        </is>
      </c>
      <c r="S35" s="30" t="inlineStr">
        <is>
          <t>Nifty Pharma</t>
        </is>
      </c>
      <c r="T35" s="31" t="n">
        <v>20.76</v>
      </c>
      <c r="U35" s="31" t="n">
        <v>80.64</v>
      </c>
      <c r="V35" s="31" t="n">
        <v>49.59</v>
      </c>
      <c r="W35" s="31" t="n">
        <v>31.76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26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3" t="inlineStr">
        <is>
          <t>GLAND</t>
        </is>
      </c>
      <c r="D36" s="33" t="inlineStr">
        <is>
          <t>Gland Pharma Ltd</t>
        </is>
      </c>
      <c r="E36" s="30" t="inlineStr">
        <is>
          <t>healthcare</t>
        </is>
      </c>
      <c r="F36" s="30" t="inlineStr">
        <is>
          <t>Pharma - API &amp; CRAMS</t>
        </is>
      </c>
      <c r="G36" s="30" t="inlineStr">
        <is>
          <t>largecap</t>
        </is>
      </c>
      <c r="H36" s="31" t="n">
        <v>48335.23</v>
      </c>
      <c r="I36" s="31" t="n">
        <v>2930</v>
      </c>
      <c r="J36" s="31" t="n">
        <v>9.85</v>
      </c>
      <c r="K36" s="31" t="n">
        <v>0</v>
      </c>
      <c r="L36" s="30" t="n">
        <v>77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79.20999999999999</v>
      </c>
      <c r="P36" s="31" t="n">
        <v>58.86</v>
      </c>
      <c r="Q36" s="31" t="n">
        <v>2394.35</v>
      </c>
      <c r="R36" s="30" t="inlineStr">
        <is>
          <t>Volume Spike &amp; Near 52W High Breakout</t>
        </is>
      </c>
      <c r="S36" s="30" t="inlineStr">
        <is>
          <t>Nifty Pharma</t>
        </is>
      </c>
      <c r="T36" s="31" t="n">
        <v>20.76</v>
      </c>
      <c r="U36" s="31" t="n">
        <v>49.13</v>
      </c>
      <c r="V36" s="31" t="n">
        <v>23.49</v>
      </c>
      <c r="W36" s="31" t="n">
        <v>22.05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22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LAURUSLABS</t>
        </is>
      </c>
      <c r="D37" s="30" t="inlineStr">
        <is>
          <t>Laurus Labs Ltd</t>
        </is>
      </c>
      <c r="E37" s="30" t="inlineStr">
        <is>
          <t>healthcare</t>
        </is>
      </c>
      <c r="F37" s="30" t="inlineStr">
        <is>
          <t>Pharma - API &amp; CRAMS</t>
        </is>
      </c>
      <c r="G37" s="30" t="inlineStr">
        <is>
          <t>largecap</t>
        </is>
      </c>
      <c r="H37" s="31" t="n">
        <v>100390.01</v>
      </c>
      <c r="I37" s="31" t="n">
        <v>1858</v>
      </c>
      <c r="J37" s="31" t="n">
        <v>0.22</v>
      </c>
      <c r="K37" s="31" t="n">
        <v>0</v>
      </c>
      <c r="L37" s="30" t="n">
        <v>82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86.59</v>
      </c>
      <c r="P37" s="31" t="n">
        <v>64.89</v>
      </c>
      <c r="Q37" s="31" t="n">
        <v>1606.28</v>
      </c>
      <c r="R37" s="30" t="inlineStr">
        <is>
          <t>Near 52W High Breakout</t>
        </is>
      </c>
      <c r="S37" s="30" t="inlineStr">
        <is>
          <t>Nifty Pharma</t>
        </is>
      </c>
      <c r="T37" s="31" t="n">
        <v>20.76</v>
      </c>
      <c r="U37" s="31" t="n">
        <v>116.52</v>
      </c>
      <c r="V37" s="31" t="n">
        <v>79.29000000000001</v>
      </c>
      <c r="W37" s="31" t="n">
        <v>25.86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21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IRISDOREME</t>
        </is>
      </c>
      <c r="D38" s="30" t="inlineStr">
        <is>
          <t>Iris Clothings Ltd</t>
        </is>
      </c>
      <c r="E38" s="30" t="inlineStr">
        <is>
          <t>consumer discretionary</t>
        </is>
      </c>
      <c r="F38" s="30" t="inlineStr">
        <is>
          <t>Textiles - Readymade Apparel</t>
        </is>
      </c>
      <c r="G38" s="30" t="inlineStr">
        <is>
          <t>smallcap</t>
        </is>
      </c>
      <c r="H38" s="31" t="n">
        <v>1080.13</v>
      </c>
      <c r="I38" s="31" t="n">
        <v>56.75</v>
      </c>
      <c r="J38" s="31" t="n">
        <v>1.76</v>
      </c>
      <c r="K38" s="31" t="n">
        <v>0</v>
      </c>
      <c r="L38" s="30" t="n">
        <v>80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83.8</v>
      </c>
      <c r="P38" s="31" t="n">
        <v>39.35</v>
      </c>
      <c r="Q38" s="31" t="n">
        <v>43.35</v>
      </c>
      <c r="R38" s="30" t="inlineStr">
        <is>
          <t>Volume Spike &amp; Near 52W High Breakout</t>
        </is>
      </c>
      <c r="S38" s="30" t="inlineStr">
        <is>
          <t>Nifty 50</t>
        </is>
      </c>
      <c r="T38" s="31" t="n">
        <v>-0.65</v>
      </c>
      <c r="U38" s="31" t="n">
        <v>67.62</v>
      </c>
      <c r="V38" s="31" t="n">
        <v>68.70999999999999</v>
      </c>
      <c r="W38" s="31" t="n">
        <v>24.45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22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ARVSMART</t>
        </is>
      </c>
      <c r="D39" s="30" t="inlineStr">
        <is>
          <t>Arvind SmartSpaces Ltd</t>
        </is>
      </c>
      <c r="E39" s="30" t="inlineStr">
        <is>
          <t>realty</t>
        </is>
      </c>
      <c r="F39" s="30" t="inlineStr">
        <is>
          <t>Realty - Construction &amp; Contracting</t>
        </is>
      </c>
      <c r="G39" s="30" t="inlineStr">
        <is>
          <t>smallcap</t>
        </is>
      </c>
      <c r="H39" s="31" t="n">
        <v>2917.14</v>
      </c>
      <c r="I39" s="31" t="n">
        <v>636</v>
      </c>
      <c r="J39" s="31" t="n">
        <v>-3.48</v>
      </c>
      <c r="K39" s="31" t="n">
        <v>0</v>
      </c>
      <c r="L39" s="30" t="n">
        <v>11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56.85</v>
      </c>
      <c r="P39" s="31" t="n">
        <v>25.99</v>
      </c>
      <c r="Q39" s="31" t="n">
        <v>511.4</v>
      </c>
      <c r="R39" s="30" t="inlineStr">
        <is>
          <t>Near 52W High Breakout</t>
        </is>
      </c>
      <c r="S39" s="30" t="inlineStr">
        <is>
          <t>Nifty Realty</t>
        </is>
      </c>
      <c r="T39" s="31" t="n">
        <v>-6.47</v>
      </c>
      <c r="U39" s="31" t="n">
        <v>1.83</v>
      </c>
      <c r="V39" s="31" t="n">
        <v>8.880000000000001</v>
      </c>
      <c r="W39" s="31" t="n">
        <v>2.07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20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3" t="inlineStr">
        <is>
          <t>KERNEX</t>
        </is>
      </c>
      <c r="D40" s="33" t="inlineStr">
        <is>
          <t>Kernex Microsystems (India) Ltd</t>
        </is>
      </c>
      <c r="E40" s="30" t="inlineStr">
        <is>
          <t>consumer discretionary</t>
        </is>
      </c>
      <c r="F40" s="30" t="inlineStr">
        <is>
          <t>Railways - Kavach/Springs</t>
        </is>
      </c>
      <c r="G40" s="30" t="inlineStr">
        <is>
          <t>smallcap</t>
        </is>
      </c>
      <c r="H40" s="31" t="n">
        <v>3995.57</v>
      </c>
      <c r="I40" s="31" t="n">
        <v>2377.8</v>
      </c>
      <c r="J40" s="31" t="n">
        <v>2.93</v>
      </c>
      <c r="K40" s="31" t="n">
        <v>0</v>
      </c>
      <c r="L40" s="30" t="n">
        <v>91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69.68000000000001</v>
      </c>
      <c r="P40" s="31" t="n">
        <v>62.78</v>
      </c>
      <c r="Q40" s="31" t="n">
        <v>1771.39</v>
      </c>
      <c r="R40" s="30" t="inlineStr">
        <is>
          <t>Near 52W High Breakout</t>
        </is>
      </c>
      <c r="S40" s="30" t="inlineStr">
        <is>
          <t>Nifty 50</t>
        </is>
      </c>
      <c r="T40" s="31" t="n">
        <v>-0.65</v>
      </c>
      <c r="U40" s="31" t="n">
        <v>115.65</v>
      </c>
      <c r="V40" s="31" t="n">
        <v>117.06</v>
      </c>
      <c r="W40" s="31" t="n">
        <v>33.36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Negative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20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3" t="inlineStr">
        <is>
          <t>CYIENTDLM</t>
        </is>
      </c>
      <c r="D41" s="33" t="inlineStr">
        <is>
          <t>Cyient DLM Ltd</t>
        </is>
      </c>
      <c r="E41" s="30" t="inlineStr">
        <is>
          <t>consumer discretionary</t>
        </is>
      </c>
      <c r="F41" s="30" t="inlineStr">
        <is>
          <t>Consumer Electronics - EMS</t>
        </is>
      </c>
      <c r="G41" s="30" t="inlineStr">
        <is>
          <t>midcap</t>
        </is>
      </c>
      <c r="H41" s="31" t="n">
        <v>5628.28</v>
      </c>
      <c r="I41" s="31" t="n">
        <v>709</v>
      </c>
      <c r="J41" s="31" t="n">
        <v>2.53</v>
      </c>
      <c r="K41" s="31" t="n">
        <v>0</v>
      </c>
      <c r="L41" s="30" t="n">
        <v>85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84.86</v>
      </c>
      <c r="P41" s="31" t="n">
        <v>60.09</v>
      </c>
      <c r="Q41" s="31" t="n">
        <v>553.01</v>
      </c>
      <c r="R41" s="30" t="inlineStr">
        <is>
          <t>Near 52W High Breakout</t>
        </is>
      </c>
      <c r="S41" s="30" t="inlineStr">
        <is>
          <t>Nifty 50</t>
        </is>
      </c>
      <c r="T41" s="31" t="n">
        <v>-0.65</v>
      </c>
      <c r="U41" s="31" t="n">
        <v>69.06999999999999</v>
      </c>
      <c r="V41" s="31" t="n">
        <v>70.17</v>
      </c>
      <c r="W41" s="31" t="n">
        <v>28.44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19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CRAFTSMAN</t>
        </is>
      </c>
      <c r="D42" s="30" t="inlineStr">
        <is>
          <t>Craftsman Automation Ltd</t>
        </is>
      </c>
      <c r="E42" s="30" t="inlineStr">
        <is>
          <t>auto</t>
        </is>
      </c>
      <c r="F42" s="30" t="inlineStr">
        <is>
          <t>Auto &amp; Auto Ancl - CV</t>
        </is>
      </c>
      <c r="G42" s="30" t="inlineStr">
        <is>
          <t>largecap</t>
        </is>
      </c>
      <c r="H42" s="31" t="n">
        <v>26939.07</v>
      </c>
      <c r="I42" s="31" t="n">
        <v>10300</v>
      </c>
      <c r="J42" s="31" t="n">
        <v>0.17</v>
      </c>
      <c r="K42" s="31" t="n">
        <v>0</v>
      </c>
      <c r="L42" s="30" t="n">
        <v>70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67.94</v>
      </c>
      <c r="P42" s="31" t="n">
        <v>62.39</v>
      </c>
      <c r="Q42" s="31" t="n">
        <v>8539.200000000001</v>
      </c>
      <c r="R42" s="30" t="inlineStr">
        <is>
          <t>Near 52W High Breakout</t>
        </is>
      </c>
      <c r="S42" s="30" t="inlineStr">
        <is>
          <t>Nifty Auto</t>
        </is>
      </c>
      <c r="T42" s="31" t="n">
        <v>23.87</v>
      </c>
      <c r="U42" s="31" t="n">
        <v>64.20999999999999</v>
      </c>
      <c r="V42" s="31" t="n">
        <v>32.56</v>
      </c>
      <c r="W42" s="31" t="n">
        <v>18.35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Between 0.7 to 1.2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19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UNIMECH</t>
        </is>
      </c>
      <c r="D43" s="30" t="inlineStr">
        <is>
          <t>Unimech Aerospace and Manufacturing Ltd</t>
        </is>
      </c>
      <c r="E43" s="30" t="inlineStr">
        <is>
          <t>aerospace &amp; defence</t>
        </is>
      </c>
      <c r="F43" s="30" t="inlineStr">
        <is>
          <t>Engineering - Heavy - General</t>
        </is>
      </c>
      <c r="G43" s="30" t="inlineStr">
        <is>
          <t>midcap</t>
        </is>
      </c>
      <c r="H43" s="31" t="n">
        <v>7250.99</v>
      </c>
      <c r="I43" s="31" t="n">
        <v>1424.5</v>
      </c>
      <c r="J43" s="31" t="n">
        <v>-1.91</v>
      </c>
      <c r="K43" s="31" t="n">
        <v>0</v>
      </c>
      <c r="L43" s="30" t="n">
        <v>69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68.56999999999999</v>
      </c>
      <c r="P43" s="31" t="n">
        <v>33.12</v>
      </c>
      <c r="Q43" s="31" t="n">
        <v>1087.06</v>
      </c>
      <c r="R43" s="30" t="inlineStr">
        <is>
          <t>Near 52W High Breakout</t>
        </is>
      </c>
      <c r="S43" s="30" t="inlineStr">
        <is>
          <t>Nifty 50</t>
        </is>
      </c>
      <c r="T43" s="31" t="n">
        <v>-0.65</v>
      </c>
      <c r="U43" s="31" t="n">
        <v>33.29</v>
      </c>
      <c r="V43" s="31" t="n">
        <v>34.16</v>
      </c>
      <c r="W43" s="31" t="n">
        <v>17.99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19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2" t="inlineStr">
        <is>
          <t>ENTERO</t>
        </is>
      </c>
      <c r="D44" s="32" t="inlineStr">
        <is>
          <t>Entero Healthcare Solutions Ltd</t>
        </is>
      </c>
      <c r="E44" s="30" t="inlineStr">
        <is>
          <t>healthcare</t>
        </is>
      </c>
      <c r="F44" s="30" t="inlineStr">
        <is>
          <t>Pharmacy Distribution</t>
        </is>
      </c>
      <c r="G44" s="30" t="inlineStr">
        <is>
          <t>midcap</t>
        </is>
      </c>
      <c r="H44" s="31" t="n">
        <v>6245.13</v>
      </c>
      <c r="I44" s="31" t="n">
        <v>1434.9</v>
      </c>
      <c r="J44" s="31" t="n">
        <v>9.109999999999999</v>
      </c>
      <c r="K44" s="31" t="n">
        <v>0</v>
      </c>
      <c r="L44" s="30" t="n">
        <v>33</v>
      </c>
      <c r="M44" s="30" t="inlineStr">
        <is>
          <t>Underperforming</t>
        </is>
      </c>
      <c r="N44" s="31">
        <f>IF(M44="Underperforming",-5,IF(L44&gt;=95,15,IF(L44&gt;=90,10,IF(L44&gt;=80,5,0))))</f>
        <v/>
      </c>
      <c r="O44" s="31" t="n">
        <v>65.45999999999999</v>
      </c>
      <c r="P44" s="31" t="n">
        <v>22.3</v>
      </c>
      <c r="Q44" s="31" t="n">
        <v>1104.6</v>
      </c>
      <c r="R44" s="30" t="inlineStr">
        <is>
          <t>Volume Spike &amp; Near 52W High Breakout</t>
        </is>
      </c>
      <c r="S44" s="30" t="inlineStr">
        <is>
          <t>Nifty Pharma</t>
        </is>
      </c>
      <c r="T44" s="31" t="n">
        <v>20.76</v>
      </c>
      <c r="U44" s="31" t="n">
        <v>18.3</v>
      </c>
      <c r="V44" s="31" t="n">
        <v>-2.03</v>
      </c>
      <c r="W44" s="31" t="n">
        <v>7.72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31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NEULANDLAB</t>
        </is>
      </c>
      <c r="D45" s="30" t="inlineStr">
        <is>
          <t>Neuland Laboratories Ltd</t>
        </is>
      </c>
      <c r="E45" s="30" t="inlineStr">
        <is>
          <t>healthcare</t>
        </is>
      </c>
      <c r="F45" s="30" t="inlineStr">
        <is>
          <t>Pharma - API &amp; CRAMS</t>
        </is>
      </c>
      <c r="G45" s="30" t="inlineStr">
        <is>
          <t>largecap</t>
        </is>
      </c>
      <c r="H45" s="31" t="n">
        <v>29508.74</v>
      </c>
      <c r="I45" s="31" t="n">
        <v>23000</v>
      </c>
      <c r="J45" s="31" t="n">
        <v>3.53</v>
      </c>
      <c r="K45" s="31" t="n">
        <v>0</v>
      </c>
      <c r="L45" s="30" t="n">
        <v>77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76.81</v>
      </c>
      <c r="P45" s="31" t="n">
        <v>52.39</v>
      </c>
      <c r="Q45" s="31" t="n">
        <v>18476.61</v>
      </c>
      <c r="R45" s="30" t="inlineStr">
        <is>
          <t>Near 52W High Breakout</t>
        </is>
      </c>
      <c r="S45" s="30" t="inlineStr">
        <is>
          <t>Nifty Pharma</t>
        </is>
      </c>
      <c r="T45" s="31" t="n">
        <v>20.76</v>
      </c>
      <c r="U45" s="31" t="n">
        <v>73.2</v>
      </c>
      <c r="V45" s="31" t="n">
        <v>43.43</v>
      </c>
      <c r="W45" s="31" t="n">
        <v>22.12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27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MOREPENLAB</t>
        </is>
      </c>
      <c r="D46" s="30" t="inlineStr">
        <is>
          <t>Morepen Laboratories Ltd</t>
        </is>
      </c>
      <c r="E46" s="30" t="inlineStr">
        <is>
          <t>healthcare</t>
        </is>
      </c>
      <c r="F46" s="30" t="inlineStr">
        <is>
          <t>Pharma - API &amp; CRAMS</t>
        </is>
      </c>
      <c r="G46" s="30" t="inlineStr">
        <is>
          <t>smallcap</t>
        </is>
      </c>
      <c r="H46" s="31" t="n">
        <v>4205.54</v>
      </c>
      <c r="I46" s="31" t="n">
        <v>76.75</v>
      </c>
      <c r="J46" s="31" t="n">
        <v>-3.04</v>
      </c>
      <c r="K46" s="31" t="n">
        <v>0</v>
      </c>
      <c r="L46" s="30" t="n">
        <v>89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73.56</v>
      </c>
      <c r="P46" s="31" t="n">
        <v>34.43</v>
      </c>
      <c r="Q46" s="31" t="n">
        <v>59.43</v>
      </c>
      <c r="R46" s="30" t="inlineStr">
        <is>
          <t>Near 52W High Breakout</t>
        </is>
      </c>
      <c r="S46" s="30" t="inlineStr">
        <is>
          <t>Nifty Pharma</t>
        </is>
      </c>
      <c r="T46" s="31" t="n">
        <v>20.76</v>
      </c>
      <c r="U46" s="31" t="n">
        <v>66.45999999999999</v>
      </c>
      <c r="V46" s="31" t="n">
        <v>37.84</v>
      </c>
      <c r="W46" s="31" t="n">
        <v>31.79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24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SBCL</t>
        </is>
      </c>
      <c r="D47" s="30" t="inlineStr">
        <is>
          <t>Shivalik Bimetal Controls Ltd</t>
        </is>
      </c>
      <c r="E47" s="30" t="inlineStr">
        <is>
          <t>metals &amp; mining</t>
        </is>
      </c>
      <c r="F47" s="30" t="inlineStr">
        <is>
          <t>Shunt Resistors</t>
        </is>
      </c>
      <c r="G47" s="30" t="inlineStr">
        <is>
          <t>midcap</t>
        </is>
      </c>
      <c r="H47" s="31" t="n">
        <v>5962.03</v>
      </c>
      <c r="I47" s="31" t="n">
        <v>1035</v>
      </c>
      <c r="J47" s="31" t="n">
        <v>-6.34</v>
      </c>
      <c r="K47" s="31" t="n">
        <v>0</v>
      </c>
      <c r="L47" s="30" t="n">
        <v>91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80.67</v>
      </c>
      <c r="P47" s="31" t="n">
        <v>46.52</v>
      </c>
      <c r="Q47" s="31" t="n">
        <v>796.4</v>
      </c>
      <c r="R47" s="30" t="inlineStr">
        <is>
          <t>Volume Spike &amp; Near 52W High Breakout</t>
        </is>
      </c>
      <c r="S47" s="30" t="inlineStr">
        <is>
          <t>Nifty Metal</t>
        </is>
      </c>
      <c r="T47" s="31" t="n">
        <v>39</v>
      </c>
      <c r="U47" s="31" t="n">
        <v>88.93000000000001</v>
      </c>
      <c r="V47" s="31" t="n">
        <v>35.92</v>
      </c>
      <c r="W47" s="31" t="n">
        <v>33.52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Monopoly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Shallow Cyclical (2 to 3 Years Growth)</t>
        </is>
      </c>
      <c r="AG47" s="30">
        <f>IF(AF47="Structural (10 Years Consistency)",10,IF(AF47="Shallow Cyclical (2 to 3 years growth)",5,0))</f>
        <v/>
      </c>
      <c r="AH47" s="30" t="inlineStr">
        <is>
          <t>Yes due to Product Mix change or Operating Leverage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Fully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Yes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Between 1.5 to 2</t>
        </is>
      </c>
      <c r="BU47" s="30">
        <f>IF(BT47="Above 2",0,IF(BT47="Between 1.5 to 2",5,IF(BT47="Less than 1.5",10,0)))</f>
        <v/>
      </c>
      <c r="BV47" s="30" t="inlineStr">
        <is>
          <t>Less than 50%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20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DIVISLAB</t>
        </is>
      </c>
      <c r="D48" s="30" t="inlineStr">
        <is>
          <t>Divis Laboratories Ltd</t>
        </is>
      </c>
      <c r="E48" s="30" t="inlineStr">
        <is>
          <t>healthcare</t>
        </is>
      </c>
      <c r="F48" s="30" t="inlineStr">
        <is>
          <t>Pharma - API &amp; CRAMS</t>
        </is>
      </c>
      <c r="G48" s="30" t="inlineStr">
        <is>
          <t>largecap</t>
        </is>
      </c>
      <c r="H48" s="31" t="n">
        <v>227732.22</v>
      </c>
      <c r="I48" s="31" t="n">
        <v>8578.5</v>
      </c>
      <c r="J48" s="31" t="n">
        <v>3.36</v>
      </c>
      <c r="K48" s="31" t="n">
        <v>0</v>
      </c>
      <c r="L48" s="30" t="n">
        <v>54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84.28</v>
      </c>
      <c r="P48" s="31" t="n">
        <v>31.33</v>
      </c>
      <c r="Q48" s="31" t="n">
        <v>7483.79</v>
      </c>
      <c r="R48" s="30" t="inlineStr">
        <is>
          <t>Near 52W High Breakout</t>
        </is>
      </c>
      <c r="S48" s="30" t="inlineStr">
        <is>
          <t>Nifty Pharma</t>
        </is>
      </c>
      <c r="T48" s="31" t="n">
        <v>20.76</v>
      </c>
      <c r="U48" s="31" t="n">
        <v>40.46</v>
      </c>
      <c r="V48" s="31" t="n">
        <v>16.32</v>
      </c>
      <c r="W48" s="31" t="n">
        <v>13.07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18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YASHO</t>
        </is>
      </c>
      <c r="D49" s="30" t="inlineStr">
        <is>
          <t>Yasho Industries Ltd</t>
        </is>
      </c>
      <c r="E49" s="30" t="inlineStr">
        <is>
          <t>chemicals</t>
        </is>
      </c>
      <c r="F49" s="30" t="inlineStr">
        <is>
          <t>Speciality Chemicals</t>
        </is>
      </c>
      <c r="G49" s="30" t="inlineStr">
        <is>
          <t>midcap</t>
        </is>
      </c>
      <c r="H49" s="31" t="n">
        <v>5136.32</v>
      </c>
      <c r="I49" s="31" t="n">
        <v>4260</v>
      </c>
      <c r="J49" s="31" t="n">
        <v>1.4</v>
      </c>
      <c r="K49" s="31" t="n">
        <v>0</v>
      </c>
      <c r="L49" s="30" t="n">
        <v>98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92.11</v>
      </c>
      <c r="P49" s="31" t="n">
        <v>65.09</v>
      </c>
      <c r="Q49" s="31" t="n">
        <v>3324.28</v>
      </c>
      <c r="R49" s="30" t="inlineStr">
        <is>
          <t>Near 52W High Breakout</t>
        </is>
      </c>
      <c r="S49" s="30" t="inlineStr">
        <is>
          <t>Nifty 50</t>
        </is>
      </c>
      <c r="T49" s="31" t="n">
        <v>-0.65</v>
      </c>
      <c r="U49" s="31" t="n">
        <v>147.09</v>
      </c>
      <c r="V49" s="31" t="n">
        <v>148.7</v>
      </c>
      <c r="W49" s="31" t="n">
        <v>62.04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More than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24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KRISHANA</t>
        </is>
      </c>
      <c r="D50" s="30" t="inlineStr">
        <is>
          <t>Krishana Phoschem Ltd</t>
        </is>
      </c>
      <c r="E50" s="30" t="inlineStr">
        <is>
          <t>chemicals</t>
        </is>
      </c>
      <c r="F50" s="30" t="inlineStr">
        <is>
          <t>Fertilisers</t>
        </is>
      </c>
      <c r="G50" s="30" t="inlineStr">
        <is>
          <t>midcap</t>
        </is>
      </c>
      <c r="H50" s="31" t="n">
        <v>5780.26</v>
      </c>
      <c r="I50" s="31" t="n">
        <v>186.98</v>
      </c>
      <c r="J50" s="31" t="n">
        <v>1.87</v>
      </c>
      <c r="K50" s="31" t="n">
        <v>0</v>
      </c>
      <c r="L50" s="30" t="n">
        <v>74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78.48999999999999</v>
      </c>
      <c r="P50" s="31" t="n">
        <v>46.21</v>
      </c>
      <c r="Q50" s="31" t="n">
        <v>146.73</v>
      </c>
      <c r="R50" s="30" t="inlineStr">
        <is>
          <t>Near 52W High Breakout</t>
        </is>
      </c>
      <c r="S50" s="30" t="inlineStr">
        <is>
          <t>Nifty 50</t>
        </is>
      </c>
      <c r="T50" s="31" t="n">
        <v>-0.65</v>
      </c>
      <c r="U50" s="31" t="n">
        <v>71.5</v>
      </c>
      <c r="V50" s="31" t="n">
        <v>72.62</v>
      </c>
      <c r="W50" s="31" t="n">
        <v>20.69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More than 1.2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22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KALYANKJIL</t>
        </is>
      </c>
      <c r="D51" s="30" t="inlineStr">
        <is>
          <t>Kalyan Jewellers India Ltd</t>
        </is>
      </c>
      <c r="E51" s="30" t="inlineStr">
        <is>
          <t>consumer discretionary</t>
        </is>
      </c>
      <c r="F51" s="30" t="inlineStr">
        <is>
          <t>Diamond, Gems &amp; Jewellery</t>
        </is>
      </c>
      <c r="G51" s="30" t="inlineStr">
        <is>
          <t>largecap</t>
        </is>
      </c>
      <c r="H51" s="31" t="n">
        <v>62192.26</v>
      </c>
      <c r="I51" s="31" t="n">
        <v>602.2</v>
      </c>
      <c r="J51" s="31" t="n">
        <v>0.32</v>
      </c>
      <c r="K51" s="31" t="n">
        <v>0</v>
      </c>
      <c r="L51" s="30" t="n">
        <v>74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70.84</v>
      </c>
      <c r="P51" s="31" t="n">
        <v>33.13</v>
      </c>
      <c r="Q51" s="31" t="n">
        <v>466.47</v>
      </c>
      <c r="R51" s="30" t="inlineStr">
        <is>
          <t>Near 52W High Breakout</t>
        </is>
      </c>
      <c r="S51" s="30" t="inlineStr">
        <is>
          <t>Nifty 50</t>
        </is>
      </c>
      <c r="T51" s="31" t="n">
        <v>-0.65</v>
      </c>
      <c r="U51" s="31" t="n">
        <v>13.21</v>
      </c>
      <c r="V51" s="31" t="n">
        <v>13.95</v>
      </c>
      <c r="W51" s="31" t="n">
        <v>20.62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Between 0.7 to 1.2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21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2" t="inlineStr">
        <is>
          <t>DPABHUSHAN</t>
        </is>
      </c>
      <c r="D52" s="32" t="inlineStr">
        <is>
          <t>DP Abhushan Ltd</t>
        </is>
      </c>
      <c r="E52" s="30" t="inlineStr">
        <is>
          <t>consumer discretionary</t>
        </is>
      </c>
      <c r="F52" s="30" t="inlineStr">
        <is>
          <t>Diamond, Gems &amp; Jewellery</t>
        </is>
      </c>
      <c r="G52" s="30" t="inlineStr">
        <is>
          <t>smallcap</t>
        </is>
      </c>
      <c r="H52" s="31" t="n">
        <v>3355.7</v>
      </c>
      <c r="I52" s="31" t="n">
        <v>1470</v>
      </c>
      <c r="J52" s="31" t="n">
        <v>-0.29</v>
      </c>
      <c r="K52" s="31" t="n">
        <v>0</v>
      </c>
      <c r="L52" s="30" t="n">
        <v>55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67.69</v>
      </c>
      <c r="P52" s="31" t="n">
        <v>33.81</v>
      </c>
      <c r="Q52" s="31" t="n">
        <v>1079.98</v>
      </c>
      <c r="R52" s="30" t="inlineStr">
        <is>
          <t>Earnings / Momentum Support</t>
        </is>
      </c>
      <c r="S52" s="30" t="inlineStr">
        <is>
          <t>Nifty 50</t>
        </is>
      </c>
      <c r="T52" s="31" t="n">
        <v>-0.65</v>
      </c>
      <c r="U52" s="31" t="n">
        <v>-9.449999999999999</v>
      </c>
      <c r="V52" s="31" t="n">
        <v>-8.859999999999999</v>
      </c>
      <c r="W52" s="31" t="n">
        <v>13.37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21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SIGMAADV</t>
        </is>
      </c>
      <c r="D53" s="30" t="inlineStr">
        <is>
          <t>Sigma Advanced System Ltd</t>
        </is>
      </c>
      <c r="E53" s="30" t="inlineStr">
        <is>
          <t>aerospace &amp; defence</t>
        </is>
      </c>
      <c r="F53" s="30" t="inlineStr">
        <is>
          <t>Aerospace &amp; Defence - Equipments</t>
        </is>
      </c>
      <c r="G53" s="30" t="inlineStr">
        <is>
          <t>midcap</t>
        </is>
      </c>
      <c r="H53" s="31" t="n">
        <v>13329.21</v>
      </c>
      <c r="I53" s="31" t="n">
        <v>701.8</v>
      </c>
      <c r="J53" s="31" t="n">
        <v>-0.31</v>
      </c>
      <c r="K53" s="31" t="n">
        <v>0</v>
      </c>
      <c r="L53" s="30" t="n">
        <v>98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78.33</v>
      </c>
      <c r="P53" s="31" t="n">
        <v>67.42</v>
      </c>
      <c r="Q53" s="31" t="n">
        <v>527.41</v>
      </c>
      <c r="R53" s="30" t="inlineStr">
        <is>
          <t>Near 52W High Breakout</t>
        </is>
      </c>
      <c r="S53" s="30" t="inlineStr">
        <is>
          <t>Nifty 50</t>
        </is>
      </c>
      <c r="T53" s="31" t="n">
        <v>-0.65</v>
      </c>
      <c r="U53" s="31" t="n">
        <v>521.14</v>
      </c>
      <c r="V53" s="31" t="n">
        <v>525.1900000000001</v>
      </c>
      <c r="W53" s="31" t="n">
        <v>76.22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Negative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20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PRECWIRE</t>
        </is>
      </c>
      <c r="D54" s="33" t="inlineStr">
        <is>
          <t>Precision Wires India Ltd</t>
        </is>
      </c>
      <c r="E54" s="30" t="inlineStr">
        <is>
          <t>metals &amp; mining</t>
        </is>
      </c>
      <c r="F54" s="30" t="inlineStr">
        <is>
          <t>Copper Wires</t>
        </is>
      </c>
      <c r="G54" s="30" t="inlineStr">
        <is>
          <t>midcap</t>
        </is>
      </c>
      <c r="H54" s="31" t="n">
        <v>7540.83</v>
      </c>
      <c r="I54" s="31" t="n">
        <v>412.5</v>
      </c>
      <c r="J54" s="31" t="n">
        <v>-4.8</v>
      </c>
      <c r="K54" s="31" t="n">
        <v>0</v>
      </c>
      <c r="L54" s="30" t="n">
        <v>77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60.83</v>
      </c>
      <c r="P54" s="31" t="n">
        <v>43.37</v>
      </c>
      <c r="Q54" s="31" t="n">
        <v>301.33</v>
      </c>
      <c r="R54" s="30" t="inlineStr">
        <is>
          <t>Near 52W High Breakout</t>
        </is>
      </c>
      <c r="S54" s="30" t="inlineStr">
        <is>
          <t>Nifty Metal</t>
        </is>
      </c>
      <c r="T54" s="31" t="n">
        <v>39</v>
      </c>
      <c r="U54" s="31" t="n">
        <v>128.61</v>
      </c>
      <c r="V54" s="31" t="n">
        <v>64.47</v>
      </c>
      <c r="W54" s="31" t="n">
        <v>22.4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Cyclical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Volatile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19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3" t="inlineStr">
        <is>
          <t>SAPL</t>
        </is>
      </c>
      <c r="D55" s="33" t="inlineStr">
        <is>
          <t>Sar Auto Products Ltd</t>
        </is>
      </c>
      <c r="E55" s="30" t="inlineStr">
        <is>
          <t>Consumer Cyclical</t>
        </is>
      </c>
      <c r="F55" s="30" t="inlineStr">
        <is>
          <t>Auto Ancillaries - Gears</t>
        </is>
      </c>
      <c r="G55" s="30" t="inlineStr">
        <is>
          <t>smallcap</t>
        </is>
      </c>
      <c r="H55" s="31" t="n">
        <v>1919.71</v>
      </c>
      <c r="I55" s="31" t="n">
        <v>4029</v>
      </c>
      <c r="J55" s="31" t="n">
        <v>4.63</v>
      </c>
      <c r="K55" s="31" t="n">
        <v>0</v>
      </c>
      <c r="L55" s="30" t="n">
        <v>93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73.84999999999999</v>
      </c>
      <c r="P55" s="31" t="n">
        <v>35.5</v>
      </c>
      <c r="Q55" s="31" t="n">
        <v>3233.4</v>
      </c>
      <c r="R55" s="30" t="inlineStr">
        <is>
          <t>Volume Spike &amp; Near 52W High Breakout</t>
        </is>
      </c>
      <c r="S55" s="30" t="inlineStr">
        <is>
          <t>Nifty Auto</t>
        </is>
      </c>
      <c r="T55" s="31" t="n">
        <v>23.87</v>
      </c>
      <c r="U55" s="31" t="n">
        <v>137</v>
      </c>
      <c r="V55" s="31" t="n">
        <v>91.33</v>
      </c>
      <c r="W55" s="31" t="n">
        <v>37.3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B2C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More than 1.2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19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3" t="inlineStr">
        <is>
          <t>AKUMS</t>
        </is>
      </c>
      <c r="D56" s="33" t="inlineStr">
        <is>
          <t>Akums Drugs &amp; Pharmaceuticals Ltd</t>
        </is>
      </c>
      <c r="E56" s="30" t="inlineStr">
        <is>
          <t>healthcare</t>
        </is>
      </c>
      <c r="F56" s="30" t="inlineStr">
        <is>
          <t>Pharma - Formulators</t>
        </is>
      </c>
      <c r="G56" s="30" t="inlineStr">
        <is>
          <t>midcap</t>
        </is>
      </c>
      <c r="H56" s="31" t="n">
        <v>11993.42</v>
      </c>
      <c r="I56" s="31" t="n">
        <v>762</v>
      </c>
      <c r="J56" s="31" t="n">
        <v>4.37</v>
      </c>
      <c r="K56" s="31" t="n">
        <v>0</v>
      </c>
      <c r="L56" s="30" t="n">
        <v>76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73.62</v>
      </c>
      <c r="P56" s="31" t="n">
        <v>50.7</v>
      </c>
      <c r="Q56" s="31" t="n">
        <v>617.11</v>
      </c>
      <c r="R56" s="30" t="inlineStr">
        <is>
          <t>Volume Spike &amp; Near 52W High Breakout</t>
        </is>
      </c>
      <c r="S56" s="30" t="inlineStr">
        <is>
          <t>Nifty Pharma</t>
        </is>
      </c>
      <c r="T56" s="31" t="n">
        <v>20.76</v>
      </c>
      <c r="U56" s="31" t="n">
        <v>62.45</v>
      </c>
      <c r="V56" s="31" t="n">
        <v>34.52</v>
      </c>
      <c r="W56" s="31" t="n">
        <v>21.37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Less than 12%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21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MACPOWER</t>
        </is>
      </c>
      <c r="D57" s="30" t="inlineStr">
        <is>
          <t>Macpower CNC Machines Ltd</t>
        </is>
      </c>
      <c r="E57" s="30" t="inlineStr">
        <is>
          <t>industrials</t>
        </is>
      </c>
      <c r="F57" s="30" t="inlineStr">
        <is>
          <t>CNC - Machines</t>
        </is>
      </c>
      <c r="G57" s="30" t="inlineStr">
        <is>
          <t>smallcap</t>
        </is>
      </c>
      <c r="H57" s="31" t="n">
        <v>1785.74</v>
      </c>
      <c r="I57" s="31" t="n">
        <v>1785</v>
      </c>
      <c r="J57" s="31" t="n">
        <v>-2.15</v>
      </c>
      <c r="K57" s="31" t="n">
        <v>0</v>
      </c>
      <c r="L57" s="30" t="n">
        <v>87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75.17</v>
      </c>
      <c r="P57" s="31" t="n">
        <v>31.31</v>
      </c>
      <c r="Q57" s="31" t="n">
        <v>1261.05</v>
      </c>
      <c r="R57" s="30" t="inlineStr">
        <is>
          <t>Near 52W High Breakout</t>
        </is>
      </c>
      <c r="S57" s="30" t="inlineStr">
        <is>
          <t>Nifty 50</t>
        </is>
      </c>
      <c r="T57" s="31" t="n">
        <v>-0.65</v>
      </c>
      <c r="U57" s="31" t="n">
        <v>106.03</v>
      </c>
      <c r="V57" s="31" t="n">
        <v>107.38</v>
      </c>
      <c r="W57" s="31" t="n">
        <v>29.81</v>
      </c>
      <c r="X57" s="30" t="inlineStr">
        <is>
          <t>Cyclical in an Upturn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30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CHENNPETRO</t>
        </is>
      </c>
      <c r="D58" s="30" t="inlineStr">
        <is>
          <t>Chennai Petroleum Corporation Ltd</t>
        </is>
      </c>
      <c r="E58" s="30" t="inlineStr">
        <is>
          <t>energy</t>
        </is>
      </c>
      <c r="F58" s="30" t="inlineStr">
        <is>
          <t>Refineries</t>
        </is>
      </c>
      <c r="G58" s="30" t="inlineStr">
        <is>
          <t>largecap</t>
        </is>
      </c>
      <c r="H58" s="31" t="n">
        <v>21115.64</v>
      </c>
      <c r="I58" s="31" t="n">
        <v>1418</v>
      </c>
      <c r="J58" s="31" t="n">
        <v>14.35</v>
      </c>
      <c r="K58" s="31" t="n">
        <v>0</v>
      </c>
      <c r="L58" s="30" t="n">
        <v>83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76.33</v>
      </c>
      <c r="P58" s="31" t="n">
        <v>49.4</v>
      </c>
      <c r="Q58" s="31" t="n">
        <v>1072.8</v>
      </c>
      <c r="R58" s="30" t="inlineStr">
        <is>
          <t>Volume Spike &amp; Near 52W High Breakout</t>
        </is>
      </c>
      <c r="S58" s="30" t="inlineStr">
        <is>
          <t>Nifty Energy</t>
        </is>
      </c>
      <c r="T58" s="31" t="n">
        <v>9.81</v>
      </c>
      <c r="U58" s="31" t="n">
        <v>119.77</v>
      </c>
      <c r="V58" s="31" t="n">
        <v>100.14</v>
      </c>
      <c r="W58" s="31" t="n">
        <v>26.73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Oligopoly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Cyclical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Volatile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28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KABRAEXTRU</t>
        </is>
      </c>
      <c r="D59" s="30" t="inlineStr">
        <is>
          <t>Kabra Extrusion Technik Ltd</t>
        </is>
      </c>
      <c r="E59" s="30" t="inlineStr">
        <is>
          <t>industrials</t>
        </is>
      </c>
      <c r="F59" s="30" t="inlineStr">
        <is>
          <t>Capital Goods - Engineering Heavy</t>
        </is>
      </c>
      <c r="G59" s="30" t="inlineStr">
        <is>
          <t>smallcap</t>
        </is>
      </c>
      <c r="H59" s="31" t="n">
        <v>1790.61</v>
      </c>
      <c r="I59" s="31" t="n">
        <v>512</v>
      </c>
      <c r="J59" s="31" t="n">
        <v>0.24</v>
      </c>
      <c r="K59" s="31" t="n">
        <v>0</v>
      </c>
      <c r="L59" s="30" t="n">
        <v>94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84.34999999999999</v>
      </c>
      <c r="P59" s="31" t="n">
        <v>33.69</v>
      </c>
      <c r="Q59" s="31" t="n">
        <v>381.47</v>
      </c>
      <c r="R59" s="30" t="inlineStr">
        <is>
          <t>Volume Spike &amp; Near 52W High Breakout</t>
        </is>
      </c>
      <c r="S59" s="30" t="inlineStr">
        <is>
          <t>Nifty Infra</t>
        </is>
      </c>
      <c r="T59" s="31" t="n">
        <v>3.51</v>
      </c>
      <c r="U59" s="31" t="n">
        <v>74.93000000000001</v>
      </c>
      <c r="V59" s="31" t="n">
        <v>69</v>
      </c>
      <c r="W59" s="31" t="n">
        <v>41.46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22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3" t="inlineStr">
        <is>
          <t>KSHINTL</t>
        </is>
      </c>
      <c r="D60" s="33" t="inlineStr">
        <is>
          <t>KSH International Ltd</t>
        </is>
      </c>
      <c r="E60" s="30" t="inlineStr">
        <is>
          <t>Industrials</t>
        </is>
      </c>
      <c r="F60" s="30" t="inlineStr">
        <is>
          <t>Electrical Equipments/HVDC</t>
        </is>
      </c>
      <c r="G60" s="30" t="inlineStr">
        <is>
          <t>midcap</t>
        </is>
      </c>
      <c r="H60" s="31" t="n">
        <v>6789.12</v>
      </c>
      <c r="I60" s="31" t="n">
        <v>1002</v>
      </c>
      <c r="J60" s="31" t="n">
        <v>11.26</v>
      </c>
      <c r="K60" s="31" t="n">
        <v>0</v>
      </c>
      <c r="L60" s="30" t="n">
        <v>87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81.79000000000001</v>
      </c>
      <c r="P60" s="31" t="n">
        <v>46.65</v>
      </c>
      <c r="Q60" s="31" t="n">
        <v>732.33</v>
      </c>
      <c r="R60" s="30" t="inlineStr">
        <is>
          <t>Volume Spike &amp; Near 52W High Breakout</t>
        </is>
      </c>
      <c r="S60" s="30" t="inlineStr">
        <is>
          <t>Nifty 50</t>
        </is>
      </c>
      <c r="T60" s="31" t="n">
        <v>-6.03</v>
      </c>
      <c r="U60" s="31" t="n">
        <v>187.99</v>
      </c>
      <c r="V60" s="31" t="n">
        <v>206.47</v>
      </c>
      <c r="W60" s="31" t="n">
        <v>29.63</v>
      </c>
      <c r="X60" s="30" t="inlineStr">
        <is>
          <t>Cyclical in an Upturn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Negative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21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IBULLSLTD</t>
        </is>
      </c>
      <c r="D61" s="30" t="inlineStr">
        <is>
          <t>Indiabulls Limited</t>
        </is>
      </c>
      <c r="E61" s="30" t="inlineStr">
        <is>
          <t>Real Estate</t>
        </is>
      </c>
      <c r="F61" s="30" t="inlineStr">
        <is>
          <t>Diversified</t>
        </is>
      </c>
      <c r="G61" s="30" t="inlineStr">
        <is>
          <t>midcap</t>
        </is>
      </c>
      <c r="H61" s="31" t="n">
        <v>6557.67</v>
      </c>
      <c r="I61" s="31" t="n">
        <v>28.15</v>
      </c>
      <c r="J61" s="31" t="n">
        <v>-1.98</v>
      </c>
      <c r="K61" s="31" t="n">
        <v>0</v>
      </c>
      <c r="L61" s="30" t="n">
        <v>90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64.69</v>
      </c>
      <c r="P61" s="31" t="n">
        <v>45.53</v>
      </c>
      <c r="Q61" s="31" t="n">
        <v>21.3</v>
      </c>
      <c r="R61" s="30" t="inlineStr">
        <is>
          <t>Earnings / Momentum Support</t>
        </is>
      </c>
      <c r="S61" s="30" t="inlineStr">
        <is>
          <t>Nifty Realty</t>
        </is>
      </c>
      <c r="T61" s="31" t="n">
        <v>-6.47</v>
      </c>
      <c r="U61" s="31" t="n">
        <v>81.59</v>
      </c>
      <c r="V61" s="31" t="n">
        <v>94.15000000000001</v>
      </c>
      <c r="W61" s="31" t="n">
        <v>33.33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No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Negative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20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AURUM</t>
        </is>
      </c>
      <c r="D62" s="30" t="inlineStr">
        <is>
          <t>Aurum Proptech Ltd</t>
        </is>
      </c>
      <c r="E62" s="30" t="inlineStr">
        <is>
          <t>Real Estate</t>
        </is>
      </c>
      <c r="F62" s="30" t="inlineStr">
        <is>
          <t>IT Enabled Services</t>
        </is>
      </c>
      <c r="G62" s="30" t="inlineStr">
        <is>
          <t>smallcap</t>
        </is>
      </c>
      <c r="H62" s="31" t="n">
        <v>1636.15</v>
      </c>
      <c r="I62" s="31" t="n">
        <v>227.01</v>
      </c>
      <c r="J62" s="31" t="n">
        <v>-1.84</v>
      </c>
      <c r="K62" s="31" t="n">
        <v>0</v>
      </c>
      <c r="L62" s="30" t="n">
        <v>41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63.74</v>
      </c>
      <c r="P62" s="31" t="n">
        <v>46.1</v>
      </c>
      <c r="Q62" s="31" t="n">
        <v>182.12</v>
      </c>
      <c r="R62" s="30" t="inlineStr">
        <is>
          <t>Near 52W High Breakout</t>
        </is>
      </c>
      <c r="S62" s="30" t="inlineStr">
        <is>
          <t>Nifty Realty</t>
        </is>
      </c>
      <c r="T62" s="31" t="n">
        <v>-6.47</v>
      </c>
      <c r="U62" s="31" t="n">
        <v>16.69</v>
      </c>
      <c r="V62" s="31" t="n">
        <v>24.76</v>
      </c>
      <c r="W62" s="31" t="n">
        <v>9.130000000000001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Negative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20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BLUESTONE</t>
        </is>
      </c>
      <c r="D63" s="30" t="inlineStr">
        <is>
          <t>Bluestone Jewellery &amp; Lifestyle Ltd</t>
        </is>
      </c>
      <c r="E63" s="30" t="inlineStr">
        <is>
          <t>Consumer Cyclical</t>
        </is>
      </c>
      <c r="F63" s="30" t="inlineStr">
        <is>
          <t>Diamond, Gems &amp; Jewellery</t>
        </is>
      </c>
      <c r="G63" s="30" t="inlineStr">
        <is>
          <t>midcap</t>
        </is>
      </c>
      <c r="H63" s="31" t="n">
        <v>12824.84</v>
      </c>
      <c r="I63" s="31" t="n">
        <v>839.6</v>
      </c>
      <c r="J63" s="31" t="n">
        <v>1.14</v>
      </c>
      <c r="K63" s="31" t="n">
        <v>0</v>
      </c>
      <c r="L63" s="30" t="n">
        <v>86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77.3</v>
      </c>
      <c r="P63" s="31" t="n">
        <v>33.16</v>
      </c>
      <c r="Q63" s="31" t="n">
        <v>618.53</v>
      </c>
      <c r="R63" s="30" t="inlineStr">
        <is>
          <t>Near 52W High Breakout</t>
        </is>
      </c>
      <c r="S63" s="30" t="inlineStr">
        <is>
          <t>Nifty 50</t>
        </is>
      </c>
      <c r="T63" s="31" t="n">
        <v>-1.6</v>
      </c>
      <c r="U63" s="31" t="n">
        <v>53.35</v>
      </c>
      <c r="V63" s="31" t="n">
        <v>55.85</v>
      </c>
      <c r="W63" s="31" t="n">
        <v>29.03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B2C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Between 0.7 to 1.2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19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3" t="inlineStr">
        <is>
          <t>AARTIPHARM</t>
        </is>
      </c>
      <c r="D64" s="33" t="inlineStr">
        <is>
          <t>Aarti Pharmalabs Ltd</t>
        </is>
      </c>
      <c r="E64" s="30" t="inlineStr">
        <is>
          <t>healthcare</t>
        </is>
      </c>
      <c r="F64" s="30" t="inlineStr">
        <is>
          <t>Pharma - API</t>
        </is>
      </c>
      <c r="G64" s="30" t="inlineStr">
        <is>
          <t>midcap</t>
        </is>
      </c>
      <c r="H64" s="31" t="n">
        <v>7969.85</v>
      </c>
      <c r="I64" s="31" t="n">
        <v>878.9</v>
      </c>
      <c r="J64" s="31" t="n">
        <v>6.79</v>
      </c>
      <c r="K64" s="31" t="n">
        <v>0</v>
      </c>
      <c r="L64" s="30" t="n">
        <v>37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68.92</v>
      </c>
      <c r="P64" s="31" t="n">
        <v>10.38</v>
      </c>
      <c r="Q64" s="31" t="n">
        <v>683.08</v>
      </c>
      <c r="R64" s="30" t="inlineStr">
        <is>
          <t>Volume Spike &amp; Near 52W High Breakout</t>
        </is>
      </c>
      <c r="S64" s="30" t="inlineStr">
        <is>
          <t>Nifty Pharma</t>
        </is>
      </c>
      <c r="T64" s="31" t="n">
        <v>20.76</v>
      </c>
      <c r="U64" s="31" t="n">
        <v>17.22</v>
      </c>
      <c r="V64" s="31" t="n">
        <v>-2.93</v>
      </c>
      <c r="W64" s="31" t="n">
        <v>8.550000000000001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22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COFORGE</t>
        </is>
      </c>
      <c r="D65" s="30" t="inlineStr">
        <is>
          <t>Coforge Ltd</t>
        </is>
      </c>
      <c r="E65" s="30" t="inlineStr">
        <is>
          <t>i.t</t>
        </is>
      </c>
      <c r="F65" s="30" t="inlineStr">
        <is>
          <t>IT - Software</t>
        </is>
      </c>
      <c r="G65" s="30" t="inlineStr">
        <is>
          <t>largecap</t>
        </is>
      </c>
      <c r="H65" s="31" t="n">
        <v>80567.24000000001</v>
      </c>
      <c r="I65" s="31" t="n">
        <v>1819</v>
      </c>
      <c r="J65" s="31" t="n">
        <v>0.5</v>
      </c>
      <c r="K65" s="31" t="n">
        <v>0</v>
      </c>
      <c r="L65" s="30" t="n">
        <v>53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68.2</v>
      </c>
      <c r="P65" s="31" t="n">
        <v>11.26</v>
      </c>
      <c r="Q65" s="31" t="n">
        <v>1442.9</v>
      </c>
      <c r="R65" s="30" t="inlineStr">
        <is>
          <t>Earnings / Momentum Support</t>
        </is>
      </c>
      <c r="S65" s="30" t="inlineStr">
        <is>
          <t>Nifty IT</t>
        </is>
      </c>
      <c r="T65" s="31" t="n">
        <v>-8.640000000000001</v>
      </c>
      <c r="U65" s="31" t="n">
        <v>11.81</v>
      </c>
      <c r="V65" s="31" t="n">
        <v>22.38</v>
      </c>
      <c r="W65" s="31" t="n">
        <v>12.98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0 to 20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20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RATEGAIN</t>
        </is>
      </c>
      <c r="D66" s="30" t="inlineStr">
        <is>
          <t>Rategain Travel Technologies Ltd</t>
        </is>
      </c>
      <c r="E66" s="30" t="inlineStr">
        <is>
          <t>Technology</t>
        </is>
      </c>
      <c r="F66" s="30" t="inlineStr">
        <is>
          <t>IT Product Companies</t>
        </is>
      </c>
      <c r="G66" s="30" t="inlineStr">
        <is>
          <t>midcap</t>
        </is>
      </c>
      <c r="H66" s="31" t="n">
        <v>10780.13</v>
      </c>
      <c r="I66" s="31" t="n">
        <v>910</v>
      </c>
      <c r="J66" s="31" t="n">
        <v>-2.42</v>
      </c>
      <c r="K66" s="31" t="n">
        <v>0</v>
      </c>
      <c r="L66" s="30" t="n">
        <v>81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66.70999999999999</v>
      </c>
      <c r="P66" s="31" t="n">
        <v>44.25</v>
      </c>
      <c r="Q66" s="31" t="n">
        <v>717.73</v>
      </c>
      <c r="R66" s="30" t="inlineStr">
        <is>
          <t>Near 52W High Breakout</t>
        </is>
      </c>
      <c r="S66" s="30" t="inlineStr">
        <is>
          <t>Nifty IT</t>
        </is>
      </c>
      <c r="T66" s="31" t="n">
        <v>-8.640000000000001</v>
      </c>
      <c r="U66" s="31" t="n">
        <v>86.01000000000001</v>
      </c>
      <c r="V66" s="31" t="n">
        <v>103.61</v>
      </c>
      <c r="W66" s="31" t="n">
        <v>25.28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Negative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20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SKYGOLD</t>
        </is>
      </c>
      <c r="D67" s="30" t="inlineStr">
        <is>
          <t>Sky Gold &amp; Diamonds Ltd</t>
        </is>
      </c>
      <c r="E67" s="30" t="inlineStr">
        <is>
          <t>consumer discretionary</t>
        </is>
      </c>
      <c r="F67" s="30" t="inlineStr">
        <is>
          <t>Diamond, Gems &amp; Jewellery</t>
        </is>
      </c>
      <c r="G67" s="30" t="inlineStr">
        <is>
          <t>midcap</t>
        </is>
      </c>
      <c r="H67" s="31" t="n">
        <v>12266.01</v>
      </c>
      <c r="I67" s="31" t="n">
        <v>792</v>
      </c>
      <c r="J67" s="31" t="n">
        <v>1.59</v>
      </c>
      <c r="K67" s="31" t="n">
        <v>0</v>
      </c>
      <c r="L67" s="30" t="n">
        <v>95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80.84999999999999</v>
      </c>
      <c r="P67" s="31" t="n">
        <v>61.03</v>
      </c>
      <c r="Q67" s="31" t="n">
        <v>607.24</v>
      </c>
      <c r="R67" s="30" t="inlineStr">
        <is>
          <t>Volume Spike &amp; Near 52W High Breakout</t>
        </is>
      </c>
      <c r="S67" s="30" t="inlineStr">
        <is>
          <t>Nifty 50</t>
        </is>
      </c>
      <c r="T67" s="31" t="n">
        <v>-0.65</v>
      </c>
      <c r="U67" s="31" t="n">
        <v>189.24</v>
      </c>
      <c r="V67" s="31" t="n">
        <v>191.12</v>
      </c>
      <c r="W67" s="31" t="n">
        <v>41.66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Negative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Between 0.7 to 1.2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33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LUMAXTECH</t>
        </is>
      </c>
      <c r="D68" s="33" t="inlineStr">
        <is>
          <t>Lumax Auto Technologies Ltd</t>
        </is>
      </c>
      <c r="E68" s="30" t="inlineStr">
        <is>
          <t>auto</t>
        </is>
      </c>
      <c r="F68" s="30" t="inlineStr">
        <is>
          <t>Auto Ancillaries - Diversified</t>
        </is>
      </c>
      <c r="G68" s="30" t="inlineStr">
        <is>
          <t>midcap</t>
        </is>
      </c>
      <c r="H68" s="31" t="n">
        <v>14074.57</v>
      </c>
      <c r="I68" s="31" t="n">
        <v>2065</v>
      </c>
      <c r="J68" s="31" t="n">
        <v>18.8</v>
      </c>
      <c r="K68" s="31" t="n">
        <v>0</v>
      </c>
      <c r="L68" s="30" t="n">
        <v>72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68.83</v>
      </c>
      <c r="P68" s="31" t="n">
        <v>14.37</v>
      </c>
      <c r="Q68" s="31" t="n">
        <v>1571.85</v>
      </c>
      <c r="R68" s="30" t="inlineStr">
        <is>
          <t>Volume Spike &amp; Near 52W High Breakout</t>
        </is>
      </c>
      <c r="S68" s="30" t="inlineStr">
        <is>
          <t>Nifty Auto</t>
        </is>
      </c>
      <c r="T68" s="31" t="n">
        <v>23.87</v>
      </c>
      <c r="U68" s="31" t="n">
        <v>101.76</v>
      </c>
      <c r="V68" s="31" t="n">
        <v>62.88</v>
      </c>
      <c r="W68" s="31" t="n">
        <v>19.56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0 to 20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Between 0.7 to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27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JGCHEM</t>
        </is>
      </c>
      <c r="D69" s="30" t="inlineStr">
        <is>
          <t>JGChemicals Ltd</t>
        </is>
      </c>
      <c r="E69" s="30" t="inlineStr">
        <is>
          <t>chemicals</t>
        </is>
      </c>
      <c r="F69" s="30" t="inlineStr">
        <is>
          <t>Chemicals - Inorganic</t>
        </is>
      </c>
      <c r="G69" s="30" t="inlineStr">
        <is>
          <t>smallcap</t>
        </is>
      </c>
      <c r="H69" s="31" t="n">
        <v>2433.45</v>
      </c>
      <c r="I69" s="31" t="n">
        <v>621</v>
      </c>
      <c r="J69" s="31" t="n">
        <v>-0.19</v>
      </c>
      <c r="K69" s="31" t="n">
        <v>0</v>
      </c>
      <c r="L69" s="30" t="n">
        <v>71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78.7</v>
      </c>
      <c r="P69" s="31" t="n">
        <v>31.29</v>
      </c>
      <c r="Q69" s="31" t="n">
        <v>487.38</v>
      </c>
      <c r="R69" s="30" t="inlineStr">
        <is>
          <t>Volume Spike &amp; Near 52W High Breakout</t>
        </is>
      </c>
      <c r="S69" s="30" t="inlineStr">
        <is>
          <t>Nifty 50</t>
        </is>
      </c>
      <c r="T69" s="31" t="n">
        <v>-0.65</v>
      </c>
      <c r="U69" s="31" t="n">
        <v>22.46</v>
      </c>
      <c r="V69" s="31" t="n">
        <v>23.26</v>
      </c>
      <c r="W69" s="31" t="n">
        <v>18.73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Between 12 to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Between 50% to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25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ASKAUTOLTD</t>
        </is>
      </c>
      <c r="D70" s="30" t="inlineStr">
        <is>
          <t>ASK Automotive Ltd</t>
        </is>
      </c>
      <c r="E70" s="30" t="inlineStr">
        <is>
          <t>auto</t>
        </is>
      </c>
      <c r="F70" s="30" t="inlineStr">
        <is>
          <t>Auto Ancillaries - 2 Wheelers</t>
        </is>
      </c>
      <c r="G70" s="30" t="inlineStr">
        <is>
          <t>midcap</t>
        </is>
      </c>
      <c r="H70" s="31" t="n">
        <v>12881.3</v>
      </c>
      <c r="I70" s="31" t="n">
        <v>653.4</v>
      </c>
      <c r="J70" s="31" t="n">
        <v>-0.34</v>
      </c>
      <c r="K70" s="31" t="n">
        <v>0</v>
      </c>
      <c r="L70" s="30" t="n">
        <v>69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80.94</v>
      </c>
      <c r="P70" s="31" t="n">
        <v>19.56</v>
      </c>
      <c r="Q70" s="31" t="n">
        <v>529.71</v>
      </c>
      <c r="R70" s="30" t="inlineStr">
        <is>
          <t>Near 52W High Breakout</t>
        </is>
      </c>
      <c r="S70" s="30" t="inlineStr">
        <is>
          <t>Nifty Auto</t>
        </is>
      </c>
      <c r="T70" s="31" t="n">
        <v>23.87</v>
      </c>
      <c r="U70" s="31" t="n">
        <v>29.18</v>
      </c>
      <c r="V70" s="31" t="n">
        <v>4.29</v>
      </c>
      <c r="W70" s="31" t="n">
        <v>18.1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0 to 20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24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PAYTM</t>
        </is>
      </c>
      <c r="D71" s="30" t="inlineStr">
        <is>
          <t>One 97 Communications Ltd</t>
        </is>
      </c>
      <c r="E71" s="30" t="inlineStr">
        <is>
          <t>i.t</t>
        </is>
      </c>
      <c r="F71" s="30" t="inlineStr">
        <is>
          <t>E-Commerce - Platform - Utility</t>
        </is>
      </c>
      <c r="G71" s="30" t="inlineStr">
        <is>
          <t>largecap</t>
        </is>
      </c>
      <c r="H71" s="31" t="n">
        <v>102177.38</v>
      </c>
      <c r="I71" s="31" t="n">
        <v>1593.7</v>
      </c>
      <c r="J71" s="31" t="n">
        <v>0.61</v>
      </c>
      <c r="K71" s="31" t="n">
        <v>0</v>
      </c>
      <c r="L71" s="30" t="n">
        <v>65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73.2</v>
      </c>
      <c r="P71" s="31" t="n">
        <v>18.51</v>
      </c>
      <c r="Q71" s="31" t="n">
        <v>1271.36</v>
      </c>
      <c r="R71" s="30" t="inlineStr">
        <is>
          <t>Volume Spike &amp; Near 52W High Breakout</t>
        </is>
      </c>
      <c r="S71" s="30" t="inlineStr">
        <is>
          <t>Nifty IT</t>
        </is>
      </c>
      <c r="T71" s="31" t="n">
        <v>-8.640000000000001</v>
      </c>
      <c r="U71" s="31" t="n">
        <v>38.43</v>
      </c>
      <c r="V71" s="31" t="n">
        <v>51.52</v>
      </c>
      <c r="W71" s="31" t="n">
        <v>16.35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Oligopoly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Between 1.5 to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22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COMSYN</t>
        </is>
      </c>
      <c r="D72" s="30" t="inlineStr">
        <is>
          <t>Commercial Syn Bags Ltd</t>
        </is>
      </c>
      <c r="E72" s="30" t="inlineStr">
        <is>
          <t>industrials</t>
        </is>
      </c>
      <c r="F72" s="30" t="inlineStr">
        <is>
          <t>Packaging - Polysacks</t>
        </is>
      </c>
      <c r="G72" s="30" t="inlineStr">
        <is>
          <t>smallcap</t>
        </is>
      </c>
      <c r="H72" s="31" t="n">
        <v>1079.88</v>
      </c>
      <c r="I72" s="31" t="n">
        <v>267.7</v>
      </c>
      <c r="J72" s="31" t="n">
        <v>-0.49</v>
      </c>
      <c r="K72" s="31" t="n">
        <v>0</v>
      </c>
      <c r="L72" s="30" t="n">
        <v>89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79.31999999999999</v>
      </c>
      <c r="P72" s="31" t="n">
        <v>59.52</v>
      </c>
      <c r="Q72" s="31" t="n">
        <v>198.3</v>
      </c>
      <c r="R72" s="30" t="inlineStr">
        <is>
          <t>Volume Spike &amp; Near 52W High Breakout</t>
        </is>
      </c>
      <c r="S72" s="30" t="inlineStr">
        <is>
          <t>Nifty 50</t>
        </is>
      </c>
      <c r="T72" s="31" t="n">
        <v>-0.65</v>
      </c>
      <c r="U72" s="31" t="n">
        <v>89.54000000000001</v>
      </c>
      <c r="V72" s="31" t="n">
        <v>90.78</v>
      </c>
      <c r="W72" s="31" t="n">
        <v>32.62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Less than 12%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20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MAHLIFE</t>
        </is>
      </c>
      <c r="D73" s="30" t="inlineStr">
        <is>
          <t>Mahindra Lifespace Developers Ltd</t>
        </is>
      </c>
      <c r="E73" s="30" t="inlineStr">
        <is>
          <t>Real Estate</t>
        </is>
      </c>
      <c r="F73" s="30" t="inlineStr">
        <is>
          <t>Construction &amp; Contracting</t>
        </is>
      </c>
      <c r="G73" s="30" t="inlineStr">
        <is>
          <t>midcap</t>
        </is>
      </c>
      <c r="H73" s="31" t="n">
        <v>8178.61</v>
      </c>
      <c r="I73" s="31" t="n">
        <v>383.3</v>
      </c>
      <c r="J73" s="31" t="n">
        <v>-0.92</v>
      </c>
      <c r="K73" s="31" t="n">
        <v>0</v>
      </c>
      <c r="L73" s="30" t="n">
        <v>25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58.78</v>
      </c>
      <c r="P73" s="31" t="n">
        <v>15.66</v>
      </c>
      <c r="Q73" s="31" t="n">
        <v>321.34</v>
      </c>
      <c r="R73" s="30" t="inlineStr">
        <is>
          <t>Earnings / Momentum Support</t>
        </is>
      </c>
      <c r="S73" s="30" t="inlineStr">
        <is>
          <t>Nifty Realty</t>
        </is>
      </c>
      <c r="T73" s="31" t="n">
        <v>-6.47</v>
      </c>
      <c r="U73" s="31" t="n">
        <v>4.4</v>
      </c>
      <c r="V73" s="31" t="n">
        <v>11.62</v>
      </c>
      <c r="W73" s="31" t="n">
        <v>5.76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0 to 20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20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MMFL</t>
        </is>
      </c>
      <c r="D74" s="30" t="inlineStr">
        <is>
          <t>M M Forgings Ltd</t>
        </is>
      </c>
      <c r="E74" s="30" t="inlineStr">
        <is>
          <t>industrials</t>
        </is>
      </c>
      <c r="F74" s="30" t="inlineStr">
        <is>
          <t>Castings, Forgings &amp; Fastners</t>
        </is>
      </c>
      <c r="G74" s="30" t="inlineStr">
        <is>
          <t>smallcap</t>
        </is>
      </c>
      <c r="H74" s="31" t="n">
        <v>3112.23</v>
      </c>
      <c r="I74" s="31" t="n">
        <v>644.6</v>
      </c>
      <c r="J74" s="31" t="n">
        <v>-2.07</v>
      </c>
      <c r="K74" s="31" t="n">
        <v>0</v>
      </c>
      <c r="L74" s="30" t="n">
        <v>85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77.69</v>
      </c>
      <c r="P74" s="31" t="n">
        <v>21.15</v>
      </c>
      <c r="Q74" s="31" t="n">
        <v>505.99</v>
      </c>
      <c r="R74" s="30" t="inlineStr">
        <is>
          <t>Near 52W High Breakout</t>
        </is>
      </c>
      <c r="S74" s="30" t="inlineStr">
        <is>
          <t>Nifty 50</t>
        </is>
      </c>
      <c r="T74" s="31" t="n">
        <v>-0.65</v>
      </c>
      <c r="U74" s="31" t="n">
        <v>117.59</v>
      </c>
      <c r="V74" s="31" t="n">
        <v>119.01</v>
      </c>
      <c r="W74" s="31" t="n">
        <v>28.44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More than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20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3" t="inlineStr">
        <is>
          <t>INDSWFTLAB</t>
        </is>
      </c>
      <c r="D75" s="33" t="inlineStr">
        <is>
          <t>Ind-Swift Laboratories Ltd</t>
        </is>
      </c>
      <c r="E75" s="30" t="inlineStr">
        <is>
          <t>healthcare</t>
        </is>
      </c>
      <c r="F75" s="30" t="inlineStr">
        <is>
          <t>Pharma - API</t>
        </is>
      </c>
      <c r="G75" s="30" t="inlineStr">
        <is>
          <t>smallcap</t>
        </is>
      </c>
      <c r="H75" s="31" t="n">
        <v>2475.62</v>
      </c>
      <c r="I75" s="31" t="n">
        <v>284.68</v>
      </c>
      <c r="J75" s="31" t="n">
        <v>20</v>
      </c>
      <c r="K75" s="31" t="n">
        <v>0</v>
      </c>
      <c r="L75" s="30" t="n">
        <v>97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82.28</v>
      </c>
      <c r="P75" s="31" t="n">
        <v>60.28</v>
      </c>
      <c r="Q75" s="31" t="n">
        <v>218.35</v>
      </c>
      <c r="R75" s="30" t="inlineStr">
        <is>
          <t>Volume Spike &amp; Near 52W High Breakout</t>
        </is>
      </c>
      <c r="S75" s="30" t="inlineStr">
        <is>
          <t>Nifty Pharma</t>
        </is>
      </c>
      <c r="T75" s="31" t="n">
        <v>20.76</v>
      </c>
      <c r="U75" s="31" t="n">
        <v>180.64</v>
      </c>
      <c r="V75" s="31" t="n">
        <v>132.39</v>
      </c>
      <c r="W75" s="31" t="n">
        <v>51.41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Yes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Annuity, Lower One Time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Above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Less than 12%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Negative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26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SOTL</t>
        </is>
      </c>
      <c r="D76" s="30" t="inlineStr">
        <is>
          <t>Savita Oil Technologies Ltd</t>
        </is>
      </c>
      <c r="E76" s="30" t="inlineStr">
        <is>
          <t>energy</t>
        </is>
      </c>
      <c r="F76" s="30" t="inlineStr">
        <is>
          <t>Petrochem - Others</t>
        </is>
      </c>
      <c r="G76" s="30" t="inlineStr">
        <is>
          <t>smallcap</t>
        </is>
      </c>
      <c r="H76" s="31" t="n">
        <v>4799.23</v>
      </c>
      <c r="I76" s="31" t="n">
        <v>700</v>
      </c>
      <c r="J76" s="31" t="n">
        <v>1.3</v>
      </c>
      <c r="K76" s="31" t="n">
        <v>0</v>
      </c>
      <c r="L76" s="30" t="n">
        <v>92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65.90000000000001</v>
      </c>
      <c r="P76" s="31" t="n">
        <v>50.07</v>
      </c>
      <c r="Q76" s="31" t="n">
        <v>544.65</v>
      </c>
      <c r="R76" s="30" t="inlineStr">
        <is>
          <t>Earnings / Momentum Support</t>
        </is>
      </c>
      <c r="S76" s="30" t="inlineStr">
        <is>
          <t>Nifty Energy</t>
        </is>
      </c>
      <c r="T76" s="31" t="n">
        <v>9.81</v>
      </c>
      <c r="U76" s="31" t="n">
        <v>75</v>
      </c>
      <c r="V76" s="31" t="n">
        <v>59.37</v>
      </c>
      <c r="W76" s="31" t="n">
        <v>35.04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Oligopoly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Cyclical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Volatile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27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2" t="inlineStr">
        <is>
          <t>BOSCH-HCIL</t>
        </is>
      </c>
      <c r="D77" s="32" t="inlineStr">
        <is>
          <t>Bosch Home Comfort India Ltd</t>
        </is>
      </c>
      <c r="E77" s="30" t="inlineStr">
        <is>
          <t>consumer discretionary</t>
        </is>
      </c>
      <c r="F77" s="30" t="inlineStr">
        <is>
          <t>Consumer Electronics</t>
        </is>
      </c>
      <c r="G77" s="30" t="inlineStr">
        <is>
          <t>smallcap</t>
        </is>
      </c>
      <c r="H77" s="31" t="n">
        <v>4649.64</v>
      </c>
      <c r="I77" s="31" t="n">
        <v>1710</v>
      </c>
      <c r="J77" s="31" t="n">
        <v>0.05</v>
      </c>
      <c r="K77" s="31" t="n">
        <v>0</v>
      </c>
      <c r="L77" s="30" t="n">
        <v>22</v>
      </c>
      <c r="M77" s="30" t="inlineStr">
        <is>
          <t>Underperforming</t>
        </is>
      </c>
      <c r="N77" s="31">
        <f>IF(M77="Underperforming",-5,IF(L77&gt;=95,15,IF(L77&gt;=90,10,IF(L77&gt;=80,5,0))))</f>
        <v/>
      </c>
      <c r="O77" s="31" t="n">
        <v>68.79000000000001</v>
      </c>
      <c r="P77" s="31" t="n">
        <v>17.51</v>
      </c>
      <c r="Q77" s="31" t="n">
        <v>1367.82</v>
      </c>
      <c r="R77" s="30" t="inlineStr">
        <is>
          <t>Near 52W High Breakout</t>
        </is>
      </c>
      <c r="S77" s="30" t="inlineStr">
        <is>
          <t>Nifty 50</t>
        </is>
      </c>
      <c r="T77" s="31" t="n">
        <v>-0.65</v>
      </c>
      <c r="U77" s="31" t="n">
        <v>-1.48</v>
      </c>
      <c r="V77" s="31" t="n">
        <v>-0.84</v>
      </c>
      <c r="W77" s="31" t="n">
        <v>5.09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0 to 20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Less than 12%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21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PNGJL</t>
        </is>
      </c>
      <c r="D78" s="30" t="inlineStr">
        <is>
          <t>P N Gadgil Jewellers Ltd</t>
        </is>
      </c>
      <c r="E78" s="30" t="inlineStr">
        <is>
          <t>Consumer Cyclical</t>
        </is>
      </c>
      <c r="F78" s="30" t="inlineStr">
        <is>
          <t>Diamond, Gems &amp; Jewellery</t>
        </is>
      </c>
      <c r="G78" s="30" t="inlineStr">
        <is>
          <t>midcap</t>
        </is>
      </c>
      <c r="H78" s="31" t="n">
        <v>9273.76</v>
      </c>
      <c r="I78" s="31" t="n">
        <v>630</v>
      </c>
      <c r="J78" s="31" t="n">
        <v>-1.2</v>
      </c>
      <c r="K78" s="31" t="n">
        <v>0</v>
      </c>
      <c r="L78" s="30" t="n">
        <v>19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54.29</v>
      </c>
      <c r="P78" s="31" t="n">
        <v>11.53</v>
      </c>
      <c r="Q78" s="31" t="n">
        <v>518.77</v>
      </c>
      <c r="R78" s="30" t="inlineStr">
        <is>
          <t>Earnings / Momentum Support</t>
        </is>
      </c>
      <c r="S78" s="30" t="inlineStr">
        <is>
          <t>Nifty 50</t>
        </is>
      </c>
      <c r="T78" s="31" t="n">
        <v>-0.65</v>
      </c>
      <c r="U78" s="31" t="n">
        <v>11.59</v>
      </c>
      <c r="V78" s="31" t="n">
        <v>12.31</v>
      </c>
      <c r="W78" s="31" t="n">
        <v>4.57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B2C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0 to 20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Between 0.7 to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20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2" t="inlineStr">
        <is>
          <t>DEEPAKNTR</t>
        </is>
      </c>
      <c r="D79" s="32" t="inlineStr">
        <is>
          <t>Deepak Nitrite Ltd</t>
        </is>
      </c>
      <c r="E79" s="30" t="inlineStr">
        <is>
          <t>chemicals</t>
        </is>
      </c>
      <c r="F79" s="30" t="inlineStr">
        <is>
          <t>Chemicals - Inorganic</t>
        </is>
      </c>
      <c r="G79" s="30" t="inlineStr">
        <is>
          <t>largecap</t>
        </is>
      </c>
      <c r="H79" s="31" t="n">
        <v>24264.32</v>
      </c>
      <c r="I79" s="31" t="n">
        <v>1779</v>
      </c>
      <c r="J79" s="31" t="n">
        <v>-0.01</v>
      </c>
      <c r="K79" s="31" t="n">
        <v>0</v>
      </c>
      <c r="L79" s="30" t="n">
        <v>3</v>
      </c>
      <c r="M79" s="30" t="inlineStr">
        <is>
          <t>Underperforming</t>
        </is>
      </c>
      <c r="N79" s="31">
        <f>IF(M79="Underperforming",-5,IF(L79&gt;=95,15,IF(L79&gt;=90,10,IF(L79&gt;=80,5,0))))</f>
        <v/>
      </c>
      <c r="O79" s="31" t="n">
        <v>58.41</v>
      </c>
      <c r="P79" s="31" t="n">
        <v>13.91</v>
      </c>
      <c r="Q79" s="31" t="n">
        <v>1487.65</v>
      </c>
      <c r="R79" s="30" t="inlineStr">
        <is>
          <t>Near 52W High Breakout</t>
        </is>
      </c>
      <c r="S79" s="30" t="inlineStr">
        <is>
          <t>Nifty 50</t>
        </is>
      </c>
      <c r="T79" s="31" t="n">
        <v>-0.65</v>
      </c>
      <c r="U79" s="31" t="n">
        <v>-3.43</v>
      </c>
      <c r="V79" s="31" t="n">
        <v>-2.8</v>
      </c>
      <c r="W79" s="31" t="n">
        <v>-0.87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0 to 20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18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RBA</t>
        </is>
      </c>
      <c r="D80" s="30" t="inlineStr">
        <is>
          <t>Restaurant Brands Asia Ltd</t>
        </is>
      </c>
      <c r="E80" s="30" t="inlineStr">
        <is>
          <t>consumer discretionary</t>
        </is>
      </c>
      <c r="F80" s="30" t="inlineStr">
        <is>
          <t>Quick Service Restaurant - QSR</t>
        </is>
      </c>
      <c r="G80" s="30" t="inlineStr">
        <is>
          <t>midcap</t>
        </is>
      </c>
      <c r="H80" s="31" t="n">
        <v>6586.96</v>
      </c>
      <c r="I80" s="31" t="n">
        <v>92.55</v>
      </c>
      <c r="J80" s="31" t="n">
        <v>2.57</v>
      </c>
      <c r="K80" s="31" t="n">
        <v>0</v>
      </c>
      <c r="L80" s="30" t="n">
        <v>51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70.38</v>
      </c>
      <c r="P80" s="31" t="n">
        <v>27.97</v>
      </c>
      <c r="Q80" s="31" t="n">
        <v>76.23999999999999</v>
      </c>
      <c r="R80" s="30" t="inlineStr">
        <is>
          <t>Near 52W High Breakout</t>
        </is>
      </c>
      <c r="S80" s="30" t="inlineStr">
        <is>
          <t>Nifty 50</t>
        </is>
      </c>
      <c r="T80" s="31" t="n">
        <v>-0.65</v>
      </c>
      <c r="U80" s="31" t="n">
        <v>17.59</v>
      </c>
      <c r="V80" s="31" t="n">
        <v>18.36</v>
      </c>
      <c r="W80" s="31" t="n">
        <v>12.19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More than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18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THEJO</t>
        </is>
      </c>
      <c r="D81" s="33" t="inlineStr">
        <is>
          <t>Thejo Engineering Ltd</t>
        </is>
      </c>
      <c r="E81" s="30" t="inlineStr">
        <is>
          <t>industrials</t>
        </is>
      </c>
      <c r="F81" s="30" t="inlineStr">
        <is>
          <t>Capital Goods - Others</t>
        </is>
      </c>
      <c r="G81" s="30" t="inlineStr">
        <is>
          <t>smallcap</t>
        </is>
      </c>
      <c r="H81" s="31" t="n">
        <v>2364.75</v>
      </c>
      <c r="I81" s="31" t="n">
        <v>2180</v>
      </c>
      <c r="J81" s="31" t="n">
        <v>-1.59</v>
      </c>
      <c r="K81" s="31" t="n">
        <v>0</v>
      </c>
      <c r="L81" s="30" t="n">
        <v>35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66.56999999999999</v>
      </c>
      <c r="P81" s="31" t="n">
        <v>25</v>
      </c>
      <c r="Q81" s="31" t="n">
        <v>1761.46</v>
      </c>
      <c r="R81" s="30" t="inlineStr">
        <is>
          <t>Near 52W High Breakout</t>
        </is>
      </c>
      <c r="S81" s="30" t="inlineStr">
        <is>
          <t>Nifty 50</t>
        </is>
      </c>
      <c r="T81" s="31" t="n">
        <v>-0.65</v>
      </c>
      <c r="U81" s="31" t="n">
        <v>14.09</v>
      </c>
      <c r="V81" s="31" t="n">
        <v>14.84</v>
      </c>
      <c r="W81" s="31" t="n">
        <v>8.31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Less than 12%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Between 50% to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EMIL</t>
        </is>
      </c>
      <c r="D82" s="30" t="inlineStr">
        <is>
          <t>Electronics Mart India Ltd</t>
        </is>
      </c>
      <c r="E82" s="30" t="inlineStr">
        <is>
          <t>consumer discretionary</t>
        </is>
      </c>
      <c r="F82" s="30" t="inlineStr">
        <is>
          <t>Retail - Electronics</t>
        </is>
      </c>
      <c r="G82" s="30" t="inlineStr">
        <is>
          <t>midcap</t>
        </is>
      </c>
      <c r="H82" s="31" t="n">
        <v>7118.62</v>
      </c>
      <c r="I82" s="31" t="n">
        <v>185.02</v>
      </c>
      <c r="J82" s="31" t="n">
        <v>2.35</v>
      </c>
      <c r="K82" s="31" t="n">
        <v>0</v>
      </c>
      <c r="L82" s="30" t="n">
        <v>78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76.55</v>
      </c>
      <c r="P82" s="31" t="n">
        <v>26.7</v>
      </c>
      <c r="Q82" s="31" t="n">
        <v>141</v>
      </c>
      <c r="R82" s="30" t="inlineStr">
        <is>
          <t>Volume Spike &amp; Near 52W High Breakout</t>
        </is>
      </c>
      <c r="S82" s="30" t="inlineStr">
        <is>
          <t>Nifty 50</t>
        </is>
      </c>
      <c r="T82" s="31" t="n">
        <v>-0.65</v>
      </c>
      <c r="U82" s="31" t="n">
        <v>54.97</v>
      </c>
      <c r="V82" s="31" t="n">
        <v>55.98</v>
      </c>
      <c r="W82" s="31" t="n">
        <v>22.76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B2C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More than 1.2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30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NAVINFLUOR</t>
        </is>
      </c>
      <c r="D83" s="30" t="inlineStr">
        <is>
          <t>Navin Fluorine International Ltd</t>
        </is>
      </c>
      <c r="E83" s="30" t="inlineStr">
        <is>
          <t>chemicals</t>
        </is>
      </c>
      <c r="F83" s="30" t="inlineStr">
        <is>
          <t>Chemicals - Flourine</t>
        </is>
      </c>
      <c r="G83" s="30" t="inlineStr">
        <is>
          <t>largecap</t>
        </is>
      </c>
      <c r="H83" s="31" t="n">
        <v>41943.08</v>
      </c>
      <c r="I83" s="31" t="n">
        <v>8175</v>
      </c>
      <c r="J83" s="31" t="n">
        <v>-0.26</v>
      </c>
      <c r="K83" s="31" t="n">
        <v>0</v>
      </c>
      <c r="L83" s="30" t="n">
        <v>56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71.3</v>
      </c>
      <c r="P83" s="31" t="n">
        <v>55.5</v>
      </c>
      <c r="Q83" s="31" t="n">
        <v>6830.47</v>
      </c>
      <c r="R83" s="30" t="inlineStr">
        <is>
          <t>Near 52W High Breakout</t>
        </is>
      </c>
      <c r="S83" s="30" t="inlineStr">
        <is>
          <t>Nifty 50</t>
        </is>
      </c>
      <c r="T83" s="31" t="n">
        <v>-0.65</v>
      </c>
      <c r="U83" s="31" t="n">
        <v>63.56</v>
      </c>
      <c r="V83" s="31" t="n">
        <v>64.62</v>
      </c>
      <c r="W83" s="31" t="n">
        <v>13.93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Oligopoly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Shallow Cyclical (2 to 3 Years Growth)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3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Between 50% to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21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3" t="inlineStr">
        <is>
          <t>SVRL</t>
        </is>
      </c>
      <c r="D84" s="33" t="inlineStr">
        <is>
          <t>Shri Venkatesh Refineries Ltd</t>
        </is>
      </c>
      <c r="E84" s="30" t="inlineStr">
        <is>
          <t>Consumer Defensive</t>
        </is>
      </c>
      <c r="F84" s="30" t="inlineStr">
        <is>
          <t>Solvent Extraction</t>
        </is>
      </c>
      <c r="G84" s="30" t="inlineStr">
        <is>
          <t>smallcap</t>
        </is>
      </c>
      <c r="H84" s="31" t="n">
        <v>1164.8</v>
      </c>
      <c r="I84" s="31" t="n">
        <v>526.6</v>
      </c>
      <c r="J84" s="31" t="n">
        <v>4.97</v>
      </c>
      <c r="K84" s="31" t="n">
        <v>0</v>
      </c>
      <c r="L84" s="30" t="n">
        <v>96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84.08</v>
      </c>
      <c r="P84" s="31" t="n">
        <v>29.41</v>
      </c>
      <c r="Q84" s="31" t="n">
        <v>400.92</v>
      </c>
      <c r="R84" s="30" t="inlineStr">
        <is>
          <t>Near 52W High Breakout</t>
        </is>
      </c>
      <c r="S84" s="30" t="inlineStr">
        <is>
          <t>Nifty 50</t>
        </is>
      </c>
      <c r="T84" s="31" t="n">
        <v>-0.65</v>
      </c>
      <c r="U84" s="31" t="n">
        <v>117.14</v>
      </c>
      <c r="V84" s="31" t="n">
        <v>118.55</v>
      </c>
      <c r="W84" s="31" t="n">
        <v>44.58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Negative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More than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19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APCOTEXIND</t>
        </is>
      </c>
      <c r="D85" s="30" t="inlineStr">
        <is>
          <t>Apcotex Industries Ltd</t>
        </is>
      </c>
      <c r="E85" s="30" t="inlineStr">
        <is>
          <t>chemicals</t>
        </is>
      </c>
      <c r="F85" s="30" t="inlineStr">
        <is>
          <t>Rubber Processing/Rubber Products</t>
        </is>
      </c>
      <c r="G85" s="30" t="inlineStr">
        <is>
          <t>smallcap</t>
        </is>
      </c>
      <c r="H85" s="31" t="n">
        <v>3188.47</v>
      </c>
      <c r="I85" s="31" t="n">
        <v>615</v>
      </c>
      <c r="J85" s="31" t="n">
        <v>-1.22</v>
      </c>
      <c r="K85" s="31" t="n">
        <v>0</v>
      </c>
      <c r="L85" s="30" t="n">
        <v>79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74.08</v>
      </c>
      <c r="P85" s="31" t="n">
        <v>64.59</v>
      </c>
      <c r="Q85" s="31" t="n">
        <v>467.86</v>
      </c>
      <c r="R85" s="30" t="inlineStr">
        <is>
          <t>Near 52W High Breakout</t>
        </is>
      </c>
      <c r="S85" s="30" t="inlineStr">
        <is>
          <t>Nifty Infra</t>
        </is>
      </c>
      <c r="T85" s="31" t="n">
        <v>3.51</v>
      </c>
      <c r="U85" s="31" t="n">
        <v>58.6</v>
      </c>
      <c r="V85" s="31" t="n">
        <v>53.23</v>
      </c>
      <c r="W85" s="31" t="n">
        <v>23.58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Oligopoly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Cyclical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Fully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1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Sideways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Overhead supply in last 2 years in last 2 years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Between 50% to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21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IMFA</t>
        </is>
      </c>
      <c r="D86" s="30" t="inlineStr">
        <is>
          <t>Indian Metals &amp; Ferro Alloys Ltd</t>
        </is>
      </c>
      <c r="E86" s="30" t="inlineStr">
        <is>
          <t>metals &amp; mining</t>
        </is>
      </c>
      <c r="F86" s="30" t="inlineStr">
        <is>
          <t>Mining/Minerals</t>
        </is>
      </c>
      <c r="G86" s="30" t="inlineStr">
        <is>
          <t>midcap</t>
        </is>
      </c>
      <c r="H86" s="31" t="n">
        <v>7990.6</v>
      </c>
      <c r="I86" s="31" t="n">
        <v>1481</v>
      </c>
      <c r="J86" s="31" t="n">
        <v>1.49</v>
      </c>
      <c r="K86" s="31" t="n">
        <v>0</v>
      </c>
      <c r="L86" s="30" t="n">
        <v>65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57.86</v>
      </c>
      <c r="P86" s="31" t="n">
        <v>13.91</v>
      </c>
      <c r="Q86" s="31" t="n">
        <v>1102.43</v>
      </c>
      <c r="R86" s="30" t="inlineStr">
        <is>
          <t>Near 52W High Breakout</t>
        </is>
      </c>
      <c r="S86" s="30" t="inlineStr">
        <is>
          <t>Nifty Metal</t>
        </is>
      </c>
      <c r="T86" s="31" t="n">
        <v>39</v>
      </c>
      <c r="U86" s="31" t="n">
        <v>101.98</v>
      </c>
      <c r="V86" s="31" t="n">
        <v>45.31</v>
      </c>
      <c r="W86" s="31" t="n">
        <v>16.55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Cyclical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Volatile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0 to 20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19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PRICOLLTD</t>
        </is>
      </c>
      <c r="D87" s="30" t="inlineStr">
        <is>
          <t>Pricol Ltd</t>
        </is>
      </c>
      <c r="E87" s="30" t="inlineStr">
        <is>
          <t>auto</t>
        </is>
      </c>
      <c r="F87" s="30" t="inlineStr">
        <is>
          <t>Auto Ancillaries - 2 Wheelers</t>
        </is>
      </c>
      <c r="G87" s="30" t="inlineStr">
        <is>
          <t>midcap</t>
        </is>
      </c>
      <c r="H87" s="31" t="n">
        <v>9002.17</v>
      </c>
      <c r="I87" s="31" t="n">
        <v>738.6</v>
      </c>
      <c r="J87" s="31" t="n">
        <v>0.79</v>
      </c>
      <c r="K87" s="31" t="n">
        <v>0</v>
      </c>
      <c r="L87" s="30" t="n">
        <v>64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71.06</v>
      </c>
      <c r="P87" s="31" t="n">
        <v>25.66</v>
      </c>
      <c r="Q87" s="31" t="n">
        <v>594.4</v>
      </c>
      <c r="R87" s="30" t="inlineStr">
        <is>
          <t>Near 52W High Breakout</t>
        </is>
      </c>
      <c r="S87" s="30" t="inlineStr">
        <is>
          <t>Nifty Auto</t>
        </is>
      </c>
      <c r="T87" s="31" t="n">
        <v>23.87</v>
      </c>
      <c r="U87" s="31" t="n">
        <v>69.01000000000001</v>
      </c>
      <c r="V87" s="31" t="n">
        <v>36.44</v>
      </c>
      <c r="W87" s="31" t="n">
        <v>16.25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Oligopoly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Shallow Cyclical (2 to 3 Years Growth)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Fully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Allocated capital in Non-core Areas</t>
        </is>
      </c>
      <c r="AU87" s="30">
        <f>IF(AT87="Good",10,0)</f>
        <v/>
      </c>
      <c r="AV87" s="30" t="inlineStr">
        <is>
          <t>Yes only for next 1 to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Between 12 to 20%</t>
        </is>
      </c>
      <c r="BO87" s="30">
        <f>IF(BN87="More than 20%",10,IF(BN87="Between 12 to 20%",5,IF(BN87="Less than 12%",0,0)))</f>
        <v/>
      </c>
      <c r="BP87" s="30" t="inlineStr">
        <is>
          <t>Yes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Between 1.5 to 2</t>
        </is>
      </c>
      <c r="BU87" s="30">
        <f>IF(BT87="Above 2",0,IF(BT87="Between 1.5 to 2",5,IF(BT87="Less than 1.5",10,0)))</f>
        <v/>
      </c>
      <c r="BV87" s="30" t="inlineStr">
        <is>
          <t>Between 50% to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19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DEEPINDS</t>
        </is>
      </c>
      <c r="D88" s="30" t="inlineStr">
        <is>
          <t>Deep Industries Ltd</t>
        </is>
      </c>
      <c r="E88" s="30" t="inlineStr">
        <is>
          <t>energy</t>
        </is>
      </c>
      <c r="F88" s="30" t="inlineStr">
        <is>
          <t>Oil Drilling &amp; Exploration</t>
        </is>
      </c>
      <c r="G88" s="30" t="inlineStr">
        <is>
          <t>smallcap</t>
        </is>
      </c>
      <c r="H88" s="31" t="n">
        <v>4317.76</v>
      </c>
      <c r="I88" s="31" t="n">
        <v>674.65</v>
      </c>
      <c r="J88" s="31" t="n">
        <v>4.12</v>
      </c>
      <c r="K88" s="31" t="n">
        <v>0</v>
      </c>
      <c r="L88" s="30" t="n">
        <v>70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75.63</v>
      </c>
      <c r="P88" s="31" t="n">
        <v>19</v>
      </c>
      <c r="Q88" s="31" t="n">
        <v>519.49</v>
      </c>
      <c r="R88" s="30" t="inlineStr">
        <is>
          <t>Near 52W High Breakout</t>
        </is>
      </c>
      <c r="S88" s="30" t="inlineStr">
        <is>
          <t>Nifty Energy</t>
        </is>
      </c>
      <c r="T88" s="31" t="n">
        <v>9.81</v>
      </c>
      <c r="U88" s="31" t="n">
        <v>49.44</v>
      </c>
      <c r="V88" s="31" t="n">
        <v>36.09</v>
      </c>
      <c r="W88" s="31" t="n">
        <v>18.52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Oligopoly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Cyclical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0 to 20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23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2" t="inlineStr">
        <is>
          <t>LLOYDSME</t>
        </is>
      </c>
      <c r="D89" s="32" t="inlineStr">
        <is>
          <t>Lloyds Metals &amp; Energy Ltd</t>
        </is>
      </c>
      <c r="E89" s="30" t="inlineStr">
        <is>
          <t>Basic Materials</t>
        </is>
      </c>
      <c r="F89" s="30" t="inlineStr">
        <is>
          <t>Mining/Minerals - Iron Ore</t>
        </is>
      </c>
      <c r="G89" s="30" t="inlineStr">
        <is>
          <t>largecap</t>
        </is>
      </c>
      <c r="H89" s="31" t="n">
        <v>111849.61</v>
      </c>
      <c r="I89" s="31" t="n">
        <v>1987</v>
      </c>
      <c r="J89" s="31" t="n">
        <v>-3.21</v>
      </c>
      <c r="K89" s="31" t="n">
        <v>0</v>
      </c>
      <c r="L89" s="30" t="n">
        <v>49</v>
      </c>
      <c r="M89" s="30" t="inlineStr">
        <is>
          <t>Underperforming</t>
        </is>
      </c>
      <c r="N89" s="31">
        <f>IF(M89="Underperforming",-5,IF(L89&gt;=95,15,IF(L89&gt;=90,10,IF(L89&gt;=80,5,0))))</f>
        <v/>
      </c>
      <c r="O89" s="31" t="n">
        <v>68.59</v>
      </c>
      <c r="P89" s="31" t="n">
        <v>43.67</v>
      </c>
      <c r="Q89" s="31" t="n">
        <v>1749.25</v>
      </c>
      <c r="R89" s="30" t="inlineStr">
        <is>
          <t>Earnings / Momentum Support</t>
        </is>
      </c>
      <c r="S89" s="30" t="inlineStr">
        <is>
          <t>Nifty Metal</t>
        </is>
      </c>
      <c r="T89" s="31" t="n">
        <v>39</v>
      </c>
      <c r="U89" s="31" t="n">
        <v>32.11</v>
      </c>
      <c r="V89" s="31" t="n">
        <v>-4.95</v>
      </c>
      <c r="W89" s="31" t="n">
        <v>11.75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More than 1.2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21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2" t="inlineStr">
        <is>
          <t>VMARCIND</t>
        </is>
      </c>
      <c r="D90" s="32" t="inlineStr">
        <is>
          <t>V-Marc India Ltd</t>
        </is>
      </c>
      <c r="E90" s="30" t="inlineStr">
        <is>
          <t>unknown</t>
        </is>
      </c>
      <c r="F90" s="30" t="inlineStr">
        <is>
          <t>Cables - Power</t>
        </is>
      </c>
      <c r="G90" s="30" t="inlineStr">
        <is>
          <t>midcap</t>
        </is>
      </c>
      <c r="H90" s="31" t="n">
        <v>5553.27</v>
      </c>
      <c r="I90" s="31" t="n">
        <v>379</v>
      </c>
      <c r="J90" s="31" t="n">
        <v>2.56</v>
      </c>
      <c r="K90" s="31" t="n">
        <v>0</v>
      </c>
      <c r="L90" s="30" t="n">
        <v>1</v>
      </c>
      <c r="M90" s="30" t="inlineStr">
        <is>
          <t>Underperforming</t>
        </is>
      </c>
      <c r="N90" s="31">
        <f>IF(M90="Underperforming",-5,IF(L90&gt;=95,15,IF(L90&gt;=90,10,IF(L90&gt;=80,5,0))))</f>
        <v/>
      </c>
      <c r="O90" s="31" t="n">
        <v>38.45</v>
      </c>
      <c r="P90" s="31" t="n">
        <v>44.51</v>
      </c>
      <c r="Q90" s="31" t="n">
        <v>1116.66</v>
      </c>
      <c r="R90" s="30" t="inlineStr">
        <is>
          <t>Earnings / Momentum Support</t>
        </is>
      </c>
      <c r="S90" s="30" t="inlineStr">
        <is>
          <t>Nifty 50</t>
        </is>
      </c>
      <c r="T90" s="31" t="n">
        <v>-0.65</v>
      </c>
      <c r="U90" s="31" t="n">
        <v>-23.73</v>
      </c>
      <c r="V90" s="31" t="n">
        <v>-23.24</v>
      </c>
      <c r="W90" s="31" t="n">
        <v>-3.17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Headwind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Below 45</t>
        </is>
      </c>
      <c r="BA90" s="30">
        <f>IF(AZ90="Between 50 to 75",10,IF(AZ90="Above 75",0,0))</f>
        <v/>
      </c>
      <c r="BB90" s="30" t="inlineStr">
        <is>
          <t>Stage 4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No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20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0" t="inlineStr">
        <is>
          <t>KOLTEPATIL</t>
        </is>
      </c>
      <c r="D91" s="30" t="inlineStr">
        <is>
          <t>Kolte Patil Developers Ltd</t>
        </is>
      </c>
      <c r="E91" s="30" t="inlineStr">
        <is>
          <t>realty</t>
        </is>
      </c>
      <c r="F91" s="30" t="inlineStr">
        <is>
          <t>Realty - Construction &amp; Contracting</t>
        </is>
      </c>
      <c r="G91" s="30" t="inlineStr">
        <is>
          <t>smallcap</t>
        </is>
      </c>
      <c r="H91" s="31" t="n">
        <v>4569.24</v>
      </c>
      <c r="I91" s="31" t="n">
        <v>515.25</v>
      </c>
      <c r="J91" s="31" t="n">
        <v>11.48</v>
      </c>
      <c r="K91" s="31" t="n">
        <v>0</v>
      </c>
      <c r="L91" s="30" t="n">
        <v>50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76.3</v>
      </c>
      <c r="P91" s="31" t="n">
        <v>15.98</v>
      </c>
      <c r="Q91" s="31" t="n">
        <v>405.51</v>
      </c>
      <c r="R91" s="30" t="inlineStr">
        <is>
          <t>Volume Spike &amp; Near 52W High Breakout</t>
        </is>
      </c>
      <c r="S91" s="30" t="inlineStr">
        <is>
          <t>Nifty Realty</t>
        </is>
      </c>
      <c r="T91" s="31" t="n">
        <v>-6.47</v>
      </c>
      <c r="U91" s="31" t="n">
        <v>16.06</v>
      </c>
      <c r="V91" s="31" t="n">
        <v>24.09</v>
      </c>
      <c r="W91" s="31" t="n">
        <v>11.87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0 to 20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Negative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Between 0.7 to 1.2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29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AEGISLOG</t>
        </is>
      </c>
      <c r="D92" s="30" t="inlineStr">
        <is>
          <t>Aegis Logistics Ltd</t>
        </is>
      </c>
      <c r="E92" s="30" t="inlineStr">
        <is>
          <t>Energy</t>
        </is>
      </c>
      <c r="F92" s="30" t="inlineStr">
        <is>
          <t>Logistics</t>
        </is>
      </c>
      <c r="G92" s="30" t="inlineStr">
        <is>
          <t>largecap</t>
        </is>
      </c>
      <c r="H92" s="31" t="n">
        <v>45528.21</v>
      </c>
      <c r="I92" s="31" t="n">
        <v>1297.1</v>
      </c>
      <c r="J92" s="31" t="n">
        <v>-2.74</v>
      </c>
      <c r="K92" s="31" t="n">
        <v>0</v>
      </c>
      <c r="L92" s="30" t="n">
        <v>90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69.58</v>
      </c>
      <c r="P92" s="31" t="n">
        <v>51.72</v>
      </c>
      <c r="Q92" s="31" t="n">
        <v>1016.42</v>
      </c>
      <c r="R92" s="30" t="inlineStr">
        <is>
          <t>Earnings / Momentum Support</t>
        </is>
      </c>
      <c r="S92" s="30" t="inlineStr">
        <is>
          <t>Nifty Energy</t>
        </is>
      </c>
      <c r="T92" s="31" t="n">
        <v>9.81</v>
      </c>
      <c r="U92" s="31" t="n">
        <v>77.2</v>
      </c>
      <c r="V92" s="31" t="n">
        <v>61.37</v>
      </c>
      <c r="W92" s="31" t="n">
        <v>32.88</v>
      </c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Oligopoly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Cyclical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Volatile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23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2" t="inlineStr">
        <is>
          <t>SILVERTUC</t>
        </is>
      </c>
      <c r="D93" s="32" t="inlineStr">
        <is>
          <t>Silver Touch Technologies Ltd</t>
        </is>
      </c>
      <c r="E93" s="30" t="inlineStr">
        <is>
          <t>i.t</t>
        </is>
      </c>
      <c r="F93" s="30" t="inlineStr">
        <is>
          <t>IT - Software</t>
        </is>
      </c>
      <c r="G93" s="30" t="inlineStr">
        <is>
          <t>smallcap</t>
        </is>
      </c>
      <c r="H93" s="31" t="n">
        <v>2620.15</v>
      </c>
      <c r="I93" s="31" t="n">
        <v>206.62</v>
      </c>
      <c r="J93" s="31" t="n">
        <v>1.69</v>
      </c>
      <c r="K93" s="31" t="n">
        <v>0</v>
      </c>
      <c r="L93" s="30" t="n">
        <v>19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45.66</v>
      </c>
      <c r="P93" s="31" t="n">
        <v>17.99</v>
      </c>
      <c r="Q93" s="31" t="n">
        <v>115.68</v>
      </c>
      <c r="R93" s="30" t="inlineStr">
        <is>
          <t>Earnings / Momentum Support</t>
        </is>
      </c>
      <c r="S93" s="30" t="inlineStr">
        <is>
          <t>Nifty IT</t>
        </is>
      </c>
      <c r="T93" s="31" t="n">
        <v>-8.640000000000001</v>
      </c>
      <c r="U93" s="31" t="n">
        <v>-71.52</v>
      </c>
      <c r="V93" s="31" t="n">
        <v>-68.83</v>
      </c>
      <c r="W93" s="31" t="n">
        <v>4.47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0 to 20</t>
        </is>
      </c>
      <c r="AY93" s="30">
        <f>IF(AX93="Above 40",20,IF(AX93="20 to 40",10,IF(AX93="0 to 20",-5,0)))</f>
        <v/>
      </c>
      <c r="AZ93" s="30" t="inlineStr">
        <is>
          <t>Below 45</t>
        </is>
      </c>
      <c r="BA93" s="30">
        <f>IF(AZ93="Between 50 to 75",10,IF(AZ93="Above 75",0,0))</f>
        <v/>
      </c>
      <c r="BB93" s="30" t="inlineStr">
        <is>
          <t>Stage 4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27</t>
        </is>
      </c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GAEL</t>
        </is>
      </c>
      <c r="D94" s="30" t="inlineStr">
        <is>
          <t>Gujarat Ambuja Exports Ltd</t>
        </is>
      </c>
      <c r="E94" s="30" t="inlineStr">
        <is>
          <t>fmcg</t>
        </is>
      </c>
      <c r="F94" s="30" t="inlineStr">
        <is>
          <t>Agricultural Processing - Maize</t>
        </is>
      </c>
      <c r="G94" s="30" t="inlineStr">
        <is>
          <t>midcap</t>
        </is>
      </c>
      <c r="H94" s="31" t="n">
        <v>7743.74</v>
      </c>
      <c r="I94" s="31" t="n">
        <v>168.83</v>
      </c>
      <c r="J94" s="31" t="n">
        <v>-2.33</v>
      </c>
      <c r="K94" s="31" t="n">
        <v>0</v>
      </c>
      <c r="L94" s="30" t="n">
        <v>53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61.41</v>
      </c>
      <c r="P94" s="31" t="n">
        <v>36.81</v>
      </c>
      <c r="Q94" s="31" t="n">
        <v>136.09</v>
      </c>
      <c r="R94" s="30" t="inlineStr">
        <is>
          <t>Near 52W High Breakout</t>
        </is>
      </c>
      <c r="S94" s="30" t="inlineStr">
        <is>
          <t>Nifty FMCG</t>
        </is>
      </c>
      <c r="T94" s="31" t="n">
        <v>-10.61</v>
      </c>
      <c r="U94" s="31" t="n">
        <v>60.46</v>
      </c>
      <c r="V94" s="31" t="n">
        <v>79.51000000000001</v>
      </c>
      <c r="W94" s="31" t="n">
        <v>12.77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Oligopoly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Shallow Cyclical (2 to 3 Years Growth)</t>
        </is>
      </c>
      <c r="AG94" s="30">
        <f>IF(AF94="Structural (10 Years Consistency)",10,IF(AF94="Shallow Cyclical (2 to 3 years growth)",5,0))</f>
        <v/>
      </c>
      <c r="AH94" s="30" t="inlineStr">
        <is>
          <t>Yes due to Product Mix change or Operating Leverage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Volatile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Allocated capital in Non-core Areas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3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Sideways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Overhead supply in last 2 years in last 2 years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More than 15%</t>
        </is>
      </c>
      <c r="CC94" s="30">
        <f>IF(CB94="More than 15%",-10,IF(CB94="Less than 15%",10,0))</f>
        <v/>
      </c>
      <c r="CD94" s="30" t="inlineStr">
        <is>
          <t>Yes Upto 10%</t>
        </is>
      </c>
      <c r="CE94" s="30">
        <f>IF(CD94="Yes, more than 10%",-10,IF(CD94="No",10,0))</f>
        <v/>
      </c>
      <c r="CF94" s="30" t="inlineStr">
        <is>
          <t>21</t>
        </is>
      </c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KESAR</t>
        </is>
      </c>
      <c r="D95" s="30" t="inlineStr">
        <is>
          <t>Kesar India Ltd</t>
        </is>
      </c>
      <c r="E95" s="30" t="inlineStr">
        <is>
          <t>unknown</t>
        </is>
      </c>
      <c r="F95" s="30" t="inlineStr">
        <is>
          <t>Realty - Construction &amp; Contracting</t>
        </is>
      </c>
      <c r="G95" s="30" t="inlineStr">
        <is>
          <t>smallcap</t>
        </is>
      </c>
      <c r="H95" s="31" t="n">
        <v>3921.69</v>
      </c>
      <c r="I95" s="31" t="n">
        <v>1255</v>
      </c>
      <c r="J95" s="31" t="n">
        <v>0.4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AETHER</t>
        </is>
      </c>
      <c r="B101" s="36" t="inlineStr">
        <is>
          <t>Aether Industries Limited</t>
        </is>
      </c>
      <c r="C101" s="36" t="inlineStr">
        <is>
          <t>Basic Materials</t>
        </is>
      </c>
      <c r="D101" s="37" t="inlineStr">
        <is>
          <t>2026-08-11</t>
        </is>
      </c>
    </row>
    <row r="102">
      <c r="A102" s="35" t="inlineStr">
        <is>
          <t>AIMTRON</t>
        </is>
      </c>
      <c r="B102" s="36" t="inlineStr">
        <is>
          <t>AIMTRON</t>
        </is>
      </c>
      <c r="C102" s="36" t="inlineStr">
        <is>
          <t>unknown</t>
        </is>
      </c>
      <c r="D102" s="37" t="inlineStr">
        <is>
          <t>2026-08-11</t>
        </is>
      </c>
    </row>
    <row r="103">
      <c r="A103" s="35" t="inlineStr">
        <is>
          <t>ATHERENERG</t>
        </is>
      </c>
      <c r="B103" s="36" t="inlineStr">
        <is>
          <t>Ather Energy Limited</t>
        </is>
      </c>
      <c r="C103" s="36" t="inlineStr">
        <is>
          <t>Consumer Cyclical</t>
        </is>
      </c>
      <c r="D103" s="37" t="inlineStr">
        <is>
          <t>2026-08-11</t>
        </is>
      </c>
    </row>
    <row r="104">
      <c r="A104" s="35" t="inlineStr">
        <is>
          <t>ATULAUTO</t>
        </is>
      </c>
      <c r="B104" s="36" t="inlineStr">
        <is>
          <t>ATULAUTO</t>
        </is>
      </c>
      <c r="C104" s="36" t="inlineStr">
        <is>
          <t>unknown</t>
        </is>
      </c>
      <c r="D104" s="37" t="inlineStr">
        <is>
          <t>2026-08-11</t>
        </is>
      </c>
    </row>
    <row r="105">
      <c r="A105" s="35" t="inlineStr">
        <is>
          <t>CGCL</t>
        </is>
      </c>
      <c r="B105" s="36" t="inlineStr">
        <is>
          <t>CGCL</t>
        </is>
      </c>
      <c r="C105" s="36" t="inlineStr">
        <is>
          <t>unknown</t>
        </is>
      </c>
      <c r="D105" s="37" t="inlineStr">
        <is>
          <t>2026-08-11</t>
        </is>
      </c>
    </row>
    <row r="106">
      <c r="A106" s="35" t="inlineStr">
        <is>
          <t>ESAFSFB</t>
        </is>
      </c>
      <c r="B106" s="36" t="inlineStr">
        <is>
          <t>ESAFSFB</t>
        </is>
      </c>
      <c r="C106" s="36" t="inlineStr">
        <is>
          <t>unknown</t>
        </is>
      </c>
      <c r="D106" s="37" t="inlineStr">
        <is>
          <t>2026-08-11</t>
        </is>
      </c>
    </row>
    <row r="107">
      <c r="A107" s="35" t="inlineStr">
        <is>
          <t>ETHOSLTD</t>
        </is>
      </c>
      <c r="B107" s="36" t="inlineStr">
        <is>
          <t>Ethos Limited</t>
        </is>
      </c>
      <c r="C107" s="36" t="inlineStr">
        <is>
          <t>Consumer Cyclical</t>
        </is>
      </c>
      <c r="D107" s="37" t="inlineStr">
        <is>
          <t>2026-08-11</t>
        </is>
      </c>
    </row>
    <row r="108">
      <c r="A108" s="35" t="inlineStr">
        <is>
          <t>GCSL</t>
        </is>
      </c>
      <c r="B108" s="36" t="inlineStr">
        <is>
          <t>GCSL</t>
        </is>
      </c>
      <c r="C108" s="36" t="inlineStr">
        <is>
          <t>unknown</t>
        </is>
      </c>
      <c r="D108" s="37" t="inlineStr">
        <is>
          <t>2026-08-11</t>
        </is>
      </c>
    </row>
    <row r="109">
      <c r="A109" s="35" t="inlineStr">
        <is>
          <t>IOLCP</t>
        </is>
      </c>
      <c r="B109" s="36" t="inlineStr">
        <is>
          <t>IOL Chemicals and Pharmaceuticals Limited</t>
        </is>
      </c>
      <c r="C109" s="36" t="inlineStr">
        <is>
          <t>Healthcare</t>
        </is>
      </c>
      <c r="D109" s="37" t="inlineStr">
        <is>
          <t>2026-08-11</t>
        </is>
      </c>
    </row>
    <row r="110">
      <c r="A110" s="35" t="inlineStr">
        <is>
          <t>KAPSTON</t>
        </is>
      </c>
      <c r="B110" s="36" t="inlineStr">
        <is>
          <t>Kapston Services Limited</t>
        </is>
      </c>
      <c r="C110" s="36" t="inlineStr">
        <is>
          <t>Industrials</t>
        </is>
      </c>
      <c r="D110" s="37" t="inlineStr">
        <is>
          <t>2026-08-11</t>
        </is>
      </c>
    </row>
    <row r="111">
      <c r="A111" s="35" t="inlineStr">
        <is>
          <t>KESAR</t>
        </is>
      </c>
      <c r="B111" s="36" t="inlineStr">
        <is>
          <t>KESAR</t>
        </is>
      </c>
      <c r="C111" s="36" t="inlineStr">
        <is>
          <t>unknown</t>
        </is>
      </c>
      <c r="D111" s="37" t="inlineStr">
        <is>
          <t>2026-08-11</t>
        </is>
      </c>
    </row>
    <row r="112">
      <c r="A112" s="35" t="inlineStr">
        <is>
          <t>LLOYDSENT</t>
        </is>
      </c>
      <c r="B112" s="36" t="inlineStr">
        <is>
          <t>LLOYDSENT</t>
        </is>
      </c>
      <c r="C112" s="36" t="inlineStr">
        <is>
          <t>unknown</t>
        </is>
      </c>
      <c r="D112" s="37" t="inlineStr">
        <is>
          <t>2026-08-11</t>
        </is>
      </c>
    </row>
    <row r="113">
      <c r="A113" s="35" t="inlineStr">
        <is>
          <t>RAMCOIND</t>
        </is>
      </c>
      <c r="B113" s="36" t="inlineStr">
        <is>
          <t>Ramco Industries Limited</t>
        </is>
      </c>
      <c r="C113" s="36" t="inlineStr">
        <is>
          <t>Industrials</t>
        </is>
      </c>
      <c r="D113" s="37" t="inlineStr">
        <is>
          <t>2026-08-11</t>
        </is>
      </c>
    </row>
    <row r="114">
      <c r="A114" s="35" t="inlineStr">
        <is>
          <t>ROSSTECH</t>
        </is>
      </c>
      <c r="B114" s="36" t="inlineStr">
        <is>
          <t>Rossell Techsys Limited</t>
        </is>
      </c>
      <c r="C114" s="36" t="inlineStr">
        <is>
          <t>Industrials</t>
        </is>
      </c>
      <c r="D114" s="37" t="inlineStr">
        <is>
          <t>2026-08-11</t>
        </is>
      </c>
    </row>
    <row r="115">
      <c r="A115" s="35" t="inlineStr">
        <is>
          <t>STOVEKRAFT</t>
        </is>
      </c>
      <c r="B115" s="36" t="inlineStr">
        <is>
          <t>Stove Kraft Limited</t>
        </is>
      </c>
      <c r="C115" s="36" t="inlineStr">
        <is>
          <t>Consumer Cyclical</t>
        </is>
      </c>
      <c r="D115" s="37" t="inlineStr">
        <is>
          <t>2026-08-11</t>
        </is>
      </c>
    </row>
    <row r="116">
      <c r="A116" s="35" t="inlineStr">
        <is>
          <t>TATVA</t>
        </is>
      </c>
      <c r="B116" s="36" t="inlineStr">
        <is>
          <t>Tatva Chintan Pharma Chem Limited</t>
        </is>
      </c>
      <c r="C116" s="36" t="inlineStr">
        <is>
          <t>Basic Materials</t>
        </is>
      </c>
      <c r="D116" s="37" t="inlineStr">
        <is>
          <t>2026-08-11</t>
        </is>
      </c>
    </row>
    <row r="117">
      <c r="A117" s="35" t="inlineStr">
        <is>
          <t>UEL</t>
        </is>
      </c>
      <c r="B117" s="36" t="inlineStr">
        <is>
          <t>Ujaas Energy Limited</t>
        </is>
      </c>
      <c r="C117" s="36" t="inlineStr">
        <is>
          <t>Technology</t>
        </is>
      </c>
      <c r="D117" s="37" t="inlineStr">
        <is>
          <t>2026-08-11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UJJIVANSFB</t>
        </is>
      </c>
      <c r="D2" s="30" t="inlineStr">
        <is>
          <t>Ujjivan Small Finance Bank Ltd</t>
        </is>
      </c>
      <c r="E2" s="30" t="inlineStr">
        <is>
          <t>bank</t>
        </is>
      </c>
      <c r="F2" s="30" t="inlineStr">
        <is>
          <t>Banks - Small Finance</t>
        </is>
      </c>
      <c r="G2" s="30" t="inlineStr">
        <is>
          <t>midcap</t>
        </is>
      </c>
      <c r="H2" s="31" t="n">
        <v>13659.27</v>
      </c>
      <c r="I2" s="31" t="n">
        <v>70.09999999999999</v>
      </c>
      <c r="J2" s="31" t="n">
        <v>0.49</v>
      </c>
      <c r="K2" s="31" t="n">
        <v>0</v>
      </c>
      <c r="L2" s="30" t="n">
        <v>66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65.95999999999999</v>
      </c>
      <c r="P2" s="31" t="n">
        <v>35.92</v>
      </c>
      <c r="Q2" s="31" t="n">
        <v>57.29</v>
      </c>
      <c r="R2" s="30" t="inlineStr">
        <is>
          <t>Near 52W High Breakout</t>
        </is>
      </c>
      <c r="S2" s="30" t="inlineStr">
        <is>
          <t>Nifty Bank</t>
        </is>
      </c>
      <c r="T2" s="31" t="n">
        <v>3.8</v>
      </c>
      <c r="U2" s="31" t="n">
        <v>68.31999999999999</v>
      </c>
      <c r="V2" s="31" t="n">
        <v>62.16</v>
      </c>
      <c r="W2" s="31" t="n">
        <v>16.99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19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TFCILTD</t>
        </is>
      </c>
      <c r="D3" s="30" t="inlineStr">
        <is>
          <t>Tourism Finance Corporation of India Ltd</t>
        </is>
      </c>
      <c r="E3" s="30" t="inlineStr">
        <is>
          <t>financials</t>
        </is>
      </c>
      <c r="F3" s="30" t="inlineStr">
        <is>
          <t>Finance - PSU Lending</t>
        </is>
      </c>
      <c r="G3" s="30" t="inlineStr">
        <is>
          <t>midcap</t>
        </is>
      </c>
      <c r="H3" s="31" t="n">
        <v>5347.85</v>
      </c>
      <c r="I3" s="31" t="n">
        <v>115.51</v>
      </c>
      <c r="J3" s="31" t="n">
        <v>0.25</v>
      </c>
      <c r="K3" s="31" t="n">
        <v>0</v>
      </c>
      <c r="L3" s="30" t="n">
        <v>81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77.47</v>
      </c>
      <c r="P3" s="31" t="n">
        <v>51.34</v>
      </c>
      <c r="Q3" s="31" t="n">
        <v>93.26000000000001</v>
      </c>
      <c r="R3" s="30" t="inlineStr">
        <is>
          <t>Near 52W High Breakout</t>
        </is>
      </c>
      <c r="S3" s="30" t="inlineStr">
        <is>
          <t>Nifty Bank</t>
        </is>
      </c>
      <c r="T3" s="31" t="n">
        <v>3.8</v>
      </c>
      <c r="U3" s="31" t="n">
        <v>86.98999999999999</v>
      </c>
      <c r="V3" s="31" t="n">
        <v>80.14</v>
      </c>
      <c r="W3" s="31" t="n">
        <v>25.33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between 2.5x to 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24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3" t="inlineStr">
        <is>
          <t>SGFIN</t>
        </is>
      </c>
      <c r="D4" s="33" t="inlineStr">
        <is>
          <t>SG Finserve Ltd</t>
        </is>
      </c>
      <c r="E4" s="30" t="inlineStr">
        <is>
          <t>Financial Services</t>
        </is>
      </c>
      <c r="F4" s="30" t="inlineStr">
        <is>
          <t>Finance &amp; Investments - MSME Lending</t>
        </is>
      </c>
      <c r="G4" s="30" t="inlineStr">
        <is>
          <t>smallcap</t>
        </is>
      </c>
      <c r="H4" s="31" t="n">
        <v>4343.14</v>
      </c>
      <c r="I4" s="31" t="n">
        <v>659.1</v>
      </c>
      <c r="J4" s="31" t="n">
        <v>-2.09</v>
      </c>
      <c r="K4" s="31" t="n">
        <v>0</v>
      </c>
      <c r="L4" s="30" t="n">
        <v>60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62.6</v>
      </c>
      <c r="P4" s="31" t="n">
        <v>55.91</v>
      </c>
      <c r="Q4" s="31" t="n">
        <v>519.26</v>
      </c>
      <c r="R4" s="30" t="inlineStr">
        <is>
          <t>Earnings / Momentum Support</t>
        </is>
      </c>
      <c r="S4" s="30" t="inlineStr">
        <is>
          <t>Nifty Bank</t>
        </is>
      </c>
      <c r="T4" s="31" t="n">
        <v>3.8</v>
      </c>
      <c r="U4" s="31" t="n">
        <v>70.84</v>
      </c>
      <c r="V4" s="31" t="n">
        <v>64.58</v>
      </c>
      <c r="W4" s="31" t="n">
        <v>15.17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No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19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OFSS</t>
        </is>
      </c>
      <c r="D5" s="30" t="inlineStr">
        <is>
          <t>Oracle Financial Services Software Ltd</t>
        </is>
      </c>
      <c r="E5" s="30" t="inlineStr">
        <is>
          <t>i.t</t>
        </is>
      </c>
      <c r="F5" s="30" t="inlineStr">
        <is>
          <t>IT Product Companies</t>
        </is>
      </c>
      <c r="G5" s="30" t="inlineStr">
        <is>
          <t>largecap</t>
        </is>
      </c>
      <c r="H5" s="31" t="n">
        <v>103585.03</v>
      </c>
      <c r="I5" s="31" t="n">
        <v>11896</v>
      </c>
      <c r="J5" s="31" t="n">
        <v>0.05</v>
      </c>
      <c r="K5" s="31" t="n">
        <v>0</v>
      </c>
      <c r="L5" s="30" t="n">
        <v>64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69.56</v>
      </c>
      <c r="P5" s="31" t="n">
        <v>30.81</v>
      </c>
      <c r="Q5" s="31" t="n">
        <v>9515.6</v>
      </c>
      <c r="R5" s="30" t="inlineStr">
        <is>
          <t>Near 52W High Breakout</t>
        </is>
      </c>
      <c r="S5" s="30" t="inlineStr">
        <is>
          <t>Nifty IT</t>
        </is>
      </c>
      <c r="T5" s="31" t="n">
        <v>-8.640000000000001</v>
      </c>
      <c r="U5" s="31" t="n">
        <v>44.72</v>
      </c>
      <c r="V5" s="31" t="n">
        <v>58.41</v>
      </c>
      <c r="W5" s="31" t="n">
        <v>16.32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above 5x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21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SHRIRAMFIN</t>
        </is>
      </c>
      <c r="D6" s="30" t="inlineStr">
        <is>
          <t>Shriram Finance Ltd</t>
        </is>
      </c>
      <c r="E6" s="30" t="inlineStr">
        <is>
          <t>financials</t>
        </is>
      </c>
      <c r="F6" s="30" t="inlineStr">
        <is>
          <t>Finance &amp; Investments - CV Finance</t>
        </is>
      </c>
      <c r="G6" s="30" t="inlineStr">
        <is>
          <t>largecap</t>
        </is>
      </c>
      <c r="H6" s="31" t="n">
        <v>265859.64</v>
      </c>
      <c r="I6" s="31" t="n">
        <v>1129.9</v>
      </c>
      <c r="J6" s="31" t="n">
        <v>-0.6899999999999999</v>
      </c>
      <c r="K6" s="31" t="n">
        <v>0</v>
      </c>
      <c r="L6" s="30" t="n">
        <v>72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65.66</v>
      </c>
      <c r="P6" s="31" t="n">
        <v>15.46</v>
      </c>
      <c r="Q6" s="31" t="n">
        <v>923.13</v>
      </c>
      <c r="R6" s="30" t="inlineStr">
        <is>
          <t>Near 52W High Breakout</t>
        </is>
      </c>
      <c r="S6" s="30" t="inlineStr">
        <is>
          <t>Nifty Bank</t>
        </is>
      </c>
      <c r="T6" s="31" t="n">
        <v>3.8</v>
      </c>
      <c r="U6" s="31" t="n">
        <v>85.45</v>
      </c>
      <c r="V6" s="31" t="n">
        <v>78.66</v>
      </c>
      <c r="W6" s="31" t="n">
        <v>18.82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0 to 20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19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CGCL</t>
        </is>
      </c>
      <c r="D7" s="30" t="inlineStr">
        <is>
          <t>Capri Global Capital Ltd</t>
        </is>
      </c>
      <c r="E7" s="30" t="inlineStr">
        <is>
          <t>unknown</t>
        </is>
      </c>
      <c r="F7" s="30" t="inlineStr">
        <is>
          <t>Finance &amp; Investments - Gold Loan</t>
        </is>
      </c>
      <c r="G7" s="30" t="inlineStr">
        <is>
          <t>largecap</t>
        </is>
      </c>
      <c r="H7" s="31" t="n">
        <v>22706.83</v>
      </c>
      <c r="I7" s="31" t="n">
        <v>236</v>
      </c>
      <c r="J7" s="31" t="n">
        <v>1.55</v>
      </c>
      <c r="K7" s="31" t="n">
        <v>0</v>
      </c>
      <c r="L7" s="30" t="inlineStr"/>
      <c r="M7" s="30" t="inlineStr"/>
      <c r="N7" s="31">
        <f>IF(M7="Underperforming",-5,IF(L7&gt;=95,15,IF(L7&gt;=90,10,IF(L7&gt;=80,5,0))))</f>
        <v/>
      </c>
      <c r="O7" s="31" t="inlineStr"/>
      <c r="P7" s="31" t="inlineStr"/>
      <c r="Q7" s="31" t="inlineStr"/>
      <c r="R7" s="30" t="inlineStr"/>
      <c r="S7" s="30" t="inlineStr"/>
      <c r="T7" s="31" t="inlineStr"/>
      <c r="U7" s="31" t="inlineStr"/>
      <c r="V7" s="31" t="inlineStr"/>
      <c r="W7" s="31" t="inlineStr"/>
      <c r="X7" s="30" t="n"/>
      <c r="Y7" s="30">
        <f>IF(X7="Growing Industry",10,IF(X7="Cyclical in an Upturn",5,0))</f>
        <v/>
      </c>
      <c r="Z7" s="30" t="n"/>
      <c r="AA7" s="30">
        <f>IF(Z7="Fragmented with Low ROE",-5,IF(Z7="Fragmented with High ROE",10,IF(Z7= "highly cyclical",5,0)))</f>
        <v/>
      </c>
      <c r="AB7" s="30" t="n"/>
      <c r="AC7" s="30">
        <f>IF(AB7="No",5,0)</f>
        <v/>
      </c>
      <c r="AD7" s="30" t="n"/>
      <c r="AE7" s="30">
        <f>IF(AD7="Tailwind",10,0)</f>
        <v/>
      </c>
      <c r="AF7" s="30" t="n"/>
      <c r="AG7" s="30">
        <f>IF(AF7="Structural (10 Years Consistency)",15,IF(AF7="Shallow Cyclical (2 to 3 years growth)",10,IF(AF7 = "Cyclical in an Uptick",5,IF(AF7 = "Cyclical in an Downtick",-10,0))))</f>
        <v/>
      </c>
      <c r="AH7" s="30" t="n"/>
      <c r="AI7" s="30">
        <f>IF(AH7="Yes",10,0)</f>
        <v/>
      </c>
      <c r="AJ7" s="30" t="n"/>
      <c r="AK7" s="30">
        <f>IF(AJ7="Yes",10,0)</f>
        <v/>
      </c>
      <c r="AL7" s="30" t="n"/>
      <c r="AM7" s="30">
        <f>IF(AL7="No",10,0)</f>
        <v/>
      </c>
      <c r="AN7" s="30" t="n"/>
      <c r="AO7" s="30">
        <f>IF(AN7="Yes",10,0)</f>
        <v/>
      </c>
      <c r="AP7" s="30" t="n"/>
      <c r="AQ7" s="30">
        <f>IF(AP7="Yes",10,0)</f>
        <v/>
      </c>
      <c r="AR7" s="30" t="n"/>
      <c r="AS7" s="30">
        <f>IF(AR7="Yes",5,0)</f>
        <v/>
      </c>
      <c r="AT7" s="30" t="n"/>
      <c r="AU7" s="30">
        <f>IF(AT7="No",10,IF(AT7="Yes",-10,0))</f>
        <v/>
      </c>
      <c r="AV7" s="30" t="n"/>
      <c r="AW7" s="30">
        <f>IF(AV7="No",10,0)</f>
        <v/>
      </c>
      <c r="AX7" s="30" t="n"/>
      <c r="AY7" s="30">
        <f>IF(AX7="No",10,IF(AX7= "Yes CEO Resignation",-5,0))</f>
        <v/>
      </c>
      <c r="AZ7" s="30" t="n"/>
      <c r="BA7" s="30">
        <f>IF(AZ7="No",10,IF(AZ7="Yes",-5,0))</f>
        <v/>
      </c>
      <c r="BB7" s="30" t="n"/>
      <c r="BC7" s="30">
        <f>IF(BB7="No",5,IF(BB7="Yes",-5,0))</f>
        <v/>
      </c>
      <c r="BD7" s="30" t="n"/>
      <c r="BE7" s="30">
        <f>IF(BD7="Yes",10,0)</f>
        <v/>
      </c>
      <c r="BF7" s="30" t="n"/>
      <c r="BG7" s="30">
        <f>IF(BF7="Yes",10,0)</f>
        <v/>
      </c>
      <c r="BH7" s="30" t="n"/>
      <c r="BI7" s="30">
        <f>IF(BH7="Yes",10,0)</f>
        <v/>
      </c>
      <c r="BJ7" s="30" t="n"/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n"/>
      <c r="BM7" s="30">
        <f>IF(BL7="Above 40",20,IF(BL7="20 to 40",10,IF(BL7="0 to 20",-5,0)))</f>
        <v/>
      </c>
      <c r="BN7" s="30" t="n"/>
      <c r="BO7" s="30">
        <f>IF(BN7="Between 50 to 75",10,IF(BN7="Above 75",0,0))</f>
        <v/>
      </c>
      <c r="BP7" s="30" t="n"/>
      <c r="BQ7" s="30">
        <f>IF(BP7="Stage 2",20,IF(BP7="Stage 1",0,IF(BP7="Stage 3",5,IF(BP7="Stage 4",-5,0))))</f>
        <v/>
      </c>
      <c r="BR7" s="30" t="n"/>
      <c r="BS7" s="30">
        <f>IF(BR7="Positive Trend",20,IF(BR7="Negative Trend",-10,0))</f>
        <v/>
      </c>
      <c r="BT7" s="30" t="n"/>
      <c r="BU7" s="30">
        <f>IF(BT7="Uptrend",10,IF(BT7="Sideways",5,0))</f>
        <v/>
      </c>
      <c r="BV7" s="30" t="n"/>
      <c r="BW7" s="30">
        <f>IF(BV7="Uptrend",10,IF(BV7="Sideways",5,0))</f>
        <v/>
      </c>
      <c r="BX7" s="30" t="n"/>
      <c r="BY7" s="30">
        <f>IF(BX7="Overhead supply in last 2 years in last 2 years",-5,IF(BX7="Close to 52 week high or retracement",5,IF(BX7="Blue sky scenario",10,IF(BX7="Long term Downtrend",-10,0))))</f>
        <v/>
      </c>
      <c r="BZ7" s="30" t="n"/>
      <c r="CA7" s="30">
        <f>IF(BZ7="Yes",10,0)</f>
        <v/>
      </c>
      <c r="CB7" s="30" t="n"/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2026-08-11T11:09:33Z</dcterms:created>
  <dcterms:modified xmlns:dcterms="http://purl.org/dc/terms/" xmlns:xsi="http://www.w3.org/2001/XMLSchema-instance" xsi:type="dcterms:W3CDTF">2026-08-11T11:11:29Z</dcterms:modified>
</cp:coreProperties>
</file>