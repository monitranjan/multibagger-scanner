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Universe'!$A$1:$J$432</definedName>
    <definedName name="_xlnm._FilterDatabase" localSheetId="3" hidden="1">'Confluence Overlap'!$A$1:$K$94</definedName>
    <definedName name="_xlnm._FilterDatabase" localSheetId="4" hidden="1">'Monit Non Financial'!$A$1:$CE$361</definedName>
    <definedName name="_xlnm._FilterDatabase" localSheetId="5" hidden="1">'Monit Banks NBFC'!$A$1:$CA$72</definedName>
    <definedName name="_xlnm._FilterDatabase" localSheetId="6" hidden="1">'Scanner Non Financial'!$A$1:$CJ$18</definedName>
    <definedName name="_xlnm._FilterDatabase" localSheetId="7" hidden="1">'Scanner Banks NBFC'!$A$1:$CF$6</definedName>
    <definedName name="_xlnm._FilterDatabase" localSheetId="8" hidden="1">'Scan Match Non Financial'!$A$1:$CG$95</definedName>
    <definedName name="_xlnm._FilterDatabase" localSheetId="9" hidden="1">'Scan Match Banks NBFC'!$A$1:$CC$7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17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6" customWidth="1" min="2" max="2"/>
    <col width="21" customWidth="1" min="3" max="3"/>
    <col width="41" customWidth="1" min="4" max="4"/>
    <col width="22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1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444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59</v>
      </c>
      <c r="G6" s="19" t="n">
        <v>13027.81</v>
      </c>
      <c r="H6" s="18" t="inlineStr">
        <is>
          <t>Potential Leader</t>
        </is>
      </c>
      <c r="J6" s="18" t="inlineStr">
        <is>
          <t>bank</t>
        </is>
      </c>
      <c r="K6" s="16" t="n">
        <v>102</v>
      </c>
      <c r="L6" s="16" t="n">
        <v>57</v>
      </c>
      <c r="M6" s="20" t="inlineStr">
        <is>
          <t>78.9%</t>
        </is>
      </c>
    </row>
    <row r="7">
      <c r="A7" s="16" t="n">
        <v>2</v>
      </c>
      <c r="B7" s="17" t="n">
        <v>432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57</v>
      </c>
      <c r="G7" s="19" t="n">
        <v>4780.6</v>
      </c>
      <c r="H7" s="18" t="inlineStr">
        <is>
          <t>Potential Leader</t>
        </is>
      </c>
      <c r="J7" s="18" t="inlineStr">
        <is>
          <t>building materials</t>
        </is>
      </c>
      <c r="K7" s="16" t="n">
        <v>56</v>
      </c>
      <c r="L7" s="16" t="n">
        <v>32</v>
      </c>
      <c r="M7" s="20" t="inlineStr">
        <is>
          <t>75.0%</t>
        </is>
      </c>
    </row>
    <row r="8">
      <c r="A8" s="16" t="n">
        <v>3</v>
      </c>
      <c r="B8" s="17" t="n">
        <v>432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57</v>
      </c>
      <c r="G8" s="19" t="n">
        <v>5014.32</v>
      </c>
      <c r="H8" s="18" t="inlineStr">
        <is>
          <t>Potential Leader</t>
        </is>
      </c>
      <c r="J8" s="18" t="inlineStr">
        <is>
          <t>financials</t>
        </is>
      </c>
      <c r="K8" s="16" t="n">
        <v>153</v>
      </c>
      <c r="L8" s="16" t="n">
        <v>88</v>
      </c>
      <c r="M8" s="20" t="inlineStr">
        <is>
          <t>73.9%</t>
        </is>
      </c>
    </row>
    <row r="9">
      <c r="A9" s="16" t="n">
        <v>4</v>
      </c>
      <c r="B9" s="17" t="n">
        <v>426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56</v>
      </c>
      <c r="G9" s="19" t="n">
        <v>13011.37</v>
      </c>
      <c r="H9" s="18" t="inlineStr">
        <is>
          <t>Potential Leader</t>
        </is>
      </c>
      <c r="J9" s="18" t="inlineStr">
        <is>
          <t>chemicals</t>
        </is>
      </c>
      <c r="K9" s="16" t="n">
        <v>99</v>
      </c>
      <c r="L9" s="16" t="n">
        <v>63</v>
      </c>
      <c r="M9" s="20" t="inlineStr">
        <is>
          <t>57.1%</t>
        </is>
      </c>
    </row>
    <row r="10">
      <c r="A10" s="16" t="n">
        <v>5</v>
      </c>
      <c r="B10" s="17" t="n">
        <v>426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56</v>
      </c>
      <c r="G10" s="19" t="n">
        <v>3090.69</v>
      </c>
      <c r="H10" s="18" t="inlineStr">
        <is>
          <t>Potential Leader</t>
        </is>
      </c>
      <c r="J10" s="18" t="inlineStr">
        <is>
          <t>realty</t>
        </is>
      </c>
      <c r="K10" s="16" t="n">
        <v>82</v>
      </c>
      <c r="L10" s="16" t="n">
        <v>59</v>
      </c>
      <c r="M10" s="20" t="inlineStr">
        <is>
          <t>39.0%</t>
        </is>
      </c>
    </row>
    <row r="11">
      <c r="A11" s="16" t="n">
        <v>6</v>
      </c>
      <c r="B11" s="17" t="n">
        <v>426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56</v>
      </c>
      <c r="G11" s="19" t="n">
        <v>36239.56</v>
      </c>
      <c r="H11" s="18" t="inlineStr">
        <is>
          <t>Potential Leader</t>
        </is>
      </c>
      <c r="J11" s="18" t="inlineStr">
        <is>
          <t>services</t>
        </is>
      </c>
      <c r="K11" s="16" t="n">
        <v>55</v>
      </c>
      <c r="L11" s="16" t="n">
        <v>45</v>
      </c>
      <c r="M11" s="20" t="inlineStr">
        <is>
          <t>22.2%</t>
        </is>
      </c>
    </row>
    <row r="12">
      <c r="A12" s="16" t="n">
        <v>7</v>
      </c>
      <c r="B12" s="17" t="n">
        <v>420</v>
      </c>
      <c r="C12" s="17" t="inlineStr">
        <is>
          <t>BAJAJCON</t>
        </is>
      </c>
      <c r="D12" s="18" t="inlineStr">
        <is>
          <t>Bajaj Consumer Care Ltd</t>
        </is>
      </c>
      <c r="E12" s="18" t="inlineStr">
        <is>
          <t>fmcg</t>
        </is>
      </c>
      <c r="F12" s="16" t="n">
        <v>55</v>
      </c>
      <c r="G12" s="19" t="n">
        <v>7842.98</v>
      </c>
      <c r="H12" s="18" t="inlineStr">
        <is>
          <t>Potential Leader</t>
        </is>
      </c>
      <c r="J12" s="18" t="inlineStr">
        <is>
          <t>consumer discretionary</t>
        </is>
      </c>
      <c r="K12" s="16" t="n">
        <v>119</v>
      </c>
      <c r="L12" s="16" t="n">
        <v>98</v>
      </c>
      <c r="M12" s="20" t="inlineStr">
        <is>
          <t>21.4%</t>
        </is>
      </c>
    </row>
    <row r="13">
      <c r="A13" s="16" t="n">
        <v>8</v>
      </c>
      <c r="B13" s="17" t="n">
        <v>420</v>
      </c>
      <c r="C13" s="17" t="inlineStr">
        <is>
          <t>STLTECH</t>
        </is>
      </c>
      <c r="D13" s="18" t="inlineStr">
        <is>
          <t>Sterlite Technologies Limited</t>
        </is>
      </c>
      <c r="E13" s="18" t="inlineStr">
        <is>
          <t>industrials</t>
        </is>
      </c>
      <c r="F13" s="16" t="n">
        <v>55</v>
      </c>
      <c r="G13" s="19" t="n">
        <v>30493.64</v>
      </c>
      <c r="H13" s="18" t="inlineStr">
        <is>
          <t>Potential Leader</t>
        </is>
      </c>
      <c r="J13" s="18" t="inlineStr">
        <is>
          <t>industrials</t>
        </is>
      </c>
      <c r="K13" s="16" t="n">
        <v>263</v>
      </c>
      <c r="L13" s="16" t="n">
        <v>217</v>
      </c>
      <c r="M13" s="20" t="inlineStr">
        <is>
          <t>21.2%</t>
        </is>
      </c>
    </row>
    <row r="14">
      <c r="A14" s="16" t="n">
        <v>9</v>
      </c>
      <c r="B14" s="17" t="n">
        <v>420</v>
      </c>
      <c r="C14" s="17" t="inlineStr">
        <is>
          <t>STYLAMIND</t>
        </is>
      </c>
      <c r="D14" s="18" t="inlineStr">
        <is>
          <t>Stylam Industries Ltd</t>
        </is>
      </c>
      <c r="E14" s="18" t="inlineStr">
        <is>
          <t>building materials</t>
        </is>
      </c>
      <c r="F14" s="16" t="n">
        <v>55</v>
      </c>
      <c r="G14" s="19" t="n">
        <v>5514.39</v>
      </c>
      <c r="H14" s="18" t="inlineStr">
        <is>
          <t>Potential Leader</t>
        </is>
      </c>
      <c r="J14" s="18" t="inlineStr">
        <is>
          <t>telecom</t>
        </is>
      </c>
      <c r="K14" s="16" t="n">
        <v>6</v>
      </c>
      <c r="L14" s="16" t="n">
        <v>5</v>
      </c>
      <c r="M14" s="20" t="inlineStr">
        <is>
          <t>20.0%</t>
        </is>
      </c>
    </row>
    <row r="15">
      <c r="A15" s="16" t="n">
        <v>10</v>
      </c>
      <c r="B15" s="17" t="n">
        <v>408</v>
      </c>
      <c r="C15" s="17" t="inlineStr">
        <is>
          <t>ADANIGREEN</t>
        </is>
      </c>
      <c r="D15" s="18" t="inlineStr">
        <is>
          <t>Adani Green Energy Ltd</t>
        </is>
      </c>
      <c r="E15" s="18" t="inlineStr">
        <is>
          <t>power &amp; utilities</t>
        </is>
      </c>
      <c r="F15" s="16" t="n">
        <v>53</v>
      </c>
      <c r="G15" s="19" t="n">
        <v>244193.87</v>
      </c>
      <c r="H15" s="18" t="inlineStr">
        <is>
          <t>Potential Leader</t>
        </is>
      </c>
      <c r="J15" s="18" t="inlineStr">
        <is>
          <t>auto</t>
        </is>
      </c>
      <c r="K15" s="16" t="n">
        <v>139</v>
      </c>
      <c r="L15" s="16" t="n">
        <v>116</v>
      </c>
      <c r="M15" s="20" t="inlineStr">
        <is>
          <t>19.8%</t>
        </is>
      </c>
    </row>
    <row r="16">
      <c r="A16" s="16" t="n">
        <v>11</v>
      </c>
      <c r="B16" s="17" t="n">
        <v>408</v>
      </c>
      <c r="C16" s="17" t="inlineStr">
        <is>
          <t>APCOTEXIND</t>
        </is>
      </c>
      <c r="D16" s="18" t="inlineStr">
        <is>
          <t>Apcotex Industries Limited</t>
        </is>
      </c>
      <c r="E16" s="18" t="inlineStr">
        <is>
          <t>chemicals</t>
        </is>
      </c>
      <c r="F16" s="16" t="n">
        <v>53</v>
      </c>
      <c r="G16" s="19" t="n">
        <v>2701.38</v>
      </c>
      <c r="H16" s="18" t="inlineStr">
        <is>
          <t>Potential Leader</t>
        </is>
      </c>
      <c r="J16" s="18" t="inlineStr">
        <is>
          <t>metals &amp; mining</t>
        </is>
      </c>
      <c r="K16" s="16" t="n">
        <v>74</v>
      </c>
      <c r="L16" s="16" t="n">
        <v>65</v>
      </c>
      <c r="M16" s="20" t="inlineStr">
        <is>
          <t>13.8%</t>
        </is>
      </c>
    </row>
    <row r="17">
      <c r="A17" s="16" t="n">
        <v>12</v>
      </c>
      <c r="B17" s="17" t="n">
        <v>408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53</v>
      </c>
      <c r="G17" s="19" t="n">
        <v>10804.92</v>
      </c>
      <c r="H17" s="18" t="inlineStr">
        <is>
          <t>Potential Leader</t>
        </is>
      </c>
      <c r="J17" s="18" t="inlineStr">
        <is>
          <t>i.t</t>
        </is>
      </c>
      <c r="K17" s="16" t="n">
        <v>67</v>
      </c>
      <c r="L17" s="16" t="n">
        <v>60</v>
      </c>
      <c r="M17" s="20" t="inlineStr">
        <is>
          <t>11.7%</t>
        </is>
      </c>
    </row>
    <row r="18">
      <c r="A18" s="16" t="n">
        <v>13</v>
      </c>
      <c r="B18" s="17" t="n">
        <v>396</v>
      </c>
      <c r="C18" s="17" t="inlineStr">
        <is>
          <t>BBOX</t>
        </is>
      </c>
      <c r="D18" s="18" t="inlineStr">
        <is>
          <t>Black Box Ltd</t>
        </is>
      </c>
      <c r="E18" s="18" t="inlineStr">
        <is>
          <t>i.t</t>
        </is>
      </c>
      <c r="F18" s="16" t="n">
        <v>51</v>
      </c>
      <c r="G18" s="19" t="n">
        <v>18045.94</v>
      </c>
      <c r="H18" s="18" t="inlineStr">
        <is>
          <t>Potential Leader</t>
        </is>
      </c>
      <c r="J18" s="18" t="inlineStr">
        <is>
          <t>fmcg</t>
        </is>
      </c>
      <c r="K18" s="16" t="n">
        <v>84</v>
      </c>
      <c r="L18" s="16" t="n">
        <v>81</v>
      </c>
      <c r="M18" s="20" t="inlineStr">
        <is>
          <t>3.7%</t>
        </is>
      </c>
    </row>
    <row r="19">
      <c r="A19" s="16" t="n">
        <v>14</v>
      </c>
      <c r="B19" s="17" t="n">
        <v>396</v>
      </c>
      <c r="C19" s="17" t="inlineStr">
        <is>
          <t>GVPIL</t>
        </is>
      </c>
      <c r="D19" s="18" t="inlineStr">
        <is>
          <t>GE Power India Ltd</t>
        </is>
      </c>
      <c r="E19" s="18" t="inlineStr">
        <is>
          <t>realty</t>
        </is>
      </c>
      <c r="F19" s="16" t="n">
        <v>51</v>
      </c>
      <c r="G19" s="19" t="n">
        <v>6889.47</v>
      </c>
      <c r="H19" s="18" t="inlineStr">
        <is>
          <t>Potential Leader</t>
        </is>
      </c>
      <c r="J19" s="18" t="inlineStr">
        <is>
          <t>plastic products</t>
        </is>
      </c>
      <c r="K19" s="16" t="n">
        <v>7</v>
      </c>
      <c r="L19" s="16" t="n">
        <v>7</v>
      </c>
      <c r="M19" s="20" t="inlineStr">
        <is>
          <t>0.0%</t>
        </is>
      </c>
    </row>
    <row r="20">
      <c r="A20" s="16" t="n">
        <v>15</v>
      </c>
      <c r="B20" s="17" t="n">
        <v>384</v>
      </c>
      <c r="C20" s="17" t="inlineStr">
        <is>
          <t>NINSYS</t>
        </is>
      </c>
      <c r="D20" s="18" t="inlineStr">
        <is>
          <t>NINtec Systems Ltd</t>
        </is>
      </c>
      <c r="E20" s="18" t="inlineStr">
        <is>
          <t>i.t</t>
        </is>
      </c>
      <c r="F20" s="16" t="n">
        <v>49</v>
      </c>
      <c r="G20" s="19" t="n">
        <v>1309.24</v>
      </c>
      <c r="H20" s="18" t="inlineStr">
        <is>
          <t>Potential Leader</t>
        </is>
      </c>
      <c r="J20" s="18" t="inlineStr">
        <is>
          <t>telecom-service</t>
        </is>
      </c>
      <c r="K20" s="16" t="n">
        <v>10</v>
      </c>
      <c r="L20" s="16" t="n">
        <v>10</v>
      </c>
      <c r="M20" s="20" t="inlineStr">
        <is>
          <t>0.0%</t>
        </is>
      </c>
    </row>
    <row r="21">
      <c r="A21" s="16" t="n">
        <v>16</v>
      </c>
      <c r="B21" s="17" t="n">
        <v>384</v>
      </c>
      <c r="C21" s="17" t="inlineStr">
        <is>
          <t>POLYCAB</t>
        </is>
      </c>
      <c r="D21" s="18" t="inlineStr">
        <is>
          <t>Polycab India Ltd</t>
        </is>
      </c>
      <c r="E21" s="18" t="inlineStr">
        <is>
          <t>industrials</t>
        </is>
      </c>
      <c r="F21" s="16" t="n">
        <v>49</v>
      </c>
      <c r="G21" s="19" t="n">
        <v>144400.52</v>
      </c>
      <c r="H21" s="18" t="inlineStr">
        <is>
          <t>Potential Leader</t>
        </is>
      </c>
    </row>
    <row r="22">
      <c r="A22" s="16" t="n">
        <v>17</v>
      </c>
      <c r="B22" s="17" t="n">
        <v>378</v>
      </c>
      <c r="C22" s="17" t="inlineStr">
        <is>
          <t>NRBBEARING</t>
        </is>
      </c>
      <c r="D22" s="18" t="inlineStr">
        <is>
          <t>Nrb Bearing Limited</t>
        </is>
      </c>
      <c r="E22" s="18" t="inlineStr">
        <is>
          <t>industrials</t>
        </is>
      </c>
      <c r="F22" s="16" t="n">
        <v>48</v>
      </c>
      <c r="G22" s="19" t="n">
        <v>4127.45</v>
      </c>
      <c r="H22" s="18" t="inlineStr">
        <is>
          <t>Potential Leader</t>
        </is>
      </c>
    </row>
    <row r="23">
      <c r="A23" s="16" t="n">
        <v>18</v>
      </c>
      <c r="B23" s="17" t="n">
        <v>378</v>
      </c>
      <c r="C23" s="17" t="inlineStr">
        <is>
          <t>SIGMAADV</t>
        </is>
      </c>
      <c r="D23" s="18" t="inlineStr">
        <is>
          <t>Sigma Advanced System Ltd</t>
        </is>
      </c>
      <c r="E23" s="18" t="inlineStr">
        <is>
          <t>aerospace &amp; defence</t>
        </is>
      </c>
      <c r="F23" s="16" t="n">
        <v>48</v>
      </c>
      <c r="G23" s="19" t="n">
        <v>8373.15</v>
      </c>
      <c r="H23" s="18" t="inlineStr">
        <is>
          <t>Potential Leader</t>
        </is>
      </c>
    </row>
    <row r="24">
      <c r="A24" s="16" t="n">
        <v>19</v>
      </c>
      <c r="B24" s="17" t="n">
        <v>378</v>
      </c>
      <c r="C24" s="17" t="inlineStr">
        <is>
          <t>TALBROAUTO</t>
        </is>
      </c>
      <c r="D24" s="18" t="inlineStr">
        <is>
          <t>Talbros Automotive Components Limited</t>
        </is>
      </c>
      <c r="E24" s="18" t="inlineStr">
        <is>
          <t>auto</t>
        </is>
      </c>
      <c r="F24" s="16" t="n">
        <v>48</v>
      </c>
      <c r="G24" s="19" t="n">
        <v>2205.55</v>
      </c>
      <c r="H24" s="18" t="inlineStr">
        <is>
          <t>Potential Leader</t>
        </is>
      </c>
    </row>
    <row r="25">
      <c r="A25" s="16" t="n">
        <v>20</v>
      </c>
      <c r="B25" s="17" t="n">
        <v>360</v>
      </c>
      <c r="C25" s="17" t="inlineStr">
        <is>
          <t>SIS</t>
        </is>
      </c>
      <c r="D25" s="18" t="inlineStr">
        <is>
          <t>Security &amp; Intelligence Services India</t>
        </is>
      </c>
      <c r="E25" s="18" t="inlineStr">
        <is>
          <t>miscellaneous</t>
        </is>
      </c>
      <c r="F25" s="16" t="n">
        <v>45</v>
      </c>
      <c r="G25" s="19" t="n">
        <v>5981.46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HITECHCORP</t>
        </is>
      </c>
      <c r="B30" s="18" t="inlineStr">
        <is>
          <t>Hitech Corporation</t>
        </is>
      </c>
      <c r="C30" s="18" t="inlineStr">
        <is>
          <t>industrials</t>
        </is>
      </c>
      <c r="D30" s="16" t="n">
        <v>10</v>
      </c>
      <c r="E30" s="16" t="n">
        <v>2</v>
      </c>
      <c r="F30" s="19" t="n">
        <v>525.58</v>
      </c>
      <c r="J30" s="17" t="inlineStr">
        <is>
          <t>SATIN</t>
        </is>
      </c>
      <c r="K30" s="18" t="inlineStr">
        <is>
          <t>financials</t>
        </is>
      </c>
      <c r="L30" s="19" t="n">
        <v>297</v>
      </c>
      <c r="M30" s="19" t="n">
        <v>2556.08</v>
      </c>
      <c r="N30" s="16" t="n">
        <v>29</v>
      </c>
    </row>
    <row r="31">
      <c r="A31" s="17" t="inlineStr">
        <is>
          <t>MSTCLTD</t>
        </is>
      </c>
      <c r="B31" s="18" t="inlineStr">
        <is>
          <t>MSTC Ltd</t>
        </is>
      </c>
      <c r="C31" s="18" t="inlineStr">
        <is>
          <t>i.t</t>
        </is>
      </c>
      <c r="D31" s="16" t="n">
        <v>10</v>
      </c>
      <c r="E31" s="16" t="n">
        <v>2</v>
      </c>
      <c r="F31" s="19" t="n">
        <v>4989.95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10552.01</v>
      </c>
      <c r="N31" s="16" t="n">
        <v>18</v>
      </c>
    </row>
    <row r="32">
      <c r="A32" s="17" t="inlineStr">
        <is>
          <t>BHAGERIA</t>
        </is>
      </c>
      <c r="B32" s="18" t="inlineStr">
        <is>
          <t>Bhageria Industries Limited</t>
        </is>
      </c>
      <c r="C32" s="18" t="inlineStr">
        <is>
          <t>chemicals</t>
        </is>
      </c>
      <c r="D32" s="16" t="n">
        <v>10</v>
      </c>
      <c r="E32" s="16" t="n">
        <v>1</v>
      </c>
      <c r="F32" s="19" t="n">
        <v>973.5700000000001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5550.62</v>
      </c>
      <c r="N32" s="16" t="n">
        <v>26</v>
      </c>
    </row>
    <row r="33">
      <c r="A33" s="17" t="inlineStr">
        <is>
          <t>PANACEABIO</t>
        </is>
      </c>
      <c r="B33" s="18" t="inlineStr">
        <is>
          <t>Panacea Biotec Limited</t>
        </is>
      </c>
      <c r="C33" s="18" t="inlineStr">
        <is>
          <t>healthcare</t>
        </is>
      </c>
      <c r="D33" s="16" t="n">
        <v>10</v>
      </c>
      <c r="E33" s="16" t="n">
        <v>2</v>
      </c>
      <c r="F33" s="19" t="n">
        <v>3337.86</v>
      </c>
      <c r="J33" s="17" t="inlineStr">
        <is>
          <t>BLUSPRING</t>
        </is>
      </c>
      <c r="K33" s="18" t="inlineStr">
        <is>
          <t>miscellaneous</t>
        </is>
      </c>
      <c r="L33" s="19" t="n">
        <v>288</v>
      </c>
      <c r="M33" s="19" t="n">
        <v>1369.33</v>
      </c>
      <c r="N33" s="16" t="n">
        <v>1</v>
      </c>
    </row>
    <row r="34">
      <c r="A34" s="17" t="inlineStr">
        <is>
          <t>GREENPLY</t>
        </is>
      </c>
      <c r="B34" s="18" t="inlineStr">
        <is>
          <t>Greenply Industries Limited</t>
        </is>
      </c>
      <c r="C34" s="18" t="inlineStr">
        <is>
          <t>building materials</t>
        </is>
      </c>
      <c r="D34" s="16" t="n">
        <v>9</v>
      </c>
      <c r="E34" s="16" t="n">
        <v>2</v>
      </c>
      <c r="F34" s="19" t="n">
        <v>3705.59</v>
      </c>
      <c r="J34" s="17" t="inlineStr">
        <is>
          <t>SAKAR</t>
        </is>
      </c>
      <c r="K34" s="18" t="inlineStr">
        <is>
          <t>healthcare</t>
        </is>
      </c>
      <c r="L34" s="19" t="n">
        <v>287</v>
      </c>
      <c r="M34" s="19" t="n">
        <v>1831.06</v>
      </c>
      <c r="N34" s="16" t="n">
        <v>28</v>
      </c>
    </row>
    <row r="35">
      <c r="A35" s="17" t="inlineStr">
        <is>
          <t>SSWL</t>
        </is>
      </c>
      <c r="B35" s="18" t="inlineStr">
        <is>
          <t>Steel Strips Wheels Limited</t>
        </is>
      </c>
      <c r="C35" s="18" t="inlineStr">
        <is>
          <t>auto</t>
        </is>
      </c>
      <c r="D35" s="16" t="n">
        <v>9</v>
      </c>
      <c r="E35" s="16" t="n">
        <v>2</v>
      </c>
      <c r="F35" s="19" t="n">
        <v>3678.49</v>
      </c>
      <c r="J35" s="17" t="inlineStr">
        <is>
          <t>RBLBANK</t>
        </is>
      </c>
      <c r="K35" s="18" t="inlineStr">
        <is>
          <t>bank</t>
        </is>
      </c>
      <c r="L35" s="19" t="n">
        <v>285</v>
      </c>
      <c r="M35" s="19" t="n">
        <v>22851.58</v>
      </c>
      <c r="N35" s="16" t="n">
        <v>24</v>
      </c>
    </row>
    <row r="36">
      <c r="A36" s="17" t="inlineStr">
        <is>
          <t>HMVL</t>
        </is>
      </c>
      <c r="B36" s="18" t="inlineStr">
        <is>
          <t>Hindustan Media Ventures Limited</t>
        </is>
      </c>
      <c r="C36" s="18" t="inlineStr">
        <is>
          <t>media</t>
        </is>
      </c>
      <c r="D36" s="16" t="n">
        <v>8</v>
      </c>
      <c r="E36" s="16" t="n">
        <v>1</v>
      </c>
      <c r="F36" s="19" t="n">
        <v>620.76</v>
      </c>
      <c r="J36" s="17" t="inlineStr">
        <is>
          <t>TMB</t>
        </is>
      </c>
      <c r="K36" s="18" t="inlineStr">
        <is>
          <t>bank</t>
        </is>
      </c>
      <c r="L36" s="19" t="n">
        <v>285</v>
      </c>
      <c r="M36" s="19" t="n">
        <v>12068.76</v>
      </c>
      <c r="N36" s="16" t="n">
        <v>15</v>
      </c>
    </row>
    <row r="37">
      <c r="A37" s="17" t="inlineStr">
        <is>
          <t>RAMCOSYS</t>
        </is>
      </c>
      <c r="B37" s="18" t="inlineStr">
        <is>
          <t>Ramco Systems Limited</t>
        </is>
      </c>
      <c r="C37" s="18" t="inlineStr">
        <is>
          <t>i.t</t>
        </is>
      </c>
      <c r="D37" s="16" t="n">
        <v>8</v>
      </c>
      <c r="E37" s="16" t="n">
        <v>1</v>
      </c>
      <c r="F37" s="19" t="n">
        <v>2136.03</v>
      </c>
      <c r="J37" s="17" t="inlineStr">
        <is>
          <t>NORTHARC</t>
        </is>
      </c>
      <c r="K37" s="18" t="inlineStr">
        <is>
          <t>financials</t>
        </is>
      </c>
      <c r="L37" s="19" t="n">
        <v>285</v>
      </c>
      <c r="M37" s="19" t="n">
        <v>4826.96</v>
      </c>
      <c r="N37" s="16" t="n">
        <v>22</v>
      </c>
    </row>
    <row r="38">
      <c r="A38" s="17" t="inlineStr">
        <is>
          <t>STEL</t>
        </is>
      </c>
      <c r="B38" s="18" t="inlineStr">
        <is>
          <t>Stel Holdings Limited</t>
        </is>
      </c>
      <c r="C38" s="18" t="inlineStr">
        <is>
          <t>financials</t>
        </is>
      </c>
      <c r="D38" s="16" t="n">
        <v>8</v>
      </c>
      <c r="E38" s="16" t="n">
        <v>0</v>
      </c>
      <c r="F38" s="19" t="n">
        <v>1146.82</v>
      </c>
      <c r="J38" s="17" t="inlineStr">
        <is>
          <t>STYLAMIND</t>
        </is>
      </c>
      <c r="K38" s="18" t="inlineStr">
        <is>
          <t>building materials</t>
        </is>
      </c>
      <c r="L38" s="19" t="n">
        <v>283</v>
      </c>
      <c r="M38" s="19" t="n">
        <v>5514.39</v>
      </c>
      <c r="N38" s="16" t="n">
        <v>30</v>
      </c>
    </row>
    <row r="39">
      <c r="A39" s="17" t="inlineStr">
        <is>
          <t>TINNARUBR</t>
        </is>
      </c>
      <c r="B39" s="18" t="inlineStr">
        <is>
          <t>Tinna Rubber &amp; Infrastructure Ltd</t>
        </is>
      </c>
      <c r="C39" s="18" t="inlineStr">
        <is>
          <t>fmcg</t>
        </is>
      </c>
      <c r="D39" s="16" t="n">
        <v>8</v>
      </c>
      <c r="E39" s="16" t="n">
        <v>2</v>
      </c>
      <c r="F39" s="19" t="n">
        <v>1597.19</v>
      </c>
      <c r="J39" s="17" t="inlineStr">
        <is>
          <t>BLISSGVS</t>
        </is>
      </c>
      <c r="K39" s="18" t="inlineStr">
        <is>
          <t>healthcare</t>
        </is>
      </c>
      <c r="L39" s="19" t="n">
        <v>282</v>
      </c>
      <c r="M39" s="19" t="n">
        <v>4780.6</v>
      </c>
      <c r="N39" s="16" t="n">
        <v>30</v>
      </c>
    </row>
    <row r="40">
      <c r="A40" s="17" t="inlineStr">
        <is>
          <t>NBCC</t>
        </is>
      </c>
      <c r="B40" s="18" t="inlineStr">
        <is>
          <t>Nbcc (india) Limited</t>
        </is>
      </c>
      <c r="C40" s="18" t="inlineStr">
        <is>
          <t>miscellaneous</t>
        </is>
      </c>
      <c r="D40" s="16" t="n">
        <v>7</v>
      </c>
      <c r="E40" s="16" t="n">
        <v>1</v>
      </c>
      <c r="F40" s="19" t="n">
        <v>29467.8</v>
      </c>
      <c r="J40" s="17" t="inlineStr">
        <is>
          <t>BAJAJCON</t>
        </is>
      </c>
      <c r="K40" s="18" t="inlineStr">
        <is>
          <t>fmcg</t>
        </is>
      </c>
      <c r="L40" s="19" t="n">
        <v>282</v>
      </c>
      <c r="M40" s="19" t="n">
        <v>7842.98</v>
      </c>
      <c r="N40" s="16" t="n">
        <v>30</v>
      </c>
    </row>
    <row r="41">
      <c r="A41" s="17" t="inlineStr">
        <is>
          <t>OCCLLTD</t>
        </is>
      </c>
      <c r="B41" s="18" t="inlineStr">
        <is>
          <t>OCCL Ltd</t>
        </is>
      </c>
      <c r="C41" s="18" t="inlineStr">
        <is>
          <t>chemicals</t>
        </is>
      </c>
      <c r="D41" s="16" t="n">
        <v>7</v>
      </c>
      <c r="E41" s="16" t="n">
        <v>0</v>
      </c>
      <c r="F41" s="19" t="n">
        <v>675.73</v>
      </c>
      <c r="J41" s="17" t="inlineStr">
        <is>
          <t>VENUSREM</t>
        </is>
      </c>
      <c r="K41" s="18" t="inlineStr">
        <is>
          <t>healthcare</t>
        </is>
      </c>
      <c r="L41" s="19" t="n">
        <v>282</v>
      </c>
      <c r="M41" s="19" t="n">
        <v>2496.69</v>
      </c>
      <c r="N41" s="16" t="n">
        <v>26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108.1</v>
      </c>
      <c r="D47" s="27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30493.64</v>
      </c>
    </row>
    <row r="48">
      <c r="A48" s="16" t="n">
        <v>2</v>
      </c>
      <c r="B48" s="26" t="n">
        <v>99</v>
      </c>
      <c r="C48" s="27" t="n">
        <v>89.2</v>
      </c>
      <c r="D48" s="27" t="n">
        <v>277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22172.11</v>
      </c>
    </row>
    <row r="49">
      <c r="A49" s="16" t="n">
        <v>3</v>
      </c>
      <c r="B49" s="26" t="n">
        <v>99</v>
      </c>
      <c r="C49" s="27" t="n">
        <v>89.16</v>
      </c>
      <c r="D49" s="27" t="n">
        <v>265</v>
      </c>
      <c r="E49" s="17" t="inlineStr">
        <is>
          <t>SIGMAADV</t>
        </is>
      </c>
      <c r="F49" s="18" t="inlineStr">
        <is>
          <t>Sigma Advanced System Ltd</t>
        </is>
      </c>
      <c r="G49" s="18" t="inlineStr">
        <is>
          <t>aerospace &amp; defence</t>
        </is>
      </c>
      <c r="H49" s="19" t="n">
        <v>8373.15</v>
      </c>
    </row>
    <row r="50">
      <c r="A50" s="16" t="n">
        <v>4</v>
      </c>
      <c r="B50" s="26" t="n">
        <v>98</v>
      </c>
      <c r="C50" s="27" t="n">
        <v>79.12</v>
      </c>
      <c r="D50" s="27" t="n">
        <v>295</v>
      </c>
      <c r="E50" s="17" t="inlineStr">
        <is>
          <t>VMARCIND</t>
        </is>
      </c>
      <c r="F50" s="18" t="inlineStr">
        <is>
          <t>VMARCIND</t>
        </is>
      </c>
      <c r="G50" s="18" t="inlineStr">
        <is>
          <t>unknown</t>
        </is>
      </c>
      <c r="H50" s="19" t="n">
        <v>441.28</v>
      </c>
    </row>
    <row r="51">
      <c r="A51" s="16" t="n">
        <v>5</v>
      </c>
      <c r="B51" s="26" t="n">
        <v>98</v>
      </c>
      <c r="C51" s="27" t="n">
        <v>76.91</v>
      </c>
      <c r="D51" s="27" t="n">
        <v>258</v>
      </c>
      <c r="E51" s="17" t="inlineStr">
        <is>
          <t>SWANDEF</t>
        </is>
      </c>
      <c r="F51" s="18" t="inlineStr">
        <is>
          <t>Swan Defence and Heavy Industries Ltd</t>
        </is>
      </c>
      <c r="G51" s="18" t="inlineStr">
        <is>
          <t>transportation</t>
        </is>
      </c>
      <c r="H51" s="19" t="n">
        <v>10499.03</v>
      </c>
    </row>
    <row r="52">
      <c r="A52" s="16" t="n">
        <v>6</v>
      </c>
      <c r="B52" s="26" t="n">
        <v>98</v>
      </c>
      <c r="C52" s="27" t="n">
        <v>72.90000000000001</v>
      </c>
      <c r="D52" s="27" t="n">
        <v>270</v>
      </c>
      <c r="E52" s="17" t="inlineStr">
        <is>
          <t>BHAGYANGR</t>
        </is>
      </c>
      <c r="F52" s="18" t="inlineStr">
        <is>
          <t>Bhagyanagar India</t>
        </is>
      </c>
      <c r="G52" s="18" t="inlineStr">
        <is>
          <t>power &amp; utilities</t>
        </is>
      </c>
      <c r="H52" s="19" t="n">
        <v>1095.51</v>
      </c>
    </row>
    <row r="53">
      <c r="A53" s="16" t="n">
        <v>7</v>
      </c>
      <c r="B53" s="26" t="n">
        <v>98</v>
      </c>
      <c r="C53" s="27" t="n">
        <v>71.5</v>
      </c>
      <c r="D53" s="27" t="n">
        <v>280</v>
      </c>
      <c r="E53" s="17" t="inlineStr">
        <is>
          <t>MTARTECH</t>
        </is>
      </c>
      <c r="F53" s="18" t="inlineStr">
        <is>
          <t>MTAR Technologies Ltd</t>
        </is>
      </c>
      <c r="G53" s="18" t="inlineStr">
        <is>
          <t>aerospace &amp; defence</t>
        </is>
      </c>
      <c r="H53" s="19" t="n">
        <v>23680.27</v>
      </c>
    </row>
    <row r="54">
      <c r="A54" s="16" t="n">
        <v>8</v>
      </c>
      <c r="B54" s="26" t="n">
        <v>97</v>
      </c>
      <c r="C54" s="27" t="n">
        <v>68.89</v>
      </c>
      <c r="D54" s="27" t="n">
        <v>223</v>
      </c>
      <c r="E54" s="17" t="inlineStr">
        <is>
          <t>DEEDEV</t>
        </is>
      </c>
      <c r="F54" s="18" t="inlineStr">
        <is>
          <t>DEE Development Engineers Ltd</t>
        </is>
      </c>
      <c r="G54" s="18" t="inlineStr">
        <is>
          <t>metals &amp; mining</t>
        </is>
      </c>
      <c r="H54" s="19" t="n">
        <v>5014.32</v>
      </c>
    </row>
    <row r="55">
      <c r="A55" s="16" t="n">
        <v>9</v>
      </c>
      <c r="B55" s="26" t="n">
        <v>97</v>
      </c>
      <c r="C55" s="27" t="n">
        <v>67.31999999999999</v>
      </c>
      <c r="D55" s="27" t="n">
        <v>272</v>
      </c>
      <c r="E55" s="17" t="inlineStr">
        <is>
          <t>GVPIL</t>
        </is>
      </c>
      <c r="F55" s="18" t="inlineStr">
        <is>
          <t>GE Power India Ltd</t>
        </is>
      </c>
      <c r="G55" s="18" t="inlineStr">
        <is>
          <t>realty</t>
        </is>
      </c>
      <c r="H55" s="19" t="n">
        <v>6889.47</v>
      </c>
    </row>
    <row r="56">
      <c r="A56" s="16" t="n">
        <v>10</v>
      </c>
      <c r="B56" s="26" t="n">
        <v>97</v>
      </c>
      <c r="C56" s="27" t="n">
        <v>64.58</v>
      </c>
      <c r="D56" s="27" t="n">
        <v>255</v>
      </c>
      <c r="E56" s="17" t="inlineStr">
        <is>
          <t>HFCL</t>
        </is>
      </c>
      <c r="F56" s="18" t="inlineStr">
        <is>
          <t>HFCL Ltd</t>
        </is>
      </c>
      <c r="G56" s="18" t="inlineStr">
        <is>
          <t>telecom</t>
        </is>
      </c>
      <c r="H56" s="19" t="n">
        <v>28925.33</v>
      </c>
    </row>
    <row r="57">
      <c r="A57" s="16" t="n">
        <v>11</v>
      </c>
      <c r="B57" s="26" t="n">
        <v>97</v>
      </c>
      <c r="C57" s="27" t="n">
        <v>63.86</v>
      </c>
      <c r="D57" s="27" t="n">
        <v>287</v>
      </c>
      <c r="E57" s="17" t="inlineStr">
        <is>
          <t>MODINSU</t>
        </is>
      </c>
      <c r="F57" s="18" t="inlineStr">
        <is>
          <t>Modern Insulators Limited</t>
        </is>
      </c>
      <c r="G57" s="18" t="inlineStr">
        <is>
          <t>Technology</t>
        </is>
      </c>
      <c r="H57" s="19" t="n">
        <v>2251.83</v>
      </c>
    </row>
    <row r="58">
      <c r="A58" s="16" t="n">
        <v>12</v>
      </c>
      <c r="B58" s="26" t="n">
        <v>97</v>
      </c>
      <c r="C58" s="27" t="n">
        <v>61.82</v>
      </c>
      <c r="D58" s="27" t="n">
        <v>248</v>
      </c>
      <c r="E58" s="17" t="inlineStr">
        <is>
          <t>UFBL</t>
        </is>
      </c>
      <c r="F58" s="18" t="inlineStr">
        <is>
          <t>United Foodbrands Ltd</t>
        </is>
      </c>
      <c r="G58" s="18" t="inlineStr">
        <is>
          <t>consumer discretionary</t>
        </is>
      </c>
      <c r="H58" s="19" t="n">
        <v>2318.6</v>
      </c>
    </row>
    <row r="59">
      <c r="A59" s="16" t="n">
        <v>13</v>
      </c>
      <c r="B59" s="26" t="n">
        <v>96</v>
      </c>
      <c r="C59" s="27" t="n">
        <v>59.86</v>
      </c>
      <c r="D59" s="27" t="n">
        <v>282</v>
      </c>
      <c r="E59" s="17" t="inlineStr">
        <is>
          <t>VENUSREM</t>
        </is>
      </c>
      <c r="F59" s="18" t="inlineStr">
        <is>
          <t>Venus Remedies Limited</t>
        </is>
      </c>
      <c r="G59" s="18" t="inlineStr">
        <is>
          <t>healthcare</t>
        </is>
      </c>
      <c r="H59" s="19" t="n">
        <v>2496.69</v>
      </c>
    </row>
    <row r="60">
      <c r="A60" s="16" t="n">
        <v>14</v>
      </c>
      <c r="B60" s="26" t="n">
        <v>96</v>
      </c>
      <c r="C60" s="27" t="n">
        <v>59.51</v>
      </c>
      <c r="D60" s="27" t="n">
        <v>282</v>
      </c>
      <c r="E60" s="17" t="inlineStr">
        <is>
          <t>BLISSGVS</t>
        </is>
      </c>
      <c r="F60" s="18" t="inlineStr">
        <is>
          <t>Bliss Gvs Pharma Limited</t>
        </is>
      </c>
      <c r="G60" s="18" t="inlineStr">
        <is>
          <t>healthcare</t>
        </is>
      </c>
      <c r="H60" s="19" t="n">
        <v>4780.6</v>
      </c>
    </row>
    <row r="61">
      <c r="A61" s="16" t="n">
        <v>15</v>
      </c>
      <c r="B61" s="26" t="n">
        <v>96</v>
      </c>
      <c r="C61" s="27" t="n">
        <v>54.27</v>
      </c>
      <c r="D61" s="27" t="n">
        <v>257</v>
      </c>
      <c r="E61" s="17" t="inlineStr">
        <is>
          <t>APOLLO</t>
        </is>
      </c>
      <c r="F61" s="18" t="inlineStr">
        <is>
          <t>Apollo Micro Systems Ltd</t>
        </is>
      </c>
      <c r="G61" s="18" t="inlineStr">
        <is>
          <t>aerospace &amp; defence</t>
        </is>
      </c>
      <c r="H61" s="19" t="n">
        <v>15558.3</v>
      </c>
    </row>
    <row r="62">
      <c r="A62" s="16" t="n">
        <v>16</v>
      </c>
      <c r="B62" s="26" t="n">
        <v>96</v>
      </c>
      <c r="C62" s="27" t="n">
        <v>53.42</v>
      </c>
      <c r="D62" s="27" t="n">
        <v>263</v>
      </c>
      <c r="E62" s="17" t="inlineStr">
        <is>
          <t>MODISONLTD</t>
        </is>
      </c>
      <c r="F62" s="18" t="inlineStr">
        <is>
          <t>Modison Ltd</t>
        </is>
      </c>
      <c r="G62" s="18" t="inlineStr">
        <is>
          <t>industrials</t>
        </is>
      </c>
      <c r="H62" s="19" t="n">
        <v>946.08</v>
      </c>
    </row>
    <row r="63">
      <c r="A63" s="16" t="n">
        <v>17</v>
      </c>
      <c r="B63" s="26" t="n">
        <v>95</v>
      </c>
      <c r="C63" s="27" t="n">
        <v>50.57</v>
      </c>
      <c r="D63" s="27" t="n">
        <v>250</v>
      </c>
      <c r="E63" s="17" t="inlineStr">
        <is>
          <t>AEROFLEX</t>
        </is>
      </c>
      <c r="F63" s="18" t="inlineStr">
        <is>
          <t>Aeroflex Industries Ltd</t>
        </is>
      </c>
      <c r="G63" s="18" t="inlineStr">
        <is>
          <t>metals &amp; mining</t>
        </is>
      </c>
      <c r="H63" s="19" t="n">
        <v>6242.04</v>
      </c>
    </row>
    <row r="64">
      <c r="A64" s="16" t="n">
        <v>18</v>
      </c>
      <c r="B64" s="26" t="n">
        <v>95</v>
      </c>
      <c r="C64" s="27" t="n">
        <v>48.9</v>
      </c>
      <c r="D64" s="27" t="n">
        <v>288</v>
      </c>
      <c r="E64" s="17" t="inlineStr">
        <is>
          <t>BLUSPRING</t>
        </is>
      </c>
      <c r="F64" s="18" t="inlineStr">
        <is>
          <t>Bluspring Enterprises Ltd</t>
        </is>
      </c>
      <c r="G64" s="18" t="inlineStr">
        <is>
          <t>miscellaneous</t>
        </is>
      </c>
      <c r="H64" s="19" t="n">
        <v>1369.33</v>
      </c>
    </row>
    <row r="65">
      <c r="A65" s="16" t="n">
        <v>19</v>
      </c>
      <c r="B65" s="26" t="n">
        <v>95</v>
      </c>
      <c r="C65" s="27" t="n">
        <v>47.85</v>
      </c>
      <c r="D65" s="27" t="n">
        <v>290</v>
      </c>
      <c r="E65" s="17" t="inlineStr">
        <is>
          <t>IBULLSLTD</t>
        </is>
      </c>
      <c r="F65" s="18" t="inlineStr">
        <is>
          <t>Indiabulls Limited</t>
        </is>
      </c>
      <c r="G65" s="18" t="inlineStr">
        <is>
          <t>miscellaneous</t>
        </is>
      </c>
      <c r="H65" s="19" t="n">
        <v>5550.62</v>
      </c>
    </row>
    <row r="66">
      <c r="A66" s="16" t="n">
        <v>20</v>
      </c>
      <c r="B66" s="26" t="n">
        <v>95</v>
      </c>
      <c r="C66" s="27" t="n">
        <v>47.74</v>
      </c>
      <c r="D66" s="27" t="n">
        <v>270</v>
      </c>
      <c r="E66" s="17" t="inlineStr">
        <is>
          <t>NINSYS</t>
        </is>
      </c>
      <c r="F66" s="18" t="inlineStr">
        <is>
          <t>NINtec Systems Ltd</t>
        </is>
      </c>
      <c r="G66" s="18" t="inlineStr">
        <is>
          <t>i.t</t>
        </is>
      </c>
      <c r="H66" s="19" t="n">
        <v>1309.24</v>
      </c>
    </row>
    <row r="67">
      <c r="A67" s="16" t="n">
        <v>21</v>
      </c>
      <c r="B67" s="26" t="n">
        <v>95</v>
      </c>
      <c r="C67" s="27" t="n">
        <v>46.38</v>
      </c>
      <c r="D67" s="27" t="n">
        <v>263</v>
      </c>
      <c r="E67" s="17" t="inlineStr">
        <is>
          <t>HITECHCORP</t>
        </is>
      </c>
      <c r="F67" s="18" t="inlineStr">
        <is>
          <t>Hitech Corporation</t>
        </is>
      </c>
      <c r="G67" s="18" t="inlineStr">
        <is>
          <t>industrials</t>
        </is>
      </c>
      <c r="H67" s="19" t="n">
        <v>525.58</v>
      </c>
    </row>
    <row r="68">
      <c r="A68" s="16" t="n">
        <v>22</v>
      </c>
      <c r="B68" s="28" t="n">
        <v>94</v>
      </c>
      <c r="C68" s="27" t="n">
        <v>45.44</v>
      </c>
      <c r="D68" s="27" t="n">
        <v>280</v>
      </c>
      <c r="E68" s="17" t="inlineStr">
        <is>
          <t>GAYAPROJ</t>
        </is>
      </c>
      <c r="F68" s="18" t="inlineStr">
        <is>
          <t>Gayatri Projects Limited</t>
        </is>
      </c>
      <c r="G68" s="18" t="inlineStr">
        <is>
          <t>realty</t>
        </is>
      </c>
      <c r="H68" s="19" t="n">
        <v>713.54</v>
      </c>
    </row>
    <row r="69">
      <c r="A69" s="16" t="n">
        <v>23</v>
      </c>
      <c r="B69" s="28" t="n">
        <v>94</v>
      </c>
      <c r="C69" s="27" t="n">
        <v>44.77</v>
      </c>
      <c r="D69" s="27" t="n">
        <v>282</v>
      </c>
      <c r="E69" s="17" t="inlineStr">
        <is>
          <t>BAJAJCON</t>
        </is>
      </c>
      <c r="F69" s="18" t="inlineStr">
        <is>
          <t>Bajaj Consumer Care Ltd</t>
        </is>
      </c>
      <c r="G69" s="18" t="inlineStr">
        <is>
          <t>fmcg</t>
        </is>
      </c>
      <c r="H69" s="19" t="n">
        <v>7842.98</v>
      </c>
    </row>
    <row r="70">
      <c r="A70" s="16" t="n">
        <v>24</v>
      </c>
      <c r="B70" s="28" t="n">
        <v>94</v>
      </c>
      <c r="C70" s="27" t="n">
        <v>43.41</v>
      </c>
      <c r="D70" s="27" t="n">
        <v>250</v>
      </c>
      <c r="E70" s="17" t="inlineStr">
        <is>
          <t>KERNEX</t>
        </is>
      </c>
      <c r="F70" s="18" t="inlineStr">
        <is>
          <t>Kernex Microsystems (india) Limited</t>
        </is>
      </c>
      <c r="G70" s="18" t="inlineStr">
        <is>
          <t>consumer discretionary</t>
        </is>
      </c>
      <c r="H70" s="19" t="n">
        <v>3452.9</v>
      </c>
    </row>
    <row r="71">
      <c r="A71" s="16" t="n">
        <v>25</v>
      </c>
      <c r="B71" s="28" t="n">
        <v>94</v>
      </c>
      <c r="C71" s="27" t="n">
        <v>43.3</v>
      </c>
      <c r="D71" s="27" t="n">
        <v>280</v>
      </c>
      <c r="E71" s="17" t="inlineStr">
        <is>
          <t>RPTECH</t>
        </is>
      </c>
      <c r="F71" s="18" t="inlineStr">
        <is>
          <t>Rashi Peripherals Ltd</t>
        </is>
      </c>
      <c r="G71" s="18" t="inlineStr">
        <is>
          <t>services</t>
        </is>
      </c>
      <c r="H71" s="19" t="n">
        <v>4366.51</v>
      </c>
    </row>
    <row r="72">
      <c r="A72" s="16" t="n">
        <v>26</v>
      </c>
      <c r="B72" s="28" t="n">
        <v>94</v>
      </c>
      <c r="C72" s="27" t="n">
        <v>43.13</v>
      </c>
      <c r="D72" s="27" t="n">
        <v>268</v>
      </c>
      <c r="E72" s="17" t="inlineStr">
        <is>
          <t>IDEAFORGE</t>
        </is>
      </c>
      <c r="F72" s="18" t="inlineStr">
        <is>
          <t>Ideaforge Technology Ltd</t>
        </is>
      </c>
      <c r="G72" s="18" t="inlineStr">
        <is>
          <t>aerospace &amp; defence</t>
        </is>
      </c>
      <c r="H72" s="19" t="n">
        <v>3929.67</v>
      </c>
    </row>
    <row r="73">
      <c r="A73" s="16" t="n">
        <v>27</v>
      </c>
      <c r="B73" s="28" t="n">
        <v>93</v>
      </c>
      <c r="C73" s="27" t="n">
        <v>41.89</v>
      </c>
      <c r="D73" s="27" t="n">
        <v>220</v>
      </c>
      <c r="E73" s="17" t="inlineStr">
        <is>
          <t>BBOX</t>
        </is>
      </c>
      <c r="F73" s="18" t="inlineStr">
        <is>
          <t>Black Box Ltd</t>
        </is>
      </c>
      <c r="G73" s="18" t="inlineStr">
        <is>
          <t>i.t</t>
        </is>
      </c>
      <c r="H73" s="19" t="n">
        <v>18045.94</v>
      </c>
    </row>
    <row r="74">
      <c r="A74" s="16" t="n">
        <v>28</v>
      </c>
      <c r="B74" s="28" t="n">
        <v>93</v>
      </c>
      <c r="C74" s="27" t="n">
        <v>41.68</v>
      </c>
      <c r="D74" s="27" t="n">
        <v>280</v>
      </c>
      <c r="E74" s="17" t="inlineStr">
        <is>
          <t>THANGAMAYL</t>
        </is>
      </c>
      <c r="F74" s="18" t="inlineStr">
        <is>
          <t>Thangamayil Jewellery Limited</t>
        </is>
      </c>
      <c r="G74" s="18" t="inlineStr">
        <is>
          <t>consumer discretionary</t>
        </is>
      </c>
      <c r="H74" s="19" t="n">
        <v>16922.92</v>
      </c>
    </row>
    <row r="75">
      <c r="A75" s="16" t="n">
        <v>29</v>
      </c>
      <c r="B75" s="28" t="n">
        <v>93</v>
      </c>
      <c r="C75" s="27" t="n">
        <v>41.42</v>
      </c>
      <c r="D75" s="27" t="n">
        <v>258</v>
      </c>
      <c r="E75" s="17" t="inlineStr">
        <is>
          <t>CEMPRO</t>
        </is>
      </c>
      <c r="F75" s="18" t="inlineStr">
        <is>
          <t>Cemindia Projects Ltd</t>
        </is>
      </c>
      <c r="G75" s="18" t="inlineStr">
        <is>
          <t>realty</t>
        </is>
      </c>
      <c r="H75" s="19" t="n">
        <v>19965.15</v>
      </c>
    </row>
    <row r="76">
      <c r="A76" s="16" t="n">
        <v>30</v>
      </c>
      <c r="B76" s="28" t="n">
        <v>93</v>
      </c>
      <c r="C76" s="27" t="n">
        <v>39.95</v>
      </c>
      <c r="D76" s="27" t="n">
        <v>265</v>
      </c>
      <c r="E76" s="17" t="inlineStr">
        <is>
          <t>JAYBARMARU</t>
        </is>
      </c>
      <c r="F76" s="18" t="inlineStr">
        <is>
          <t>Jay Bharat Maruti Limited</t>
        </is>
      </c>
      <c r="G76" s="18" t="inlineStr">
        <is>
          <t>auto</t>
        </is>
      </c>
      <c r="H76" s="19" t="n">
        <v>1815.14</v>
      </c>
    </row>
    <row r="77">
      <c r="A77" s="16" t="n">
        <v>31</v>
      </c>
      <c r="B77" s="28" t="n">
        <v>92</v>
      </c>
      <c r="C77" s="27" t="n">
        <v>39.94</v>
      </c>
      <c r="D77" s="27" t="n">
        <v>262</v>
      </c>
      <c r="E77" s="17" t="inlineStr">
        <is>
          <t>ONEGLOBAL</t>
        </is>
      </c>
      <c r="F77" s="18" t="inlineStr">
        <is>
          <t>One Global Service Provider Limited</t>
        </is>
      </c>
      <c r="G77" s="18" t="inlineStr">
        <is>
          <t>Healthcare</t>
        </is>
      </c>
      <c r="H77" s="19" t="n">
        <v>1427.42</v>
      </c>
    </row>
    <row r="78">
      <c r="A78" s="16" t="n">
        <v>32</v>
      </c>
      <c r="B78" s="28" t="n">
        <v>92</v>
      </c>
      <c r="C78" s="27" t="n">
        <v>39.58</v>
      </c>
      <c r="D78" s="27" t="n">
        <v>240</v>
      </c>
      <c r="E78" s="17" t="inlineStr">
        <is>
          <t>LLOYDSENGG</t>
        </is>
      </c>
      <c r="F78" s="18" t="inlineStr">
        <is>
          <t>Lloyds Engineering Works Ltd</t>
        </is>
      </c>
      <c r="G78" s="18" t="inlineStr">
        <is>
          <t>industrials</t>
        </is>
      </c>
      <c r="H78" s="19" t="n">
        <v>11831.78</v>
      </c>
    </row>
    <row r="79">
      <c r="A79" s="16" t="n">
        <v>33</v>
      </c>
      <c r="B79" s="28" t="n">
        <v>92</v>
      </c>
      <c r="C79" s="27" t="n">
        <v>39.44</v>
      </c>
      <c r="D79" s="27" t="n">
        <v>247</v>
      </c>
      <c r="E79" s="17" t="inlineStr">
        <is>
          <t>SASKEN</t>
        </is>
      </c>
      <c r="F79" s="18" t="inlineStr">
        <is>
          <t>Sasken Communication Technologies Limited</t>
        </is>
      </c>
      <c r="G79" s="18" t="inlineStr">
        <is>
          <t>i.t</t>
        </is>
      </c>
      <c r="H79" s="19" t="n">
        <v>3323.41</v>
      </c>
    </row>
    <row r="80">
      <c r="A80" s="16" t="n">
        <v>34</v>
      </c>
      <c r="B80" s="28" t="n">
        <v>92</v>
      </c>
      <c r="C80" s="27" t="n">
        <v>38.34</v>
      </c>
      <c r="D80" s="27" t="n">
        <v>265</v>
      </c>
      <c r="E80" s="17" t="inlineStr">
        <is>
          <t>RATEGAIN</t>
        </is>
      </c>
      <c r="F80" s="18" t="inlineStr">
        <is>
          <t>Rategain Travel Technologies Ltd</t>
        </is>
      </c>
      <c r="G80" s="18" t="inlineStr">
        <is>
          <t>i.t</t>
        </is>
      </c>
      <c r="H80" s="19" t="n">
        <v>9977.299999999999</v>
      </c>
    </row>
    <row r="81">
      <c r="A81" s="16" t="n">
        <v>35</v>
      </c>
      <c r="B81" s="28" t="n">
        <v>92</v>
      </c>
      <c r="C81" s="27" t="n">
        <v>38.07</v>
      </c>
      <c r="D81" s="27" t="n">
        <v>265</v>
      </c>
      <c r="E81" s="17" t="inlineStr">
        <is>
          <t>SYRMA</t>
        </is>
      </c>
      <c r="F81" s="18" t="inlineStr">
        <is>
          <t>Syrma SGS Technology Ltd</t>
        </is>
      </c>
      <c r="G81" s="18" t="inlineStr">
        <is>
          <t>consumer discretionary</t>
        </is>
      </c>
      <c r="H81" s="19" t="n">
        <v>25054.46</v>
      </c>
    </row>
    <row r="82">
      <c r="A82" s="16" t="n">
        <v>36</v>
      </c>
      <c r="B82" s="28" t="n">
        <v>91</v>
      </c>
      <c r="C82" s="27" t="n">
        <v>37.95</v>
      </c>
      <c r="D82" s="27" t="n">
        <v>245</v>
      </c>
      <c r="E82" s="17" t="inlineStr">
        <is>
          <t>FCL</t>
        </is>
      </c>
      <c r="F82" s="18" t="inlineStr">
        <is>
          <t>Fineotex Chemical Limited</t>
        </is>
      </c>
      <c r="G82" s="18" t="inlineStr">
        <is>
          <t>chemicals</t>
        </is>
      </c>
      <c r="H82" s="19" t="n">
        <v>5042.29</v>
      </c>
    </row>
    <row r="83">
      <c r="A83" s="16" t="n">
        <v>37</v>
      </c>
      <c r="B83" s="28" t="n">
        <v>91</v>
      </c>
      <c r="C83" s="27" t="n">
        <v>37.46</v>
      </c>
      <c r="D83" s="27" t="n">
        <v>267</v>
      </c>
      <c r="E83" s="17" t="inlineStr">
        <is>
          <t>SPARC</t>
        </is>
      </c>
      <c r="F83" s="18" t="inlineStr">
        <is>
          <t>Sun Pharma Advanced Research Company Limited</t>
        </is>
      </c>
      <c r="G83" s="18" t="inlineStr">
        <is>
          <t>healthcare</t>
        </is>
      </c>
      <c r="H83" s="19" t="n">
        <v>7736.92</v>
      </c>
    </row>
    <row r="84">
      <c r="A84" s="16" t="n">
        <v>38</v>
      </c>
      <c r="B84" s="28" t="n">
        <v>91</v>
      </c>
      <c r="C84" s="27" t="n">
        <v>37.07</v>
      </c>
      <c r="D84" s="27" t="n">
        <v>280</v>
      </c>
      <c r="E84" s="17" t="inlineStr">
        <is>
          <t>NETWEB</t>
        </is>
      </c>
      <c r="F84" s="18" t="inlineStr">
        <is>
          <t>Netweb Technologies India Ltd</t>
        </is>
      </c>
      <c r="G84" s="18" t="inlineStr">
        <is>
          <t>i.t</t>
        </is>
      </c>
      <c r="H84" s="19" t="n">
        <v>27812.11</v>
      </c>
    </row>
    <row r="85">
      <c r="A85" s="16" t="n">
        <v>39</v>
      </c>
      <c r="B85" s="28" t="n">
        <v>91</v>
      </c>
      <c r="C85" s="27" t="n">
        <v>36.81</v>
      </c>
      <c r="D85" s="27" t="n">
        <v>265</v>
      </c>
      <c r="E85" s="17" t="inlineStr">
        <is>
          <t>PARAS</t>
        </is>
      </c>
      <c r="F85" s="18" t="inlineStr">
        <is>
          <t>Paras Defence and Space Technologies Ltd</t>
        </is>
      </c>
      <c r="G85" s="18" t="inlineStr">
        <is>
          <t>aerospace &amp; defence</t>
        </is>
      </c>
      <c r="H85" s="19" t="n">
        <v>8778.780000000001</v>
      </c>
    </row>
    <row r="86">
      <c r="A86" s="16" t="n">
        <v>40</v>
      </c>
      <c r="B86" s="28" t="n">
        <v>90</v>
      </c>
      <c r="C86" s="27" t="n">
        <v>36.38</v>
      </c>
      <c r="D86" s="27" t="n">
        <v>178</v>
      </c>
      <c r="E86" s="17" t="inlineStr">
        <is>
          <t>BALAMINES</t>
        </is>
      </c>
      <c r="F86" s="18" t="inlineStr">
        <is>
          <t>Balaji Amines Limited</t>
        </is>
      </c>
      <c r="G86" s="18" t="inlineStr">
        <is>
          <t>chemicals</t>
        </is>
      </c>
      <c r="H86" s="19" t="n">
        <v>6728.07</v>
      </c>
    </row>
    <row r="87">
      <c r="A87" s="16" t="n">
        <v>41</v>
      </c>
      <c r="B87" s="28" t="n">
        <v>90</v>
      </c>
      <c r="C87" s="27" t="n">
        <v>36.25</v>
      </c>
      <c r="D87" s="27" t="n">
        <v>262</v>
      </c>
      <c r="E87" s="17" t="inlineStr">
        <is>
          <t>SENORES</t>
        </is>
      </c>
      <c r="F87" s="18" t="inlineStr">
        <is>
          <t>Senores Pharmaceuticals Ltd</t>
        </is>
      </c>
      <c r="G87" s="18" t="inlineStr">
        <is>
          <t>healthcare</t>
        </is>
      </c>
      <c r="H87" s="19" t="n">
        <v>5789.86</v>
      </c>
    </row>
    <row r="88">
      <c r="A88" s="16" t="n">
        <v>42</v>
      </c>
      <c r="B88" s="28" t="n">
        <v>90</v>
      </c>
      <c r="C88" s="27" t="n">
        <v>36.21</v>
      </c>
      <c r="D88" s="27" t="n">
        <v>265</v>
      </c>
      <c r="E88" s="17" t="inlineStr">
        <is>
          <t>AVALON</t>
        </is>
      </c>
      <c r="F88" s="18" t="inlineStr">
        <is>
          <t>Avalon Technologies Ltd</t>
        </is>
      </c>
      <c r="G88" s="18" t="inlineStr">
        <is>
          <t>consumer discretionary</t>
        </is>
      </c>
      <c r="H88" s="19" t="n">
        <v>11605.96</v>
      </c>
    </row>
    <row r="89">
      <c r="A89" s="16" t="n">
        <v>43</v>
      </c>
      <c r="B89" s="28" t="n">
        <v>90</v>
      </c>
      <c r="C89" s="27" t="n">
        <v>35.54</v>
      </c>
      <c r="D89" s="27" t="n">
        <v>255</v>
      </c>
      <c r="E89" s="17" t="inlineStr">
        <is>
          <t>RPEL</t>
        </is>
      </c>
      <c r="F89" s="18" t="inlineStr">
        <is>
          <t>Raghav Productivity Enhancers Ltd</t>
        </is>
      </c>
      <c r="G89" s="18" t="inlineStr">
        <is>
          <t>building materials</t>
        </is>
      </c>
      <c r="H89" s="19" t="n">
        <v>5525.05</v>
      </c>
    </row>
    <row r="90">
      <c r="A90" s="16" t="n">
        <v>44</v>
      </c>
      <c r="B90" s="28" t="n">
        <v>90</v>
      </c>
      <c r="C90" s="27" t="n">
        <v>34.88</v>
      </c>
      <c r="D90" s="27" t="n">
        <v>243</v>
      </c>
      <c r="E90" s="17" t="inlineStr">
        <is>
          <t>VINDHYATEL</t>
        </is>
      </c>
      <c r="F90" s="18" t="inlineStr">
        <is>
          <t>Vindhya Telelinks Limited</t>
        </is>
      </c>
      <c r="G90" s="18" t="inlineStr">
        <is>
          <t>realty</t>
        </is>
      </c>
      <c r="H90" s="19" t="n">
        <v>2559.79</v>
      </c>
    </row>
    <row r="9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EIFFL</t>
        </is>
      </c>
      <c r="B2" s="30" t="inlineStr">
        <is>
          <t>Euro India Fresh Foods Ltd</t>
        </is>
      </c>
      <c r="C2" s="30" t="inlineStr">
        <is>
          <t>fmcg</t>
        </is>
      </c>
      <c r="D2" s="30" t="inlineStr">
        <is>
          <t>food - processing - indian</t>
        </is>
      </c>
      <c r="E2" s="30" t="inlineStr">
        <is>
          <t>smallcap</t>
        </is>
      </c>
      <c r="F2" s="30" t="n">
        <v>617.05</v>
      </c>
      <c r="G2" s="30" t="n">
        <v>298.57</v>
      </c>
      <c r="H2" s="30" t="n">
        <v>20</v>
      </c>
      <c r="I2" s="30" t="n">
        <v>329317</v>
      </c>
      <c r="J2" s="30" t="inlineStr">
        <is>
          <t>538412</t>
        </is>
      </c>
    </row>
    <row r="3">
      <c r="A3" s="30" t="inlineStr">
        <is>
          <t>BLUSPRING</t>
        </is>
      </c>
      <c r="B3" s="30" t="inlineStr">
        <is>
          <t>Bluspring Enterprises Ltd</t>
        </is>
      </c>
      <c r="C3" s="30" t="inlineStr">
        <is>
          <t>miscellaneous</t>
        </is>
      </c>
      <c r="D3" s="30" t="inlineStr">
        <is>
          <t>diversified - large</t>
        </is>
      </c>
      <c r="E3" s="30" t="inlineStr">
        <is>
          <t>smallcap</t>
        </is>
      </c>
      <c r="F3" s="30" t="n">
        <v>1369.33</v>
      </c>
      <c r="G3" s="30" t="n">
        <v>109.35</v>
      </c>
      <c r="H3" s="30" t="n">
        <v>19.09</v>
      </c>
      <c r="I3" s="30" t="n">
        <v>12171273</v>
      </c>
      <c r="J3" s="30" t="inlineStr">
        <is>
          <t>544414</t>
        </is>
      </c>
    </row>
    <row r="4">
      <c r="A4" s="30" t="inlineStr">
        <is>
          <t>PARAS</t>
        </is>
      </c>
      <c r="B4" s="30" t="inlineStr">
        <is>
          <t>Paras Defence and Space Technologies Ltd</t>
        </is>
      </c>
      <c r="C4" s="30" t="inlineStr">
        <is>
          <t>aerospace &amp; defence</t>
        </is>
      </c>
      <c r="D4" s="30" t="inlineStr">
        <is>
          <t>engineering</t>
        </is>
      </c>
      <c r="E4" s="30" t="inlineStr">
        <is>
          <t>midcap</t>
        </is>
      </c>
      <c r="F4" s="30" t="n">
        <v>8778.780000000001</v>
      </c>
      <c r="G4" s="30" t="n">
        <v>1285.65</v>
      </c>
      <c r="H4" s="30" t="n">
        <v>18.02</v>
      </c>
      <c r="I4" s="30" t="n">
        <v>14160494</v>
      </c>
      <c r="J4" s="30" t="inlineStr">
        <is>
          <t>543367</t>
        </is>
      </c>
    </row>
    <row r="5">
      <c r="A5" s="30" t="inlineStr">
        <is>
          <t>STCINDIA</t>
        </is>
      </c>
      <c r="B5" s="30" t="inlineStr">
        <is>
          <t>The State Trading Corporation Of India Limited</t>
        </is>
      </c>
      <c r="C5" s="30" t="inlineStr">
        <is>
          <t>services</t>
        </is>
      </c>
      <c r="D5" s="30" t="inlineStr">
        <is>
          <t>trading</t>
        </is>
      </c>
      <c r="E5" s="30" t="inlineStr">
        <is>
          <t>smallcap</t>
        </is>
      </c>
      <c r="F5" s="30" t="n">
        <v>766.4400000000001</v>
      </c>
      <c r="G5" s="30" t="n">
        <v>145.09</v>
      </c>
      <c r="H5" s="30" t="n">
        <v>13.58</v>
      </c>
      <c r="I5" s="30" t="n">
        <v>3239198</v>
      </c>
      <c r="J5" s="30" t="inlineStr">
        <is>
          <t>512531</t>
        </is>
      </c>
    </row>
    <row r="6">
      <c r="A6" s="30" t="inlineStr">
        <is>
          <t>KIRLPNU</t>
        </is>
      </c>
      <c r="B6" s="30" t="inlineStr">
        <is>
          <t>Kirloskar Pneumatic Company Ltd</t>
        </is>
      </c>
      <c r="C6" s="30" t="inlineStr">
        <is>
          <t>industrials</t>
        </is>
      </c>
      <c r="D6" s="30" t="inlineStr">
        <is>
          <t>compressors / drilling equipment</t>
        </is>
      </c>
      <c r="E6" s="30" t="inlineStr">
        <is>
          <t>midcap</t>
        </is>
      </c>
      <c r="F6" s="30" t="n">
        <v>10693.42</v>
      </c>
      <c r="G6" s="30" t="n">
        <v>1832.4</v>
      </c>
      <c r="H6" s="30" t="n">
        <v>11.31</v>
      </c>
      <c r="I6" s="30" t="n">
        <v>1027172</v>
      </c>
      <c r="J6" s="30" t="inlineStr">
        <is>
          <t>505283</t>
        </is>
      </c>
    </row>
    <row r="7">
      <c r="A7" s="30" t="inlineStr">
        <is>
          <t>SASKEN</t>
        </is>
      </c>
      <c r="B7" s="30" t="inlineStr">
        <is>
          <t>Sasken Communication Technologies Limited</t>
        </is>
      </c>
      <c r="C7" s="30" t="inlineStr">
        <is>
          <t>i.t</t>
        </is>
      </c>
      <c r="D7" s="30" t="inlineStr">
        <is>
          <t>computers - software - medium / small</t>
        </is>
      </c>
      <c r="E7" s="30" t="inlineStr">
        <is>
          <t>smallcap</t>
        </is>
      </c>
      <c r="F7" s="30" t="n">
        <v>3323.41</v>
      </c>
      <c r="G7" s="30" t="n">
        <v>2407.2</v>
      </c>
      <c r="H7" s="30" t="n">
        <v>10</v>
      </c>
      <c r="I7" s="30" t="n">
        <v>63741</v>
      </c>
      <c r="J7" s="30" t="inlineStr">
        <is>
          <t>532663</t>
        </is>
      </c>
    </row>
    <row r="8">
      <c r="A8" s="30" t="inlineStr">
        <is>
          <t>PANACHE</t>
        </is>
      </c>
      <c r="B8" s="30" t="inlineStr">
        <is>
          <t>Panache Digilife Ltd</t>
        </is>
      </c>
      <c r="C8" s="30" t="inlineStr">
        <is>
          <t>i.t</t>
        </is>
      </c>
      <c r="D8" s="30" t="inlineStr">
        <is>
          <t>computers - hardware</t>
        </is>
      </c>
      <c r="E8" s="30" t="inlineStr">
        <is>
          <t>smallcap</t>
        </is>
      </c>
      <c r="F8" s="30" t="n">
        <v>598.84</v>
      </c>
      <c r="G8" s="30" t="n">
        <v>411.2</v>
      </c>
      <c r="H8" s="30" t="n">
        <v>9.960000000000001</v>
      </c>
      <c r="I8" s="30" t="n">
        <v>62816</v>
      </c>
      <c r="J8" s="30" t="inlineStr">
        <is>
          <t>538424</t>
        </is>
      </c>
    </row>
    <row r="9">
      <c r="A9" s="30" t="inlineStr">
        <is>
          <t>RATNAVEER</t>
        </is>
      </c>
      <c r="B9" s="30" t="inlineStr">
        <is>
          <t>Ratnaveer Precision Engineering Ltd</t>
        </is>
      </c>
      <c r="C9" s="30" t="inlineStr">
        <is>
          <t>metals &amp; mining</t>
        </is>
      </c>
      <c r="D9" s="30" t="inlineStr">
        <is>
          <t>steel - medium / small</t>
        </is>
      </c>
      <c r="E9" s="30" t="inlineStr">
        <is>
          <t>smallcap</t>
        </is>
      </c>
      <c r="F9" s="30" t="n">
        <v>1179.54</v>
      </c>
      <c r="G9" s="30" t="n">
        <v>181.17</v>
      </c>
      <c r="H9" s="30" t="n">
        <v>9.710000000000001</v>
      </c>
      <c r="I9" s="30" t="n">
        <v>13060864</v>
      </c>
      <c r="J9" s="30" t="inlineStr">
        <is>
          <t>543978</t>
        </is>
      </c>
    </row>
    <row r="10">
      <c r="A10" s="30" t="inlineStr">
        <is>
          <t>LLOYDSENGG</t>
        </is>
      </c>
      <c r="B10" s="30" t="inlineStr">
        <is>
          <t>Lloyds Engineering Works Ltd</t>
        </is>
      </c>
      <c r="C10" s="30" t="inlineStr">
        <is>
          <t>industrials</t>
        </is>
      </c>
      <c r="D10" s="30" t="inlineStr">
        <is>
          <t>engineering</t>
        </is>
      </c>
      <c r="E10" s="30" t="inlineStr">
        <is>
          <t>midcap</t>
        </is>
      </c>
      <c r="F10" s="30" t="n">
        <v>11831.78</v>
      </c>
      <c r="G10" s="30" t="n">
        <v>87.69</v>
      </c>
      <c r="H10" s="30" t="n">
        <v>9.69</v>
      </c>
      <c r="I10" s="30" t="n">
        <v>169981181</v>
      </c>
      <c r="J10" s="30" t="inlineStr">
        <is>
          <t>539992</t>
        </is>
      </c>
    </row>
    <row r="11">
      <c r="A11" s="30" t="inlineStr">
        <is>
          <t>AEROFLEX</t>
        </is>
      </c>
      <c r="B11" s="30" t="inlineStr">
        <is>
          <t>Aeroflex Industries Ltd</t>
        </is>
      </c>
      <c r="C11" s="30" t="inlineStr">
        <is>
          <t>metals &amp; mining</t>
        </is>
      </c>
      <c r="D11" s="30" t="inlineStr">
        <is>
          <t>steel - medium / small</t>
        </is>
      </c>
      <c r="E11" s="30" t="inlineStr">
        <is>
          <t>midcap</t>
        </is>
      </c>
      <c r="F11" s="30" t="n">
        <v>6242.04</v>
      </c>
      <c r="G11" s="30" t="n">
        <v>510.9</v>
      </c>
      <c r="H11" s="30" t="n">
        <v>8.31</v>
      </c>
      <c r="I11" s="30" t="n">
        <v>4507751</v>
      </c>
      <c r="J11" s="30" t="inlineStr">
        <is>
          <t>543972</t>
        </is>
      </c>
    </row>
    <row r="12">
      <c r="A12" s="30" t="inlineStr">
        <is>
          <t>MTARTECH</t>
        </is>
      </c>
      <c r="B12" s="30" t="inlineStr">
        <is>
          <t>MTAR Technologies Ltd</t>
        </is>
      </c>
      <c r="C12" s="30" t="inlineStr">
        <is>
          <t>aerospace &amp; defence</t>
        </is>
      </c>
      <c r="D12" s="30" t="inlineStr">
        <is>
          <t>engineering</t>
        </is>
      </c>
      <c r="E12" s="30" t="inlineStr">
        <is>
          <t>largecap</t>
        </is>
      </c>
      <c r="F12" s="30" t="n">
        <v>23680.27</v>
      </c>
      <c r="G12" s="30" t="n">
        <v>8319</v>
      </c>
      <c r="H12" s="30" t="n">
        <v>8.06</v>
      </c>
      <c r="I12" s="30" t="n">
        <v>4240038</v>
      </c>
      <c r="J12" s="30" t="inlineStr">
        <is>
          <t>543270</t>
        </is>
      </c>
    </row>
    <row r="13">
      <c r="A13" s="30" t="inlineStr">
        <is>
          <t>RICOAUTO</t>
        </is>
      </c>
      <c r="B13" s="30" t="inlineStr">
        <is>
          <t>Rico Auto Industries Limited</t>
        </is>
      </c>
      <c r="C13" s="30" t="inlineStr">
        <is>
          <t>auto</t>
        </is>
      </c>
      <c r="D13" s="30" t="inlineStr">
        <is>
          <t>auto ancillaries</t>
        </is>
      </c>
      <c r="E13" s="30" t="inlineStr">
        <is>
          <t>smallcap</t>
        </is>
      </c>
      <c r="F13" s="30" t="n">
        <v>1803.08</v>
      </c>
      <c r="G13" s="30" t="n">
        <v>143.29</v>
      </c>
      <c r="H13" s="30" t="n">
        <v>7.51</v>
      </c>
      <c r="I13" s="30" t="n">
        <v>11454310</v>
      </c>
      <c r="J13" s="30" t="inlineStr">
        <is>
          <t>520008</t>
        </is>
      </c>
    </row>
    <row r="14">
      <c r="A14" s="30" t="inlineStr">
        <is>
          <t>AEROENTER</t>
        </is>
      </c>
      <c r="B14" s="30" t="inlineStr">
        <is>
          <t>Aeroflex Enterprises Ltd</t>
        </is>
      </c>
      <c r="C14" s="30" t="inlineStr">
        <is>
          <t>metals &amp; mining</t>
        </is>
      </c>
      <c r="D14" s="30" t="inlineStr">
        <is>
          <t>steel - medium / small</t>
        </is>
      </c>
      <c r="E14" s="30" t="inlineStr">
        <is>
          <t>smallcap</t>
        </is>
      </c>
      <c r="F14" s="30" t="n">
        <v>1217.47</v>
      </c>
      <c r="G14" s="30" t="n">
        <v>115.65</v>
      </c>
      <c r="H14" s="30" t="n">
        <v>7.42</v>
      </c>
      <c r="I14" s="30" t="n">
        <v>2214137</v>
      </c>
      <c r="J14" s="30" t="inlineStr">
        <is>
          <t>511076</t>
        </is>
      </c>
    </row>
    <row r="15">
      <c r="A15" s="30" t="inlineStr">
        <is>
          <t>SCHNEIDER</t>
        </is>
      </c>
      <c r="B15" s="30" t="inlineStr">
        <is>
          <t>Schneider Electric Infrastructure Limited</t>
        </is>
      </c>
      <c r="C15" s="30" t="inlineStr">
        <is>
          <t>industrials</t>
        </is>
      </c>
      <c r="D15" s="30" t="inlineStr">
        <is>
          <t>electric equipment</t>
        </is>
      </c>
      <c r="E15" s="30" t="inlineStr">
        <is>
          <t>largecap</t>
        </is>
      </c>
      <c r="F15" s="30" t="n">
        <v>28247.75</v>
      </c>
      <c r="G15" s="30" t="n">
        <v>1266.6</v>
      </c>
      <c r="H15" s="30" t="n">
        <v>7.21</v>
      </c>
      <c r="I15" s="30" t="n">
        <v>1156564</v>
      </c>
      <c r="J15" s="30" t="inlineStr">
        <is>
          <t>534139</t>
        </is>
      </c>
    </row>
    <row r="16">
      <c r="A16" s="30" t="inlineStr">
        <is>
          <t>HAPPYFORGE</t>
        </is>
      </c>
      <c r="B16" s="30" t="inlineStr">
        <is>
          <t>Happy Forgings Ltd</t>
        </is>
      </c>
      <c r="C16" s="30" t="inlineStr">
        <is>
          <t>industrials</t>
        </is>
      </c>
      <c r="D16" s="30" t="inlineStr">
        <is>
          <t>castings &amp; forgings</t>
        </is>
      </c>
      <c r="E16" s="30" t="inlineStr">
        <is>
          <t>midcap</t>
        </is>
      </c>
      <c r="F16" s="30" t="n">
        <v>12611.83</v>
      </c>
      <c r="G16" s="30" t="n">
        <v>1431.2</v>
      </c>
      <c r="H16" s="30" t="n">
        <v>7.07</v>
      </c>
      <c r="I16" s="30" t="n">
        <v>200655</v>
      </c>
      <c r="J16" s="30" t="inlineStr">
        <is>
          <t>544057</t>
        </is>
      </c>
    </row>
    <row r="17">
      <c r="A17" s="30" t="inlineStr">
        <is>
          <t>MAITHANALL</t>
        </is>
      </c>
      <c r="B17" s="30" t="inlineStr">
        <is>
          <t>Maithan Alloys Limited</t>
        </is>
      </c>
      <c r="C17" s="30" t="inlineStr">
        <is>
          <t>metals &amp; mining</t>
        </is>
      </c>
      <c r="D17" s="30" t="inlineStr">
        <is>
          <t>mining / minerals / metals</t>
        </is>
      </c>
      <c r="E17" s="30" t="inlineStr">
        <is>
          <t>smallcap</t>
        </is>
      </c>
      <c r="F17" s="30" t="n">
        <v>3078.55</v>
      </c>
      <c r="G17" s="30" t="n">
        <v>1129.1</v>
      </c>
      <c r="H17" s="30" t="n">
        <v>6.77</v>
      </c>
      <c r="I17" s="30" t="n">
        <v>290072</v>
      </c>
      <c r="J17" s="30" t="inlineStr">
        <is>
          <t>590078</t>
        </is>
      </c>
    </row>
    <row r="18">
      <c r="A18" s="30" t="inlineStr">
        <is>
          <t>COMSYN</t>
        </is>
      </c>
      <c r="B18" s="30" t="inlineStr">
        <is>
          <t>Commercial Syn Bags Ltd</t>
        </is>
      </c>
      <c r="C18" s="30" t="inlineStr">
        <is>
          <t>industrials</t>
        </is>
      </c>
      <c r="D18" s="30" t="inlineStr">
        <is>
          <t>packaging</t>
        </is>
      </c>
      <c r="E18" s="30" t="inlineStr">
        <is>
          <t>smallcap</t>
        </is>
      </c>
      <c r="F18" s="30" t="n">
        <v>640.87</v>
      </c>
      <c r="G18" s="30" t="n">
        <v>169.39</v>
      </c>
      <c r="H18" s="30" t="n">
        <v>6.62</v>
      </c>
      <c r="I18" s="30" t="n">
        <v>321117</v>
      </c>
      <c r="J18" s="30" t="inlineStr">
        <is>
          <t>539986</t>
        </is>
      </c>
    </row>
    <row r="19">
      <c r="A19" s="30" t="inlineStr">
        <is>
          <t>DATAPATTNS</t>
        </is>
      </c>
      <c r="B19" s="30" t="inlineStr">
        <is>
          <t>Data Patterns (India) Ltd</t>
        </is>
      </c>
      <c r="C19" s="30" t="inlineStr">
        <is>
          <t>aerospace &amp; defence</t>
        </is>
      </c>
      <c r="D19" s="30" t="inlineStr">
        <is>
          <t>electronics - components</t>
        </is>
      </c>
      <c r="E19" s="30" t="inlineStr">
        <is>
          <t>largecap</t>
        </is>
      </c>
      <c r="F19" s="30" t="n">
        <v>25065.7</v>
      </c>
      <c r="G19" s="30" t="n">
        <v>4769.6</v>
      </c>
      <c r="H19" s="30" t="n">
        <v>6.53</v>
      </c>
      <c r="I19" s="30" t="n">
        <v>2233651</v>
      </c>
      <c r="J19" s="30" t="inlineStr">
        <is>
          <t>543428</t>
        </is>
      </c>
    </row>
    <row r="20">
      <c r="A20" s="30" t="inlineStr">
        <is>
          <t>ASTRAMICRO</t>
        </is>
      </c>
      <c r="B20" s="30" t="inlineStr">
        <is>
          <t>Astra Microwave Products Limited</t>
        </is>
      </c>
      <c r="C20" s="30" t="inlineStr">
        <is>
          <t>aerospace &amp; defence</t>
        </is>
      </c>
      <c r="D20" s="30" t="inlineStr">
        <is>
          <t>telecommunications - equipment</t>
        </is>
      </c>
      <c r="E20" s="30" t="inlineStr">
        <is>
          <t>midcap</t>
        </is>
      </c>
      <c r="F20" s="30" t="n">
        <v>14052.81</v>
      </c>
      <c r="G20" s="30" t="n">
        <v>1574.4</v>
      </c>
      <c r="H20" s="30" t="n">
        <v>6.37</v>
      </c>
      <c r="I20" s="30" t="n">
        <v>2695624</v>
      </c>
      <c r="J20" s="30" t="inlineStr">
        <is>
          <t>532493</t>
        </is>
      </c>
    </row>
    <row r="21">
      <c r="A21" s="30" t="inlineStr">
        <is>
          <t>FINCABLES</t>
        </is>
      </c>
      <c r="B21" s="30" t="inlineStr">
        <is>
          <t>Finolex Cables Limited</t>
        </is>
      </c>
      <c r="C21" s="30" t="inlineStr">
        <is>
          <t>industrials</t>
        </is>
      </c>
      <c r="D21" s="30" t="inlineStr">
        <is>
          <t>cables - power</t>
        </is>
      </c>
      <c r="E21" s="30" t="inlineStr">
        <is>
          <t>midcap</t>
        </is>
      </c>
      <c r="F21" s="30" t="n">
        <v>16142.75</v>
      </c>
      <c r="G21" s="30" t="n">
        <v>1120</v>
      </c>
      <c r="H21" s="30" t="n">
        <v>6.11</v>
      </c>
      <c r="I21" s="30" t="n">
        <v>897747</v>
      </c>
      <c r="J21" s="30" t="inlineStr">
        <is>
          <t>500144</t>
        </is>
      </c>
    </row>
    <row r="22">
      <c r="A22" s="30" t="inlineStr">
        <is>
          <t>CARBORUNIV</t>
        </is>
      </c>
      <c r="B22" s="30" t="inlineStr">
        <is>
          <t>Carborundum Universal Limited</t>
        </is>
      </c>
      <c r="C22" s="30" t="inlineStr">
        <is>
          <t>industrials</t>
        </is>
      </c>
      <c r="D22" s="30" t="inlineStr">
        <is>
          <t>abrasives and grinding wheels</t>
        </is>
      </c>
      <c r="E22" s="30" t="inlineStr">
        <is>
          <t>largecap</t>
        </is>
      </c>
      <c r="F22" s="30" t="n">
        <v>20296.98</v>
      </c>
      <c r="G22" s="30" t="n">
        <v>1130.3</v>
      </c>
      <c r="H22" s="30" t="n">
        <v>6.08</v>
      </c>
      <c r="I22" s="30" t="n">
        <v>543328</v>
      </c>
      <c r="J22" s="30" t="inlineStr">
        <is>
          <t>513375</t>
        </is>
      </c>
    </row>
    <row r="23">
      <c r="A23" s="30" t="inlineStr">
        <is>
          <t>SUYOG</t>
        </is>
      </c>
      <c r="B23" s="30" t="inlineStr">
        <is>
          <t>Suyog Telematics Ltd</t>
        </is>
      </c>
      <c r="C23" s="30" t="inlineStr">
        <is>
          <t>telecom</t>
        </is>
      </c>
      <c r="D23" s="30" t="inlineStr">
        <is>
          <t>transmisson line towers / equipment</t>
        </is>
      </c>
      <c r="E23" s="30" t="inlineStr">
        <is>
          <t>smallcap</t>
        </is>
      </c>
      <c r="F23" s="30" t="n">
        <v>877.26</v>
      </c>
      <c r="G23" s="30" t="n">
        <v>792.2</v>
      </c>
      <c r="H23" s="30" t="n">
        <v>5.81</v>
      </c>
      <c r="I23" s="30" t="n">
        <v>55418</v>
      </c>
      <c r="J23" s="30" t="inlineStr">
        <is>
          <t>537259</t>
        </is>
      </c>
    </row>
    <row r="24">
      <c r="A24" s="30" t="inlineStr">
        <is>
          <t>BUTTERFLY</t>
        </is>
      </c>
      <c r="B24" s="30" t="inlineStr">
        <is>
          <t>Butterfly Gandhimathi Appliances Limited</t>
        </is>
      </c>
      <c r="C24" s="30" t="inlineStr">
        <is>
          <t>consumer discretionary</t>
        </is>
      </c>
      <c r="D24" s="30" t="inlineStr">
        <is>
          <t>domestic appliances</t>
        </is>
      </c>
      <c r="E24" s="30" t="inlineStr">
        <is>
          <t>smallcap</t>
        </is>
      </c>
      <c r="F24" s="30" t="n">
        <v>1122.39</v>
      </c>
      <c r="G24" s="30" t="n">
        <v>664.1</v>
      </c>
      <c r="H24" s="30" t="n">
        <v>5.79</v>
      </c>
      <c r="I24" s="30" t="n">
        <v>153476</v>
      </c>
      <c r="J24" s="30" t="inlineStr">
        <is>
          <t>517421</t>
        </is>
      </c>
    </row>
    <row r="25">
      <c r="A25" s="30" t="inlineStr">
        <is>
          <t>GVT&amp;D</t>
        </is>
      </c>
      <c r="B25" s="30" t="inlineStr">
        <is>
          <t>GE Vernova T&amp;D India Ltd</t>
        </is>
      </c>
      <c r="C25" s="30" t="inlineStr">
        <is>
          <t>industrials</t>
        </is>
      </c>
      <c r="D25" s="30" t="inlineStr">
        <is>
          <t>electric equipment</t>
        </is>
      </c>
      <c r="E25" s="30" t="inlineStr">
        <is>
          <t>largecap</t>
        </is>
      </c>
      <c r="F25" s="30" t="n">
        <v>124758.67</v>
      </c>
      <c r="G25" s="30" t="n">
        <v>5152.5</v>
      </c>
      <c r="H25" s="30" t="n">
        <v>5.75</v>
      </c>
      <c r="I25" s="30" t="n">
        <v>887332</v>
      </c>
      <c r="J25" s="30" t="inlineStr">
        <is>
          <t>522275</t>
        </is>
      </c>
    </row>
    <row r="26">
      <c r="A26" s="30" t="inlineStr">
        <is>
          <t>WALCHANNAG</t>
        </is>
      </c>
      <c r="B26" s="30" t="inlineStr">
        <is>
          <t>Walchandnagar Industries Limited</t>
        </is>
      </c>
      <c r="C26" s="30" t="inlineStr">
        <is>
          <t>industrials</t>
        </is>
      </c>
      <c r="D26" s="30" t="inlineStr">
        <is>
          <t>engineering</t>
        </is>
      </c>
      <c r="E26" s="30" t="inlineStr">
        <is>
          <t>smallcap</t>
        </is>
      </c>
      <c r="F26" s="30" t="n">
        <v>1797.48</v>
      </c>
      <c r="G26" s="30" t="n">
        <v>280.05</v>
      </c>
      <c r="H26" s="30" t="n">
        <v>5.7</v>
      </c>
      <c r="I26" s="30" t="n">
        <v>7207703</v>
      </c>
      <c r="J26" s="30" t="inlineStr">
        <is>
          <t>507410</t>
        </is>
      </c>
    </row>
    <row r="27">
      <c r="A27" s="30" t="inlineStr">
        <is>
          <t>PANSARI</t>
        </is>
      </c>
      <c r="B27" s="30" t="inlineStr">
        <is>
          <t>Pansari Developers Ltd</t>
        </is>
      </c>
      <c r="C27" s="30" t="inlineStr">
        <is>
          <t>realty</t>
        </is>
      </c>
      <c r="D27" s="30" t="inlineStr">
        <is>
          <t>construction</t>
        </is>
      </c>
      <c r="E27" s="30" t="inlineStr">
        <is>
          <t>smallcap</t>
        </is>
      </c>
      <c r="F27" s="30" t="n">
        <v>511.28</v>
      </c>
      <c r="G27" s="30" t="n">
        <v>309.7</v>
      </c>
      <c r="H27" s="30" t="n">
        <v>5.68</v>
      </c>
      <c r="I27" s="30" t="n">
        <v>199435</v>
      </c>
      <c r="J27" s="30" t="inlineStr">
        <is>
          <t>538381</t>
        </is>
      </c>
    </row>
    <row r="28">
      <c r="A28" s="30" t="inlineStr">
        <is>
          <t>WOCKPHARMA</t>
        </is>
      </c>
      <c r="B28" s="30" t="inlineStr">
        <is>
          <t>Wockhardt Limited</t>
        </is>
      </c>
      <c r="C28" s="30" t="inlineStr">
        <is>
          <t>healthcare</t>
        </is>
      </c>
      <c r="D28" s="30" t="inlineStr">
        <is>
          <t>pharmaceuticals - indian - bulk drugs &amp; formln</t>
        </is>
      </c>
      <c r="E28" s="30" t="inlineStr">
        <is>
          <t>largecap</t>
        </is>
      </c>
      <c r="F28" s="30" t="n">
        <v>31185.5</v>
      </c>
      <c r="G28" s="30" t="n">
        <v>2022.8</v>
      </c>
      <c r="H28" s="30" t="n">
        <v>5.4</v>
      </c>
      <c r="I28" s="30" t="n">
        <v>2894160</v>
      </c>
      <c r="J28" s="30" t="inlineStr">
        <is>
          <t>532300</t>
        </is>
      </c>
    </row>
    <row r="29">
      <c r="A29" s="30" t="inlineStr">
        <is>
          <t>BORORENEW</t>
        </is>
      </c>
      <c r="B29" s="30" t="inlineStr">
        <is>
          <t>Borosil Renewables Ltd</t>
        </is>
      </c>
      <c r="C29" s="30" t="inlineStr">
        <is>
          <t>building materials</t>
        </is>
      </c>
      <c r="D29" s="30" t="inlineStr">
        <is>
          <t>glass &amp; glass products</t>
        </is>
      </c>
      <c r="E29" s="30" t="inlineStr">
        <is>
          <t>midcap</t>
        </is>
      </c>
      <c r="F29" s="30" t="n">
        <v>7908.75</v>
      </c>
      <c r="G29" s="30" t="n">
        <v>593.9</v>
      </c>
      <c r="H29" s="30" t="n">
        <v>5.27</v>
      </c>
      <c r="I29" s="30" t="n">
        <v>1479891</v>
      </c>
      <c r="J29" s="30" t="inlineStr">
        <is>
          <t>502219</t>
        </is>
      </c>
    </row>
    <row r="30">
      <c r="A30" s="30" t="inlineStr">
        <is>
          <t>RANEHOLDIN</t>
        </is>
      </c>
      <c r="B30" s="30" t="inlineStr">
        <is>
          <t>Rane Holdings Limited</t>
        </is>
      </c>
      <c r="C30" s="30" t="inlineStr">
        <is>
          <t>financials</t>
        </is>
      </c>
      <c r="D30" s="30" t="inlineStr">
        <is>
          <t>finance &amp; investments</t>
        </is>
      </c>
      <c r="E30" s="30" t="inlineStr">
        <is>
          <t>smallcap</t>
        </is>
      </c>
      <c r="F30" s="30" t="n">
        <v>2186.22</v>
      </c>
      <c r="G30" s="30" t="n">
        <v>1610.6</v>
      </c>
      <c r="H30" s="30" t="n">
        <v>5.19</v>
      </c>
      <c r="I30" s="30" t="n">
        <v>43454</v>
      </c>
      <c r="J30" s="30" t="inlineStr">
        <is>
          <t>505800</t>
        </is>
      </c>
    </row>
    <row r="31">
      <c r="A31" s="30" t="inlineStr">
        <is>
          <t>SPECTRUM</t>
        </is>
      </c>
      <c r="B31" s="30" t="inlineStr">
        <is>
          <t>Spectrum Electrical Industries Ltd</t>
        </is>
      </c>
      <c r="C31" s="30" t="inlineStr">
        <is>
          <t>industrials</t>
        </is>
      </c>
      <c r="D31" s="30" t="inlineStr">
        <is>
          <t>electric equipment</t>
        </is>
      </c>
      <c r="E31" s="30" t="inlineStr">
        <is>
          <t>smallcap</t>
        </is>
      </c>
      <c r="F31" s="30" t="n">
        <v>2457.96</v>
      </c>
      <c r="G31" s="30" t="n">
        <v>1644.6</v>
      </c>
      <c r="H31" s="30" t="n">
        <v>5.14</v>
      </c>
      <c r="I31" s="30" t="n">
        <v>32463</v>
      </c>
      <c r="J31" s="30" t="inlineStr">
        <is>
          <t>535112</t>
        </is>
      </c>
    </row>
    <row r="32">
      <c r="A32" s="30" t="inlineStr">
        <is>
          <t>YESBANK</t>
        </is>
      </c>
      <c r="B32" s="30" t="inlineStr">
        <is>
          <t>Yes Bank Limited</t>
        </is>
      </c>
      <c r="C32" s="30" t="inlineStr">
        <is>
          <t>bank</t>
        </is>
      </c>
      <c r="D32" s="30" t="inlineStr">
        <is>
          <t>banks - private sector</t>
        </is>
      </c>
      <c r="E32" s="30" t="inlineStr">
        <is>
          <t>largecap</t>
        </is>
      </c>
      <c r="F32" s="30" t="n">
        <v>74963.10000000001</v>
      </c>
      <c r="G32" s="30" t="n">
        <v>25.11</v>
      </c>
      <c r="H32" s="30" t="n">
        <v>5.11</v>
      </c>
      <c r="I32" s="30" t="n">
        <v>394351584</v>
      </c>
      <c r="J32" s="30" t="inlineStr">
        <is>
          <t>532648</t>
        </is>
      </c>
    </row>
    <row r="33">
      <c r="A33" s="30" t="inlineStr">
        <is>
          <t>BLISSGVS</t>
        </is>
      </c>
      <c r="B33" s="30" t="inlineStr">
        <is>
          <t>Bliss Gvs Pharma Limited</t>
        </is>
      </c>
      <c r="C33" s="30" t="inlineStr">
        <is>
          <t>healthcare</t>
        </is>
      </c>
      <c r="D33" s="30" t="inlineStr">
        <is>
          <t>pharmaceuticals - indian - formulations</t>
        </is>
      </c>
      <c r="E33" s="30" t="inlineStr">
        <is>
          <t>smallcap</t>
        </is>
      </c>
      <c r="F33" s="30" t="n">
        <v>4780.6</v>
      </c>
      <c r="G33" s="30" t="n">
        <v>474.85</v>
      </c>
      <c r="H33" s="30" t="n">
        <v>5.08</v>
      </c>
      <c r="I33" s="30" t="n">
        <v>1969782</v>
      </c>
      <c r="J33" s="30" t="inlineStr">
        <is>
          <t>506197</t>
        </is>
      </c>
    </row>
    <row r="34">
      <c r="A34" s="30" t="inlineStr">
        <is>
          <t>HMT</t>
        </is>
      </c>
      <c r="B34" s="30" t="inlineStr">
        <is>
          <t>Hmt Limited</t>
        </is>
      </c>
      <c r="C34" s="30" t="inlineStr">
        <is>
          <t>consumer discretionary</t>
        </is>
      </c>
      <c r="D34" s="30" t="inlineStr">
        <is>
          <t>miscellaneous</t>
        </is>
      </c>
      <c r="E34" s="30" t="inlineStr">
        <is>
          <t>midcap</t>
        </is>
      </c>
      <c r="F34" s="30" t="n">
        <v>6735.69</v>
      </c>
      <c r="G34" s="30" t="n">
        <v>58.73</v>
      </c>
      <c r="H34" s="30" t="n">
        <v>4.99</v>
      </c>
      <c r="I34" s="30" t="n">
        <v>17569</v>
      </c>
      <c r="J34" s="30" t="inlineStr">
        <is>
          <t>500191</t>
        </is>
      </c>
    </row>
    <row r="35">
      <c r="A35" s="30" t="inlineStr">
        <is>
          <t>BHAGYANGR</t>
        </is>
      </c>
      <c r="B35" s="30" t="inlineStr">
        <is>
          <t>Bhagyanagar India</t>
        </is>
      </c>
      <c r="C35" s="30" t="inlineStr">
        <is>
          <t>power &amp; utilities</t>
        </is>
      </c>
      <c r="D35" s="30" t="inlineStr">
        <is>
          <t>power generation and supply</t>
        </is>
      </c>
      <c r="E35" s="30" t="inlineStr">
        <is>
          <t>smallcap</t>
        </is>
      </c>
      <c r="F35" s="30" t="n">
        <v>1095.51</v>
      </c>
      <c r="G35" s="30" t="n">
        <v>359.5</v>
      </c>
      <c r="H35" s="30" t="n">
        <v>4.99</v>
      </c>
      <c r="I35" s="30" t="n">
        <v>134205</v>
      </c>
      <c r="J35" s="30" t="inlineStr">
        <is>
          <t>512296</t>
        </is>
      </c>
    </row>
    <row r="36">
      <c r="A36" s="30" t="inlineStr">
        <is>
          <t>MODISONLTD</t>
        </is>
      </c>
      <c r="B36" s="30" t="inlineStr">
        <is>
          <t>Modison Ltd</t>
        </is>
      </c>
      <c r="C36" s="30" t="inlineStr">
        <is>
          <t>industrials</t>
        </is>
      </c>
      <c r="D36" s="30" t="inlineStr">
        <is>
          <t>electric equipment</t>
        </is>
      </c>
      <c r="E36" s="30" t="inlineStr">
        <is>
          <t>smallcap</t>
        </is>
      </c>
      <c r="F36" s="30" t="n">
        <v>946.08</v>
      </c>
      <c r="G36" s="30" t="n">
        <v>306.05</v>
      </c>
      <c r="H36" s="30" t="n">
        <v>4.97</v>
      </c>
      <c r="I36" s="30" t="n">
        <v>207932</v>
      </c>
      <c r="J36" s="30" t="inlineStr">
        <is>
          <t>506261</t>
        </is>
      </c>
    </row>
    <row r="37">
      <c r="A37" s="30" t="inlineStr">
        <is>
          <t>RATEGAIN</t>
        </is>
      </c>
      <c r="B37" s="30" t="inlineStr">
        <is>
          <t>Rategain Travel Technologies Ltd</t>
        </is>
      </c>
      <c r="C37" s="30" t="inlineStr">
        <is>
          <t>i.t</t>
        </is>
      </c>
      <c r="D37" s="30" t="inlineStr">
        <is>
          <t>computers - software - medium / small</t>
        </is>
      </c>
      <c r="E37" s="30" t="inlineStr">
        <is>
          <t>midcap</t>
        </is>
      </c>
      <c r="F37" s="30" t="n">
        <v>9977.299999999999</v>
      </c>
      <c r="G37" s="30" t="n">
        <v>886.2</v>
      </c>
      <c r="H37" s="30" t="n">
        <v>4.96</v>
      </c>
      <c r="I37" s="30" t="n">
        <v>863360</v>
      </c>
      <c r="J37" s="30" t="inlineStr">
        <is>
          <t>543417</t>
        </is>
      </c>
    </row>
    <row r="38">
      <c r="A38" s="30" t="inlineStr">
        <is>
          <t>GAYAPROJ</t>
        </is>
      </c>
      <c r="B38" s="30" t="inlineStr">
        <is>
          <t>Gayatri Projects Limited</t>
        </is>
      </c>
      <c r="C38" s="30" t="inlineStr">
        <is>
          <t>realty</t>
        </is>
      </c>
      <c r="D38" s="30" t="inlineStr">
        <is>
          <t>construction</t>
        </is>
      </c>
      <c r="E38" s="30" t="inlineStr">
        <is>
          <t>smallcap</t>
        </is>
      </c>
      <c r="F38" s="30" t="n">
        <v>713.54</v>
      </c>
      <c r="G38" s="30" t="n">
        <v>25.26</v>
      </c>
      <c r="H38" s="30" t="n">
        <v>4.86</v>
      </c>
      <c r="I38" s="30" t="n">
        <v>2517674</v>
      </c>
      <c r="J38" s="30" t="inlineStr">
        <is>
          <t>532767</t>
        </is>
      </c>
    </row>
    <row r="39">
      <c r="A39" s="30" t="inlineStr">
        <is>
          <t>HAL</t>
        </is>
      </c>
      <c r="B39" s="30" t="inlineStr">
        <is>
          <t>Hindustan Aeronautics Ltd</t>
        </is>
      </c>
      <c r="C39" s="30" t="inlineStr">
        <is>
          <t>aerospace &amp; defence</t>
        </is>
      </c>
      <c r="D39" s="30" t="inlineStr">
        <is>
          <t>engineering</t>
        </is>
      </c>
      <c r="E39" s="30" t="inlineStr">
        <is>
          <t>largecap</t>
        </is>
      </c>
      <c r="F39" s="30" t="n">
        <v>284617.26</v>
      </c>
      <c r="G39" s="30" t="n">
        <v>4460.5</v>
      </c>
      <c r="H39" s="30" t="n">
        <v>4.81</v>
      </c>
      <c r="I39" s="30" t="n">
        <v>1421845</v>
      </c>
      <c r="J39" s="30" t="inlineStr">
        <is>
          <t>541154</t>
        </is>
      </c>
    </row>
    <row r="40">
      <c r="A40" s="30" t="inlineStr">
        <is>
          <t>KEI</t>
        </is>
      </c>
      <c r="B40" s="30" t="inlineStr">
        <is>
          <t>Kei Industries Limited</t>
        </is>
      </c>
      <c r="C40" s="30" t="inlineStr">
        <is>
          <t>industrials</t>
        </is>
      </c>
      <c r="D40" s="30" t="inlineStr">
        <is>
          <t>cables - power</t>
        </is>
      </c>
      <c r="E40" s="30" t="inlineStr">
        <is>
          <t>largecap</t>
        </is>
      </c>
      <c r="F40" s="30" t="n">
        <v>51495.26</v>
      </c>
      <c r="G40" s="30" t="n">
        <v>5643.5</v>
      </c>
      <c r="H40" s="30" t="n">
        <v>4.77</v>
      </c>
      <c r="I40" s="30" t="n">
        <v>440733</v>
      </c>
      <c r="J40" s="30" t="inlineStr">
        <is>
          <t>517569</t>
        </is>
      </c>
    </row>
    <row r="41">
      <c r="A41" s="30" t="inlineStr">
        <is>
          <t>ENGINERSIN</t>
        </is>
      </c>
      <c r="B41" s="30" t="inlineStr">
        <is>
          <t>Engineers India Limited</t>
        </is>
      </c>
      <c r="C41" s="30" t="inlineStr">
        <is>
          <t>realty</t>
        </is>
      </c>
      <c r="D41" s="30" t="inlineStr">
        <is>
          <t>engineering - turnkey services</t>
        </is>
      </c>
      <c r="E41" s="30" t="inlineStr">
        <is>
          <t>midcap</t>
        </is>
      </c>
      <c r="F41" s="30" t="n">
        <v>13054</v>
      </c>
      <c r="G41" s="30" t="n">
        <v>243.19</v>
      </c>
      <c r="H41" s="30" t="n">
        <v>4.71</v>
      </c>
      <c r="I41" s="30" t="n">
        <v>6865480</v>
      </c>
      <c r="J41" s="30" t="inlineStr">
        <is>
          <t>532178</t>
        </is>
      </c>
    </row>
    <row r="42">
      <c r="A42" s="30" t="inlineStr">
        <is>
          <t>QUADFUTURE</t>
        </is>
      </c>
      <c r="B42" s="30" t="inlineStr">
        <is>
          <t>Quadrant Future Tek Ltd</t>
        </is>
      </c>
      <c r="C42" s="30" t="inlineStr">
        <is>
          <t>industrials</t>
        </is>
      </c>
      <c r="D42" s="30" t="inlineStr">
        <is>
          <t>cables - power</t>
        </is>
      </c>
      <c r="E42" s="30" t="inlineStr">
        <is>
          <t>smallcap</t>
        </is>
      </c>
      <c r="F42" s="30" t="n">
        <v>1646</v>
      </c>
      <c r="G42" s="30" t="n">
        <v>430.4</v>
      </c>
      <c r="H42" s="30" t="n">
        <v>4.59</v>
      </c>
      <c r="I42" s="30" t="n">
        <v>3400738</v>
      </c>
      <c r="J42" s="30" t="inlineStr">
        <is>
          <t>544336</t>
        </is>
      </c>
    </row>
    <row r="43">
      <c r="A43" s="30" t="inlineStr">
        <is>
          <t>KMEW</t>
        </is>
      </c>
      <c r="B43" s="30" t="inlineStr">
        <is>
          <t>Knowledge Marine &amp; Engineering Works Ltd</t>
        </is>
      </c>
      <c r="C43" s="30" t="inlineStr">
        <is>
          <t>transportation</t>
        </is>
      </c>
      <c r="D43" s="30" t="inlineStr">
        <is>
          <t>miscellaneous</t>
        </is>
      </c>
      <c r="E43" s="30" t="inlineStr">
        <is>
          <t>smallcap</t>
        </is>
      </c>
      <c r="F43" s="30" t="n">
        <v>4860.71</v>
      </c>
      <c r="G43" s="30" t="n">
        <v>2075.9</v>
      </c>
      <c r="H43" s="30" t="n">
        <v>4.4</v>
      </c>
      <c r="I43" s="30" t="n">
        <v>198914</v>
      </c>
      <c r="J43" s="30" t="inlineStr">
        <is>
          <t>543273</t>
        </is>
      </c>
    </row>
    <row r="44">
      <c r="A44" s="30" t="inlineStr">
        <is>
          <t>VMART</t>
        </is>
      </c>
      <c r="B44" s="30" t="inlineStr">
        <is>
          <t>V-mart Retail Limited</t>
        </is>
      </c>
      <c r="C44" s="30" t="inlineStr">
        <is>
          <t>consumer discretionary</t>
        </is>
      </c>
      <c r="D44" s="30" t="inlineStr">
        <is>
          <t>trading</t>
        </is>
      </c>
      <c r="E44" s="30" t="inlineStr">
        <is>
          <t>midcap</t>
        </is>
      </c>
      <c r="F44" s="30" t="n">
        <v>5815.55</v>
      </c>
      <c r="G44" s="30" t="n">
        <v>763.95</v>
      </c>
      <c r="H44" s="30" t="n">
        <v>4.38</v>
      </c>
      <c r="I44" s="30" t="n">
        <v>610230</v>
      </c>
      <c r="J44" s="30" t="inlineStr">
        <is>
          <t>534976</t>
        </is>
      </c>
    </row>
    <row r="45">
      <c r="A45" s="30" t="inlineStr">
        <is>
          <t>UFBL</t>
        </is>
      </c>
      <c r="B45" s="30" t="inlineStr">
        <is>
          <t>United Foodbrands Ltd</t>
        </is>
      </c>
      <c r="C45" s="30" t="inlineStr">
        <is>
          <t>consumer discretionary</t>
        </is>
      </c>
      <c r="D45" s="30" t="inlineStr">
        <is>
          <t>hotels</t>
        </is>
      </c>
      <c r="E45" s="30" t="inlineStr">
        <is>
          <t>smallcap</t>
        </is>
      </c>
      <c r="F45" s="30" t="n">
        <v>2318.6</v>
      </c>
      <c r="G45" s="30" t="n">
        <v>619.1</v>
      </c>
      <c r="H45" s="30" t="n">
        <v>4.37</v>
      </c>
      <c r="I45" s="30" t="n">
        <v>232885</v>
      </c>
      <c r="J45" s="30" t="inlineStr">
        <is>
          <t>543283</t>
        </is>
      </c>
    </row>
    <row r="46">
      <c r="A46" s="30" t="inlineStr">
        <is>
          <t>GNFC</t>
        </is>
      </c>
      <c r="B46" s="30" t="inlineStr">
        <is>
          <t>Gujarat Narmada Valley Fertilizers And Chemicals Limited</t>
        </is>
      </c>
      <c r="C46" s="30" t="inlineStr">
        <is>
          <t>chemicals</t>
        </is>
      </c>
      <c r="D46" s="30" t="inlineStr">
        <is>
          <t>chemicals</t>
        </is>
      </c>
      <c r="E46" s="30" t="inlineStr">
        <is>
          <t>midcap</t>
        </is>
      </c>
      <c r="F46" s="30" t="n">
        <v>7876.76</v>
      </c>
      <c r="G46" s="30" t="n">
        <v>559.25</v>
      </c>
      <c r="H46" s="30" t="n">
        <v>4.33</v>
      </c>
      <c r="I46" s="30" t="n">
        <v>1634180</v>
      </c>
      <c r="J46" s="30" t="inlineStr">
        <is>
          <t>500670</t>
        </is>
      </c>
    </row>
    <row r="47">
      <c r="A47" s="30" t="inlineStr">
        <is>
          <t>JINDALSAW</t>
        </is>
      </c>
      <c r="B47" s="30" t="inlineStr">
        <is>
          <t>Jindal Saw Limited</t>
        </is>
      </c>
      <c r="C47" s="30" t="inlineStr">
        <is>
          <t>industrials</t>
        </is>
      </c>
      <c r="D47" s="30" t="inlineStr">
        <is>
          <t>steel - large</t>
        </is>
      </c>
      <c r="E47" s="30" t="inlineStr">
        <is>
          <t>midcap</t>
        </is>
      </c>
      <c r="F47" s="30" t="n">
        <v>15854.05</v>
      </c>
      <c r="G47" s="30" t="n">
        <v>258.48</v>
      </c>
      <c r="H47" s="30" t="n">
        <v>4.26</v>
      </c>
      <c r="I47" s="30" t="n">
        <v>2835731</v>
      </c>
      <c r="J47" s="30" t="inlineStr">
        <is>
          <t>500378</t>
        </is>
      </c>
    </row>
    <row r="48">
      <c r="A48" s="30" t="inlineStr">
        <is>
          <t>KRYSTAL</t>
        </is>
      </c>
      <c r="B48" s="30" t="inlineStr">
        <is>
          <t>Krystal Integrated Services Ltd</t>
        </is>
      </c>
      <c r="C48" s="30" t="inlineStr">
        <is>
          <t>miscellaneous</t>
        </is>
      </c>
      <c r="D48" s="30" t="inlineStr">
        <is>
          <t>miscellaneous</t>
        </is>
      </c>
      <c r="E48" s="30" t="inlineStr">
        <is>
          <t>smallcap</t>
        </is>
      </c>
      <c r="F48" s="30" t="n">
        <v>804.92</v>
      </c>
      <c r="G48" s="30" t="n">
        <v>600.3</v>
      </c>
      <c r="H48" s="30" t="n">
        <v>4.2</v>
      </c>
      <c r="I48" s="30" t="n">
        <v>69077</v>
      </c>
      <c r="J48" s="30" t="inlineStr">
        <is>
          <t>544149</t>
        </is>
      </c>
    </row>
    <row r="49">
      <c r="A49" s="30" t="inlineStr">
        <is>
          <t>HITECHCORP</t>
        </is>
      </c>
      <c r="B49" s="30" t="inlineStr">
        <is>
          <t>Hitech Corporation</t>
        </is>
      </c>
      <c r="C49" s="30" t="inlineStr">
        <is>
          <t>industrials</t>
        </is>
      </c>
      <c r="D49" s="30" t="inlineStr">
        <is>
          <t>packaging</t>
        </is>
      </c>
      <c r="E49" s="30" t="inlineStr">
        <is>
          <t>smallcap</t>
        </is>
      </c>
      <c r="F49" s="30" t="n">
        <v>525.58</v>
      </c>
      <c r="G49" s="30" t="n">
        <v>318.84</v>
      </c>
      <c r="H49" s="30" t="n">
        <v>4.2</v>
      </c>
      <c r="I49" s="30" t="n">
        <v>84793</v>
      </c>
      <c r="J49" s="30" t="inlineStr">
        <is>
          <t>526217</t>
        </is>
      </c>
    </row>
    <row r="50">
      <c r="A50" s="30" t="inlineStr">
        <is>
          <t>HIRECT</t>
        </is>
      </c>
      <c r="B50" s="30" t="inlineStr">
        <is>
          <t>Hind Rectifiers Limited</t>
        </is>
      </c>
      <c r="C50" s="30" t="inlineStr">
        <is>
          <t>consumer discretionary</t>
        </is>
      </c>
      <c r="D50" s="30" t="inlineStr">
        <is>
          <t>electronics - components</t>
        </is>
      </c>
      <c r="E50" s="30" t="inlineStr">
        <is>
          <t>smallcap</t>
        </is>
      </c>
      <c r="F50" s="30" t="n">
        <v>3935.09</v>
      </c>
      <c r="G50" s="30" t="n">
        <v>1192.2</v>
      </c>
      <c r="H50" s="30" t="n">
        <v>4.12</v>
      </c>
      <c r="I50" s="30" t="n">
        <v>229916</v>
      </c>
      <c r="J50" s="30" t="inlineStr">
        <is>
          <t>504036</t>
        </is>
      </c>
    </row>
    <row r="51">
      <c r="A51" s="30" t="inlineStr">
        <is>
          <t>INOXINDIA</t>
        </is>
      </c>
      <c r="B51" s="30" t="inlineStr">
        <is>
          <t>Inox India Ltd</t>
        </is>
      </c>
      <c r="C51" s="30" t="inlineStr">
        <is>
          <t>industrials</t>
        </is>
      </c>
      <c r="D51" s="30" t="inlineStr">
        <is>
          <t>packaging</t>
        </is>
      </c>
      <c r="E51" s="30" t="inlineStr">
        <is>
          <t>midcap</t>
        </is>
      </c>
      <c r="F51" s="30" t="n">
        <v>16696.85</v>
      </c>
      <c r="G51" s="30" t="n">
        <v>1915.1</v>
      </c>
      <c r="H51" s="30" t="n">
        <v>4.1</v>
      </c>
      <c r="I51" s="30" t="n">
        <v>415966</v>
      </c>
      <c r="J51" s="30" t="inlineStr">
        <is>
          <t>544046</t>
        </is>
      </c>
    </row>
    <row r="52">
      <c r="A52" s="30" t="inlineStr">
        <is>
          <t>UNIVCABLES</t>
        </is>
      </c>
      <c r="B52" s="30" t="inlineStr">
        <is>
          <t>Universal Cables Limited</t>
        </is>
      </c>
      <c r="C52" s="30" t="inlineStr">
        <is>
          <t>industrials</t>
        </is>
      </c>
      <c r="D52" s="30" t="inlineStr">
        <is>
          <t>cables - power</t>
        </is>
      </c>
      <c r="E52" s="30" t="inlineStr">
        <is>
          <t>smallcap</t>
        </is>
      </c>
      <c r="F52" s="30" t="n">
        <v>4134.65</v>
      </c>
      <c r="G52" s="30" t="n">
        <v>1240.4</v>
      </c>
      <c r="H52" s="30" t="n">
        <v>4.09</v>
      </c>
      <c r="I52" s="30" t="n">
        <v>205871</v>
      </c>
      <c r="J52" s="30" t="inlineStr">
        <is>
          <t>504212</t>
        </is>
      </c>
    </row>
    <row r="53">
      <c r="A53" s="30" t="inlineStr">
        <is>
          <t>MUFIN</t>
        </is>
      </c>
      <c r="B53" s="30" t="inlineStr">
        <is>
          <t>Mufin Green Finance Ltd</t>
        </is>
      </c>
      <c r="C53" s="30" t="inlineStr">
        <is>
          <t>financials</t>
        </is>
      </c>
      <c r="D53" s="30" t="inlineStr">
        <is>
          <t>finance &amp; investments</t>
        </is>
      </c>
      <c r="E53" s="30" t="inlineStr">
        <is>
          <t>smallcap</t>
        </is>
      </c>
      <c r="F53" s="30" t="n">
        <v>2452.65</v>
      </c>
      <c r="G53" s="30" t="n">
        <v>128.71</v>
      </c>
      <c r="H53" s="30" t="n">
        <v>3.99</v>
      </c>
      <c r="I53" s="30" t="n">
        <v>3207403</v>
      </c>
      <c r="J53" s="30" t="inlineStr">
        <is>
          <t>542774</t>
        </is>
      </c>
    </row>
    <row r="54">
      <c r="A54" s="30" t="inlineStr">
        <is>
          <t>NUVAMA</t>
        </is>
      </c>
      <c r="B54" s="30" t="inlineStr">
        <is>
          <t>Nuvama Wealth Management Ltd</t>
        </is>
      </c>
      <c r="C54" s="30" t="inlineStr">
        <is>
          <t>financials</t>
        </is>
      </c>
      <c r="D54" s="30" t="inlineStr">
        <is>
          <t>finance &amp; investments</t>
        </is>
      </c>
      <c r="E54" s="30" t="inlineStr">
        <is>
          <t>largecap</t>
        </is>
      </c>
      <c r="F54" s="30" t="n">
        <v>30231.63</v>
      </c>
      <c r="G54" s="30" t="n">
        <v>1726.7</v>
      </c>
      <c r="H54" s="30" t="n">
        <v>3.97</v>
      </c>
      <c r="I54" s="30" t="n">
        <v>886482</v>
      </c>
      <c r="J54" s="30" t="inlineStr">
        <is>
          <t>543988</t>
        </is>
      </c>
    </row>
    <row r="55">
      <c r="A55" s="30" t="inlineStr">
        <is>
          <t>LMW</t>
        </is>
      </c>
      <c r="B55" s="30" t="inlineStr">
        <is>
          <t>LMW Ltd</t>
        </is>
      </c>
      <c r="C55" s="30" t="inlineStr">
        <is>
          <t>industrials</t>
        </is>
      </c>
      <c r="D55" s="30" t="inlineStr">
        <is>
          <t>textile machinery</t>
        </is>
      </c>
      <c r="E55" s="30" t="inlineStr">
        <is>
          <t>midcap</t>
        </is>
      </c>
      <c r="F55" s="30" t="n">
        <v>16875.94</v>
      </c>
      <c r="G55" s="30" t="n">
        <v>16410</v>
      </c>
      <c r="H55" s="30" t="n">
        <v>3.88</v>
      </c>
      <c r="I55" s="30" t="n">
        <v>14875</v>
      </c>
      <c r="J55" s="30" t="inlineStr">
        <is>
          <t>500252</t>
        </is>
      </c>
    </row>
    <row r="56">
      <c r="A56" s="30" t="inlineStr">
        <is>
          <t>PREMEXPLN</t>
        </is>
      </c>
      <c r="B56" s="30" t="inlineStr">
        <is>
          <t>Premier Explosives Limited</t>
        </is>
      </c>
      <c r="C56" s="30" t="inlineStr">
        <is>
          <t>aerospace &amp; defence</t>
        </is>
      </c>
      <c r="D56" s="30" t="inlineStr">
        <is>
          <t>chemicals</t>
        </is>
      </c>
      <c r="E56" s="30" t="inlineStr">
        <is>
          <t>smallcap</t>
        </is>
      </c>
      <c r="F56" s="30" t="n">
        <v>3966.5</v>
      </c>
      <c r="G56" s="30" t="n">
        <v>765.95</v>
      </c>
      <c r="H56" s="30" t="n">
        <v>3.82</v>
      </c>
      <c r="I56" s="30" t="n">
        <v>2399261</v>
      </c>
      <c r="J56" s="30" t="inlineStr">
        <is>
          <t>526247</t>
        </is>
      </c>
    </row>
    <row r="57">
      <c r="A57" s="30" t="inlineStr">
        <is>
          <t>MANINDS</t>
        </is>
      </c>
      <c r="B57" s="30" t="inlineStr">
        <is>
          <t>Man Industries (india) Limited</t>
        </is>
      </c>
      <c r="C57" s="30" t="inlineStr">
        <is>
          <t>metals &amp; mining</t>
        </is>
      </c>
      <c r="D57" s="30" t="inlineStr">
        <is>
          <t>steel - medium / small</t>
        </is>
      </c>
      <c r="E57" s="30" t="inlineStr">
        <is>
          <t>smallcap</t>
        </is>
      </c>
      <c r="F57" s="30" t="n">
        <v>4285.3</v>
      </c>
      <c r="G57" s="30" t="n">
        <v>592.6</v>
      </c>
      <c r="H57" s="30" t="n">
        <v>3.73</v>
      </c>
      <c r="I57" s="30" t="n">
        <v>881298</v>
      </c>
      <c r="J57" s="30" t="inlineStr">
        <is>
          <t>513269</t>
        </is>
      </c>
    </row>
    <row r="58">
      <c r="A58" s="30" t="inlineStr">
        <is>
          <t>KIRLOSENG</t>
        </is>
      </c>
      <c r="B58" s="30" t="inlineStr">
        <is>
          <t>Kirloskar Oil Engines Limited</t>
        </is>
      </c>
      <c r="C58" s="30" t="inlineStr">
        <is>
          <t>industrials</t>
        </is>
      </c>
      <c r="D58" s="30" t="inlineStr">
        <is>
          <t>engines</t>
        </is>
      </c>
      <c r="E58" s="30" t="inlineStr">
        <is>
          <t>largecap</t>
        </is>
      </c>
      <c r="F58" s="30" t="n">
        <v>27887.16</v>
      </c>
      <c r="G58" s="30" t="n">
        <v>1988.7</v>
      </c>
      <c r="H58" s="30" t="n">
        <v>3.66</v>
      </c>
      <c r="I58" s="30" t="n">
        <v>369553</v>
      </c>
      <c r="J58" s="30" t="inlineStr">
        <is>
          <t>533293</t>
        </is>
      </c>
    </row>
    <row r="59">
      <c r="A59" s="30" t="inlineStr">
        <is>
          <t>BALAMINES</t>
        </is>
      </c>
      <c r="B59" s="30" t="inlineStr">
        <is>
          <t>Balaji Amines Limited</t>
        </is>
      </c>
      <c r="C59" s="30" t="inlineStr">
        <is>
          <t>chemicals</t>
        </is>
      </c>
      <c r="D59" s="30" t="inlineStr">
        <is>
          <t>chemicals</t>
        </is>
      </c>
      <c r="E59" s="30" t="inlineStr">
        <is>
          <t>midcap</t>
        </is>
      </c>
      <c r="F59" s="30" t="n">
        <v>6728.07</v>
      </c>
      <c r="G59" s="30" t="n">
        <v>2152.4</v>
      </c>
      <c r="H59" s="30" t="n">
        <v>3.66</v>
      </c>
      <c r="I59" s="30" t="n">
        <v>222819</v>
      </c>
      <c r="J59" s="30" t="inlineStr">
        <is>
          <t>530999</t>
        </is>
      </c>
    </row>
    <row r="60">
      <c r="A60" s="30" t="inlineStr">
        <is>
          <t>SHILPAMED</t>
        </is>
      </c>
      <c r="B60" s="30" t="inlineStr">
        <is>
          <t>Shilpa Medicare Limited</t>
        </is>
      </c>
      <c r="C60" s="30" t="inlineStr">
        <is>
          <t>healthcare</t>
        </is>
      </c>
      <c r="D60" s="30" t="inlineStr">
        <is>
          <t>pharmaceuticals - indian - formulations</t>
        </is>
      </c>
      <c r="E60" s="30" t="inlineStr">
        <is>
          <t>midcap</t>
        </is>
      </c>
      <c r="F60" s="30" t="n">
        <v>10804.92</v>
      </c>
      <c r="G60" s="30" t="n">
        <v>572.4</v>
      </c>
      <c r="H60" s="30" t="n">
        <v>3.61</v>
      </c>
      <c r="I60" s="30" t="n">
        <v>1320326</v>
      </c>
      <c r="J60" s="30" t="inlineStr">
        <is>
          <t>530549</t>
        </is>
      </c>
    </row>
    <row r="61">
      <c r="A61" s="30" t="inlineStr">
        <is>
          <t>RISHABH</t>
        </is>
      </c>
      <c r="B61" s="30" t="inlineStr">
        <is>
          <t>Rishabh Instruments Ltd</t>
        </is>
      </c>
      <c r="C61" s="30" t="inlineStr">
        <is>
          <t>industrials</t>
        </is>
      </c>
      <c r="D61" s="30" t="inlineStr">
        <is>
          <t>electric equipment</t>
        </is>
      </c>
      <c r="E61" s="30" t="inlineStr">
        <is>
          <t>smallcap</t>
        </is>
      </c>
      <c r="F61" s="30" t="n">
        <v>2124.46</v>
      </c>
      <c r="G61" s="30" t="n">
        <v>571</v>
      </c>
      <c r="H61" s="30" t="n">
        <v>3.6</v>
      </c>
      <c r="I61" s="30" t="n">
        <v>222295</v>
      </c>
      <c r="J61" s="30" t="inlineStr">
        <is>
          <t>543977</t>
        </is>
      </c>
    </row>
    <row r="62">
      <c r="A62" s="30" t="inlineStr">
        <is>
          <t>TEJASNET</t>
        </is>
      </c>
      <c r="B62" s="30" t="inlineStr">
        <is>
          <t>Tejas Networks Ltd</t>
        </is>
      </c>
      <c r="C62" s="30" t="inlineStr">
        <is>
          <t>telecom</t>
        </is>
      </c>
      <c r="D62" s="30" t="inlineStr">
        <is>
          <t>telecommunications - equipment</t>
        </is>
      </c>
      <c r="E62" s="30" t="inlineStr">
        <is>
          <t>midcap</t>
        </is>
      </c>
      <c r="F62" s="30" t="n">
        <v>10333.91</v>
      </c>
      <c r="G62" s="30" t="n">
        <v>602</v>
      </c>
      <c r="H62" s="30" t="n">
        <v>3.54</v>
      </c>
      <c r="I62" s="30" t="n">
        <v>8267795</v>
      </c>
      <c r="J62" s="30" t="inlineStr">
        <is>
          <t>540595</t>
        </is>
      </c>
    </row>
    <row r="63">
      <c r="A63" s="30" t="inlineStr">
        <is>
          <t>FCL</t>
        </is>
      </c>
      <c r="B63" s="30" t="inlineStr">
        <is>
          <t>Fineotex Chemical Limited</t>
        </is>
      </c>
      <c r="C63" s="30" t="inlineStr">
        <is>
          <t>chemicals</t>
        </is>
      </c>
      <c r="D63" s="30" t="inlineStr">
        <is>
          <t>chemicals</t>
        </is>
      </c>
      <c r="E63" s="30" t="inlineStr">
        <is>
          <t>midcap</t>
        </is>
      </c>
      <c r="F63" s="30" t="n">
        <v>5042.29</v>
      </c>
      <c r="G63" s="30" t="n">
        <v>44.83</v>
      </c>
      <c r="H63" s="30" t="n">
        <v>3.53</v>
      </c>
      <c r="I63" s="30" t="n">
        <v>23869214</v>
      </c>
      <c r="J63" s="30" t="inlineStr">
        <is>
          <t>533333</t>
        </is>
      </c>
    </row>
    <row r="64">
      <c r="A64" s="30" t="inlineStr">
        <is>
          <t>RPTECH</t>
        </is>
      </c>
      <c r="B64" s="30" t="inlineStr">
        <is>
          <t>Rashi Peripherals Ltd</t>
        </is>
      </c>
      <c r="C64" s="30" t="inlineStr">
        <is>
          <t>services</t>
        </is>
      </c>
      <c r="D64" s="30" t="inlineStr">
        <is>
          <t>trading</t>
        </is>
      </c>
      <c r="E64" s="30" t="inlineStr">
        <is>
          <t>smallcap</t>
        </is>
      </c>
      <c r="F64" s="30" t="n">
        <v>4366.51</v>
      </c>
      <c r="G64" s="30" t="n">
        <v>685.8</v>
      </c>
      <c r="H64" s="30" t="n">
        <v>3.5</v>
      </c>
      <c r="I64" s="30" t="n">
        <v>17812129</v>
      </c>
      <c r="J64" s="30" t="n"/>
    </row>
    <row r="65">
      <c r="A65" s="30" t="inlineStr">
        <is>
          <t>POLYCAB</t>
        </is>
      </c>
      <c r="B65" s="30" t="inlineStr">
        <is>
          <t>Polycab India Ltd</t>
        </is>
      </c>
      <c r="C65" s="30" t="inlineStr">
        <is>
          <t>industrials</t>
        </is>
      </c>
      <c r="D65" s="30" t="inlineStr">
        <is>
          <t>cables - power</t>
        </is>
      </c>
      <c r="E65" s="30" t="inlineStr">
        <is>
          <t>largecap</t>
        </is>
      </c>
      <c r="F65" s="30" t="n">
        <v>144400.52</v>
      </c>
      <c r="G65" s="30" t="n">
        <v>9926.5</v>
      </c>
      <c r="H65" s="30" t="n">
        <v>3.49</v>
      </c>
      <c r="I65" s="30" t="n">
        <v>591839</v>
      </c>
      <c r="J65" s="30" t="inlineStr">
        <is>
          <t>542652</t>
        </is>
      </c>
    </row>
    <row r="66">
      <c r="A66" s="30" t="inlineStr">
        <is>
          <t>POWERINDIA</t>
        </is>
      </c>
      <c r="B66" s="30" t="inlineStr">
        <is>
          <t>Hitachi Energy India Ltd</t>
        </is>
      </c>
      <c r="C66" s="30" t="inlineStr">
        <is>
          <t>industrials</t>
        </is>
      </c>
      <c r="D66" s="30" t="inlineStr">
        <is>
          <t>electric equipment</t>
        </is>
      </c>
      <c r="E66" s="30" t="inlineStr">
        <is>
          <t>largecap</t>
        </is>
      </c>
      <c r="F66" s="30" t="n">
        <v>154844.39</v>
      </c>
      <c r="G66" s="30" t="n">
        <v>35950</v>
      </c>
      <c r="H66" s="30" t="n">
        <v>3.48</v>
      </c>
      <c r="I66" s="30" t="n">
        <v>126662</v>
      </c>
      <c r="J66" s="30" t="inlineStr">
        <is>
          <t>543187</t>
        </is>
      </c>
    </row>
    <row r="67">
      <c r="A67" s="30" t="inlineStr">
        <is>
          <t>THANGAMAYL</t>
        </is>
      </c>
      <c r="B67" s="30" t="inlineStr">
        <is>
          <t>Thangamayil Jewellery Limited</t>
        </is>
      </c>
      <c r="C67" s="30" t="inlineStr">
        <is>
          <t>consumer discretionary</t>
        </is>
      </c>
      <c r="D67" s="30" t="inlineStr">
        <is>
          <t>diamond cutting / jewellery</t>
        </is>
      </c>
      <c r="E67" s="30" t="inlineStr">
        <is>
          <t>midcap</t>
        </is>
      </c>
      <c r="F67" s="30" t="n">
        <v>16922.92</v>
      </c>
      <c r="G67" s="30" t="n">
        <v>5632.7</v>
      </c>
      <c r="H67" s="30" t="n">
        <v>3.45</v>
      </c>
      <c r="I67" s="30" t="n">
        <v>118289</v>
      </c>
      <c r="J67" s="30" t="inlineStr">
        <is>
          <t>533158</t>
        </is>
      </c>
    </row>
    <row r="68">
      <c r="A68" s="30" t="inlineStr">
        <is>
          <t>NBCC</t>
        </is>
      </c>
      <c r="B68" s="30" t="inlineStr">
        <is>
          <t>Nbcc (india) Limited</t>
        </is>
      </c>
      <c r="C68" s="30" t="inlineStr">
        <is>
          <t>miscellaneous</t>
        </is>
      </c>
      <c r="D68" s="30" t="inlineStr">
        <is>
          <t>miscellaneous</t>
        </is>
      </c>
      <c r="E68" s="30" t="inlineStr">
        <is>
          <t>largecap</t>
        </is>
      </c>
      <c r="F68" s="30" t="n">
        <v>29467.8</v>
      </c>
      <c r="G68" s="30" t="n">
        <v>112.83</v>
      </c>
      <c r="H68" s="30" t="n">
        <v>3.38</v>
      </c>
      <c r="I68" s="30" t="n">
        <v>27859510</v>
      </c>
      <c r="J68" s="30" t="inlineStr">
        <is>
          <t>534309</t>
        </is>
      </c>
    </row>
    <row r="69">
      <c r="A69" s="30" t="inlineStr">
        <is>
          <t>HEALTHX</t>
        </is>
      </c>
      <c r="B69" s="30" t="inlineStr">
        <is>
          <t>Health X Platform Ltd</t>
        </is>
      </c>
      <c r="C69" s="30" t="inlineStr">
        <is>
          <t>financials</t>
        </is>
      </c>
      <c r="D69" s="30" t="inlineStr">
        <is>
          <t>finance &amp; investments</t>
        </is>
      </c>
      <c r="E69" s="30" t="inlineStr">
        <is>
          <t>smallcap</t>
        </is>
      </c>
      <c r="F69" s="30" t="n">
        <v>972.13</v>
      </c>
      <c r="G69" s="30" t="n">
        <v>315.65</v>
      </c>
      <c r="H69" s="30" t="n">
        <v>3.29</v>
      </c>
      <c r="I69" s="30" t="n">
        <v>25514</v>
      </c>
      <c r="J69" s="30" t="inlineStr">
        <is>
          <t>533259</t>
        </is>
      </c>
    </row>
    <row r="70">
      <c r="A70" s="30" t="inlineStr">
        <is>
          <t>NYKAA</t>
        </is>
      </c>
      <c r="B70" s="30" t="inlineStr">
        <is>
          <t>FSN E-Commerce Ventures Ltd</t>
        </is>
      </c>
      <c r="C70" s="30" t="inlineStr">
        <is>
          <t>i.t</t>
        </is>
      </c>
      <c r="D70" s="30" t="inlineStr">
        <is>
          <t>trading</t>
        </is>
      </c>
      <c r="E70" s="30" t="inlineStr">
        <is>
          <t>largecap</t>
        </is>
      </c>
      <c r="F70" s="30" t="n">
        <v>77922.73</v>
      </c>
      <c r="G70" s="30" t="n">
        <v>280.95</v>
      </c>
      <c r="H70" s="30" t="n">
        <v>3.23</v>
      </c>
      <c r="I70" s="30" t="n">
        <v>9414746</v>
      </c>
      <c r="J70" s="30" t="inlineStr">
        <is>
          <t>543384</t>
        </is>
      </c>
    </row>
    <row r="71">
      <c r="A71" s="30" t="inlineStr">
        <is>
          <t>AVANTEL</t>
        </is>
      </c>
      <c r="B71" s="30" t="inlineStr">
        <is>
          <t>Avantel Ltd</t>
        </is>
      </c>
      <c r="C71" s="30" t="inlineStr">
        <is>
          <t>aerospace &amp; defence</t>
        </is>
      </c>
      <c r="D71" s="30" t="inlineStr">
        <is>
          <t>telecommunications - equipment</t>
        </is>
      </c>
      <c r="E71" s="30" t="inlineStr">
        <is>
          <t>smallcap</t>
        </is>
      </c>
      <c r="F71" s="30" t="n">
        <v>4501.67</v>
      </c>
      <c r="G71" s="30" t="n">
        <v>174.81</v>
      </c>
      <c r="H71" s="30" t="n">
        <v>3.18</v>
      </c>
      <c r="I71" s="30" t="n">
        <v>3257366</v>
      </c>
      <c r="J71" s="30" t="inlineStr">
        <is>
          <t>532406</t>
        </is>
      </c>
    </row>
    <row r="72">
      <c r="A72" s="30" t="inlineStr">
        <is>
          <t>NOVARTIND</t>
        </is>
      </c>
      <c r="B72" s="30" t="inlineStr">
        <is>
          <t>Novartis India Ltd</t>
        </is>
      </c>
      <c r="C72" s="30" t="inlineStr">
        <is>
          <t>healthcare</t>
        </is>
      </c>
      <c r="D72" s="30" t="inlineStr">
        <is>
          <t>pharmaceuticals - multinational</t>
        </is>
      </c>
      <c r="E72" s="30" t="inlineStr">
        <is>
          <t>smallcap</t>
        </is>
      </c>
      <c r="F72" s="30" t="n">
        <v>3267.83</v>
      </c>
      <c r="G72" s="30" t="n">
        <v>1365.6</v>
      </c>
      <c r="H72" s="30" t="n">
        <v>3.18</v>
      </c>
      <c r="I72" s="30" t="n">
        <v>13589</v>
      </c>
      <c r="J72" s="30" t="inlineStr">
        <is>
          <t>500672</t>
        </is>
      </c>
    </row>
    <row r="73">
      <c r="A73" s="30" t="inlineStr">
        <is>
          <t>SWANDEF</t>
        </is>
      </c>
      <c r="B73" s="30" t="inlineStr">
        <is>
          <t>Swan Defence and Heavy Industries Ltd</t>
        </is>
      </c>
      <c r="C73" s="30" t="inlineStr">
        <is>
          <t>transportation</t>
        </is>
      </c>
      <c r="D73" s="30" t="inlineStr">
        <is>
          <t>miscellaneous</t>
        </is>
      </c>
      <c r="E73" s="30" t="inlineStr">
        <is>
          <t>midcap</t>
        </is>
      </c>
      <c r="F73" s="30" t="n">
        <v>10499.03</v>
      </c>
      <c r="G73" s="30" t="n">
        <v>2055.2</v>
      </c>
      <c r="H73" s="30" t="n">
        <v>3.13</v>
      </c>
      <c r="I73" s="30" t="n">
        <v>16039</v>
      </c>
      <c r="J73" s="30" t="inlineStr">
        <is>
          <t>533107</t>
        </is>
      </c>
    </row>
    <row r="74">
      <c r="A74" s="30" t="inlineStr">
        <is>
          <t>MARKSANS</t>
        </is>
      </c>
      <c r="B74" s="30" t="inlineStr">
        <is>
          <t>Marksans Pharma Limited</t>
        </is>
      </c>
      <c r="C74" s="30" t="inlineStr">
        <is>
          <t>healthcare</t>
        </is>
      </c>
      <c r="D74" s="30" t="inlineStr">
        <is>
          <t>pharmaceuticals - indian - formulations</t>
        </is>
      </c>
      <c r="E74" s="30" t="inlineStr">
        <is>
          <t>midcap</t>
        </is>
      </c>
      <c r="F74" s="30" t="n">
        <v>11199.04</v>
      </c>
      <c r="G74" s="30" t="n">
        <v>254.75</v>
      </c>
      <c r="H74" s="30" t="n">
        <v>3.08</v>
      </c>
      <c r="I74" s="30" t="n">
        <v>1494630</v>
      </c>
      <c r="J74" s="30" t="inlineStr">
        <is>
          <t>524404</t>
        </is>
      </c>
    </row>
    <row r="75">
      <c r="A75" s="30" t="inlineStr">
        <is>
          <t>DIFFNKG</t>
        </is>
      </c>
      <c r="B75" s="30" t="inlineStr">
        <is>
          <t>Diffusion Engineers Ltd</t>
        </is>
      </c>
      <c r="C75" s="30" t="inlineStr">
        <is>
          <t>industrials</t>
        </is>
      </c>
      <c r="D75" s="30" t="inlineStr">
        <is>
          <t>electrodes - welding equipment</t>
        </is>
      </c>
      <c r="E75" s="30" t="inlineStr">
        <is>
          <t>smallcap</t>
        </is>
      </c>
      <c r="F75" s="30" t="n">
        <v>1394.5</v>
      </c>
      <c r="G75" s="30" t="n">
        <v>383.85</v>
      </c>
      <c r="H75" s="30" t="n">
        <v>3.02</v>
      </c>
      <c r="I75" s="30" t="n">
        <v>298852</v>
      </c>
      <c r="J75" s="30" t="inlineStr">
        <is>
          <t>544264</t>
        </is>
      </c>
    </row>
    <row r="76">
      <c r="A76" s="30" t="inlineStr">
        <is>
          <t>RIIL</t>
        </is>
      </c>
      <c r="B76" s="30" t="inlineStr">
        <is>
          <t>Reliance Industrial Infrastructure Limited</t>
        </is>
      </c>
      <c r="C76" s="30" t="inlineStr">
        <is>
          <t>transportation</t>
        </is>
      </c>
      <c r="D76" s="30" t="inlineStr">
        <is>
          <t>miscellaneous</t>
        </is>
      </c>
      <c r="E76" s="30" t="inlineStr">
        <is>
          <t>smallcap</t>
        </is>
      </c>
      <c r="F76" s="30" t="n">
        <v>1286.82</v>
      </c>
      <c r="G76" s="30" t="n">
        <v>877.75</v>
      </c>
      <c r="H76" s="30" t="n">
        <v>3</v>
      </c>
      <c r="I76" s="30" t="n">
        <v>544886</v>
      </c>
      <c r="J76" s="30" t="inlineStr">
        <is>
          <t>523445</t>
        </is>
      </c>
    </row>
    <row r="77">
      <c r="A77" s="30" t="inlineStr">
        <is>
          <t>GVPIL</t>
        </is>
      </c>
      <c r="B77" s="30" t="inlineStr">
        <is>
          <t>GE Power India Ltd</t>
        </is>
      </c>
      <c r="C77" s="30" t="inlineStr">
        <is>
          <t>realty</t>
        </is>
      </c>
      <c r="D77" s="30" t="inlineStr">
        <is>
          <t>engineering - turnkey services</t>
        </is>
      </c>
      <c r="E77" s="30" t="inlineStr">
        <is>
          <t>midcap</t>
        </is>
      </c>
      <c r="F77" s="30" t="n">
        <v>6889.47</v>
      </c>
      <c r="G77" s="30" t="n">
        <v>1055.2</v>
      </c>
      <c r="H77" s="30" t="n">
        <v>2.97</v>
      </c>
      <c r="I77" s="30" t="n">
        <v>803906</v>
      </c>
      <c r="J77" s="30" t="inlineStr">
        <is>
          <t>532309</t>
        </is>
      </c>
    </row>
    <row r="78">
      <c r="A78" s="30" t="inlineStr">
        <is>
          <t>GOLDIAM</t>
        </is>
      </c>
      <c r="B78" s="30" t="inlineStr">
        <is>
          <t>Goldiam International Limited</t>
        </is>
      </c>
      <c r="C78" s="30" t="inlineStr">
        <is>
          <t>consumer discretionary</t>
        </is>
      </c>
      <c r="D78" s="30" t="inlineStr">
        <is>
          <t>diamond cutting / jewellery</t>
        </is>
      </c>
      <c r="E78" s="30" t="inlineStr">
        <is>
          <t>midcap</t>
        </is>
      </c>
      <c r="F78" s="30" t="n">
        <v>5483.86</v>
      </c>
      <c r="G78" s="30" t="n">
        <v>500</v>
      </c>
      <c r="H78" s="30" t="n">
        <v>2.95</v>
      </c>
      <c r="I78" s="30" t="n">
        <v>1607470</v>
      </c>
      <c r="J78" s="30" t="inlineStr">
        <is>
          <t>526729</t>
        </is>
      </c>
    </row>
    <row r="79">
      <c r="A79" s="30" t="inlineStr">
        <is>
          <t>PRIMESECU</t>
        </is>
      </c>
      <c r="B79" s="30" t="inlineStr">
        <is>
          <t>Prime Securities Limited</t>
        </is>
      </c>
      <c r="C79" s="30" t="inlineStr">
        <is>
          <t>financials</t>
        </is>
      </c>
      <c r="D79" s="30" t="inlineStr">
        <is>
          <t>finance &amp; investments</t>
        </is>
      </c>
      <c r="E79" s="30" t="inlineStr">
        <is>
          <t>smallcap</t>
        </is>
      </c>
      <c r="F79" s="30" t="n">
        <v>962.4299999999999</v>
      </c>
      <c r="G79" s="30" t="n">
        <v>292.15</v>
      </c>
      <c r="H79" s="30" t="n">
        <v>2.91</v>
      </c>
      <c r="I79" s="30" t="n">
        <v>67022</v>
      </c>
      <c r="J79" s="30" t="inlineStr">
        <is>
          <t>500337</t>
        </is>
      </c>
    </row>
    <row r="80">
      <c r="A80" s="30" t="inlineStr">
        <is>
          <t>TITAGARH</t>
        </is>
      </c>
      <c r="B80" s="30" t="inlineStr">
        <is>
          <t>Titagarh Rail Systems Ltd</t>
        </is>
      </c>
      <c r="C80" s="30" t="inlineStr">
        <is>
          <t>industrials</t>
        </is>
      </c>
      <c r="D80" s="30" t="inlineStr">
        <is>
          <t>engineering</t>
        </is>
      </c>
      <c r="E80" s="30" t="inlineStr">
        <is>
          <t>midcap</t>
        </is>
      </c>
      <c r="F80" s="30" t="n">
        <v>12045.9</v>
      </c>
      <c r="G80" s="30" t="n">
        <v>920.4</v>
      </c>
      <c r="H80" s="30" t="n">
        <v>2.9</v>
      </c>
      <c r="I80" s="30" t="n">
        <v>2177474</v>
      </c>
      <c r="J80" s="30" t="inlineStr">
        <is>
          <t>532966</t>
        </is>
      </c>
    </row>
    <row r="81">
      <c r="A81" s="30" t="inlineStr">
        <is>
          <t>GEECEE</t>
        </is>
      </c>
      <c r="B81" s="30" t="inlineStr">
        <is>
          <t>Geecee Ventures Limited</t>
        </is>
      </c>
      <c r="C81" s="30" t="inlineStr">
        <is>
          <t>financials</t>
        </is>
      </c>
      <c r="D81" s="30" t="inlineStr">
        <is>
          <t>finance &amp; investments</t>
        </is>
      </c>
      <c r="E81" s="30" t="inlineStr">
        <is>
          <t>smallcap</t>
        </is>
      </c>
      <c r="F81" s="30" t="n">
        <v>686.3200000000001</v>
      </c>
      <c r="G81" s="30" t="n">
        <v>337.45</v>
      </c>
      <c r="H81" s="30" t="n">
        <v>2.82</v>
      </c>
      <c r="I81" s="30" t="n">
        <v>10315</v>
      </c>
      <c r="J81" s="30" t="inlineStr">
        <is>
          <t>532764</t>
        </is>
      </c>
    </row>
    <row r="82">
      <c r="A82" s="30" t="inlineStr">
        <is>
          <t>AVL</t>
        </is>
      </c>
      <c r="B82" s="30" t="inlineStr">
        <is>
          <t>Aditya Vision Ltd</t>
        </is>
      </c>
      <c r="C82" s="30" t="inlineStr">
        <is>
          <t>consumer discretionary</t>
        </is>
      </c>
      <c r="D82" s="30" t="inlineStr">
        <is>
          <t>trading</t>
        </is>
      </c>
      <c r="E82" s="30" t="inlineStr">
        <is>
          <t>midcap</t>
        </is>
      </c>
      <c r="F82" s="30" t="n">
        <v>7630.77</v>
      </c>
      <c r="G82" s="30" t="n">
        <v>607.5</v>
      </c>
      <c r="H82" s="30" t="n">
        <v>2.81</v>
      </c>
      <c r="I82" s="30" t="n">
        <v>868817</v>
      </c>
      <c r="J82" s="30" t="inlineStr">
        <is>
          <t>540205</t>
        </is>
      </c>
    </row>
    <row r="83">
      <c r="A83" s="30" t="inlineStr">
        <is>
          <t>KDDL</t>
        </is>
      </c>
      <c r="B83" s="30" t="inlineStr">
        <is>
          <t>Kddl Limited</t>
        </is>
      </c>
      <c r="C83" s="30" t="inlineStr">
        <is>
          <t>consumer discretionary</t>
        </is>
      </c>
      <c r="D83" s="30" t="inlineStr">
        <is>
          <t>miscellaneous</t>
        </is>
      </c>
      <c r="E83" s="30" t="inlineStr">
        <is>
          <t>smallcap</t>
        </is>
      </c>
      <c r="F83" s="30" t="n">
        <v>3475.16</v>
      </c>
      <c r="G83" s="30" t="n">
        <v>2903.3</v>
      </c>
      <c r="H83" s="30" t="n">
        <v>2.75</v>
      </c>
      <c r="I83" s="30" t="n">
        <v>18098</v>
      </c>
      <c r="J83" s="30" t="inlineStr">
        <is>
          <t>532054</t>
        </is>
      </c>
    </row>
    <row r="84">
      <c r="A84" s="30" t="inlineStr">
        <is>
          <t>INDIANB</t>
        </is>
      </c>
      <c r="B84" s="30" t="inlineStr">
        <is>
          <t>Indian Bank Ltd</t>
        </is>
      </c>
      <c r="C84" s="30" t="inlineStr">
        <is>
          <t>bank</t>
        </is>
      </c>
      <c r="D84" s="30" t="inlineStr">
        <is>
          <t>banks - public sector</t>
        </is>
      </c>
      <c r="E84" s="30" t="inlineStr">
        <is>
          <t>largecap</t>
        </is>
      </c>
      <c r="F84" s="30" t="n">
        <v>114936.44</v>
      </c>
      <c r="G84" s="30" t="n">
        <v>876.35</v>
      </c>
      <c r="H84" s="30" t="n">
        <v>2.7</v>
      </c>
      <c r="I84" s="30" t="n">
        <v>2138011</v>
      </c>
      <c r="J84" s="30" t="inlineStr">
        <is>
          <t>532814</t>
        </is>
      </c>
    </row>
    <row r="85">
      <c r="A85" s="30" t="inlineStr">
        <is>
          <t>SGIL</t>
        </is>
      </c>
      <c r="B85" s="30" t="inlineStr">
        <is>
          <t>Synergy Green Industries Ltd</t>
        </is>
      </c>
      <c r="C85" s="30" t="inlineStr">
        <is>
          <t>industrials</t>
        </is>
      </c>
      <c r="D85" s="30" t="inlineStr">
        <is>
          <t>castings &amp; forgings</t>
        </is>
      </c>
      <c r="E85" s="30" t="inlineStr">
        <is>
          <t>smallcap</t>
        </is>
      </c>
      <c r="F85" s="30" t="n">
        <v>889.6799999999999</v>
      </c>
      <c r="G85" s="30" t="n">
        <v>587.8</v>
      </c>
      <c r="H85" s="30" t="n">
        <v>2.69</v>
      </c>
      <c r="I85" s="30" t="n">
        <v>10530</v>
      </c>
      <c r="J85" s="30" t="inlineStr">
        <is>
          <t>541929</t>
        </is>
      </c>
    </row>
    <row r="86">
      <c r="A86" s="30" t="inlineStr">
        <is>
          <t>BEPL</t>
        </is>
      </c>
      <c r="B86" s="30" t="inlineStr">
        <is>
          <t>Bhansali Engineering Polymers Limited</t>
        </is>
      </c>
      <c r="C86" s="30" t="inlineStr">
        <is>
          <t>energy</t>
        </is>
      </c>
      <c r="D86" s="30" t="inlineStr">
        <is>
          <t>petrochemicals</t>
        </is>
      </c>
      <c r="E86" s="30" t="inlineStr">
        <is>
          <t>smallcap</t>
        </is>
      </c>
      <c r="F86" s="30" t="n">
        <v>2461.46</v>
      </c>
      <c r="G86" s="30" t="n">
        <v>101.54</v>
      </c>
      <c r="H86" s="30" t="n">
        <v>2.66</v>
      </c>
      <c r="I86" s="30" t="n">
        <v>1687697</v>
      </c>
      <c r="J86" s="30" t="inlineStr">
        <is>
          <t>500052</t>
        </is>
      </c>
    </row>
    <row r="87">
      <c r="A87" s="30" t="inlineStr">
        <is>
          <t>SOUTHBANK</t>
        </is>
      </c>
      <c r="B87" s="30" t="inlineStr">
        <is>
          <t>The South Indian Bank Limited</t>
        </is>
      </c>
      <c r="C87" s="30" t="inlineStr">
        <is>
          <t>bank</t>
        </is>
      </c>
      <c r="D87" s="30" t="inlineStr">
        <is>
          <t>banks - private sector</t>
        </is>
      </c>
      <c r="E87" s="30" t="inlineStr">
        <is>
          <t>midcap</t>
        </is>
      </c>
      <c r="F87" s="30" t="n">
        <v>12354.92</v>
      </c>
      <c r="G87" s="30" t="n">
        <v>48.45</v>
      </c>
      <c r="H87" s="30" t="n">
        <v>2.65</v>
      </c>
      <c r="I87" s="30" t="n">
        <v>25436146</v>
      </c>
      <c r="J87" s="30" t="inlineStr">
        <is>
          <t>532218</t>
        </is>
      </c>
    </row>
    <row r="88">
      <c r="A88" s="30" t="inlineStr">
        <is>
          <t>ARVINDFASN</t>
        </is>
      </c>
      <c r="B88" s="30" t="inlineStr">
        <is>
          <t>Arvind Fashions Ltd</t>
        </is>
      </c>
      <c r="C88" s="30" t="inlineStr">
        <is>
          <t>consumer discretionary</t>
        </is>
      </c>
      <c r="D88" s="30" t="inlineStr">
        <is>
          <t>trading</t>
        </is>
      </c>
      <c r="E88" s="30" t="inlineStr">
        <is>
          <t>midcap</t>
        </is>
      </c>
      <c r="F88" s="30" t="n">
        <v>6307.85</v>
      </c>
      <c r="G88" s="30" t="n">
        <v>484.3</v>
      </c>
      <c r="H88" s="30" t="n">
        <v>2.62</v>
      </c>
      <c r="I88" s="30" t="n">
        <v>377126</v>
      </c>
      <c r="J88" s="30" t="inlineStr">
        <is>
          <t>542484</t>
        </is>
      </c>
    </row>
    <row r="89">
      <c r="A89" s="30" t="inlineStr">
        <is>
          <t>TMB</t>
        </is>
      </c>
      <c r="B89" s="30" t="inlineStr">
        <is>
          <t>Tamilnad Mercantile Bank Ltd</t>
        </is>
      </c>
      <c r="C89" s="30" t="inlineStr">
        <is>
          <t>bank</t>
        </is>
      </c>
      <c r="D89" s="30" t="inlineStr">
        <is>
          <t>banks - private sector</t>
        </is>
      </c>
      <c r="E89" s="30" t="inlineStr">
        <is>
          <t>midcap</t>
        </is>
      </c>
      <c r="F89" s="30" t="n">
        <v>12068.76</v>
      </c>
      <c r="G89" s="30" t="n">
        <v>781.85</v>
      </c>
      <c r="H89" s="30" t="n">
        <v>2.58</v>
      </c>
      <c r="I89" s="30" t="n">
        <v>286403</v>
      </c>
      <c r="J89" s="30" t="inlineStr">
        <is>
          <t>543596</t>
        </is>
      </c>
    </row>
    <row r="90">
      <c r="A90" s="30" t="inlineStr">
        <is>
          <t>CGPOWER</t>
        </is>
      </c>
      <c r="B90" s="30" t="inlineStr">
        <is>
          <t>CG Power and Industrial Solutions Ltd</t>
        </is>
      </c>
      <c r="C90" s="30" t="inlineStr">
        <is>
          <t>industrials</t>
        </is>
      </c>
      <c r="D90" s="30" t="inlineStr">
        <is>
          <t>electric equipment</t>
        </is>
      </c>
      <c r="E90" s="30" t="inlineStr">
        <is>
          <t>largecap</t>
        </is>
      </c>
      <c r="F90" s="30" t="n">
        <v>148152.84</v>
      </c>
      <c r="G90" s="30" t="n">
        <v>963.75</v>
      </c>
      <c r="H90" s="30" t="n">
        <v>2.45</v>
      </c>
      <c r="I90" s="30" t="n">
        <v>3996950</v>
      </c>
      <c r="J90" s="30" t="inlineStr">
        <is>
          <t>500093</t>
        </is>
      </c>
    </row>
    <row r="91">
      <c r="A91" s="30" t="inlineStr">
        <is>
          <t>STEELCAS</t>
        </is>
      </c>
      <c r="B91" s="30" t="inlineStr">
        <is>
          <t>Steelcast Ltd</t>
        </is>
      </c>
      <c r="C91" s="30" t="inlineStr">
        <is>
          <t>industrials</t>
        </is>
      </c>
      <c r="D91" s="30" t="inlineStr">
        <is>
          <t>castings &amp; forgings</t>
        </is>
      </c>
      <c r="E91" s="30" t="inlineStr">
        <is>
          <t>smallcap</t>
        </is>
      </c>
      <c r="F91" s="30" t="n">
        <v>2922.66</v>
      </c>
      <c r="G91" s="30" t="n">
        <v>295.75</v>
      </c>
      <c r="H91" s="30" t="n">
        <v>2.41</v>
      </c>
      <c r="I91" s="30" t="n">
        <v>55899</v>
      </c>
      <c r="J91" s="30" t="inlineStr">
        <is>
          <t>513517</t>
        </is>
      </c>
    </row>
    <row r="92">
      <c r="A92" s="30" t="inlineStr">
        <is>
          <t>BANKBARODA</t>
        </is>
      </c>
      <c r="B92" s="30" t="inlineStr">
        <is>
          <t>Bank Of Baroda Ltd</t>
        </is>
      </c>
      <c r="C92" s="30" t="inlineStr">
        <is>
          <t>bank</t>
        </is>
      </c>
      <c r="D92" s="30" t="inlineStr">
        <is>
          <t>banks - public sector</t>
        </is>
      </c>
      <c r="E92" s="30" t="inlineStr">
        <is>
          <t>largecap</t>
        </is>
      </c>
      <c r="F92" s="30" t="n">
        <v>142393.46</v>
      </c>
      <c r="G92" s="30" t="n">
        <v>281.85</v>
      </c>
      <c r="H92" s="30" t="n">
        <v>2.36</v>
      </c>
      <c r="I92" s="30" t="n">
        <v>11929170</v>
      </c>
      <c r="J92" s="30" t="inlineStr">
        <is>
          <t>532134</t>
        </is>
      </c>
    </row>
    <row r="93">
      <c r="A93" s="30" t="inlineStr">
        <is>
          <t>KERNEX</t>
        </is>
      </c>
      <c r="B93" s="30" t="inlineStr">
        <is>
          <t>Kernex Microsystems (india) Limited</t>
        </is>
      </c>
      <c r="C93" s="30" t="inlineStr">
        <is>
          <t>consumer discretionary</t>
        </is>
      </c>
      <c r="D93" s="30" t="inlineStr">
        <is>
          <t>electronics - components</t>
        </is>
      </c>
      <c r="E93" s="30" t="inlineStr">
        <is>
          <t>smallcap</t>
        </is>
      </c>
      <c r="F93" s="30" t="n">
        <v>3452.9</v>
      </c>
      <c r="G93" s="30" t="n">
        <v>2103.5</v>
      </c>
      <c r="H93" s="30" t="n">
        <v>2.36</v>
      </c>
      <c r="I93" s="30" t="n">
        <v>340990</v>
      </c>
      <c r="J93" s="30" t="inlineStr">
        <is>
          <t>532686</t>
        </is>
      </c>
    </row>
    <row r="94">
      <c r="A94" s="30" t="inlineStr">
        <is>
          <t>3MINDIA</t>
        </is>
      </c>
      <c r="B94" s="30" t="inlineStr">
        <is>
          <t>3m India Limited</t>
        </is>
      </c>
      <c r="C94" s="30" t="inlineStr">
        <is>
          <t>miscellaneous</t>
        </is>
      </c>
      <c r="D94" s="30" t="inlineStr">
        <is>
          <t>diversified - large</t>
        </is>
      </c>
      <c r="E94" s="30" t="inlineStr">
        <is>
          <t>largecap</t>
        </is>
      </c>
      <c r="F94" s="30" t="n">
        <v>36386.18</v>
      </c>
      <c r="G94" s="30" t="n">
        <v>33060</v>
      </c>
      <c r="H94" s="30" t="n">
        <v>2.35</v>
      </c>
      <c r="I94" s="30" t="n">
        <v>3525</v>
      </c>
      <c r="J94" s="30" t="inlineStr">
        <is>
          <t>523395</t>
        </is>
      </c>
    </row>
    <row r="95">
      <c r="A95" s="30" t="inlineStr">
        <is>
          <t>TBOTEK</t>
        </is>
      </c>
      <c r="B95" s="30" t="inlineStr">
        <is>
          <t>TBO Tek Ltd</t>
        </is>
      </c>
      <c r="C95" s="30" t="inlineStr">
        <is>
          <t>i.t</t>
        </is>
      </c>
      <c r="D95" s="30" t="inlineStr">
        <is>
          <t>travel agencies</t>
        </is>
      </c>
      <c r="E95" s="30" t="inlineStr">
        <is>
          <t>midcap</t>
        </is>
      </c>
      <c r="F95" s="30" t="n">
        <v>15444.44</v>
      </c>
      <c r="G95" s="30" t="n">
        <v>1455.6</v>
      </c>
      <c r="H95" s="30" t="n">
        <v>2.34</v>
      </c>
      <c r="I95" s="30" t="n">
        <v>152775</v>
      </c>
      <c r="J95" s="30" t="inlineStr">
        <is>
          <t>544174</t>
        </is>
      </c>
    </row>
    <row r="96">
      <c r="A96" s="30" t="inlineStr">
        <is>
          <t>SUZLON</t>
        </is>
      </c>
      <c r="B96" s="30" t="inlineStr">
        <is>
          <t>Suzlon Energy Limited</t>
        </is>
      </c>
      <c r="C96" s="30" t="inlineStr">
        <is>
          <t>industrials</t>
        </is>
      </c>
      <c r="D96" s="30" t="inlineStr">
        <is>
          <t>electric equipment</t>
        </is>
      </c>
      <c r="E96" s="30" t="inlineStr">
        <is>
          <t>largecap</t>
        </is>
      </c>
      <c r="F96" s="30" t="n">
        <v>79435.44</v>
      </c>
      <c r="G96" s="30" t="n">
        <v>59.27</v>
      </c>
      <c r="H96" s="30" t="n">
        <v>2.33</v>
      </c>
      <c r="I96" s="30" t="n">
        <v>164629458</v>
      </c>
      <c r="J96" s="30" t="inlineStr">
        <is>
          <t>532667</t>
        </is>
      </c>
    </row>
    <row r="97">
      <c r="A97" s="30" t="inlineStr">
        <is>
          <t>GNA</t>
        </is>
      </c>
      <c r="B97" s="30" t="inlineStr">
        <is>
          <t>Gna Axles Limited</t>
        </is>
      </c>
      <c r="C97" s="30" t="inlineStr">
        <is>
          <t>auto</t>
        </is>
      </c>
      <c r="D97" s="30" t="inlineStr">
        <is>
          <t>auto ancillaries</t>
        </is>
      </c>
      <c r="E97" s="30" t="inlineStr">
        <is>
          <t>smallcap</t>
        </is>
      </c>
      <c r="F97" s="30" t="n">
        <v>1646.4</v>
      </c>
      <c r="G97" s="30" t="n">
        <v>392.4</v>
      </c>
      <c r="H97" s="30" t="n">
        <v>2.32</v>
      </c>
      <c r="I97" s="30" t="n">
        <v>110682</v>
      </c>
      <c r="J97" s="30" t="inlineStr">
        <is>
          <t>540124</t>
        </is>
      </c>
    </row>
    <row r="98">
      <c r="A98" s="30" t="inlineStr">
        <is>
          <t>IDEAFORGE</t>
        </is>
      </c>
      <c r="B98" s="30" t="inlineStr">
        <is>
          <t>Ideaforge Technology Ltd</t>
        </is>
      </c>
      <c r="C98" s="30" t="inlineStr">
        <is>
          <t>aerospace &amp; defence</t>
        </is>
      </c>
      <c r="D98" s="30" t="inlineStr">
        <is>
          <t>engineering</t>
        </is>
      </c>
      <c r="E98" s="30" t="inlineStr">
        <is>
          <t>smallcap</t>
        </is>
      </c>
      <c r="F98" s="30" t="n">
        <v>3929.67</v>
      </c>
      <c r="G98" s="30" t="n">
        <v>929.1</v>
      </c>
      <c r="H98" s="30" t="n">
        <v>2.32</v>
      </c>
      <c r="I98" s="30" t="n">
        <v>363400</v>
      </c>
      <c r="J98" s="30" t="inlineStr">
        <is>
          <t>543932</t>
        </is>
      </c>
    </row>
    <row r="99">
      <c r="A99" s="30" t="inlineStr">
        <is>
          <t>STARHEALTH</t>
        </is>
      </c>
      <c r="B99" s="30" t="inlineStr">
        <is>
          <t>Star Health &amp; Allied Insurance Company Ltd</t>
        </is>
      </c>
      <c r="C99" s="30" t="inlineStr">
        <is>
          <t>financials</t>
        </is>
      </c>
      <c r="D99" s="30" t="inlineStr">
        <is>
          <t>finance &amp; investments</t>
        </is>
      </c>
      <c r="E99" s="30" t="inlineStr">
        <is>
          <t>largecap</t>
        </is>
      </c>
      <c r="F99" s="30" t="n">
        <v>30699.95</v>
      </c>
      <c r="G99" s="30" t="n">
        <v>533.7</v>
      </c>
      <c r="H99" s="30" t="n">
        <v>2.29</v>
      </c>
      <c r="I99" s="30" t="n">
        <v>731125</v>
      </c>
      <c r="J99" s="30" t="inlineStr">
        <is>
          <t>543412</t>
        </is>
      </c>
    </row>
    <row r="100">
      <c r="A100" s="30" t="inlineStr">
        <is>
          <t>TRITURBINE</t>
        </is>
      </c>
      <c r="B100" s="30" t="inlineStr">
        <is>
          <t>Triveni Turbine Limited</t>
        </is>
      </c>
      <c r="C100" s="30" t="inlineStr">
        <is>
          <t>industrials</t>
        </is>
      </c>
      <c r="D100" s="30" t="inlineStr">
        <is>
          <t>electric equipment</t>
        </is>
      </c>
      <c r="E100" s="30" t="inlineStr">
        <is>
          <t>largecap</t>
        </is>
      </c>
      <c r="F100" s="30" t="n">
        <v>21052.6</v>
      </c>
      <c r="G100" s="30" t="n">
        <v>677.4</v>
      </c>
      <c r="H100" s="30" t="n">
        <v>2.29</v>
      </c>
      <c r="I100" s="30" t="n">
        <v>478013</v>
      </c>
      <c r="J100" s="30" t="inlineStr">
        <is>
          <t>533655</t>
        </is>
      </c>
    </row>
    <row r="101">
      <c r="A101" s="30" t="inlineStr">
        <is>
          <t>KIMS</t>
        </is>
      </c>
      <c r="B101" s="30" t="inlineStr">
        <is>
          <t>Krishna Institute of Medical Sciences Ltd</t>
        </is>
      </c>
      <c r="C101" s="30" t="inlineStr">
        <is>
          <t>healthcare</t>
        </is>
      </c>
      <c r="D101" s="30" t="inlineStr">
        <is>
          <t>healthcare</t>
        </is>
      </c>
      <c r="E101" s="30" t="inlineStr">
        <is>
          <t>largecap</t>
        </is>
      </c>
      <c r="F101" s="30" t="n">
        <v>31156.82</v>
      </c>
      <c r="G101" s="30" t="n">
        <v>796.4</v>
      </c>
      <c r="H101" s="30" t="n">
        <v>2.28</v>
      </c>
      <c r="I101" s="30" t="n">
        <v>917511</v>
      </c>
      <c r="J101" s="30" t="inlineStr">
        <is>
          <t>543307</t>
        </is>
      </c>
    </row>
    <row r="102">
      <c r="A102" s="30" t="inlineStr">
        <is>
          <t>RCF</t>
        </is>
      </c>
      <c r="B102" s="30" t="inlineStr">
        <is>
          <t>Rashtriya Chemicals And Fertilizers Limited</t>
        </is>
      </c>
      <c r="C102" s="30" t="inlineStr">
        <is>
          <t>chemicals</t>
        </is>
      </c>
      <c r="D102" s="30" t="inlineStr">
        <is>
          <t>fertilizers</t>
        </is>
      </c>
      <c r="E102" s="30" t="inlineStr">
        <is>
          <t>midcap</t>
        </is>
      </c>
      <c r="F102" s="30" t="n">
        <v>7288.9</v>
      </c>
      <c r="G102" s="30" t="n">
        <v>135.12</v>
      </c>
      <c r="H102" s="30" t="n">
        <v>2.27</v>
      </c>
      <c r="I102" s="30" t="n">
        <v>5542509</v>
      </c>
      <c r="J102" s="30" t="inlineStr">
        <is>
          <t>524230</t>
        </is>
      </c>
    </row>
    <row r="103">
      <c r="A103" s="30" t="inlineStr">
        <is>
          <t>POWERMECH</t>
        </is>
      </c>
      <c r="B103" s="30" t="inlineStr">
        <is>
          <t>Power Mech Projects Limited</t>
        </is>
      </c>
      <c r="C103" s="30" t="inlineStr">
        <is>
          <t>realty</t>
        </is>
      </c>
      <c r="D103" s="30" t="inlineStr">
        <is>
          <t>engineering - turnkey services</t>
        </is>
      </c>
      <c r="E103" s="30" t="inlineStr">
        <is>
          <t>midcap</t>
        </is>
      </c>
      <c r="F103" s="30" t="n">
        <v>8791.23</v>
      </c>
      <c r="G103" s="30" t="n">
        <v>2843</v>
      </c>
      <c r="H103" s="30" t="n">
        <v>2.24</v>
      </c>
      <c r="I103" s="30" t="n">
        <v>102810</v>
      </c>
      <c r="J103" s="30" t="inlineStr">
        <is>
          <t>539302</t>
        </is>
      </c>
    </row>
    <row r="104">
      <c r="A104" s="30" t="inlineStr">
        <is>
          <t>MIDHANI</t>
        </is>
      </c>
      <c r="B104" s="30" t="inlineStr">
        <is>
          <t>Mishra Dhatu Nigam Ltd</t>
        </is>
      </c>
      <c r="C104" s="30" t="inlineStr">
        <is>
          <t>aerospace &amp; defence</t>
        </is>
      </c>
      <c r="D104" s="30" t="inlineStr">
        <is>
          <t>steel - medium / small</t>
        </is>
      </c>
      <c r="E104" s="30" t="inlineStr">
        <is>
          <t>midcap</t>
        </is>
      </c>
      <c r="F104" s="30" t="n">
        <v>8225.16</v>
      </c>
      <c r="G104" s="30" t="n">
        <v>448.85</v>
      </c>
      <c r="H104" s="30" t="n">
        <v>2.23</v>
      </c>
      <c r="I104" s="30" t="n">
        <v>1519448</v>
      </c>
      <c r="J104" s="30" t="inlineStr">
        <is>
          <t>541195</t>
        </is>
      </c>
    </row>
    <row r="105">
      <c r="A105" s="30" t="inlineStr">
        <is>
          <t>MAHABANK</t>
        </is>
      </c>
      <c r="B105" s="30" t="inlineStr">
        <is>
          <t>Bank Of Maharashtra Ltd</t>
        </is>
      </c>
      <c r="C105" s="30" t="inlineStr">
        <is>
          <t>bank</t>
        </is>
      </c>
      <c r="D105" s="30" t="inlineStr">
        <is>
          <t>banks - public sector</t>
        </is>
      </c>
      <c r="E105" s="30" t="inlineStr">
        <is>
          <t>largecap</t>
        </is>
      </c>
      <c r="F105" s="30" t="n">
        <v>67831.82000000001</v>
      </c>
      <c r="G105" s="30" t="n">
        <v>90.14</v>
      </c>
      <c r="H105" s="30" t="n">
        <v>2.21</v>
      </c>
      <c r="I105" s="30" t="n">
        <v>26656586</v>
      </c>
      <c r="J105" s="30" t="inlineStr">
        <is>
          <t>532525</t>
        </is>
      </c>
    </row>
    <row r="106">
      <c r="A106" s="30" t="inlineStr">
        <is>
          <t>VAIBHAVGBL</t>
        </is>
      </c>
      <c r="B106" s="30" t="inlineStr">
        <is>
          <t>Vaibhav Global Limited</t>
        </is>
      </c>
      <c r="C106" s="30" t="inlineStr">
        <is>
          <t>consumer discretionary</t>
        </is>
      </c>
      <c r="D106" s="30" t="inlineStr">
        <is>
          <t>diamond cutting / jewellery</t>
        </is>
      </c>
      <c r="E106" s="30" t="inlineStr">
        <is>
          <t>smallcap</t>
        </is>
      </c>
      <c r="F106" s="30" t="n">
        <v>4054.23</v>
      </c>
      <c r="G106" s="30" t="n">
        <v>247.99</v>
      </c>
      <c r="H106" s="30" t="n">
        <v>2.19</v>
      </c>
      <c r="I106" s="30" t="n">
        <v>498981</v>
      </c>
      <c r="J106" s="30" t="inlineStr">
        <is>
          <t>532156</t>
        </is>
      </c>
    </row>
    <row r="107">
      <c r="A107" s="30" t="inlineStr">
        <is>
          <t>AEGISLOG</t>
        </is>
      </c>
      <c r="B107" s="30" t="inlineStr">
        <is>
          <t>Aegis Logistics Ltd</t>
        </is>
      </c>
      <c r="C107" s="30" t="inlineStr">
        <is>
          <t>services</t>
        </is>
      </c>
      <c r="D107" s="30" t="inlineStr">
        <is>
          <t>trading</t>
        </is>
      </c>
      <c r="E107" s="30" t="inlineStr">
        <is>
          <t>largecap</t>
        </is>
      </c>
      <c r="F107" s="30" t="n">
        <v>34598.07</v>
      </c>
      <c r="G107" s="30" t="n">
        <v>1006.95</v>
      </c>
      <c r="H107" s="30" t="n">
        <v>2.16</v>
      </c>
      <c r="I107" s="30" t="n">
        <v>2654899</v>
      </c>
      <c r="J107" s="30" t="inlineStr">
        <is>
          <t>500003</t>
        </is>
      </c>
    </row>
    <row r="108">
      <c r="A108" s="30" t="inlineStr">
        <is>
          <t>METROPOLIS</t>
        </is>
      </c>
      <c r="B108" s="30" t="inlineStr">
        <is>
          <t>Metropolis Healthcare Ltd</t>
        </is>
      </c>
      <c r="C108" s="30" t="inlineStr">
        <is>
          <t>healthcare</t>
        </is>
      </c>
      <c r="D108" s="30" t="inlineStr">
        <is>
          <t>healthcare</t>
        </is>
      </c>
      <c r="E108" s="30" t="inlineStr">
        <is>
          <t>midcap</t>
        </is>
      </c>
      <c r="F108" s="30" t="n">
        <v>11074.41</v>
      </c>
      <c r="G108" s="30" t="n">
        <v>545.6</v>
      </c>
      <c r="H108" s="30" t="n">
        <v>2.14</v>
      </c>
      <c r="I108" s="30" t="n">
        <v>384614</v>
      </c>
      <c r="J108" s="30" t="inlineStr">
        <is>
          <t>542650</t>
        </is>
      </c>
    </row>
    <row r="109">
      <c r="A109" s="30" t="inlineStr">
        <is>
          <t>PITTIENG</t>
        </is>
      </c>
      <c r="B109" s="30" t="inlineStr">
        <is>
          <t>Pitti Engineering Ltd</t>
        </is>
      </c>
      <c r="C109" s="30" t="inlineStr">
        <is>
          <t>industrials</t>
        </is>
      </c>
      <c r="D109" s="30" t="inlineStr">
        <is>
          <t>engineering</t>
        </is>
      </c>
      <c r="E109" s="30" t="inlineStr">
        <is>
          <t>smallcap</t>
        </is>
      </c>
      <c r="F109" s="30" t="n">
        <v>3658.23</v>
      </c>
      <c r="G109" s="30" t="n">
        <v>992.15</v>
      </c>
      <c r="H109" s="30" t="n">
        <v>2.12</v>
      </c>
      <c r="I109" s="30" t="n">
        <v>28192</v>
      </c>
      <c r="J109" s="30" t="inlineStr">
        <is>
          <t>513519</t>
        </is>
      </c>
    </row>
    <row r="110">
      <c r="A110" s="30" t="inlineStr">
        <is>
          <t>KIRLFER</t>
        </is>
      </c>
      <c r="B110" s="30" t="inlineStr">
        <is>
          <t>Kirloskar Ferrous Industries Ltd</t>
        </is>
      </c>
      <c r="C110" s="30" t="inlineStr">
        <is>
          <t>metals &amp; mining</t>
        </is>
      </c>
      <c r="D110" s="30" t="inlineStr">
        <is>
          <t>steel - large</t>
        </is>
      </c>
      <c r="E110" s="30" t="inlineStr">
        <is>
          <t>midcap</t>
        </is>
      </c>
      <c r="F110" s="30" t="n">
        <v>7176.57</v>
      </c>
      <c r="G110" s="30" t="n">
        <v>444.3</v>
      </c>
      <c r="H110" s="30" t="n">
        <v>2.1</v>
      </c>
      <c r="I110" s="30" t="n">
        <v>75913</v>
      </c>
      <c r="J110" s="30" t="inlineStr">
        <is>
          <t>500245</t>
        </is>
      </c>
    </row>
    <row r="111">
      <c r="A111" s="30" t="inlineStr">
        <is>
          <t>EPL</t>
        </is>
      </c>
      <c r="B111" s="30" t="inlineStr">
        <is>
          <t>EPL Ltd</t>
        </is>
      </c>
      <c r="C111" s="30" t="inlineStr">
        <is>
          <t>industrials</t>
        </is>
      </c>
      <c r="D111" s="30" t="inlineStr">
        <is>
          <t>packaging</t>
        </is>
      </c>
      <c r="E111" s="30" t="inlineStr">
        <is>
          <t>midcap</t>
        </is>
      </c>
      <c r="F111" s="30" t="n">
        <v>7309.34</v>
      </c>
      <c r="G111" s="30" t="n">
        <v>233.01</v>
      </c>
      <c r="H111" s="30" t="n">
        <v>2.09</v>
      </c>
      <c r="I111" s="30" t="n">
        <v>835636</v>
      </c>
      <c r="J111" s="30" t="inlineStr">
        <is>
          <t>500135</t>
        </is>
      </c>
    </row>
    <row r="112">
      <c r="A112" s="30" t="inlineStr">
        <is>
          <t>AURUM</t>
        </is>
      </c>
      <c r="B112" s="30" t="inlineStr">
        <is>
          <t>Aurum Proptech Ltd</t>
        </is>
      </c>
      <c r="C112" s="30" t="inlineStr">
        <is>
          <t>i.t</t>
        </is>
      </c>
      <c r="D112" s="30" t="inlineStr">
        <is>
          <t>computers - software - medium / small</t>
        </is>
      </c>
      <c r="E112" s="30" t="inlineStr">
        <is>
          <t>smallcap</t>
        </is>
      </c>
      <c r="F112" s="30" t="n">
        <v>1513.32</v>
      </c>
      <c r="G112" s="30" t="n">
        <v>201.49</v>
      </c>
      <c r="H112" s="30" t="n">
        <v>2.07</v>
      </c>
      <c r="I112" s="30" t="n">
        <v>201592</v>
      </c>
      <c r="J112" s="30" t="inlineStr">
        <is>
          <t>539289</t>
        </is>
      </c>
    </row>
    <row r="113">
      <c r="A113" s="30" t="inlineStr">
        <is>
          <t>VINDHYATEL</t>
        </is>
      </c>
      <c r="B113" s="30" t="inlineStr">
        <is>
          <t>Vindhya Telelinks Limited</t>
        </is>
      </c>
      <c r="C113" s="30" t="inlineStr">
        <is>
          <t>realty</t>
        </is>
      </c>
      <c r="D113" s="30" t="inlineStr">
        <is>
          <t>construction</t>
        </is>
      </c>
      <c r="E113" s="30" t="inlineStr">
        <is>
          <t>smallcap</t>
        </is>
      </c>
      <c r="F113" s="30" t="n">
        <v>2559.79</v>
      </c>
      <c r="G113" s="30" t="n">
        <v>2204.5</v>
      </c>
      <c r="H113" s="30" t="n">
        <v>2.06</v>
      </c>
      <c r="I113" s="30" t="n">
        <v>81054</v>
      </c>
      <c r="J113" s="30" t="inlineStr">
        <is>
          <t>517015</t>
        </is>
      </c>
    </row>
    <row r="114">
      <c r="A114" s="30" t="inlineStr">
        <is>
          <t>IDEA</t>
        </is>
      </c>
      <c r="B114" s="30" t="inlineStr">
        <is>
          <t>Vodafone Idea Ltd</t>
        </is>
      </c>
      <c r="C114" s="30" t="inlineStr">
        <is>
          <t>telecom-service</t>
        </is>
      </c>
      <c r="D114" s="30" t="inlineStr">
        <is>
          <t>telecommunications - service provider</t>
        </is>
      </c>
      <c r="E114" s="30" t="inlineStr">
        <is>
          <t>largecap</t>
        </is>
      </c>
      <c r="F114" s="30" t="n">
        <v>158397.52</v>
      </c>
      <c r="G114" s="30" t="n">
        <v>14.92</v>
      </c>
      <c r="H114" s="30" t="n">
        <v>2.05</v>
      </c>
      <c r="I114" s="30" t="n">
        <v>503061861</v>
      </c>
      <c r="J114" s="30" t="inlineStr">
        <is>
          <t>532822</t>
        </is>
      </c>
    </row>
    <row r="115">
      <c r="A115" s="30" t="inlineStr">
        <is>
          <t>DMART</t>
        </is>
      </c>
      <c r="B115" s="30" t="inlineStr">
        <is>
          <t>Avenue Supermarts Ltd</t>
        </is>
      </c>
      <c r="C115" s="30" t="inlineStr">
        <is>
          <t>consumer discretionary</t>
        </is>
      </c>
      <c r="D115" s="30" t="inlineStr">
        <is>
          <t>trading</t>
        </is>
      </c>
      <c r="E115" s="30" t="inlineStr">
        <is>
          <t>largecap</t>
        </is>
      </c>
      <c r="F115" s="30" t="n">
        <v>273907.59</v>
      </c>
      <c r="G115" s="30" t="n">
        <v>4287.5</v>
      </c>
      <c r="H115" s="30" t="n">
        <v>2.05</v>
      </c>
      <c r="I115" s="30" t="n">
        <v>1183530</v>
      </c>
      <c r="J115" s="30" t="inlineStr">
        <is>
          <t>540376</t>
        </is>
      </c>
    </row>
    <row r="116">
      <c r="A116" s="30" t="inlineStr">
        <is>
          <t>ABB</t>
        </is>
      </c>
      <c r="B116" s="30" t="inlineStr">
        <is>
          <t>Abb India Limited</t>
        </is>
      </c>
      <c r="C116" s="30" t="inlineStr">
        <is>
          <t>industrials</t>
        </is>
      </c>
      <c r="D116" s="30" t="inlineStr">
        <is>
          <t>electric equipment</t>
        </is>
      </c>
      <c r="E116" s="30" t="inlineStr">
        <is>
          <t>largecap</t>
        </is>
      </c>
      <c r="F116" s="30" t="n">
        <v>148780.87</v>
      </c>
      <c r="G116" s="30" t="n">
        <v>7164</v>
      </c>
      <c r="H116" s="30" t="n">
        <v>2.04</v>
      </c>
      <c r="I116" s="30" t="n">
        <v>298071</v>
      </c>
      <c r="J116" s="30" t="inlineStr">
        <is>
          <t>500002</t>
        </is>
      </c>
    </row>
    <row r="117">
      <c r="A117" s="30" t="inlineStr">
        <is>
          <t>DEEDEV</t>
        </is>
      </c>
      <c r="B117" s="30" t="inlineStr">
        <is>
          <t>DEE Development Engineers Ltd</t>
        </is>
      </c>
      <c r="C117" s="30" t="inlineStr">
        <is>
          <t>metals &amp; mining</t>
        </is>
      </c>
      <c r="D117" s="30" t="inlineStr">
        <is>
          <t>steel - medium / small</t>
        </is>
      </c>
      <c r="E117" s="30" t="inlineStr">
        <is>
          <t>midcap</t>
        </is>
      </c>
      <c r="F117" s="30" t="n">
        <v>5014.32</v>
      </c>
      <c r="G117" s="30" t="n">
        <v>738.75</v>
      </c>
      <c r="H117" s="30" t="n">
        <v>2.04</v>
      </c>
      <c r="I117" s="30" t="n">
        <v>216231</v>
      </c>
      <c r="J117" s="30" t="n"/>
    </row>
    <row r="118">
      <c r="A118" s="30" t="inlineStr">
        <is>
          <t>ARVSMART</t>
        </is>
      </c>
      <c r="B118" s="30" t="inlineStr">
        <is>
          <t>Arvind Smartspaces Limited</t>
        </is>
      </c>
      <c r="C118" s="30" t="inlineStr">
        <is>
          <t>realty</t>
        </is>
      </c>
      <c r="D118" s="30" t="inlineStr">
        <is>
          <t>construction</t>
        </is>
      </c>
      <c r="E118" s="30" t="inlineStr">
        <is>
          <t>smallcap</t>
        </is>
      </c>
      <c r="F118" s="30" t="n">
        <v>2771.74</v>
      </c>
      <c r="G118" s="30" t="n">
        <v>616.45</v>
      </c>
      <c r="H118" s="30" t="n">
        <v>2.01</v>
      </c>
      <c r="I118" s="30" t="n">
        <v>293992</v>
      </c>
      <c r="J118" s="30" t="inlineStr">
        <is>
          <t>539301</t>
        </is>
      </c>
    </row>
    <row r="119">
      <c r="A119" s="30" t="inlineStr">
        <is>
          <t>BHAGERIA</t>
        </is>
      </c>
      <c r="B119" s="30" t="inlineStr">
        <is>
          <t>Bhageria Industries Limited</t>
        </is>
      </c>
      <c r="C119" s="30" t="inlineStr">
        <is>
          <t>chemicals</t>
        </is>
      </c>
      <c r="D119" s="30" t="inlineStr">
        <is>
          <t>dyes and pigments</t>
        </is>
      </c>
      <c r="E119" s="30" t="inlineStr">
        <is>
          <t>smallcap</t>
        </is>
      </c>
      <c r="F119" s="30" t="n">
        <v>973.5700000000001</v>
      </c>
      <c r="G119" s="30" t="n">
        <v>227.52</v>
      </c>
      <c r="H119" s="30" t="n">
        <v>1.99</v>
      </c>
      <c r="I119" s="30" t="n">
        <v>200256</v>
      </c>
      <c r="J119" s="30" t="inlineStr">
        <is>
          <t>530803</t>
        </is>
      </c>
    </row>
    <row r="120">
      <c r="A120" s="30" t="inlineStr">
        <is>
          <t>MANORAMA</t>
        </is>
      </c>
      <c r="B120" s="30" t="inlineStr">
        <is>
          <t>Manorama Industries Ltd</t>
        </is>
      </c>
      <c r="C120" s="30" t="inlineStr">
        <is>
          <t>fmcg</t>
        </is>
      </c>
      <c r="D120" s="30" t="inlineStr">
        <is>
          <t>food - processing - indian</t>
        </is>
      </c>
      <c r="E120" s="30" t="inlineStr">
        <is>
          <t>midcap</t>
        </is>
      </c>
      <c r="F120" s="30" t="n">
        <v>8942.549999999999</v>
      </c>
      <c r="G120" s="30" t="n">
        <v>1527.2</v>
      </c>
      <c r="H120" s="30" t="n">
        <v>1.97</v>
      </c>
      <c r="I120" s="30" t="n">
        <v>65232</v>
      </c>
      <c r="J120" s="30" t="inlineStr">
        <is>
          <t>541974</t>
        </is>
      </c>
    </row>
    <row r="121">
      <c r="A121" s="30" t="inlineStr">
        <is>
          <t>UNIMECH</t>
        </is>
      </c>
      <c r="B121" s="30" t="inlineStr">
        <is>
          <t>Unimech Aerospace and Manufacturing Ltd</t>
        </is>
      </c>
      <c r="C121" s="30" t="inlineStr">
        <is>
          <t>aerospace &amp; defence</t>
        </is>
      </c>
      <c r="D121" s="30" t="inlineStr">
        <is>
          <t>engineering</t>
        </is>
      </c>
      <c r="E121" s="30" t="inlineStr">
        <is>
          <t>midcap</t>
        </is>
      </c>
      <c r="F121" s="30" t="n">
        <v>5787</v>
      </c>
      <c r="G121" s="30" t="n">
        <v>1160.35</v>
      </c>
      <c r="H121" s="30" t="n">
        <v>1.97</v>
      </c>
      <c r="I121" s="30" t="n">
        <v>95186</v>
      </c>
      <c r="J121" s="30" t="inlineStr">
        <is>
          <t>544322</t>
        </is>
      </c>
    </row>
    <row r="122">
      <c r="A122" s="30" t="inlineStr">
        <is>
          <t>HDFCAMC</t>
        </is>
      </c>
      <c r="B122" s="30" t="inlineStr">
        <is>
          <t>HDFC Asset Management Company Ltd</t>
        </is>
      </c>
      <c r="C122" s="30" t="inlineStr">
        <is>
          <t>financials</t>
        </is>
      </c>
      <c r="D122" s="30" t="inlineStr">
        <is>
          <t>finance &amp; investments</t>
        </is>
      </c>
      <c r="E122" s="30" t="inlineStr">
        <is>
          <t>largecap</t>
        </is>
      </c>
      <c r="F122" s="30" t="n">
        <v>113894.47</v>
      </c>
      <c r="G122" s="30" t="n">
        <v>2711.1</v>
      </c>
      <c r="H122" s="30" t="n">
        <v>1.97</v>
      </c>
      <c r="I122" s="30" t="n">
        <v>912665</v>
      </c>
      <c r="J122" s="30" t="inlineStr">
        <is>
          <t>541729</t>
        </is>
      </c>
    </row>
    <row r="123">
      <c r="A123" s="30" t="inlineStr">
        <is>
          <t>CREST</t>
        </is>
      </c>
      <c r="B123" s="30" t="inlineStr">
        <is>
          <t>Crest Ventures Limited</t>
        </is>
      </c>
      <c r="C123" s="30" t="inlineStr">
        <is>
          <t>financials</t>
        </is>
      </c>
      <c r="D123" s="30" t="inlineStr">
        <is>
          <t>finance &amp; investments</t>
        </is>
      </c>
      <c r="E123" s="30" t="inlineStr">
        <is>
          <t>smallcap</t>
        </is>
      </c>
      <c r="F123" s="30" t="n">
        <v>1112.67</v>
      </c>
      <c r="G123" s="30" t="n">
        <v>398.75</v>
      </c>
      <c r="H123" s="30" t="n">
        <v>1.96</v>
      </c>
      <c r="I123" s="30" t="n">
        <v>11101</v>
      </c>
      <c r="J123" s="30" t="inlineStr">
        <is>
          <t>511413</t>
        </is>
      </c>
    </row>
    <row r="124">
      <c r="A124" s="30" t="inlineStr">
        <is>
          <t>CREDITACC</t>
        </is>
      </c>
      <c r="B124" s="30" t="inlineStr">
        <is>
          <t>CreditAccess Grameen Ltd</t>
        </is>
      </c>
      <c r="C124" s="30" t="inlineStr">
        <is>
          <t>financials</t>
        </is>
      </c>
      <c r="D124" s="30" t="inlineStr">
        <is>
          <t>finance &amp; investments</t>
        </is>
      </c>
      <c r="E124" s="30" t="inlineStr">
        <is>
          <t>largecap</t>
        </is>
      </c>
      <c r="F124" s="30" t="n">
        <v>22547.59</v>
      </c>
      <c r="G124" s="30" t="n">
        <v>1434.9</v>
      </c>
      <c r="H124" s="30" t="n">
        <v>1.95</v>
      </c>
      <c r="I124" s="30" t="n">
        <v>303130</v>
      </c>
      <c r="J124" s="30" t="inlineStr">
        <is>
          <t>541770</t>
        </is>
      </c>
    </row>
    <row r="125">
      <c r="A125" s="30" t="inlineStr">
        <is>
          <t>CUMMINSIND</t>
        </is>
      </c>
      <c r="B125" s="30" t="inlineStr">
        <is>
          <t>Cummins India Limited</t>
        </is>
      </c>
      <c r="C125" s="30" t="inlineStr">
        <is>
          <t>industrials</t>
        </is>
      </c>
      <c r="D125" s="30" t="inlineStr">
        <is>
          <t>engines</t>
        </is>
      </c>
      <c r="E125" s="30" t="inlineStr">
        <is>
          <t>largecap</t>
        </is>
      </c>
      <c r="F125" s="30" t="n">
        <v>158655.42</v>
      </c>
      <c r="G125" s="30" t="n">
        <v>5833</v>
      </c>
      <c r="H125" s="30" t="n">
        <v>1.91</v>
      </c>
      <c r="I125" s="30" t="n">
        <v>338488</v>
      </c>
      <c r="J125" s="30" t="inlineStr">
        <is>
          <t>500480</t>
        </is>
      </c>
    </row>
    <row r="126">
      <c r="A126" s="30" t="inlineStr">
        <is>
          <t>CAMS</t>
        </is>
      </c>
      <c r="B126" s="30" t="inlineStr">
        <is>
          <t>Computer Age Management Services Ltd</t>
        </is>
      </c>
      <c r="C126" s="30" t="inlineStr">
        <is>
          <t>financials</t>
        </is>
      </c>
      <c r="D126" s="30" t="inlineStr">
        <is>
          <t>miscellaneous</t>
        </is>
      </c>
      <c r="E126" s="30" t="inlineStr">
        <is>
          <t>midcap</t>
        </is>
      </c>
      <c r="F126" s="30" t="n">
        <v>19645.33</v>
      </c>
      <c r="G126" s="30" t="n">
        <v>807.25</v>
      </c>
      <c r="H126" s="30" t="n">
        <v>1.9</v>
      </c>
      <c r="I126" s="30" t="n">
        <v>2002246</v>
      </c>
      <c r="J126" s="30" t="inlineStr">
        <is>
          <t>543232</t>
        </is>
      </c>
    </row>
    <row r="127">
      <c r="A127" s="30" t="inlineStr">
        <is>
          <t>IRISDOREME</t>
        </is>
      </c>
      <c r="B127" s="30" t="inlineStr">
        <is>
          <t>Iris Clothings Ltd</t>
        </is>
      </c>
      <c r="C127" s="30" t="inlineStr">
        <is>
          <t>consumer discretionary</t>
        </is>
      </c>
      <c r="D127" s="30" t="inlineStr">
        <is>
          <t>textiles - products</t>
        </is>
      </c>
      <c r="E127" s="30" t="inlineStr">
        <is>
          <t>smallcap</t>
        </is>
      </c>
      <c r="F127" s="30" t="n">
        <v>722.6900000000001</v>
      </c>
      <c r="G127" s="30" t="n">
        <v>38.69</v>
      </c>
      <c r="H127" s="30" t="n">
        <v>1.9</v>
      </c>
      <c r="I127" s="30" t="n">
        <v>588031</v>
      </c>
      <c r="J127" s="30" t="inlineStr">
        <is>
          <t>535123</t>
        </is>
      </c>
    </row>
    <row r="128">
      <c r="A128" s="30" t="inlineStr">
        <is>
          <t>YASHO</t>
        </is>
      </c>
      <c r="B128" s="30" t="inlineStr">
        <is>
          <t>Yasho Industries Ltd</t>
        </is>
      </c>
      <c r="C128" s="30" t="inlineStr">
        <is>
          <t>chemicals</t>
        </is>
      </c>
      <c r="D128" s="30" t="inlineStr">
        <is>
          <t>chemicals</t>
        </is>
      </c>
      <c r="E128" s="30" t="inlineStr">
        <is>
          <t>smallcap</t>
        </is>
      </c>
      <c r="F128" s="30" t="n">
        <v>3284.23</v>
      </c>
      <c r="G128" s="30" t="n">
        <v>2775.1</v>
      </c>
      <c r="H128" s="30" t="n">
        <v>1.88</v>
      </c>
      <c r="I128" s="30" t="n">
        <v>24421</v>
      </c>
      <c r="J128" s="30" t="inlineStr">
        <is>
          <t>541167</t>
        </is>
      </c>
    </row>
    <row r="129">
      <c r="A129" s="30" t="inlineStr">
        <is>
          <t>CEMPRO</t>
        </is>
      </c>
      <c r="B129" s="30" t="inlineStr">
        <is>
          <t>Cemindia Projects Ltd</t>
        </is>
      </c>
      <c r="C129" s="30" t="inlineStr">
        <is>
          <t>realty</t>
        </is>
      </c>
      <c r="D129" s="30" t="inlineStr">
        <is>
          <t>construction</t>
        </is>
      </c>
      <c r="E129" s="30" t="inlineStr">
        <is>
          <t>midcap</t>
        </is>
      </c>
      <c r="F129" s="30" t="n">
        <v>19965.15</v>
      </c>
      <c r="G129" s="30" t="n">
        <v>1184</v>
      </c>
      <c r="H129" s="30" t="n">
        <v>1.88</v>
      </c>
      <c r="I129" s="30" t="n">
        <v>297334</v>
      </c>
      <c r="J129" s="30" t="inlineStr">
        <is>
          <t>509496</t>
        </is>
      </c>
    </row>
    <row r="130">
      <c r="A130" s="30" t="inlineStr">
        <is>
          <t>JSWINFRA</t>
        </is>
      </c>
      <c r="B130" s="30" t="inlineStr">
        <is>
          <t>JSW Infrastructure Ltd</t>
        </is>
      </c>
      <c r="C130" s="30" t="inlineStr">
        <is>
          <t>transportation</t>
        </is>
      </c>
      <c r="D130" s="30" t="inlineStr">
        <is>
          <t>miscellaneous</t>
        </is>
      </c>
      <c r="E130" s="30" t="inlineStr">
        <is>
          <t>largecap</t>
        </is>
      </c>
      <c r="F130" s="30" t="n">
        <v>61698.05</v>
      </c>
      <c r="G130" s="30" t="n">
        <v>299.3</v>
      </c>
      <c r="H130" s="30" t="n">
        <v>1.87</v>
      </c>
      <c r="I130" s="30" t="n">
        <v>3599798</v>
      </c>
      <c r="J130" s="30" t="inlineStr">
        <is>
          <t>543994</t>
        </is>
      </c>
    </row>
    <row r="131">
      <c r="A131" s="30" t="inlineStr">
        <is>
          <t>UNIONBANK</t>
        </is>
      </c>
      <c r="B131" s="30" t="inlineStr">
        <is>
          <t>Union Bank Of India Ltd</t>
        </is>
      </c>
      <c r="C131" s="30" t="inlineStr">
        <is>
          <t>bank</t>
        </is>
      </c>
      <c r="D131" s="30" t="inlineStr">
        <is>
          <t>banks - public sector</t>
        </is>
      </c>
      <c r="E131" s="30" t="inlineStr">
        <is>
          <t>largecap</t>
        </is>
      </c>
      <c r="F131" s="30" t="n">
        <v>130198.78</v>
      </c>
      <c r="G131" s="30" t="n">
        <v>173.75</v>
      </c>
      <c r="H131" s="30" t="n">
        <v>1.87</v>
      </c>
      <c r="I131" s="30" t="n">
        <v>12653845</v>
      </c>
      <c r="J131" s="30" t="inlineStr">
        <is>
          <t>532477</t>
        </is>
      </c>
    </row>
    <row r="132">
      <c r="A132" s="30" t="inlineStr">
        <is>
          <t>CRAFTSMAN</t>
        </is>
      </c>
      <c r="B132" s="30" t="inlineStr">
        <is>
          <t>Craftsman Automation Ltd</t>
        </is>
      </c>
      <c r="C132" s="30" t="inlineStr">
        <is>
          <t>auto</t>
        </is>
      </c>
      <c r="D132" s="30" t="inlineStr">
        <is>
          <t>auto ancillaries</t>
        </is>
      </c>
      <c r="E132" s="30" t="inlineStr">
        <is>
          <t>largecap</t>
        </is>
      </c>
      <c r="F132" s="30" t="n">
        <v>22247.72</v>
      </c>
      <c r="G132" s="30" t="n">
        <v>9498.5</v>
      </c>
      <c r="H132" s="30" t="n">
        <v>1.85</v>
      </c>
      <c r="I132" s="30" t="n">
        <v>140241</v>
      </c>
      <c r="J132" s="30" t="inlineStr">
        <is>
          <t>543276</t>
        </is>
      </c>
    </row>
    <row r="133">
      <c r="A133" s="30" t="inlineStr">
        <is>
          <t>SATIN</t>
        </is>
      </c>
      <c r="B133" s="30" t="inlineStr">
        <is>
          <t>Satin Creditcare Network Limited</t>
        </is>
      </c>
      <c r="C133" s="30" t="inlineStr">
        <is>
          <t>financials</t>
        </is>
      </c>
      <c r="D133" s="30" t="inlineStr">
        <is>
          <t>finance &amp; investments</t>
        </is>
      </c>
      <c r="E133" s="30" t="inlineStr">
        <is>
          <t>smallcap</t>
        </is>
      </c>
      <c r="F133" s="30" t="n">
        <v>2556.08</v>
      </c>
      <c r="G133" s="30" t="n">
        <v>235.59</v>
      </c>
      <c r="H133" s="30" t="n">
        <v>1.82</v>
      </c>
      <c r="I133" s="30" t="n">
        <v>255053</v>
      </c>
      <c r="J133" s="30" t="inlineStr">
        <is>
          <t>539404</t>
        </is>
      </c>
    </row>
    <row r="134">
      <c r="A134" s="30" t="inlineStr">
        <is>
          <t>PYRAMID</t>
        </is>
      </c>
      <c r="B134" s="30" t="inlineStr">
        <is>
          <t>Pyramid Technoplast Ltd</t>
        </is>
      </c>
      <c r="C134" s="30" t="inlineStr">
        <is>
          <t>industrials</t>
        </is>
      </c>
      <c r="D134" s="30" t="inlineStr">
        <is>
          <t>packaging</t>
        </is>
      </c>
      <c r="E134" s="30" t="inlineStr">
        <is>
          <t>smallcap</t>
        </is>
      </c>
      <c r="F134" s="30" t="n">
        <v>637.59</v>
      </c>
      <c r="G134" s="30" t="n">
        <v>176.49</v>
      </c>
      <c r="H134" s="30" t="n">
        <v>1.82</v>
      </c>
      <c r="I134" s="30" t="n">
        <v>65205</v>
      </c>
      <c r="J134" s="30" t="inlineStr">
        <is>
          <t>543969</t>
        </is>
      </c>
    </row>
    <row r="135">
      <c r="A135" s="30" t="inlineStr">
        <is>
          <t>PREMIERPOL</t>
        </is>
      </c>
      <c r="B135" s="30" t="inlineStr">
        <is>
          <t>Premier Polyfilm Limited</t>
        </is>
      </c>
      <c r="C135" s="30" t="inlineStr">
        <is>
          <t>plastic products</t>
        </is>
      </c>
      <c r="D135" s="30" t="inlineStr">
        <is>
          <t>plastics products</t>
        </is>
      </c>
      <c r="E135" s="30" t="inlineStr">
        <is>
          <t>smallcap</t>
        </is>
      </c>
      <c r="F135" s="30" t="n">
        <v>599.02</v>
      </c>
      <c r="G135" s="30" t="n">
        <v>58.21</v>
      </c>
      <c r="H135" s="30" t="n">
        <v>1.78</v>
      </c>
      <c r="I135" s="30" t="n">
        <v>311231</v>
      </c>
      <c r="J135" s="30" t="inlineStr">
        <is>
          <t>514354</t>
        </is>
      </c>
    </row>
    <row r="136">
      <c r="A136" s="30" t="inlineStr">
        <is>
          <t>ZENTEC</t>
        </is>
      </c>
      <c r="B136" s="30" t="inlineStr">
        <is>
          <t>Zen Technologies Limited</t>
        </is>
      </c>
      <c r="C136" s="30" t="inlineStr">
        <is>
          <t>aerospace &amp; defence</t>
        </is>
      </c>
      <c r="D136" s="30" t="inlineStr">
        <is>
          <t>miscellaneous</t>
        </is>
      </c>
      <c r="E136" s="30" t="inlineStr">
        <is>
          <t>midcap</t>
        </is>
      </c>
      <c r="F136" s="30" t="n">
        <v>16746.15</v>
      </c>
      <c r="G136" s="30" t="n">
        <v>1887.4</v>
      </c>
      <c r="H136" s="30" t="n">
        <v>1.76</v>
      </c>
      <c r="I136" s="30" t="n">
        <v>1436389</v>
      </c>
      <c r="J136" s="30" t="inlineStr">
        <is>
          <t>533339</t>
        </is>
      </c>
    </row>
    <row r="137">
      <c r="A137" s="30" t="inlineStr">
        <is>
          <t>NEULANDLAB</t>
        </is>
      </c>
      <c r="B137" s="30" t="inlineStr">
        <is>
          <t>Neuland Laboratories Limited</t>
        </is>
      </c>
      <c r="C137" s="30" t="inlineStr">
        <is>
          <t>healthcare</t>
        </is>
      </c>
      <c r="D137" s="30" t="inlineStr">
        <is>
          <t>pharmaceuticals - indian - bulk drugs</t>
        </is>
      </c>
      <c r="E137" s="30" t="inlineStr">
        <is>
          <t>largecap</t>
        </is>
      </c>
      <c r="F137" s="30" t="n">
        <v>21454.14</v>
      </c>
      <c r="G137" s="30" t="n">
        <v>17016</v>
      </c>
      <c r="H137" s="30" t="n">
        <v>1.76</v>
      </c>
      <c r="I137" s="30" t="n">
        <v>20633</v>
      </c>
      <c r="J137" s="30" t="inlineStr">
        <is>
          <t>524558</t>
        </is>
      </c>
    </row>
    <row r="138">
      <c r="A138" s="30" t="inlineStr">
        <is>
          <t>MANBA</t>
        </is>
      </c>
      <c r="B138" s="30" t="inlineStr">
        <is>
          <t>Manba Finance Ltd</t>
        </is>
      </c>
      <c r="C138" s="30" t="inlineStr">
        <is>
          <t>financials</t>
        </is>
      </c>
      <c r="D138" s="30" t="inlineStr">
        <is>
          <t>finance &amp; investments</t>
        </is>
      </c>
      <c r="E138" s="30" t="inlineStr">
        <is>
          <t>smallcap</t>
        </is>
      </c>
      <c r="F138" s="30" t="n">
        <v>640.65</v>
      </c>
      <c r="G138" s="30" t="n">
        <v>129.73</v>
      </c>
      <c r="H138" s="30" t="n">
        <v>1.73</v>
      </c>
      <c r="I138" s="30" t="n">
        <v>104834</v>
      </c>
      <c r="J138" s="30" t="inlineStr">
        <is>
          <t>544262</t>
        </is>
      </c>
    </row>
    <row r="139">
      <c r="A139" s="30" t="inlineStr">
        <is>
          <t>HSCL</t>
        </is>
      </c>
      <c r="B139" s="30" t="inlineStr">
        <is>
          <t>Himadri Speciality Chemical Limited</t>
        </is>
      </c>
      <c r="C139" s="30" t="inlineStr">
        <is>
          <t>chemicals</t>
        </is>
      </c>
      <c r="D139" s="30" t="inlineStr">
        <is>
          <t>chemicals</t>
        </is>
      </c>
      <c r="E139" s="30" t="inlineStr">
        <is>
          <t>largecap</t>
        </is>
      </c>
      <c r="F139" s="30" t="n">
        <v>34773.01</v>
      </c>
      <c r="G139" s="30" t="n">
        <v>701.1</v>
      </c>
      <c r="H139" s="30" t="n">
        <v>1.73</v>
      </c>
      <c r="I139" s="30" t="n">
        <v>12294889</v>
      </c>
      <c r="J139" s="30" t="inlineStr">
        <is>
          <t>500184</t>
        </is>
      </c>
    </row>
    <row r="140">
      <c r="A140" s="30" t="inlineStr">
        <is>
          <t>VSSL</t>
        </is>
      </c>
      <c r="B140" s="30" t="inlineStr">
        <is>
          <t>Vardhman Special Steels Limited</t>
        </is>
      </c>
      <c r="C140" s="30" t="inlineStr">
        <is>
          <t>metals &amp; mining</t>
        </is>
      </c>
      <c r="D140" s="30" t="inlineStr">
        <is>
          <t>steel - medium / small</t>
        </is>
      </c>
      <c r="E140" s="30" t="inlineStr">
        <is>
          <t>smallcap</t>
        </is>
      </c>
      <c r="F140" s="30" t="n">
        <v>2744.91</v>
      </c>
      <c r="G140" s="30" t="n">
        <v>288.7</v>
      </c>
      <c r="H140" s="30" t="n">
        <v>1.69</v>
      </c>
      <c r="I140" s="30" t="n">
        <v>116119</v>
      </c>
      <c r="J140" s="30" t="inlineStr">
        <is>
          <t>534392</t>
        </is>
      </c>
    </row>
    <row r="141">
      <c r="A141" s="30" t="inlineStr">
        <is>
          <t>TRIVENI</t>
        </is>
      </c>
      <c r="B141" s="30" t="inlineStr">
        <is>
          <t>Triveni Engineering &amp; Industries Limited</t>
        </is>
      </c>
      <c r="C141" s="30" t="inlineStr">
        <is>
          <t>fmcg</t>
        </is>
      </c>
      <c r="D141" s="30" t="inlineStr">
        <is>
          <t>sugar</t>
        </is>
      </c>
      <c r="E141" s="30" t="inlineStr">
        <is>
          <t>midcap</t>
        </is>
      </c>
      <c r="F141" s="30" t="n">
        <v>8728.559999999999</v>
      </c>
      <c r="G141" s="30" t="n">
        <v>405.5</v>
      </c>
      <c r="H141" s="30" t="n">
        <v>1.69</v>
      </c>
      <c r="I141" s="30" t="n">
        <v>449216</v>
      </c>
      <c r="J141" s="30" t="inlineStr">
        <is>
          <t>532356</t>
        </is>
      </c>
    </row>
    <row r="142">
      <c r="A142" s="30" t="inlineStr">
        <is>
          <t>GMRAIRPORT</t>
        </is>
      </c>
      <c r="B142" s="30" t="inlineStr">
        <is>
          <t>GMR Airports Ltd</t>
        </is>
      </c>
      <c r="C142" s="30" t="inlineStr">
        <is>
          <t>miscellaneous</t>
        </is>
      </c>
      <c r="D142" s="30" t="inlineStr">
        <is>
          <t>miscellaneous</t>
        </is>
      </c>
      <c r="E142" s="30" t="inlineStr">
        <is>
          <t>largecap</t>
        </is>
      </c>
      <c r="F142" s="30" t="n">
        <v>113519.55</v>
      </c>
      <c r="G142" s="30" t="n">
        <v>109.32</v>
      </c>
      <c r="H142" s="30" t="n">
        <v>1.68</v>
      </c>
      <c r="I142" s="30" t="n">
        <v>13734304</v>
      </c>
      <c r="J142" s="30" t="inlineStr">
        <is>
          <t>532754</t>
        </is>
      </c>
    </row>
    <row r="143">
      <c r="A143" s="30" t="inlineStr">
        <is>
          <t>GRWRHITECH</t>
        </is>
      </c>
      <c r="B143" s="30" t="inlineStr">
        <is>
          <t>Garware Hi Tech Films Ltd</t>
        </is>
      </c>
      <c r="C143" s="30" t="inlineStr">
        <is>
          <t>industrials</t>
        </is>
      </c>
      <c r="D143" s="30" t="inlineStr">
        <is>
          <t>packaging</t>
        </is>
      </c>
      <c r="E143" s="30" t="inlineStr">
        <is>
          <t>midcap</t>
        </is>
      </c>
      <c r="F143" s="30" t="n">
        <v>14823.43</v>
      </c>
      <c r="G143" s="30" t="n">
        <v>6485.5</v>
      </c>
      <c r="H143" s="30" t="n">
        <v>1.65</v>
      </c>
      <c r="I143" s="30" t="n">
        <v>79688</v>
      </c>
      <c r="J143" s="30" t="inlineStr">
        <is>
          <t>500655</t>
        </is>
      </c>
    </row>
    <row r="144">
      <c r="A144" s="30" t="inlineStr">
        <is>
          <t>RAIN</t>
        </is>
      </c>
      <c r="B144" s="30" t="inlineStr">
        <is>
          <t>Rain Industries Limited</t>
        </is>
      </c>
      <c r="C144" s="30" t="inlineStr">
        <is>
          <t>miscellaneous</t>
        </is>
      </c>
      <c r="D144" s="30" t="inlineStr">
        <is>
          <t>miscellaneous</t>
        </is>
      </c>
      <c r="E144" s="30" t="inlineStr">
        <is>
          <t>midcap</t>
        </is>
      </c>
      <c r="F144" s="30" t="n">
        <v>6532.51</v>
      </c>
      <c r="G144" s="30" t="n">
        <v>197.27</v>
      </c>
      <c r="H144" s="30" t="n">
        <v>1.57</v>
      </c>
      <c r="I144" s="30" t="n">
        <v>4814622</v>
      </c>
      <c r="J144" s="30" t="inlineStr">
        <is>
          <t>500339</t>
        </is>
      </c>
    </row>
    <row r="145">
      <c r="A145" s="30" t="inlineStr">
        <is>
          <t>ZFCVINDIA</t>
        </is>
      </c>
      <c r="B145" s="30" t="inlineStr">
        <is>
          <t>ZF Commercial Vehicle Control System India Ltd</t>
        </is>
      </c>
      <c r="C145" s="30" t="inlineStr">
        <is>
          <t>auto</t>
        </is>
      </c>
      <c r="D145" s="30" t="inlineStr">
        <is>
          <t>auto ancillaries</t>
        </is>
      </c>
      <c r="E145" s="30" t="inlineStr">
        <is>
          <t>largecap</t>
        </is>
      </c>
      <c r="F145" s="30" t="n">
        <v>28225.66</v>
      </c>
      <c r="G145" s="30" t="n">
        <v>15112</v>
      </c>
      <c r="H145" s="30" t="n">
        <v>1.55</v>
      </c>
      <c r="I145" s="30" t="n">
        <v>25914</v>
      </c>
      <c r="J145" s="30" t="inlineStr">
        <is>
          <t>533023</t>
        </is>
      </c>
    </row>
    <row r="146">
      <c r="A146" s="30" t="inlineStr">
        <is>
          <t>RAINBOW</t>
        </is>
      </c>
      <c r="B146" s="30" t="inlineStr">
        <is>
          <t>Rainbow Childrens Medicare Ltd</t>
        </is>
      </c>
      <c r="C146" s="30" t="inlineStr">
        <is>
          <t>healthcare</t>
        </is>
      </c>
      <c r="D146" s="30" t="inlineStr">
        <is>
          <t>healthcare</t>
        </is>
      </c>
      <c r="E146" s="30" t="inlineStr">
        <is>
          <t>midcap</t>
        </is>
      </c>
      <c r="F146" s="30" t="n">
        <v>14448.82</v>
      </c>
      <c r="G146" s="30" t="n">
        <v>1444.5</v>
      </c>
      <c r="H146" s="30" t="n">
        <v>1.53</v>
      </c>
      <c r="I146" s="30" t="n">
        <v>86400</v>
      </c>
      <c r="J146" s="30" t="inlineStr">
        <is>
          <t>543524</t>
        </is>
      </c>
    </row>
    <row r="147">
      <c r="A147" s="30" t="inlineStr">
        <is>
          <t>AZAD</t>
        </is>
      </c>
      <c r="B147" s="30" t="inlineStr">
        <is>
          <t>Azad Engineering Ltd</t>
        </is>
      </c>
      <c r="C147" s="30" t="inlineStr">
        <is>
          <t>aerospace &amp; defence</t>
        </is>
      </c>
      <c r="D147" s="30" t="inlineStr">
        <is>
          <t>engineering</t>
        </is>
      </c>
      <c r="E147" s="30" t="inlineStr">
        <is>
          <t>midcap</t>
        </is>
      </c>
      <c r="F147" s="30" t="n">
        <v>13764.31</v>
      </c>
      <c r="G147" s="30" t="n">
        <v>2163.8</v>
      </c>
      <c r="H147" s="30" t="n">
        <v>1.52</v>
      </c>
      <c r="I147" s="30" t="n">
        <v>1193281</v>
      </c>
      <c r="J147" s="30" t="inlineStr">
        <is>
          <t>544061</t>
        </is>
      </c>
    </row>
    <row r="148">
      <c r="A148" s="30" t="inlineStr">
        <is>
          <t>WELCORP</t>
        </is>
      </c>
      <c r="B148" s="30" t="inlineStr">
        <is>
          <t>Welspun Corp Limited</t>
        </is>
      </c>
      <c r="C148" s="30" t="inlineStr">
        <is>
          <t>industrials</t>
        </is>
      </c>
      <c r="D148" s="30" t="inlineStr">
        <is>
          <t>steel - large</t>
        </is>
      </c>
      <c r="E148" s="30" t="inlineStr">
        <is>
          <t>largecap</t>
        </is>
      </c>
      <c r="F148" s="30" t="n">
        <v>36239.56</v>
      </c>
      <c r="G148" s="30" t="n">
        <v>1394.3</v>
      </c>
      <c r="H148" s="30" t="n">
        <v>1.49</v>
      </c>
      <c r="I148" s="30" t="n">
        <v>414081</v>
      </c>
      <c r="J148" s="30" t="inlineStr">
        <is>
          <t>532144</t>
        </is>
      </c>
    </row>
    <row r="149">
      <c r="A149" s="30" t="inlineStr">
        <is>
          <t>MEDANTA</t>
        </is>
      </c>
      <c r="B149" s="30" t="inlineStr">
        <is>
          <t>Global Health Ltd</t>
        </is>
      </c>
      <c r="C149" s="30" t="inlineStr">
        <is>
          <t>healthcare</t>
        </is>
      </c>
      <c r="D149" s="30" t="inlineStr">
        <is>
          <t>healthcare</t>
        </is>
      </c>
      <c r="E149" s="30" t="inlineStr">
        <is>
          <t>largecap</t>
        </is>
      </c>
      <c r="F149" s="30" t="n">
        <v>33225.18</v>
      </c>
      <c r="G149" s="30" t="n">
        <v>1254.4</v>
      </c>
      <c r="H149" s="30" t="n">
        <v>1.48</v>
      </c>
      <c r="I149" s="30" t="n">
        <v>362479</v>
      </c>
      <c r="J149" s="30" t="inlineStr">
        <is>
          <t>543654</t>
        </is>
      </c>
    </row>
    <row r="150">
      <c r="A150" s="30" t="inlineStr">
        <is>
          <t>KAJARIACER</t>
        </is>
      </c>
      <c r="B150" s="30" t="inlineStr">
        <is>
          <t>Kajaria Ceramics Limited</t>
        </is>
      </c>
      <c r="C150" s="30" t="inlineStr">
        <is>
          <t>building materials</t>
        </is>
      </c>
      <c r="D150" s="30" t="inlineStr">
        <is>
          <t>ceramics - tiles / sanitaryware</t>
        </is>
      </c>
      <c r="E150" s="30" t="inlineStr">
        <is>
          <t>midcap</t>
        </is>
      </c>
      <c r="F150" s="30" t="n">
        <v>18142.71</v>
      </c>
      <c r="G150" s="30" t="n">
        <v>1155.9</v>
      </c>
      <c r="H150" s="30" t="n">
        <v>1.47</v>
      </c>
      <c r="I150" s="30" t="n">
        <v>518921</v>
      </c>
      <c r="J150" s="30" t="inlineStr">
        <is>
          <t>500233</t>
        </is>
      </c>
    </row>
    <row r="151">
      <c r="A151" s="30" t="inlineStr">
        <is>
          <t>STEELXIND</t>
        </is>
      </c>
      <c r="B151" s="30" t="inlineStr">
        <is>
          <t>Steel Exchange India Ltd</t>
        </is>
      </c>
      <c r="C151" s="30" t="inlineStr">
        <is>
          <t>metals &amp; mining</t>
        </is>
      </c>
      <c r="D151" s="30" t="inlineStr">
        <is>
          <t>steel - medium / small</t>
        </is>
      </c>
      <c r="E151" s="30" t="inlineStr">
        <is>
          <t>smallcap</t>
        </is>
      </c>
      <c r="F151" s="30" t="n">
        <v>1580.37</v>
      </c>
      <c r="G151" s="30" t="n">
        <v>12.57</v>
      </c>
      <c r="H151" s="30" t="n">
        <v>1.45</v>
      </c>
      <c r="I151" s="30" t="n">
        <v>3796766</v>
      </c>
      <c r="J151" s="30" t="inlineStr">
        <is>
          <t>534748</t>
        </is>
      </c>
    </row>
    <row r="152">
      <c r="A152" s="30" t="inlineStr">
        <is>
          <t>IFCI</t>
        </is>
      </c>
      <c r="B152" s="30" t="inlineStr">
        <is>
          <t>Ifci Limited</t>
        </is>
      </c>
      <c r="C152" s="30" t="inlineStr">
        <is>
          <t>financials</t>
        </is>
      </c>
      <c r="D152" s="30" t="inlineStr">
        <is>
          <t>finance - term-lending institutions</t>
        </is>
      </c>
      <c r="E152" s="30" t="inlineStr">
        <is>
          <t>largecap</t>
        </is>
      </c>
      <c r="F152" s="30" t="n">
        <v>23925.51</v>
      </c>
      <c r="G152" s="30" t="n">
        <v>90.06999999999999</v>
      </c>
      <c r="H152" s="30" t="n">
        <v>1.43</v>
      </c>
      <c r="I152" s="30" t="n">
        <v>239005769</v>
      </c>
      <c r="J152" s="30" t="inlineStr">
        <is>
          <t>500106</t>
        </is>
      </c>
    </row>
    <row r="153">
      <c r="A153" s="30" t="inlineStr">
        <is>
          <t>SANSERA</t>
        </is>
      </c>
      <c r="B153" s="30" t="inlineStr">
        <is>
          <t>Sansera Engineering Ltd</t>
        </is>
      </c>
      <c r="C153" s="30" t="inlineStr">
        <is>
          <t>auto</t>
        </is>
      </c>
      <c r="D153" s="30" t="inlineStr">
        <is>
          <t>auto ancillaries</t>
        </is>
      </c>
      <c r="E153" s="30" t="inlineStr">
        <is>
          <t>midcap</t>
        </is>
      </c>
      <c r="F153" s="30" t="n">
        <v>17694.82</v>
      </c>
      <c r="G153" s="30" t="n">
        <v>2879.3</v>
      </c>
      <c r="H153" s="30" t="n">
        <v>1.43</v>
      </c>
      <c r="I153" s="30" t="n">
        <v>184562</v>
      </c>
      <c r="J153" s="30" t="inlineStr">
        <is>
          <t>543358</t>
        </is>
      </c>
    </row>
    <row r="154">
      <c r="A154" s="30" t="inlineStr">
        <is>
          <t>AUTOAXLES</t>
        </is>
      </c>
      <c r="B154" s="30" t="inlineStr">
        <is>
          <t>Automotive Axles Limited</t>
        </is>
      </c>
      <c r="C154" s="30" t="inlineStr">
        <is>
          <t>auto</t>
        </is>
      </c>
      <c r="D154" s="30" t="inlineStr">
        <is>
          <t>auto ancillaries</t>
        </is>
      </c>
      <c r="E154" s="30" t="inlineStr">
        <is>
          <t>smallcap</t>
        </is>
      </c>
      <c r="F154" s="30" t="n">
        <v>2682.22</v>
      </c>
      <c r="G154" s="30" t="n">
        <v>1800.1</v>
      </c>
      <c r="H154" s="30" t="n">
        <v>1.42</v>
      </c>
      <c r="I154" s="30" t="n">
        <v>7506</v>
      </c>
      <c r="J154" s="30" t="inlineStr">
        <is>
          <t>505010</t>
        </is>
      </c>
    </row>
    <row r="155">
      <c r="A155" s="30" t="inlineStr">
        <is>
          <t>SIMPLEXINF</t>
        </is>
      </c>
      <c r="B155" s="30" t="inlineStr">
        <is>
          <t>Simplex Infrastructures Limited</t>
        </is>
      </c>
      <c r="C155" s="30" t="inlineStr">
        <is>
          <t>realty</t>
        </is>
      </c>
      <c r="D155" s="30" t="inlineStr">
        <is>
          <t>construction</t>
        </is>
      </c>
      <c r="E155" s="30" t="inlineStr">
        <is>
          <t>smallcap</t>
        </is>
      </c>
      <c r="F155" s="30" t="n">
        <v>2198.06</v>
      </c>
      <c r="G155" s="30" t="n">
        <v>281.85</v>
      </c>
      <c r="H155" s="30" t="n">
        <v>1.42</v>
      </c>
      <c r="I155" s="30" t="n">
        <v>435735</v>
      </c>
      <c r="J155" s="30" t="inlineStr">
        <is>
          <t>523838</t>
        </is>
      </c>
    </row>
    <row r="156">
      <c r="A156" s="30" t="inlineStr">
        <is>
          <t>INGERRAND</t>
        </is>
      </c>
      <c r="B156" s="30" t="inlineStr">
        <is>
          <t>Ingersoll Rand (india) Limited</t>
        </is>
      </c>
      <c r="C156" s="30" t="inlineStr">
        <is>
          <t>industrials</t>
        </is>
      </c>
      <c r="D156" s="30" t="inlineStr">
        <is>
          <t>compressors / drilling equipment</t>
        </is>
      </c>
      <c r="E156" s="30" t="inlineStr">
        <is>
          <t>midcap</t>
        </is>
      </c>
      <c r="F156" s="30" t="n">
        <v>14004.2</v>
      </c>
      <c r="G156" s="30" t="n">
        <v>4498.8</v>
      </c>
      <c r="H156" s="30" t="n">
        <v>1.41</v>
      </c>
      <c r="I156" s="30" t="n">
        <v>12750</v>
      </c>
      <c r="J156" s="30" t="inlineStr">
        <is>
          <t>500210</t>
        </is>
      </c>
    </row>
    <row r="157">
      <c r="A157" s="30" t="inlineStr">
        <is>
          <t>GEOJITFSL</t>
        </is>
      </c>
      <c r="B157" s="30" t="inlineStr">
        <is>
          <t>Geojit Financial Services Ltd</t>
        </is>
      </c>
      <c r="C157" s="30" t="inlineStr">
        <is>
          <t>financials</t>
        </is>
      </c>
      <c r="D157" s="30" t="inlineStr">
        <is>
          <t>finance &amp; investments</t>
        </is>
      </c>
      <c r="E157" s="30" t="inlineStr">
        <is>
          <t>smallcap</t>
        </is>
      </c>
      <c r="F157" s="30" t="n">
        <v>2177.99</v>
      </c>
      <c r="G157" s="30" t="n">
        <v>79.09</v>
      </c>
      <c r="H157" s="30" t="n">
        <v>1.36</v>
      </c>
      <c r="I157" s="30" t="n">
        <v>506489</v>
      </c>
      <c r="J157" s="30" t="inlineStr">
        <is>
          <t>532285</t>
        </is>
      </c>
    </row>
    <row r="158">
      <c r="A158" s="30" t="inlineStr">
        <is>
          <t>JAMNAAUTO</t>
        </is>
      </c>
      <c r="B158" s="30" t="inlineStr">
        <is>
          <t>Jamna Auto Industries Limited</t>
        </is>
      </c>
      <c r="C158" s="30" t="inlineStr">
        <is>
          <t>auto</t>
        </is>
      </c>
      <c r="D158" s="30" t="inlineStr">
        <is>
          <t>auto ancillaries</t>
        </is>
      </c>
      <c r="E158" s="30" t="inlineStr">
        <is>
          <t>midcap</t>
        </is>
      </c>
      <c r="F158" s="30" t="n">
        <v>5136.29</v>
      </c>
      <c r="G158" s="30" t="n">
        <v>130.22</v>
      </c>
      <c r="H158" s="30" t="n">
        <v>1.34</v>
      </c>
      <c r="I158" s="30" t="n">
        <v>3104891</v>
      </c>
      <c r="J158" s="30" t="inlineStr">
        <is>
          <t>520051</t>
        </is>
      </c>
    </row>
    <row r="159">
      <c r="A159" s="30" t="inlineStr">
        <is>
          <t>PRECWIRE</t>
        </is>
      </c>
      <c r="B159" s="30" t="inlineStr">
        <is>
          <t>Precision Wires India Limited</t>
        </is>
      </c>
      <c r="C159" s="30" t="inlineStr">
        <is>
          <t>metals &amp; mining</t>
        </is>
      </c>
      <c r="D159" s="30" t="inlineStr">
        <is>
          <t>mining / minerals / metals</t>
        </is>
      </c>
      <c r="E159" s="30" t="inlineStr">
        <is>
          <t>midcap</t>
        </is>
      </c>
      <c r="F159" s="30" t="n">
        <v>7737.35</v>
      </c>
      <c r="G159" s="30" t="n">
        <v>428.9</v>
      </c>
      <c r="H159" s="30" t="n">
        <v>1.33</v>
      </c>
      <c r="I159" s="30" t="n">
        <v>342428</v>
      </c>
      <c r="J159" s="30" t="inlineStr">
        <is>
          <t>523539</t>
        </is>
      </c>
    </row>
    <row r="160">
      <c r="A160" s="30" t="inlineStr">
        <is>
          <t>BHAGCHEM</t>
        </is>
      </c>
      <c r="B160" s="30" t="inlineStr">
        <is>
          <t>Bhagiradha Chemicals &amp; Industries Ltd</t>
        </is>
      </c>
      <c r="C160" s="30" t="inlineStr">
        <is>
          <t>chemicals</t>
        </is>
      </c>
      <c r="D160" s="30" t="inlineStr">
        <is>
          <t>pesticides / agrochemicals - indian</t>
        </is>
      </c>
      <c r="E160" s="30" t="inlineStr">
        <is>
          <t>smallcap</t>
        </is>
      </c>
      <c r="F160" s="30" t="n">
        <v>3366.86</v>
      </c>
      <c r="G160" s="30" t="n">
        <v>263.08</v>
      </c>
      <c r="H160" s="30" t="n">
        <v>1.32</v>
      </c>
      <c r="I160" s="30" t="n">
        <v>54112</v>
      </c>
      <c r="J160" s="30" t="inlineStr">
        <is>
          <t>531719</t>
        </is>
      </c>
    </row>
    <row r="161">
      <c r="A161" s="30" t="inlineStr">
        <is>
          <t>STOVEKRAFT</t>
        </is>
      </c>
      <c r="B161" s="30" t="inlineStr">
        <is>
          <t>Stove Kraft Ltd</t>
        </is>
      </c>
      <c r="C161" s="30" t="inlineStr">
        <is>
          <t>consumer discretionary</t>
        </is>
      </c>
      <c r="D161" s="30" t="inlineStr">
        <is>
          <t>domestic appliances</t>
        </is>
      </c>
      <c r="E161" s="30" t="inlineStr">
        <is>
          <t>smallcap</t>
        </is>
      </c>
      <c r="F161" s="30" t="n">
        <v>2189.22</v>
      </c>
      <c r="G161" s="30" t="n">
        <v>669.9</v>
      </c>
      <c r="H161" s="30" t="n">
        <v>1.31</v>
      </c>
      <c r="I161" s="30" t="n">
        <v>165026</v>
      </c>
      <c r="J161" s="30" t="inlineStr">
        <is>
          <t>543260</t>
        </is>
      </c>
    </row>
    <row r="162">
      <c r="A162" s="30" t="inlineStr">
        <is>
          <t>THERMAX</t>
        </is>
      </c>
      <c r="B162" s="30" t="inlineStr">
        <is>
          <t>Thermax Limited</t>
        </is>
      </c>
      <c r="C162" s="30" t="inlineStr">
        <is>
          <t>industrials</t>
        </is>
      </c>
      <c r="D162" s="30" t="inlineStr">
        <is>
          <t>electric equipment</t>
        </is>
      </c>
      <c r="E162" s="30" t="inlineStr">
        <is>
          <t>largecap</t>
        </is>
      </c>
      <c r="F162" s="30" t="n">
        <v>56177.43</v>
      </c>
      <c r="G162" s="30" t="n">
        <v>4774.4</v>
      </c>
      <c r="H162" s="30" t="n">
        <v>1.27</v>
      </c>
      <c r="I162" s="30" t="n">
        <v>110973</v>
      </c>
      <c r="J162" s="30" t="inlineStr">
        <is>
          <t>500411</t>
        </is>
      </c>
    </row>
    <row r="163">
      <c r="A163" s="30" t="inlineStr">
        <is>
          <t>STYLAMIND</t>
        </is>
      </c>
      <c r="B163" s="30" t="inlineStr">
        <is>
          <t>Stylam Industries Ltd</t>
        </is>
      </c>
      <c r="C163" s="30" t="inlineStr">
        <is>
          <t>building materials</t>
        </is>
      </c>
      <c r="D163" s="30" t="inlineStr">
        <is>
          <t>miscellaneous</t>
        </is>
      </c>
      <c r="E163" s="30" t="inlineStr">
        <is>
          <t>midcap</t>
        </is>
      </c>
      <c r="F163" s="30" t="n">
        <v>5514.39</v>
      </c>
      <c r="G163" s="30" t="n">
        <v>3293.9</v>
      </c>
      <c r="H163" s="30" t="n">
        <v>1.24</v>
      </c>
      <c r="I163" s="30" t="n">
        <v>16165</v>
      </c>
      <c r="J163" s="30" t="inlineStr">
        <is>
          <t>526951</t>
        </is>
      </c>
    </row>
    <row r="164">
      <c r="A164" s="30" t="inlineStr">
        <is>
          <t>JBMA</t>
        </is>
      </c>
      <c r="B164" s="30" t="inlineStr">
        <is>
          <t>Jbm Auto Limited</t>
        </is>
      </c>
      <c r="C164" s="30" t="inlineStr">
        <is>
          <t>auto</t>
        </is>
      </c>
      <c r="D164" s="30" t="inlineStr">
        <is>
          <t>auto ancillaries</t>
        </is>
      </c>
      <c r="E164" s="30" t="inlineStr">
        <is>
          <t>midcap</t>
        </is>
      </c>
      <c r="F164" s="30" t="n">
        <v>16192.76</v>
      </c>
      <c r="G164" s="30" t="n">
        <v>692.9</v>
      </c>
      <c r="H164" s="30" t="n">
        <v>1.2</v>
      </c>
      <c r="I164" s="30" t="n">
        <v>1270904</v>
      </c>
      <c r="J164" s="30" t="inlineStr">
        <is>
          <t>532605</t>
        </is>
      </c>
    </row>
    <row r="165">
      <c r="A165" s="30" t="inlineStr">
        <is>
          <t>MARINE</t>
        </is>
      </c>
      <c r="B165" s="30" t="inlineStr">
        <is>
          <t>Marine Electricals (India) Ltd</t>
        </is>
      </c>
      <c r="C165" s="30" t="inlineStr">
        <is>
          <t>industrials</t>
        </is>
      </c>
      <c r="D165" s="30" t="inlineStr">
        <is>
          <t>electric equipment</t>
        </is>
      </c>
      <c r="E165" s="30" t="inlineStr">
        <is>
          <t>smallcap</t>
        </is>
      </c>
      <c r="F165" s="30" t="n">
        <v>641.66</v>
      </c>
      <c r="G165" s="30" t="n">
        <v>264.65</v>
      </c>
      <c r="H165" s="30" t="n">
        <v>1.19</v>
      </c>
      <c r="I165" s="30" t="n">
        <v>759890</v>
      </c>
      <c r="J165" s="30" t="inlineStr">
        <is>
          <t>535119</t>
        </is>
      </c>
    </row>
    <row r="166">
      <c r="A166" s="30" t="inlineStr">
        <is>
          <t>CAPITALSFB</t>
        </is>
      </c>
      <c r="B166" s="30" t="inlineStr">
        <is>
          <t>Capital Small Finance Bank Ltd</t>
        </is>
      </c>
      <c r="C166" s="30" t="inlineStr">
        <is>
          <t>bank</t>
        </is>
      </c>
      <c r="D166" s="30" t="inlineStr">
        <is>
          <t>banks - private sector</t>
        </is>
      </c>
      <c r="E166" s="30" t="inlineStr">
        <is>
          <t>smallcap</t>
        </is>
      </c>
      <c r="F166" s="30" t="n">
        <v>1339.63</v>
      </c>
      <c r="G166" s="30" t="n">
        <v>298.25</v>
      </c>
      <c r="H166" s="30" t="n">
        <v>1.12</v>
      </c>
      <c r="I166" s="30" t="n">
        <v>127095</v>
      </c>
      <c r="J166" s="30" t="n"/>
    </row>
    <row r="167">
      <c r="A167" s="30" t="inlineStr">
        <is>
          <t>CANFINHOME</t>
        </is>
      </c>
      <c r="B167" s="30" t="inlineStr">
        <is>
          <t>Can Fin Homes Limited</t>
        </is>
      </c>
      <c r="C167" s="30" t="inlineStr">
        <is>
          <t>financials</t>
        </is>
      </c>
      <c r="D167" s="30" t="inlineStr">
        <is>
          <t>finance - housing</t>
        </is>
      </c>
      <c r="E167" s="30" t="inlineStr">
        <is>
          <t>midcap</t>
        </is>
      </c>
      <c r="F167" s="30" t="n">
        <v>11585.74</v>
      </c>
      <c r="G167" s="30" t="n">
        <v>879.75</v>
      </c>
      <c r="H167" s="30" t="n">
        <v>1.11</v>
      </c>
      <c r="I167" s="30" t="n">
        <v>111341</v>
      </c>
      <c r="J167" s="30" t="inlineStr">
        <is>
          <t>511196</t>
        </is>
      </c>
    </row>
    <row r="168">
      <c r="A168" s="30" t="inlineStr">
        <is>
          <t>BHARATFORG</t>
        </is>
      </c>
      <c r="B168" s="30" t="inlineStr">
        <is>
          <t>Bharat Forge Limited</t>
        </is>
      </c>
      <c r="C168" s="30" t="inlineStr">
        <is>
          <t>industrials</t>
        </is>
      </c>
      <c r="D168" s="30" t="inlineStr">
        <is>
          <t>castings &amp; forgings</t>
        </is>
      </c>
      <c r="E168" s="30" t="inlineStr">
        <is>
          <t>largecap</t>
        </is>
      </c>
      <c r="F168" s="30" t="n">
        <v>96205.78</v>
      </c>
      <c r="G168" s="30" t="n">
        <v>2034.5</v>
      </c>
      <c r="H168" s="30" t="n">
        <v>1.1</v>
      </c>
      <c r="I168" s="30" t="n">
        <v>670471</v>
      </c>
      <c r="J168" s="30" t="inlineStr">
        <is>
          <t>500493</t>
        </is>
      </c>
    </row>
    <row r="169">
      <c r="A169" s="30" t="inlineStr">
        <is>
          <t>INDUSINDBK</t>
        </is>
      </c>
      <c r="B169" s="30" t="inlineStr">
        <is>
          <t>Indusind Bank Limited</t>
        </is>
      </c>
      <c r="C169" s="30" t="inlineStr">
        <is>
          <t>bank</t>
        </is>
      </c>
      <c r="D169" s="30" t="inlineStr">
        <is>
          <t>banks - private sector</t>
        </is>
      </c>
      <c r="E169" s="30" t="inlineStr">
        <is>
          <t>largecap</t>
        </is>
      </c>
      <c r="F169" s="30" t="n">
        <v>72145.22</v>
      </c>
      <c r="G169" s="30" t="n">
        <v>936.2</v>
      </c>
      <c r="H169" s="30" t="n">
        <v>1.1</v>
      </c>
      <c r="I169" s="30" t="n">
        <v>1193109</v>
      </c>
      <c r="J169" s="30" t="inlineStr">
        <is>
          <t>532187</t>
        </is>
      </c>
    </row>
    <row r="170">
      <c r="A170" s="30" t="inlineStr">
        <is>
          <t>SBIN</t>
        </is>
      </c>
      <c r="B170" s="30" t="inlineStr">
        <is>
          <t>State Bank Of India Ltd</t>
        </is>
      </c>
      <c r="C170" s="30" t="inlineStr">
        <is>
          <t>bank</t>
        </is>
      </c>
      <c r="D170" s="30" t="inlineStr">
        <is>
          <t>banks - public sector</t>
        </is>
      </c>
      <c r="E170" s="30" t="inlineStr">
        <is>
          <t>largecap</t>
        </is>
      </c>
      <c r="F170" s="30" t="n">
        <v>937184.6</v>
      </c>
      <c r="G170" s="30" t="n">
        <v>1026.5</v>
      </c>
      <c r="H170" s="30" t="n">
        <v>1.1</v>
      </c>
      <c r="I170" s="30" t="n">
        <v>8190062</v>
      </c>
      <c r="J170" s="30" t="inlineStr">
        <is>
          <t>500112</t>
        </is>
      </c>
    </row>
    <row r="171">
      <c r="A171" s="30" t="inlineStr">
        <is>
          <t>TVSSCS</t>
        </is>
      </c>
      <c r="B171" s="30" t="inlineStr">
        <is>
          <t>TVS Supply Chain Solutions Ltd</t>
        </is>
      </c>
      <c r="C171" s="30" t="inlineStr">
        <is>
          <t>transportation</t>
        </is>
      </c>
      <c r="D171" s="30" t="inlineStr">
        <is>
          <t>miscellaneous</t>
        </is>
      </c>
      <c r="E171" s="30" t="inlineStr">
        <is>
          <t>midcap</t>
        </is>
      </c>
      <c r="F171" s="30" t="n">
        <v>5916.22</v>
      </c>
      <c r="G171" s="30" t="n">
        <v>135.51</v>
      </c>
      <c r="H171" s="30" t="n">
        <v>1.05</v>
      </c>
      <c r="I171" s="30" t="n">
        <v>1201966</v>
      </c>
      <c r="J171" s="30" t="inlineStr">
        <is>
          <t>543965</t>
        </is>
      </c>
    </row>
    <row r="172">
      <c r="A172" s="30" t="inlineStr">
        <is>
          <t>BANKINDIA</t>
        </is>
      </c>
      <c r="B172" s="30" t="inlineStr">
        <is>
          <t>Bank Of India Ltd</t>
        </is>
      </c>
      <c r="C172" s="30" t="inlineStr">
        <is>
          <t>bank</t>
        </is>
      </c>
      <c r="D172" s="30" t="inlineStr">
        <is>
          <t>banks - public sector</t>
        </is>
      </c>
      <c r="E172" s="30" t="inlineStr">
        <is>
          <t>largecap</t>
        </is>
      </c>
      <c r="F172" s="30" t="n">
        <v>66318.71000000001</v>
      </c>
      <c r="G172" s="30" t="n">
        <v>147.14</v>
      </c>
      <c r="H172" s="30" t="n">
        <v>1.01</v>
      </c>
      <c r="I172" s="30" t="n">
        <v>8514850</v>
      </c>
      <c r="J172" s="30" t="inlineStr">
        <is>
          <t>532149</t>
        </is>
      </c>
    </row>
    <row r="173">
      <c r="A173" s="30" t="inlineStr">
        <is>
          <t>DEEPAKFERT</t>
        </is>
      </c>
      <c r="B173" s="30" t="inlineStr">
        <is>
          <t>Deepak Fertilizers And Petrochemicals Corporation Limited</t>
        </is>
      </c>
      <c r="C173" s="30" t="inlineStr">
        <is>
          <t>chemicals</t>
        </is>
      </c>
      <c r="D173" s="30" t="inlineStr">
        <is>
          <t>chemicals</t>
        </is>
      </c>
      <c r="E173" s="30" t="inlineStr">
        <is>
          <t>midcap</t>
        </is>
      </c>
      <c r="F173" s="30" t="n">
        <v>19377.51</v>
      </c>
      <c r="G173" s="30" t="n">
        <v>1550.5</v>
      </c>
      <c r="H173" s="30" t="n">
        <v>1.01</v>
      </c>
      <c r="I173" s="30" t="n">
        <v>217394</v>
      </c>
      <c r="J173" s="30" t="inlineStr">
        <is>
          <t>500645</t>
        </is>
      </c>
    </row>
    <row r="174">
      <c r="A174" s="30" t="inlineStr">
        <is>
          <t>ITI</t>
        </is>
      </c>
      <c r="B174" s="30" t="inlineStr">
        <is>
          <t>Iti Limited</t>
        </is>
      </c>
      <c r="C174" s="30" t="inlineStr">
        <is>
          <t>aerospace &amp; defence</t>
        </is>
      </c>
      <c r="D174" s="30" t="inlineStr">
        <is>
          <t>telecommunications - equipment</t>
        </is>
      </c>
      <c r="E174" s="30" t="inlineStr">
        <is>
          <t>largecap</t>
        </is>
      </c>
      <c r="F174" s="30" t="n">
        <v>29188.86</v>
      </c>
      <c r="G174" s="30" t="n">
        <v>306.2</v>
      </c>
      <c r="H174" s="30" t="n">
        <v>1.01</v>
      </c>
      <c r="I174" s="30" t="n">
        <v>1350463</v>
      </c>
      <c r="J174" s="30" t="inlineStr">
        <is>
          <t>523610</t>
        </is>
      </c>
    </row>
    <row r="175">
      <c r="A175" s="30" t="inlineStr">
        <is>
          <t>SENORES</t>
        </is>
      </c>
      <c r="B175" s="30" t="inlineStr">
        <is>
          <t>Senores Pharmaceuticals Ltd</t>
        </is>
      </c>
      <c r="C175" s="30" t="inlineStr">
        <is>
          <t>healthcare</t>
        </is>
      </c>
      <c r="D175" s="30" t="inlineStr">
        <is>
          <t>pharmaceuticals - indian - formulations</t>
        </is>
      </c>
      <c r="E175" s="30" t="inlineStr">
        <is>
          <t>midcap</t>
        </is>
      </c>
      <c r="F175" s="30" t="n">
        <v>5789.86</v>
      </c>
      <c r="G175" s="30" t="n">
        <v>1269.8</v>
      </c>
      <c r="H175" s="30" t="n">
        <v>1</v>
      </c>
      <c r="I175" s="30" t="n">
        <v>304435</v>
      </c>
      <c r="J175" s="30" t="inlineStr">
        <is>
          <t>544319</t>
        </is>
      </c>
    </row>
    <row r="176">
      <c r="A176" s="30" t="inlineStr">
        <is>
          <t>NAM-INDIA</t>
        </is>
      </c>
      <c r="B176" s="30" t="inlineStr">
        <is>
          <t>Nippon Life India Asset Management Ltd</t>
        </is>
      </c>
      <c r="C176" s="30" t="inlineStr">
        <is>
          <t>financials</t>
        </is>
      </c>
      <c r="D176" s="30" t="inlineStr">
        <is>
          <t>finance &amp; investments</t>
        </is>
      </c>
      <c r="E176" s="30" t="inlineStr">
        <is>
          <t>largecap</t>
        </is>
      </c>
      <c r="F176" s="30" t="n">
        <v>72898.37</v>
      </c>
      <c r="G176" s="30" t="n">
        <v>1153.7</v>
      </c>
      <c r="H176" s="30" t="n">
        <v>0.99</v>
      </c>
      <c r="I176" s="30" t="n">
        <v>419629</v>
      </c>
      <c r="J176" s="30" t="inlineStr">
        <is>
          <t>540767</t>
        </is>
      </c>
    </row>
    <row r="177">
      <c r="A177" s="30" t="inlineStr">
        <is>
          <t>TITAN</t>
        </is>
      </c>
      <c r="B177" s="30" t="inlineStr">
        <is>
          <t>Titan Company Limited</t>
        </is>
      </c>
      <c r="C177" s="30" t="inlineStr">
        <is>
          <t>consumer discretionary</t>
        </is>
      </c>
      <c r="D177" s="30" t="inlineStr">
        <is>
          <t>diamond cutting / jewellery</t>
        </is>
      </c>
      <c r="E177" s="30" t="inlineStr">
        <is>
          <t>largecap</t>
        </is>
      </c>
      <c r="F177" s="30" t="n">
        <v>385121.64</v>
      </c>
      <c r="G177" s="30" t="n">
        <v>4380.5</v>
      </c>
      <c r="H177" s="30" t="n">
        <v>0.98</v>
      </c>
      <c r="I177" s="30" t="n">
        <v>623868</v>
      </c>
      <c r="J177" s="30" t="inlineStr">
        <is>
          <t>500114</t>
        </is>
      </c>
    </row>
    <row r="178">
      <c r="A178" s="30" t="inlineStr">
        <is>
          <t>KKCL</t>
        </is>
      </c>
      <c r="B178" s="30" t="inlineStr">
        <is>
          <t>Kewal Kiran Clothing Limited</t>
        </is>
      </c>
      <c r="C178" s="30" t="inlineStr">
        <is>
          <t>consumer discretionary</t>
        </is>
      </c>
      <c r="D178" s="30" t="inlineStr">
        <is>
          <t>textiles - products</t>
        </is>
      </c>
      <c r="E178" s="30" t="inlineStr">
        <is>
          <t>smallcap</t>
        </is>
      </c>
      <c r="F178" s="30" t="n">
        <v>2974.03</v>
      </c>
      <c r="G178" s="30" t="n">
        <v>487.3</v>
      </c>
      <c r="H178" s="30" t="n">
        <v>0.97</v>
      </c>
      <c r="I178" s="30" t="n">
        <v>28203</v>
      </c>
      <c r="J178" s="30" t="inlineStr">
        <is>
          <t>532732</t>
        </is>
      </c>
    </row>
    <row r="179">
      <c r="A179" s="30" t="inlineStr">
        <is>
          <t>IIFLCAPS</t>
        </is>
      </c>
      <c r="B179" s="30" t="inlineStr">
        <is>
          <t>IIFL Capital Services Ltd</t>
        </is>
      </c>
      <c r="C179" s="30" t="inlineStr">
        <is>
          <t>financials</t>
        </is>
      </c>
      <c r="D179" s="30" t="inlineStr">
        <is>
          <t>finance &amp; investments</t>
        </is>
      </c>
      <c r="E179" s="30" t="inlineStr">
        <is>
          <t>midcap</t>
        </is>
      </c>
      <c r="F179" s="30" t="n">
        <v>10679.1</v>
      </c>
      <c r="G179" s="30" t="n">
        <v>346.2</v>
      </c>
      <c r="H179" s="30" t="n">
        <v>0.96</v>
      </c>
      <c r="I179" s="30" t="n">
        <v>2513993</v>
      </c>
      <c r="J179" s="30" t="inlineStr">
        <is>
          <t>542773</t>
        </is>
      </c>
    </row>
    <row r="180">
      <c r="A180" s="30" t="inlineStr">
        <is>
          <t>JSWDULUX</t>
        </is>
      </c>
      <c r="B180" s="30" t="inlineStr">
        <is>
          <t>JSW Dulux Ltd</t>
        </is>
      </c>
      <c r="C180" s="30" t="inlineStr">
        <is>
          <t>building materials</t>
        </is>
      </c>
      <c r="D180" s="30" t="inlineStr">
        <is>
          <t>paints / varnishes</t>
        </is>
      </c>
      <c r="E180" s="30" t="inlineStr">
        <is>
          <t>midcap</t>
        </is>
      </c>
      <c r="F180" s="30" t="n">
        <v>14580.64</v>
      </c>
      <c r="G180" s="30" t="n">
        <v>3231.6</v>
      </c>
      <c r="H180" s="30" t="n">
        <v>0.93</v>
      </c>
      <c r="I180" s="30" t="n">
        <v>27130</v>
      </c>
      <c r="J180" s="30" t="inlineStr">
        <is>
          <t>500710</t>
        </is>
      </c>
    </row>
    <row r="181">
      <c r="A181" s="30" t="inlineStr">
        <is>
          <t>BOROSCI</t>
        </is>
      </c>
      <c r="B181" s="30" t="inlineStr">
        <is>
          <t>Borosil Scientific Ltd</t>
        </is>
      </c>
      <c r="C181" s="30" t="inlineStr">
        <is>
          <t>building materials</t>
        </is>
      </c>
      <c r="D181" s="30" t="inlineStr">
        <is>
          <t>glass &amp; glass products</t>
        </is>
      </c>
      <c r="E181" s="30" t="inlineStr">
        <is>
          <t>smallcap</t>
        </is>
      </c>
      <c r="F181" s="30" t="n">
        <v>1378.95</v>
      </c>
      <c r="G181" s="30" t="n">
        <v>156.45</v>
      </c>
      <c r="H181" s="30" t="n">
        <v>0.92</v>
      </c>
      <c r="I181" s="30" t="n">
        <v>117785</v>
      </c>
      <c r="J181" s="30" t="inlineStr">
        <is>
          <t>544184</t>
        </is>
      </c>
    </row>
    <row r="182">
      <c r="A182" s="30" t="inlineStr">
        <is>
          <t>HMVL</t>
        </is>
      </c>
      <c r="B182" s="30" t="inlineStr">
        <is>
          <t>Hindustan Media Ventures Limited</t>
        </is>
      </c>
      <c r="C182" s="30" t="inlineStr">
        <is>
          <t>media</t>
        </is>
      </c>
      <c r="D182" s="30" t="inlineStr">
        <is>
          <t>entertainment / electronic media software</t>
        </is>
      </c>
      <c r="E182" s="30" t="inlineStr">
        <is>
          <t>smallcap</t>
        </is>
      </c>
      <c r="F182" s="30" t="n">
        <v>620.76</v>
      </c>
      <c r="G182" s="30" t="n">
        <v>85.03</v>
      </c>
      <c r="H182" s="30" t="n">
        <v>0.91</v>
      </c>
      <c r="I182" s="30" t="n">
        <v>34873</v>
      </c>
      <c r="J182" s="30" t="inlineStr">
        <is>
          <t>533217</t>
        </is>
      </c>
    </row>
    <row r="183">
      <c r="A183" s="30" t="inlineStr">
        <is>
          <t>SFL</t>
        </is>
      </c>
      <c r="B183" s="30" t="inlineStr">
        <is>
          <t>Sheela Foam Limited</t>
        </is>
      </c>
      <c r="C183" s="30" t="inlineStr">
        <is>
          <t>consumer discretionary</t>
        </is>
      </c>
      <c r="D183" s="30" t="inlineStr">
        <is>
          <t>miscellaneous</t>
        </is>
      </c>
      <c r="E183" s="30" t="inlineStr">
        <is>
          <t>midcap</t>
        </is>
      </c>
      <c r="F183" s="30" t="n">
        <v>7647.26</v>
      </c>
      <c r="G183" s="30" t="n">
        <v>709.75</v>
      </c>
      <c r="H183" s="30" t="n">
        <v>0.9</v>
      </c>
      <c r="I183" s="30" t="n">
        <v>101851</v>
      </c>
      <c r="J183" s="30" t="inlineStr">
        <is>
          <t>540203</t>
        </is>
      </c>
    </row>
    <row r="184">
      <c r="A184" s="30" t="inlineStr">
        <is>
          <t>PRUDENT</t>
        </is>
      </c>
      <c r="B184" s="30" t="inlineStr">
        <is>
          <t>Prudent Corporate Advisory Services Ltd</t>
        </is>
      </c>
      <c r="C184" s="30" t="inlineStr">
        <is>
          <t>financials</t>
        </is>
      </c>
      <c r="D184" s="30" t="inlineStr">
        <is>
          <t>finance &amp; investments</t>
        </is>
      </c>
      <c r="E184" s="30" t="inlineStr">
        <is>
          <t>midcap</t>
        </is>
      </c>
      <c r="F184" s="30" t="n">
        <v>12537.11</v>
      </c>
      <c r="G184" s="30" t="n">
        <v>3054</v>
      </c>
      <c r="H184" s="30" t="n">
        <v>0.87</v>
      </c>
      <c r="I184" s="30" t="n">
        <v>10888</v>
      </c>
      <c r="J184" s="30" t="inlineStr">
        <is>
          <t>543527</t>
        </is>
      </c>
    </row>
    <row r="185">
      <c r="A185" s="30" t="inlineStr">
        <is>
          <t>SETL</t>
        </is>
      </c>
      <c r="B185" s="30" t="inlineStr">
        <is>
          <t>Standard Enginnering Technology Ltd</t>
        </is>
      </c>
      <c r="C185" s="30" t="inlineStr">
        <is>
          <t>industrials</t>
        </is>
      </c>
      <c r="D185" s="30" t="inlineStr">
        <is>
          <t>engineering</t>
        </is>
      </c>
      <c r="E185" s="30" t="inlineStr">
        <is>
          <t>smallcap</t>
        </is>
      </c>
      <c r="F185" s="30" t="n">
        <v>3431.06</v>
      </c>
      <c r="G185" s="30" t="n">
        <v>173.45</v>
      </c>
      <c r="H185" s="30" t="n">
        <v>0.85</v>
      </c>
      <c r="I185" s="30" t="n">
        <v>520664</v>
      </c>
      <c r="J185" s="30" t="inlineStr">
        <is>
          <t>544333</t>
        </is>
      </c>
    </row>
    <row r="186">
      <c r="A186" s="30" t="inlineStr">
        <is>
          <t>MAXESTATES</t>
        </is>
      </c>
      <c r="B186" s="30" t="inlineStr">
        <is>
          <t>Max Estates Ltd</t>
        </is>
      </c>
      <c r="C186" s="30" t="inlineStr">
        <is>
          <t>realty</t>
        </is>
      </c>
      <c r="D186" s="30" t="inlineStr">
        <is>
          <t>construction</t>
        </is>
      </c>
      <c r="E186" s="30" t="inlineStr">
        <is>
          <t>midcap</t>
        </is>
      </c>
      <c r="F186" s="30" t="n">
        <v>7463.74</v>
      </c>
      <c r="G186" s="30" t="n">
        <v>460.5</v>
      </c>
      <c r="H186" s="30" t="n">
        <v>0.84</v>
      </c>
      <c r="I186" s="30" t="n">
        <v>54779</v>
      </c>
      <c r="J186" s="30" t="inlineStr">
        <is>
          <t>544008</t>
        </is>
      </c>
    </row>
    <row r="187">
      <c r="A187" s="30" t="inlineStr">
        <is>
          <t>CENTENKA</t>
        </is>
      </c>
      <c r="B187" s="30" t="inlineStr">
        <is>
          <t>Century Enka Limited</t>
        </is>
      </c>
      <c r="C187" s="30" t="inlineStr">
        <is>
          <t>textiles</t>
        </is>
      </c>
      <c r="D187" s="30" t="inlineStr">
        <is>
          <t>textiles - manmade</t>
        </is>
      </c>
      <c r="E187" s="30" t="inlineStr">
        <is>
          <t>smallcap</t>
        </is>
      </c>
      <c r="F187" s="30" t="n">
        <v>1093.62</v>
      </c>
      <c r="G187" s="30" t="n">
        <v>504.7</v>
      </c>
      <c r="H187" s="30" t="n">
        <v>0.84</v>
      </c>
      <c r="I187" s="30" t="n">
        <v>54234</v>
      </c>
      <c r="J187" s="30" t="inlineStr">
        <is>
          <t>500280</t>
        </is>
      </c>
    </row>
    <row r="188">
      <c r="A188" s="30" t="inlineStr">
        <is>
          <t>SOTL</t>
        </is>
      </c>
      <c r="B188" s="30" t="inlineStr">
        <is>
          <t>Savita Oil Technologies Limited</t>
        </is>
      </c>
      <c r="C188" s="30" t="inlineStr">
        <is>
          <t>energy</t>
        </is>
      </c>
      <c r="D188" s="30" t="inlineStr">
        <is>
          <t>petrochemicals</t>
        </is>
      </c>
      <c r="E188" s="30" t="inlineStr">
        <is>
          <t>smallcap</t>
        </is>
      </c>
      <c r="F188" s="30" t="n">
        <v>4153.05</v>
      </c>
      <c r="G188" s="30" t="n">
        <v>610.7</v>
      </c>
      <c r="H188" s="30" t="n">
        <v>0.82</v>
      </c>
      <c r="I188" s="30" t="n">
        <v>345293</v>
      </c>
      <c r="J188" s="30" t="inlineStr">
        <is>
          <t>524667</t>
        </is>
      </c>
    </row>
    <row r="189">
      <c r="A189" s="30" t="inlineStr">
        <is>
          <t>SCHAEFFLER</t>
        </is>
      </c>
      <c r="B189" s="30" t="inlineStr">
        <is>
          <t>Schaeffler India Ltd</t>
        </is>
      </c>
      <c r="C189" s="30" t="inlineStr">
        <is>
          <t>industrials</t>
        </is>
      </c>
      <c r="D189" s="30" t="inlineStr">
        <is>
          <t>bearings</t>
        </is>
      </c>
      <c r="E189" s="30" t="inlineStr">
        <is>
          <t>largecap</t>
        </is>
      </c>
      <c r="F189" s="30" t="n">
        <v>65069.22</v>
      </c>
      <c r="G189" s="30" t="n">
        <v>4197.1</v>
      </c>
      <c r="H189" s="30" t="n">
        <v>0.82</v>
      </c>
      <c r="I189" s="30" t="n">
        <v>38058</v>
      </c>
      <c r="J189" s="30" t="inlineStr">
        <is>
          <t>505790</t>
        </is>
      </c>
    </row>
    <row r="190">
      <c r="A190" s="30" t="inlineStr">
        <is>
          <t>PRIVISCL</t>
        </is>
      </c>
      <c r="B190" s="30" t="inlineStr">
        <is>
          <t>Privi Speciality Chemicals Ltd</t>
        </is>
      </c>
      <c r="C190" s="30" t="inlineStr">
        <is>
          <t>chemicals</t>
        </is>
      </c>
      <c r="D190" s="30" t="inlineStr">
        <is>
          <t>chemicals</t>
        </is>
      </c>
      <c r="E190" s="30" t="inlineStr">
        <is>
          <t>midcap</t>
        </is>
      </c>
      <c r="F190" s="30" t="n">
        <v>13491.09</v>
      </c>
      <c r="G190" s="30" t="n">
        <v>3481.5</v>
      </c>
      <c r="H190" s="30" t="n">
        <v>0.8</v>
      </c>
      <c r="I190" s="30" t="n">
        <v>81894</v>
      </c>
      <c r="J190" s="30" t="inlineStr">
        <is>
          <t>530117</t>
        </is>
      </c>
    </row>
    <row r="191">
      <c r="A191" s="30" t="inlineStr">
        <is>
          <t>CUPID</t>
        </is>
      </c>
      <c r="B191" s="30" t="inlineStr">
        <is>
          <t>Cupid Limited</t>
        </is>
      </c>
      <c r="C191" s="30" t="inlineStr">
        <is>
          <t>fmcg</t>
        </is>
      </c>
      <c r="D191" s="30" t="inlineStr">
        <is>
          <t>personal care - indian</t>
        </is>
      </c>
      <c r="E191" s="30" t="inlineStr">
        <is>
          <t>largecap</t>
        </is>
      </c>
      <c r="F191" s="30" t="n">
        <v>22172.11</v>
      </c>
      <c r="G191" s="30" t="n">
        <v>166.18</v>
      </c>
      <c r="H191" s="30" t="n">
        <v>0.78</v>
      </c>
      <c r="I191" s="30" t="n">
        <v>22652204</v>
      </c>
      <c r="J191" s="30" t="inlineStr">
        <is>
          <t>530843</t>
        </is>
      </c>
    </row>
    <row r="192">
      <c r="A192" s="30" t="inlineStr">
        <is>
          <t>APOLLO</t>
        </is>
      </c>
      <c r="B192" s="30" t="inlineStr">
        <is>
          <t>Apollo Micro Systems Ltd</t>
        </is>
      </c>
      <c r="C192" s="30" t="inlineStr">
        <is>
          <t>aerospace &amp; defence</t>
        </is>
      </c>
      <c r="D192" s="30" t="inlineStr">
        <is>
          <t>electronics - components</t>
        </is>
      </c>
      <c r="E192" s="30" t="inlineStr">
        <is>
          <t>midcap</t>
        </is>
      </c>
      <c r="F192" s="30" t="n">
        <v>15558.3</v>
      </c>
      <c r="G192" s="30" t="n">
        <v>438.75</v>
      </c>
      <c r="H192" s="30" t="n">
        <v>0.76</v>
      </c>
      <c r="I192" s="30" t="n">
        <v>18335886</v>
      </c>
      <c r="J192" s="30" t="inlineStr">
        <is>
          <t>540879</t>
        </is>
      </c>
    </row>
    <row r="193">
      <c r="A193" s="30" t="inlineStr">
        <is>
          <t>KARURVYSYA</t>
        </is>
      </c>
      <c r="B193" s="30" t="inlineStr">
        <is>
          <t>Karur Vysya Bank Limited</t>
        </is>
      </c>
      <c r="C193" s="30" t="inlineStr">
        <is>
          <t>bank</t>
        </is>
      </c>
      <c r="D193" s="30" t="inlineStr">
        <is>
          <t>banks - private sector</t>
        </is>
      </c>
      <c r="E193" s="30" t="inlineStr">
        <is>
          <t>largecap</t>
        </is>
      </c>
      <c r="F193" s="30" t="n">
        <v>28472.56</v>
      </c>
      <c r="G193" s="30" t="n">
        <v>296.7</v>
      </c>
      <c r="H193" s="30" t="n">
        <v>0.73</v>
      </c>
      <c r="I193" s="30" t="n">
        <v>1780730</v>
      </c>
      <c r="J193" s="30" t="inlineStr">
        <is>
          <t>590003</t>
        </is>
      </c>
    </row>
    <row r="194">
      <c r="A194" s="30" t="inlineStr">
        <is>
          <t>SIS</t>
        </is>
      </c>
      <c r="B194" s="30" t="inlineStr">
        <is>
          <t>Security &amp; Intelligence Services India</t>
        </is>
      </c>
      <c r="C194" s="30" t="inlineStr">
        <is>
          <t>miscellaneous</t>
        </is>
      </c>
      <c r="D194" s="30" t="inlineStr">
        <is>
          <t>miscellaneous</t>
        </is>
      </c>
      <c r="E194" s="30" t="inlineStr">
        <is>
          <t>midcap</t>
        </is>
      </c>
      <c r="F194" s="30" t="n">
        <v>5981.46</v>
      </c>
      <c r="G194" s="30" t="n">
        <v>426.4</v>
      </c>
      <c r="H194" s="30" t="n">
        <v>0.71</v>
      </c>
      <c r="I194" s="30" t="n">
        <v>74781</v>
      </c>
      <c r="J194" s="30" t="inlineStr">
        <is>
          <t>540673</t>
        </is>
      </c>
    </row>
    <row r="195">
      <c r="A195" s="30" t="inlineStr">
        <is>
          <t>IBULLSLTD</t>
        </is>
      </c>
      <c r="B195" s="30" t="inlineStr">
        <is>
          <t>Indiabulls Limited</t>
        </is>
      </c>
      <c r="C195" s="30" t="inlineStr">
        <is>
          <t>miscellaneous</t>
        </is>
      </c>
      <c r="D195" s="30" t="inlineStr">
        <is>
          <t>diversified - medium / small</t>
        </is>
      </c>
      <c r="E195" s="30" t="inlineStr">
        <is>
          <t>midcap</t>
        </is>
      </c>
      <c r="F195" s="30" t="n">
        <v>5550.62</v>
      </c>
      <c r="G195" s="30" t="n">
        <v>24.05</v>
      </c>
      <c r="H195" s="30" t="n">
        <v>0.71</v>
      </c>
      <c r="I195" s="30" t="n">
        <v>3148546</v>
      </c>
      <c r="J195" s="30" t="inlineStr">
        <is>
          <t>533520</t>
        </is>
      </c>
    </row>
    <row r="196">
      <c r="A196" s="30" t="inlineStr">
        <is>
          <t>DCBBANK</t>
        </is>
      </c>
      <c r="B196" s="30" t="inlineStr">
        <is>
          <t>Dcb Bank Limited</t>
        </is>
      </c>
      <c r="C196" s="30" t="inlineStr">
        <is>
          <t>bank</t>
        </is>
      </c>
      <c r="D196" s="30" t="inlineStr">
        <is>
          <t>banks - private sector</t>
        </is>
      </c>
      <c r="E196" s="30" t="inlineStr">
        <is>
          <t>midcap</t>
        </is>
      </c>
      <c r="F196" s="30" t="n">
        <v>5914.3</v>
      </c>
      <c r="G196" s="30" t="n">
        <v>185.01</v>
      </c>
      <c r="H196" s="30" t="n">
        <v>0.7</v>
      </c>
      <c r="I196" s="30" t="n">
        <v>1412999</v>
      </c>
      <c r="J196" s="30" t="inlineStr">
        <is>
          <t>532772</t>
        </is>
      </c>
    </row>
    <row r="197">
      <c r="A197" s="30" t="inlineStr">
        <is>
          <t>WABAG</t>
        </is>
      </c>
      <c r="B197" s="30" t="inlineStr">
        <is>
          <t>Va Tech Wabag Limited</t>
        </is>
      </c>
      <c r="C197" s="30" t="inlineStr">
        <is>
          <t>realty</t>
        </is>
      </c>
      <c r="D197" s="30" t="inlineStr">
        <is>
          <t>engineering - turnkey services</t>
        </is>
      </c>
      <c r="E197" s="30" t="inlineStr">
        <is>
          <t>midcap</t>
        </is>
      </c>
      <c r="F197" s="30" t="n">
        <v>10930.97</v>
      </c>
      <c r="G197" s="30" t="n">
        <v>1766.5</v>
      </c>
      <c r="H197" s="30" t="n">
        <v>0.7</v>
      </c>
      <c r="I197" s="30" t="n">
        <v>701834</v>
      </c>
      <c r="J197" s="30" t="inlineStr">
        <is>
          <t>533269</t>
        </is>
      </c>
    </row>
    <row r="198">
      <c r="A198" s="30" t="inlineStr">
        <is>
          <t>INDHOTEL</t>
        </is>
      </c>
      <c r="B198" s="30" t="inlineStr">
        <is>
          <t>The Indian Hotels Company Limited</t>
        </is>
      </c>
      <c r="C198" s="30" t="inlineStr">
        <is>
          <t>services</t>
        </is>
      </c>
      <c r="D198" s="30" t="inlineStr">
        <is>
          <t>hotels</t>
        </is>
      </c>
      <c r="E198" s="30" t="inlineStr">
        <is>
          <t>largecap</t>
        </is>
      </c>
      <c r="F198" s="30" t="n">
        <v>98843.13</v>
      </c>
      <c r="G198" s="30" t="n">
        <v>699.1</v>
      </c>
      <c r="H198" s="30" t="n">
        <v>0.68</v>
      </c>
      <c r="I198" s="30" t="n">
        <v>986679</v>
      </c>
      <c r="J198" s="30" t="inlineStr">
        <is>
          <t>500850</t>
        </is>
      </c>
    </row>
    <row r="199">
      <c r="A199" s="30" t="inlineStr">
        <is>
          <t>KOVAI</t>
        </is>
      </c>
      <c r="B199" s="30" t="inlineStr">
        <is>
          <t>Kovai Medical Center &amp; Hospital Ltd</t>
        </is>
      </c>
      <c r="C199" s="30" t="inlineStr">
        <is>
          <t>healthcare</t>
        </is>
      </c>
      <c r="D199" s="30" t="inlineStr">
        <is>
          <t>healthcare</t>
        </is>
      </c>
      <c r="E199" s="30" t="inlineStr">
        <is>
          <t>midcap</t>
        </is>
      </c>
      <c r="F199" s="30" t="n">
        <v>6340.49</v>
      </c>
      <c r="G199" s="30" t="n">
        <v>5833.5</v>
      </c>
      <c r="H199" s="30" t="n">
        <v>0.67</v>
      </c>
      <c r="I199" s="30" t="n">
        <v>4148</v>
      </c>
      <c r="J199" s="30" t="inlineStr">
        <is>
          <t>523323</t>
        </is>
      </c>
    </row>
    <row r="200">
      <c r="A200" s="30" t="inlineStr">
        <is>
          <t>FEDERALBNK</t>
        </is>
      </c>
      <c r="B200" s="30" t="inlineStr">
        <is>
          <t>The Federal Bank  Limited</t>
        </is>
      </c>
      <c r="C200" s="30" t="inlineStr">
        <is>
          <t>bank</t>
        </is>
      </c>
      <c r="D200" s="30" t="inlineStr">
        <is>
          <t>banks - private sector</t>
        </is>
      </c>
      <c r="E200" s="30" t="inlineStr">
        <is>
          <t>largecap</t>
        </is>
      </c>
      <c r="F200" s="30" t="n">
        <v>79004.89</v>
      </c>
      <c r="G200" s="30" t="n">
        <v>322.7</v>
      </c>
      <c r="H200" s="30" t="n">
        <v>0.66</v>
      </c>
      <c r="I200" s="30" t="n">
        <v>9029691</v>
      </c>
      <c r="J200" s="30" t="inlineStr">
        <is>
          <t>500469</t>
        </is>
      </c>
    </row>
    <row r="201">
      <c r="A201" s="30" t="inlineStr">
        <is>
          <t>SBC</t>
        </is>
      </c>
      <c r="B201" s="30" t="inlineStr">
        <is>
          <t>SBC Exports Ltd</t>
        </is>
      </c>
      <c r="C201" s="30" t="inlineStr">
        <is>
          <t>textiles</t>
        </is>
      </c>
      <c r="D201" s="30" t="inlineStr">
        <is>
          <t>textiles - products</t>
        </is>
      </c>
      <c r="E201" s="30" t="inlineStr">
        <is>
          <t>smallcap</t>
        </is>
      </c>
      <c r="F201" s="30" t="n">
        <v>1774.28</v>
      </c>
      <c r="G201" s="30" t="n">
        <v>37.5</v>
      </c>
      <c r="H201" s="30" t="n">
        <v>0.64</v>
      </c>
      <c r="I201" s="30" t="n">
        <v>17483750</v>
      </c>
      <c r="J201" s="30" t="inlineStr">
        <is>
          <t>542725</t>
        </is>
      </c>
    </row>
    <row r="202">
      <c r="A202" s="30" t="inlineStr">
        <is>
          <t>ITDC</t>
        </is>
      </c>
      <c r="B202" s="30" t="inlineStr">
        <is>
          <t>India Tourism Development Corporation Ltd</t>
        </is>
      </c>
      <c r="C202" s="30" t="inlineStr">
        <is>
          <t>services</t>
        </is>
      </c>
      <c r="D202" s="30" t="inlineStr">
        <is>
          <t>hotels</t>
        </is>
      </c>
      <c r="E202" s="30" t="inlineStr">
        <is>
          <t>midcap</t>
        </is>
      </c>
      <c r="F202" s="30" t="n">
        <v>5303.98</v>
      </c>
      <c r="G202" s="30" t="n">
        <v>622.25</v>
      </c>
      <c r="H202" s="30" t="n">
        <v>0.62</v>
      </c>
      <c r="I202" s="30" t="n">
        <v>206966</v>
      </c>
      <c r="J202" s="30" t="inlineStr">
        <is>
          <t>532189</t>
        </is>
      </c>
    </row>
    <row r="203">
      <c r="A203" s="30" t="inlineStr">
        <is>
          <t>HFCL</t>
        </is>
      </c>
      <c r="B203" s="30" t="inlineStr">
        <is>
          <t>HFCL Ltd</t>
        </is>
      </c>
      <c r="C203" s="30" t="inlineStr">
        <is>
          <t>telecom</t>
        </is>
      </c>
      <c r="D203" s="30" t="inlineStr">
        <is>
          <t>cables - telephone</t>
        </is>
      </c>
      <c r="E203" s="30" t="inlineStr">
        <is>
          <t>largecap</t>
        </is>
      </c>
      <c r="F203" s="30" t="n">
        <v>28925.33</v>
      </c>
      <c r="G203" s="30" t="n">
        <v>190.13</v>
      </c>
      <c r="H203" s="30" t="n">
        <v>0.61</v>
      </c>
      <c r="I203" s="30" t="n">
        <v>30846259</v>
      </c>
      <c r="J203" s="30" t="inlineStr">
        <is>
          <t>500183</t>
        </is>
      </c>
    </row>
    <row r="204">
      <c r="A204" s="30" t="inlineStr">
        <is>
          <t>KENNAMET</t>
        </is>
      </c>
      <c r="B204" s="30" t="inlineStr">
        <is>
          <t>Kennametal India Ltd</t>
        </is>
      </c>
      <c r="C204" s="30" t="inlineStr">
        <is>
          <t>industrials</t>
        </is>
      </c>
      <c r="D204" s="30" t="inlineStr">
        <is>
          <t>castings &amp; forgings</t>
        </is>
      </c>
      <c r="E204" s="30" t="inlineStr">
        <is>
          <t>midcap</t>
        </is>
      </c>
      <c r="F204" s="30" t="n">
        <v>6665.56</v>
      </c>
      <c r="G204" s="30" t="n">
        <v>3051.2</v>
      </c>
      <c r="H204" s="30" t="n">
        <v>0.61</v>
      </c>
      <c r="I204" s="30" t="n">
        <v>9170</v>
      </c>
      <c r="J204" s="30" t="inlineStr">
        <is>
          <t>505890</t>
        </is>
      </c>
    </row>
    <row r="205">
      <c r="A205" s="30" t="inlineStr">
        <is>
          <t>AADHARHFC</t>
        </is>
      </c>
      <c r="B205" s="30" t="inlineStr">
        <is>
          <t>Aadhar Housing Finance Ltd</t>
        </is>
      </c>
      <c r="C205" s="30" t="inlineStr">
        <is>
          <t>financials</t>
        </is>
      </c>
      <c r="D205" s="30" t="inlineStr">
        <is>
          <t>finance - housing</t>
        </is>
      </c>
      <c r="E205" s="30" t="inlineStr">
        <is>
          <t>largecap</t>
        </is>
      </c>
      <c r="F205" s="30" t="n">
        <v>21131.63</v>
      </c>
      <c r="G205" s="30" t="n">
        <v>487.9</v>
      </c>
      <c r="H205" s="30" t="n">
        <v>0.6</v>
      </c>
      <c r="I205" s="30" t="n">
        <v>178302</v>
      </c>
      <c r="J205" s="30" t="inlineStr">
        <is>
          <t>544176</t>
        </is>
      </c>
    </row>
    <row r="206">
      <c r="A206" s="30" t="inlineStr">
        <is>
          <t>SAILIFE</t>
        </is>
      </c>
      <c r="B206" s="30" t="inlineStr">
        <is>
          <t>Sai Life Sciences Ltd</t>
        </is>
      </c>
      <c r="C206" s="30" t="inlineStr">
        <is>
          <t>healthcare</t>
        </is>
      </c>
      <c r="D206" s="30" t="inlineStr">
        <is>
          <t>pharmaceuticals - indian - bulk drugs &amp; formln</t>
        </is>
      </c>
      <c r="E206" s="30" t="inlineStr">
        <is>
          <t>largecap</t>
        </is>
      </c>
      <c r="F206" s="30" t="n">
        <v>25546.93</v>
      </c>
      <c r="G206" s="30" t="n">
        <v>1213.5</v>
      </c>
      <c r="H206" s="30" t="n">
        <v>0.6</v>
      </c>
      <c r="I206" s="30" t="n">
        <v>369154</v>
      </c>
      <c r="J206" s="30" t="inlineStr">
        <is>
          <t>544306</t>
        </is>
      </c>
    </row>
    <row r="207">
      <c r="A207" s="30" t="inlineStr">
        <is>
          <t>BELRISE</t>
        </is>
      </c>
      <c r="B207" s="30" t="inlineStr">
        <is>
          <t>Belrise Industries Ltd</t>
        </is>
      </c>
      <c r="C207" s="30" t="inlineStr">
        <is>
          <t>auto</t>
        </is>
      </c>
      <c r="D207" s="30" t="inlineStr">
        <is>
          <t>auto ancillaries</t>
        </is>
      </c>
      <c r="E207" s="30" t="inlineStr">
        <is>
          <t>largecap</t>
        </is>
      </c>
      <c r="F207" s="30" t="n">
        <v>21128.4</v>
      </c>
      <c r="G207" s="30" t="n">
        <v>238.85</v>
      </c>
      <c r="H207" s="30" t="n">
        <v>0.6</v>
      </c>
      <c r="I207" s="30" t="n">
        <v>4711917</v>
      </c>
      <c r="J207" s="30" t="n"/>
    </row>
    <row r="208">
      <c r="A208" s="30" t="inlineStr">
        <is>
          <t>LALPATHLAB</t>
        </is>
      </c>
      <c r="B208" s="30" t="inlineStr">
        <is>
          <t>Dr. Lal Path Labs Ltd.</t>
        </is>
      </c>
      <c r="C208" s="30" t="inlineStr">
        <is>
          <t>healthcare</t>
        </is>
      </c>
      <c r="D208" s="30" t="inlineStr">
        <is>
          <t>healthcare</t>
        </is>
      </c>
      <c r="E208" s="30" t="inlineStr">
        <is>
          <t>largecap</t>
        </is>
      </c>
      <c r="F208" s="30" t="n">
        <v>27512.53</v>
      </c>
      <c r="G208" s="30" t="n">
        <v>1651.8</v>
      </c>
      <c r="H208" s="30" t="n">
        <v>0.6</v>
      </c>
      <c r="I208" s="30" t="n">
        <v>642575</v>
      </c>
      <c r="J208" s="30" t="inlineStr">
        <is>
          <t>539524</t>
        </is>
      </c>
    </row>
    <row r="209">
      <c r="A209" s="30" t="inlineStr">
        <is>
          <t>WELSPUNLIV</t>
        </is>
      </c>
      <c r="B209" s="30" t="inlineStr">
        <is>
          <t>Welspun Living Ltd</t>
        </is>
      </c>
      <c r="C209" s="30" t="inlineStr">
        <is>
          <t>textiles</t>
        </is>
      </c>
      <c r="D209" s="30" t="inlineStr">
        <is>
          <t>textiles - products</t>
        </is>
      </c>
      <c r="E209" s="30" t="inlineStr">
        <is>
          <t>midcap</t>
        </is>
      </c>
      <c r="F209" s="30" t="n">
        <v>13982.53</v>
      </c>
      <c r="G209" s="30" t="n">
        <v>146.65</v>
      </c>
      <c r="H209" s="30" t="n">
        <v>0.6</v>
      </c>
      <c r="I209" s="30" t="n">
        <v>1069359</v>
      </c>
      <c r="J209" s="30" t="inlineStr">
        <is>
          <t>514162</t>
        </is>
      </c>
    </row>
    <row r="210">
      <c r="A210" s="30" t="inlineStr">
        <is>
          <t>J&amp;KBANK</t>
        </is>
      </c>
      <c r="B210" s="30" t="inlineStr">
        <is>
          <t>The Jammu &amp; Kashmir Bank Limited</t>
        </is>
      </c>
      <c r="C210" s="30" t="inlineStr">
        <is>
          <t>bank</t>
        </is>
      </c>
      <c r="D210" s="30" t="inlineStr">
        <is>
          <t>banks - private sector</t>
        </is>
      </c>
      <c r="E210" s="30" t="inlineStr">
        <is>
          <t>midcap</t>
        </is>
      </c>
      <c r="F210" s="30" t="n">
        <v>17838.05</v>
      </c>
      <c r="G210" s="30" t="n">
        <v>162.95</v>
      </c>
      <c r="H210" s="30" t="n">
        <v>0.59</v>
      </c>
      <c r="I210" s="30" t="n">
        <v>2602084</v>
      </c>
      <c r="J210" s="30" t="inlineStr">
        <is>
          <t>532209</t>
        </is>
      </c>
    </row>
    <row r="211">
      <c r="A211" s="30" t="inlineStr">
        <is>
          <t>RPGLIFE</t>
        </is>
      </c>
      <c r="B211" s="30" t="inlineStr">
        <is>
          <t>Rpg Life Sciences Limited</t>
        </is>
      </c>
      <c r="C211" s="30" t="inlineStr">
        <is>
          <t>healthcare</t>
        </is>
      </c>
      <c r="D211" s="30" t="inlineStr">
        <is>
          <t>pharmaceuticals - indian - bulk drugs &amp; formln</t>
        </is>
      </c>
      <c r="E211" s="30" t="inlineStr">
        <is>
          <t>smallcap</t>
        </is>
      </c>
      <c r="F211" s="30" t="n">
        <v>3785.28</v>
      </c>
      <c r="G211" s="30" t="n">
        <v>2302</v>
      </c>
      <c r="H211" s="30" t="n">
        <v>0.58</v>
      </c>
      <c r="I211" s="30" t="n">
        <v>6088</v>
      </c>
      <c r="J211" s="30" t="inlineStr">
        <is>
          <t>532983</t>
        </is>
      </c>
    </row>
    <row r="212">
      <c r="A212" s="30" t="inlineStr">
        <is>
          <t>CEIGALL</t>
        </is>
      </c>
      <c r="B212" s="30" t="inlineStr">
        <is>
          <t>Ceigall India Ltd</t>
        </is>
      </c>
      <c r="C212" s="30" t="inlineStr">
        <is>
          <t>realty</t>
        </is>
      </c>
      <c r="D212" s="30" t="inlineStr">
        <is>
          <t>construction</t>
        </is>
      </c>
      <c r="E212" s="30" t="inlineStr">
        <is>
          <t>midcap</t>
        </is>
      </c>
      <c r="F212" s="30" t="n">
        <v>6451.68</v>
      </c>
      <c r="G212" s="30" t="n">
        <v>372.5</v>
      </c>
      <c r="H212" s="30" t="n">
        <v>0.58</v>
      </c>
      <c r="I212" s="30" t="n">
        <v>376721</v>
      </c>
      <c r="J212" s="30" t="inlineStr">
        <is>
          <t>544223</t>
        </is>
      </c>
    </row>
    <row r="213">
      <c r="A213" s="30" t="inlineStr">
        <is>
          <t>NETWEB</t>
        </is>
      </c>
      <c r="B213" s="30" t="inlineStr">
        <is>
          <t>Netweb Technologies India Ltd</t>
        </is>
      </c>
      <c r="C213" s="30" t="inlineStr">
        <is>
          <t>i.t</t>
        </is>
      </c>
      <c r="D213" s="30" t="inlineStr">
        <is>
          <t>computers - hardware</t>
        </is>
      </c>
      <c r="E213" s="30" t="inlineStr">
        <is>
          <t>largecap</t>
        </is>
      </c>
      <c r="F213" s="30" t="n">
        <v>27812.11</v>
      </c>
      <c r="G213" s="30" t="n">
        <v>4911.5</v>
      </c>
      <c r="H213" s="30" t="n">
        <v>0.55</v>
      </c>
      <c r="I213" s="30" t="n">
        <v>2612717</v>
      </c>
      <c r="J213" s="30" t="inlineStr">
        <is>
          <t>543945</t>
        </is>
      </c>
    </row>
    <row r="214">
      <c r="A214" s="30" t="inlineStr">
        <is>
          <t>KSB</t>
        </is>
      </c>
      <c r="B214" s="30" t="inlineStr">
        <is>
          <t>KSB Ltd</t>
        </is>
      </c>
      <c r="C214" s="30" t="inlineStr">
        <is>
          <t>industrials</t>
        </is>
      </c>
      <c r="D214" s="30" t="inlineStr">
        <is>
          <t>pumps</t>
        </is>
      </c>
      <c r="E214" s="30" t="inlineStr">
        <is>
          <t>midcap</t>
        </is>
      </c>
      <c r="F214" s="30" t="n">
        <v>15062.22</v>
      </c>
      <c r="G214" s="30" t="n">
        <v>870.25</v>
      </c>
      <c r="H214" s="30" t="n">
        <v>0.55</v>
      </c>
      <c r="I214" s="30" t="n">
        <v>86818</v>
      </c>
      <c r="J214" s="30" t="inlineStr">
        <is>
          <t>500249</t>
        </is>
      </c>
    </row>
    <row r="215">
      <c r="A215" s="30" t="inlineStr">
        <is>
          <t>PTL</t>
        </is>
      </c>
      <c r="B215" s="30" t="inlineStr">
        <is>
          <t>Ptl Enterprises Limited</t>
        </is>
      </c>
      <c r="C215" s="30" t="inlineStr">
        <is>
          <t>miscellaneous</t>
        </is>
      </c>
      <c r="D215" s="30" t="inlineStr">
        <is>
          <t>miscellaneous</t>
        </is>
      </c>
      <c r="E215" s="30" t="inlineStr">
        <is>
          <t>smallcap</t>
        </is>
      </c>
      <c r="F215" s="30" t="n">
        <v>548.7</v>
      </c>
      <c r="G215" s="30" t="n">
        <v>41.68</v>
      </c>
      <c r="H215" s="30" t="n">
        <v>0.55</v>
      </c>
      <c r="I215" s="30" t="n">
        <v>74739</v>
      </c>
      <c r="J215" s="30" t="inlineStr">
        <is>
          <t>509220</t>
        </is>
      </c>
    </row>
    <row r="216">
      <c r="A216" s="30" t="inlineStr">
        <is>
          <t>VBL</t>
        </is>
      </c>
      <c r="B216" s="30" t="inlineStr">
        <is>
          <t>Varun Beverages Limited</t>
        </is>
      </c>
      <c r="C216" s="30" t="inlineStr">
        <is>
          <t>fmcg</t>
        </is>
      </c>
      <c r="D216" s="30" t="inlineStr">
        <is>
          <t>food - processing - indian</t>
        </is>
      </c>
      <c r="E216" s="30" t="inlineStr">
        <is>
          <t>largecap</t>
        </is>
      </c>
      <c r="F216" s="30" t="n">
        <v>182988.22</v>
      </c>
      <c r="G216" s="30" t="n">
        <v>544.05</v>
      </c>
      <c r="H216" s="30" t="n">
        <v>0.55</v>
      </c>
      <c r="I216" s="30" t="n">
        <v>7532315</v>
      </c>
      <c r="J216" s="30" t="inlineStr">
        <is>
          <t>540180</t>
        </is>
      </c>
    </row>
    <row r="217">
      <c r="A217" s="30" t="inlineStr">
        <is>
          <t>CARYSIL</t>
        </is>
      </c>
      <c r="B217" s="30" t="inlineStr">
        <is>
          <t>Carysil Ltd</t>
        </is>
      </c>
      <c r="C217" s="30" t="inlineStr">
        <is>
          <t>consumer discretionary</t>
        </is>
      </c>
      <c r="D217" s="30" t="inlineStr">
        <is>
          <t>domestic appliances</t>
        </is>
      </c>
      <c r="E217" s="30" t="inlineStr">
        <is>
          <t>smallcap</t>
        </is>
      </c>
      <c r="F217" s="30" t="n">
        <v>3360.78</v>
      </c>
      <c r="G217" s="30" t="n">
        <v>1187.8</v>
      </c>
      <c r="H217" s="30" t="n">
        <v>0.52</v>
      </c>
      <c r="I217" s="30" t="n">
        <v>154929</v>
      </c>
      <c r="J217" s="30" t="inlineStr">
        <is>
          <t>524091</t>
        </is>
      </c>
    </row>
    <row r="218">
      <c r="A218" s="30" t="inlineStr">
        <is>
          <t>LT</t>
        </is>
      </c>
      <c r="B218" s="30" t="inlineStr">
        <is>
          <t>Larsen &amp; Toubro Limited</t>
        </is>
      </c>
      <c r="C218" s="30" t="inlineStr">
        <is>
          <t>realty</t>
        </is>
      </c>
      <c r="D218" s="30" t="inlineStr">
        <is>
          <t>engineering - turnkey services</t>
        </is>
      </c>
      <c r="E218" s="30" t="inlineStr">
        <is>
          <t>largecap</t>
        </is>
      </c>
      <c r="F218" s="30" t="n">
        <v>575894.66</v>
      </c>
      <c r="G218" s="30" t="n">
        <v>4207.7</v>
      </c>
      <c r="H218" s="30" t="n">
        <v>0.51</v>
      </c>
      <c r="I218" s="30" t="n">
        <v>1312925</v>
      </c>
      <c r="J218" s="30" t="inlineStr">
        <is>
          <t>500510</t>
        </is>
      </c>
    </row>
    <row r="219">
      <c r="A219" s="30" t="inlineStr">
        <is>
          <t>MANAPPURAM</t>
        </is>
      </c>
      <c r="B219" s="30" t="inlineStr">
        <is>
          <t>Manappuram Finance Limited</t>
        </is>
      </c>
      <c r="C219" s="30" t="inlineStr">
        <is>
          <t>financials</t>
        </is>
      </c>
      <c r="D219" s="30" t="inlineStr">
        <is>
          <t>finance &amp; investments</t>
        </is>
      </c>
      <c r="E219" s="30" t="inlineStr">
        <is>
          <t>largecap</t>
        </is>
      </c>
      <c r="F219" s="30" t="n">
        <v>29819.22</v>
      </c>
      <c r="G219" s="30" t="n">
        <v>319.05</v>
      </c>
      <c r="H219" s="30" t="n">
        <v>0.5</v>
      </c>
      <c r="I219" s="30" t="n">
        <v>2097434</v>
      </c>
      <c r="J219" s="30" t="inlineStr">
        <is>
          <t>531213</t>
        </is>
      </c>
    </row>
    <row r="220">
      <c r="A220" s="30" t="inlineStr">
        <is>
          <t>PETRONET</t>
        </is>
      </c>
      <c r="B220" s="30" t="inlineStr">
        <is>
          <t>Petronet Lng Limited</t>
        </is>
      </c>
      <c r="C220" s="30" t="inlineStr">
        <is>
          <t>energy</t>
        </is>
      </c>
      <c r="D220" s="30" t="inlineStr">
        <is>
          <t>miscellaneous</t>
        </is>
      </c>
      <c r="E220" s="30" t="inlineStr">
        <is>
          <t>largecap</t>
        </is>
      </c>
      <c r="F220" s="30" t="n">
        <v>43582.5</v>
      </c>
      <c r="G220" s="30" t="n">
        <v>292</v>
      </c>
      <c r="H220" s="30" t="n">
        <v>0.5</v>
      </c>
      <c r="I220" s="30" t="n">
        <v>3428931</v>
      </c>
      <c r="J220" s="30" t="inlineStr">
        <is>
          <t>532522</t>
        </is>
      </c>
    </row>
    <row r="221">
      <c r="A221" s="30" t="inlineStr">
        <is>
          <t>SPARC</t>
        </is>
      </c>
      <c r="B221" s="30" t="inlineStr">
        <is>
          <t>Sun Pharma Advanced Research Company Limited</t>
        </is>
      </c>
      <c r="C221" s="30" t="inlineStr">
        <is>
          <t>healthcare</t>
        </is>
      </c>
      <c r="D221" s="30" t="inlineStr">
        <is>
          <t>miscellaneous</t>
        </is>
      </c>
      <c r="E221" s="30" t="inlineStr">
        <is>
          <t>midcap</t>
        </is>
      </c>
      <c r="F221" s="30" t="n">
        <v>7736.92</v>
      </c>
      <c r="G221" s="30" t="n">
        <v>239.61</v>
      </c>
      <c r="H221" s="30" t="n">
        <v>0.5</v>
      </c>
      <c r="I221" s="30" t="n">
        <v>3113456</v>
      </c>
      <c r="J221" s="30" t="inlineStr">
        <is>
          <t>532872</t>
        </is>
      </c>
    </row>
    <row r="222">
      <c r="A222" s="30" t="inlineStr">
        <is>
          <t>BOSCHLTD</t>
        </is>
      </c>
      <c r="B222" s="30" t="inlineStr">
        <is>
          <t>Bosch Limited</t>
        </is>
      </c>
      <c r="C222" s="30" t="inlineStr">
        <is>
          <t>auto</t>
        </is>
      </c>
      <c r="D222" s="30" t="inlineStr">
        <is>
          <t>auto ancillaries</t>
        </is>
      </c>
      <c r="E222" s="30" t="inlineStr">
        <is>
          <t>largecap</t>
        </is>
      </c>
      <c r="F222" s="30" t="n">
        <v>115157.92</v>
      </c>
      <c r="G222" s="30" t="n">
        <v>39230</v>
      </c>
      <c r="H222" s="30" t="n">
        <v>0.47</v>
      </c>
      <c r="I222" s="30" t="n">
        <v>26887</v>
      </c>
      <c r="J222" s="30" t="inlineStr">
        <is>
          <t>500530</t>
        </is>
      </c>
    </row>
    <row r="223">
      <c r="A223" s="30" t="inlineStr">
        <is>
          <t>TATATECH</t>
        </is>
      </c>
      <c r="B223" s="30" t="inlineStr">
        <is>
          <t>Tata Technologies Ltd</t>
        </is>
      </c>
      <c r="C223" s="30" t="inlineStr">
        <is>
          <t>i.t</t>
        </is>
      </c>
      <c r="D223" s="30" t="inlineStr">
        <is>
          <t>computers - software - medium / small</t>
        </is>
      </c>
      <c r="E223" s="30" t="inlineStr">
        <is>
          <t>largecap</t>
        </is>
      </c>
      <c r="F223" s="30" t="n">
        <v>31258.38</v>
      </c>
      <c r="G223" s="30" t="n">
        <v>773.55</v>
      </c>
      <c r="H223" s="30" t="n">
        <v>0.47</v>
      </c>
      <c r="I223" s="30" t="n">
        <v>1275758</v>
      </c>
      <c r="J223" s="30" t="inlineStr">
        <is>
          <t>544028</t>
        </is>
      </c>
    </row>
    <row r="224">
      <c r="A224" s="30" t="inlineStr">
        <is>
          <t>NIVABUPA</t>
        </is>
      </c>
      <c r="B224" s="30" t="inlineStr">
        <is>
          <t>Niva Bupa Health Insurance Company Ltd</t>
        </is>
      </c>
      <c r="C224" s="30" t="inlineStr">
        <is>
          <t>financials</t>
        </is>
      </c>
      <c r="D224" s="30" t="inlineStr">
        <is>
          <t>finance &amp; investments</t>
        </is>
      </c>
      <c r="E224" s="30" t="inlineStr">
        <is>
          <t>midcap</t>
        </is>
      </c>
      <c r="F224" s="30" t="n">
        <v>15574.06</v>
      </c>
      <c r="G224" s="30" t="n">
        <v>84.7</v>
      </c>
      <c r="H224" s="30" t="n">
        <v>0.47</v>
      </c>
      <c r="I224" s="30" t="n">
        <v>828536</v>
      </c>
      <c r="J224" s="30" t="n"/>
    </row>
    <row r="225">
      <c r="A225" s="30" t="inlineStr">
        <is>
          <t>PIDILITIND</t>
        </is>
      </c>
      <c r="B225" s="30" t="inlineStr">
        <is>
          <t>Pidilite Industries Limited</t>
        </is>
      </c>
      <c r="C225" s="30" t="inlineStr">
        <is>
          <t>chemicals</t>
        </is>
      </c>
      <c r="D225" s="30" t="inlineStr">
        <is>
          <t>chemicals</t>
        </is>
      </c>
      <c r="E225" s="30" t="inlineStr">
        <is>
          <t>largecap</t>
        </is>
      </c>
      <c r="F225" s="30" t="n">
        <v>159911.44</v>
      </c>
      <c r="G225" s="30" t="n">
        <v>1578.2</v>
      </c>
      <c r="H225" s="30" t="n">
        <v>0.45</v>
      </c>
      <c r="I225" s="30" t="n">
        <v>651610</v>
      </c>
      <c r="J225" s="30" t="inlineStr">
        <is>
          <t>500331</t>
        </is>
      </c>
    </row>
    <row r="226">
      <c r="A226" s="30" t="inlineStr">
        <is>
          <t>TINNARUBR</t>
        </is>
      </c>
      <c r="B226" s="30" t="inlineStr">
        <is>
          <t>Tinna Rubber &amp; Infrastructure Ltd</t>
        </is>
      </c>
      <c r="C226" s="30" t="inlineStr">
        <is>
          <t>fmcg</t>
        </is>
      </c>
      <c r="D226" s="30" t="inlineStr">
        <is>
          <t>miscellaneous</t>
        </is>
      </c>
      <c r="E226" s="30" t="inlineStr">
        <is>
          <t>smallcap</t>
        </is>
      </c>
      <c r="F226" s="30" t="n">
        <v>1597.19</v>
      </c>
      <c r="G226" s="30" t="n">
        <v>890.5</v>
      </c>
      <c r="H226" s="30" t="n">
        <v>0.45</v>
      </c>
      <c r="I226" s="30" t="n">
        <v>33041</v>
      </c>
      <c r="J226" s="30" t="inlineStr">
        <is>
          <t>530475</t>
        </is>
      </c>
    </row>
    <row r="227">
      <c r="A227" s="30" t="inlineStr">
        <is>
          <t>ADOR</t>
        </is>
      </c>
      <c r="B227" s="30" t="inlineStr">
        <is>
          <t>Ador Welding Ltd</t>
        </is>
      </c>
      <c r="C227" s="30" t="inlineStr">
        <is>
          <t>industrials</t>
        </is>
      </c>
      <c r="D227" s="30" t="inlineStr">
        <is>
          <t>electrodes - welding equipment</t>
        </is>
      </c>
      <c r="E227" s="30" t="inlineStr">
        <is>
          <t>smallcap</t>
        </is>
      </c>
      <c r="F227" s="30" t="n">
        <v>2032.65</v>
      </c>
      <c r="G227" s="30" t="n">
        <v>1173.1</v>
      </c>
      <c r="H227" s="30" t="n">
        <v>0.44</v>
      </c>
      <c r="I227" s="30" t="n">
        <v>11942</v>
      </c>
      <c r="J227" s="30" t="inlineStr">
        <is>
          <t>517041</t>
        </is>
      </c>
    </row>
    <row r="228">
      <c r="A228" s="30" t="inlineStr">
        <is>
          <t>APOLLOHOSP</t>
        </is>
      </c>
      <c r="B228" s="30" t="inlineStr">
        <is>
          <t>Apollo Hospitals Enterprise Limited</t>
        </is>
      </c>
      <c r="C228" s="30" t="inlineStr">
        <is>
          <t>healthcare</t>
        </is>
      </c>
      <c r="D228" s="30" t="inlineStr">
        <is>
          <t>healthcare</t>
        </is>
      </c>
      <c r="E228" s="30" t="inlineStr">
        <is>
          <t>largecap</t>
        </is>
      </c>
      <c r="F228" s="30" t="n">
        <v>120642.52</v>
      </c>
      <c r="G228" s="30" t="n">
        <v>8427.5</v>
      </c>
      <c r="H228" s="30" t="n">
        <v>0.44</v>
      </c>
      <c r="I228" s="30" t="n">
        <v>185437</v>
      </c>
      <c r="J228" s="30" t="inlineStr">
        <is>
          <t>508869</t>
        </is>
      </c>
    </row>
    <row r="229">
      <c r="A229" s="30" t="inlineStr">
        <is>
          <t>BLSE</t>
        </is>
      </c>
      <c r="B229" s="30" t="inlineStr">
        <is>
          <t>BLS E-Services Ltd</t>
        </is>
      </c>
      <c r="C229" s="30" t="inlineStr">
        <is>
          <t>i.t</t>
        </is>
      </c>
      <c r="D229" s="30" t="inlineStr">
        <is>
          <t>computers - software - medium / small</t>
        </is>
      </c>
      <c r="E229" s="30" t="inlineStr">
        <is>
          <t>smallcap</t>
        </is>
      </c>
      <c r="F229" s="30" t="n">
        <v>2071.8</v>
      </c>
      <c r="G229" s="30" t="n">
        <v>229.01</v>
      </c>
      <c r="H229" s="30" t="n">
        <v>0.43</v>
      </c>
      <c r="I229" s="30" t="n">
        <v>195931</v>
      </c>
      <c r="J229" s="30" t="inlineStr">
        <is>
          <t>544107</t>
        </is>
      </c>
    </row>
    <row r="230">
      <c r="A230" s="30" t="inlineStr">
        <is>
          <t>KAPSTON</t>
        </is>
      </c>
      <c r="B230" s="30" t="inlineStr">
        <is>
          <t>Kapston Services Ltd</t>
        </is>
      </c>
      <c r="C230" s="30" t="inlineStr">
        <is>
          <t>miscellaneous</t>
        </is>
      </c>
      <c r="D230" s="30" t="inlineStr">
        <is>
          <t>miscellaneous</t>
        </is>
      </c>
      <c r="E230" s="30" t="inlineStr">
        <is>
          <t>smallcap</t>
        </is>
      </c>
      <c r="F230" s="30" t="n">
        <v>1045.65</v>
      </c>
      <c r="G230" s="30" t="n">
        <v>345</v>
      </c>
      <c r="H230" s="30" t="n">
        <v>0.41</v>
      </c>
      <c r="I230" s="30" t="n">
        <v>23772</v>
      </c>
      <c r="J230" s="30" t="inlineStr">
        <is>
          <t>535064</t>
        </is>
      </c>
    </row>
    <row r="231">
      <c r="A231" s="30" t="inlineStr">
        <is>
          <t>ELECON</t>
        </is>
      </c>
      <c r="B231" s="30" t="inlineStr">
        <is>
          <t>Elecon Engineering Company Limited</t>
        </is>
      </c>
      <c r="C231" s="30" t="inlineStr">
        <is>
          <t>industrials</t>
        </is>
      </c>
      <c r="D231" s="30" t="inlineStr">
        <is>
          <t>engineering</t>
        </is>
      </c>
      <c r="E231" s="30" t="inlineStr">
        <is>
          <t>midcap</t>
        </is>
      </c>
      <c r="F231" s="30" t="n">
        <v>12485.61</v>
      </c>
      <c r="G231" s="30" t="n">
        <v>558.65</v>
      </c>
      <c r="H231" s="30" t="n">
        <v>0.4</v>
      </c>
      <c r="I231" s="30" t="n">
        <v>415123</v>
      </c>
      <c r="J231" s="30" t="inlineStr">
        <is>
          <t>505700</t>
        </is>
      </c>
    </row>
    <row r="232">
      <c r="A232" s="30" t="inlineStr">
        <is>
          <t>RRKABEL</t>
        </is>
      </c>
      <c r="B232" s="30" t="inlineStr">
        <is>
          <t>R R Kabel Ltd</t>
        </is>
      </c>
      <c r="C232" s="30" t="inlineStr">
        <is>
          <t>industrials</t>
        </is>
      </c>
      <c r="D232" s="30" t="inlineStr">
        <is>
          <t>cables - power</t>
        </is>
      </c>
      <c r="E232" s="30" t="inlineStr">
        <is>
          <t>largecap</t>
        </is>
      </c>
      <c r="F232" s="30" t="n">
        <v>24895.65</v>
      </c>
      <c r="G232" s="30" t="n">
        <v>2209.8</v>
      </c>
      <c r="H232" s="30" t="n">
        <v>0.4</v>
      </c>
      <c r="I232" s="30" t="n">
        <v>753169</v>
      </c>
      <c r="J232" s="30" t="inlineStr">
        <is>
          <t>543981</t>
        </is>
      </c>
    </row>
    <row r="233">
      <c r="A233" s="30" t="inlineStr">
        <is>
          <t>BIRLACABLE</t>
        </is>
      </c>
      <c r="B233" s="30" t="inlineStr">
        <is>
          <t>Birla Cable Limited</t>
        </is>
      </c>
      <c r="C233" s="30" t="inlineStr">
        <is>
          <t>industrials</t>
        </is>
      </c>
      <c r="D233" s="30" t="inlineStr">
        <is>
          <t>cables - telephone</t>
        </is>
      </c>
      <c r="E233" s="30" t="inlineStr">
        <is>
          <t>smallcap</t>
        </is>
      </c>
      <c r="F233" s="30" t="n">
        <v>625.05</v>
      </c>
      <c r="G233" s="30" t="n">
        <v>209.19</v>
      </c>
      <c r="H233" s="30" t="n">
        <v>0.4</v>
      </c>
      <c r="I233" s="30" t="n">
        <v>58845</v>
      </c>
      <c r="J233" s="30" t="inlineStr">
        <is>
          <t>500060</t>
        </is>
      </c>
    </row>
    <row r="234">
      <c r="A234" s="30" t="inlineStr">
        <is>
          <t>BAJAJCON</t>
        </is>
      </c>
      <c r="B234" s="30" t="inlineStr">
        <is>
          <t>Bajaj Consumer Care Ltd</t>
        </is>
      </c>
      <c r="C234" s="30" t="inlineStr">
        <is>
          <t>fmcg</t>
        </is>
      </c>
      <c r="D234" s="30" t="inlineStr">
        <is>
          <t>personal care - indian</t>
        </is>
      </c>
      <c r="E234" s="30" t="inlineStr">
        <is>
          <t>midcap</t>
        </is>
      </c>
      <c r="F234" s="30" t="n">
        <v>7842.98</v>
      </c>
      <c r="G234" s="30" t="n">
        <v>602.85</v>
      </c>
      <c r="H234" s="30" t="n">
        <v>0.4</v>
      </c>
      <c r="I234" s="30" t="n">
        <v>617156</v>
      </c>
      <c r="J234" s="30" t="inlineStr">
        <is>
          <t>533229</t>
        </is>
      </c>
    </row>
    <row r="235">
      <c r="A235" s="30" t="inlineStr">
        <is>
          <t>NAVINFLUOR</t>
        </is>
      </c>
      <c r="B235" s="30" t="inlineStr">
        <is>
          <t>Navin Fluorine International Limited</t>
        </is>
      </c>
      <c r="C235" s="30" t="inlineStr">
        <is>
          <t>chemicals</t>
        </is>
      </c>
      <c r="D235" s="30" t="inlineStr">
        <is>
          <t>chemicals</t>
        </is>
      </c>
      <c r="E235" s="30" t="inlineStr">
        <is>
          <t>largecap</t>
        </is>
      </c>
      <c r="F235" s="30" t="n">
        <v>37490.89</v>
      </c>
      <c r="G235" s="30" t="n">
        <v>7344</v>
      </c>
      <c r="H235" s="30" t="n">
        <v>0.39</v>
      </c>
      <c r="I235" s="30" t="n">
        <v>245256</v>
      </c>
      <c r="J235" s="30" t="inlineStr">
        <is>
          <t>532504</t>
        </is>
      </c>
    </row>
    <row r="236">
      <c r="A236" s="30" t="inlineStr">
        <is>
          <t>NIBE</t>
        </is>
      </c>
      <c r="B236" s="30" t="inlineStr">
        <is>
          <t>NIBE Ltd</t>
        </is>
      </c>
      <c r="C236" s="30" t="inlineStr">
        <is>
          <t>aerospace &amp; defence</t>
        </is>
      </c>
      <c r="D236" s="30" t="inlineStr">
        <is>
          <t>engineering</t>
        </is>
      </c>
      <c r="E236" s="30" t="inlineStr">
        <is>
          <t>smallcap</t>
        </is>
      </c>
      <c r="F236" s="30" t="n">
        <v>2470.8</v>
      </c>
      <c r="G236" s="30" t="n">
        <v>1625.3</v>
      </c>
      <c r="H236" s="30" t="n">
        <v>0.39</v>
      </c>
      <c r="I236" s="30" t="n">
        <v>157228</v>
      </c>
      <c r="J236" s="30" t="inlineStr">
        <is>
          <t>535136</t>
        </is>
      </c>
    </row>
    <row r="237">
      <c r="A237" s="30" t="inlineStr">
        <is>
          <t>GRINDWELL</t>
        </is>
      </c>
      <c r="B237" s="30" t="inlineStr">
        <is>
          <t>Grindwell Norton Limited</t>
        </is>
      </c>
      <c r="C237" s="30" t="inlineStr">
        <is>
          <t>industrials</t>
        </is>
      </c>
      <c r="D237" s="30" t="inlineStr">
        <is>
          <t>abrasives and grinding wheels</t>
        </is>
      </c>
      <c r="E237" s="30" t="inlineStr">
        <is>
          <t>largecap</t>
        </is>
      </c>
      <c r="F237" s="30" t="n">
        <v>22667.71</v>
      </c>
      <c r="G237" s="30" t="n">
        <v>2055.3</v>
      </c>
      <c r="H237" s="30" t="n">
        <v>0.39</v>
      </c>
      <c r="I237" s="30" t="n">
        <v>78932</v>
      </c>
      <c r="J237" s="30" t="inlineStr">
        <is>
          <t>506076</t>
        </is>
      </c>
    </row>
    <row r="238">
      <c r="A238" s="30" t="inlineStr">
        <is>
          <t>HUDCO</t>
        </is>
      </c>
      <c r="B238" s="30" t="inlineStr">
        <is>
          <t>Housing and Urban Development Corporation Ltd</t>
        </is>
      </c>
      <c r="C238" s="30" t="inlineStr">
        <is>
          <t>financials</t>
        </is>
      </c>
      <c r="D238" s="30" t="inlineStr">
        <is>
          <t>finance - term-lending institutions</t>
        </is>
      </c>
      <c r="E238" s="30" t="inlineStr">
        <is>
          <t>largecap</t>
        </is>
      </c>
      <c r="F238" s="30" t="n">
        <v>42606.44</v>
      </c>
      <c r="G238" s="30" t="n">
        <v>213.65</v>
      </c>
      <c r="H238" s="30" t="n">
        <v>0.39</v>
      </c>
      <c r="I238" s="30" t="n">
        <v>2812799</v>
      </c>
      <c r="J238" s="30" t="inlineStr">
        <is>
          <t>540530</t>
        </is>
      </c>
    </row>
    <row r="239">
      <c r="A239" s="30" t="inlineStr">
        <is>
          <t>MMTC</t>
        </is>
      </c>
      <c r="B239" s="30" t="inlineStr">
        <is>
          <t>Mmtc Limited</t>
        </is>
      </c>
      <c r="C239" s="30" t="inlineStr">
        <is>
          <t>services</t>
        </is>
      </c>
      <c r="D239" s="30" t="inlineStr">
        <is>
          <t>trading</t>
        </is>
      </c>
      <c r="E239" s="30" t="inlineStr">
        <is>
          <t>midcap</t>
        </is>
      </c>
      <c r="F239" s="30" t="n">
        <v>11361</v>
      </c>
      <c r="G239" s="30" t="n">
        <v>76.03</v>
      </c>
      <c r="H239" s="30" t="n">
        <v>0.38</v>
      </c>
      <c r="I239" s="30" t="n">
        <v>31851770</v>
      </c>
      <c r="J239" s="30" t="inlineStr">
        <is>
          <t>513377</t>
        </is>
      </c>
    </row>
    <row r="240">
      <c r="A240" s="30" t="inlineStr">
        <is>
          <t>STAR</t>
        </is>
      </c>
      <c r="B240" s="30" t="inlineStr">
        <is>
          <t>Strides Shasun Limited</t>
        </is>
      </c>
      <c r="C240" s="30" t="inlineStr">
        <is>
          <t>healthcare</t>
        </is>
      </c>
      <c r="D240" s="30" t="inlineStr">
        <is>
          <t>pharmaceuticals - indian - bulk drugs &amp; formln</t>
        </is>
      </c>
      <c r="E240" s="30" t="inlineStr">
        <is>
          <t>midcap</t>
        </is>
      </c>
      <c r="F240" s="30" t="n">
        <v>10163.89</v>
      </c>
      <c r="G240" s="30" t="n">
        <v>1106.9</v>
      </c>
      <c r="H240" s="30" t="n">
        <v>0.38</v>
      </c>
      <c r="I240" s="30" t="n">
        <v>117182</v>
      </c>
      <c r="J240" s="30" t="inlineStr">
        <is>
          <t>532531</t>
        </is>
      </c>
    </row>
    <row r="241">
      <c r="A241" s="30" t="inlineStr">
        <is>
          <t>PGHL</t>
        </is>
      </c>
      <c r="B241" s="30" t="inlineStr">
        <is>
          <t>Procter &amp; Gamble Health Ltd</t>
        </is>
      </c>
      <c r="C241" s="30" t="inlineStr">
        <is>
          <t>healthcare</t>
        </is>
      </c>
      <c r="D241" s="30" t="inlineStr">
        <is>
          <t>pharmaceuticals - multinational</t>
        </is>
      </c>
      <c r="E241" s="30" t="inlineStr">
        <is>
          <t>midcap</t>
        </is>
      </c>
      <c r="F241" s="30" t="n">
        <v>10335.61</v>
      </c>
      <c r="G241" s="30" t="n">
        <v>6249.5</v>
      </c>
      <c r="H241" s="30" t="n">
        <v>0.37</v>
      </c>
      <c r="I241" s="30" t="n">
        <v>8072</v>
      </c>
      <c r="J241" s="30" t="inlineStr">
        <is>
          <t>500126</t>
        </is>
      </c>
    </row>
    <row r="242">
      <c r="A242" s="30" t="inlineStr">
        <is>
          <t>ADANIPORTS</t>
        </is>
      </c>
      <c r="B242" s="30" t="inlineStr">
        <is>
          <t>Adani Ports And Special Economic Zone Limited</t>
        </is>
      </c>
      <c r="C242" s="30" t="inlineStr">
        <is>
          <t>transportation</t>
        </is>
      </c>
      <c r="D242" s="30" t="inlineStr">
        <is>
          <t>miscellaneous</t>
        </is>
      </c>
      <c r="E242" s="30" t="inlineStr">
        <is>
          <t>largecap</t>
        </is>
      </c>
      <c r="F242" s="30" t="n">
        <v>419781.35</v>
      </c>
      <c r="G242" s="30" t="n">
        <v>1828.6</v>
      </c>
      <c r="H242" s="30" t="n">
        <v>0.36</v>
      </c>
      <c r="I242" s="30" t="n">
        <v>2697924</v>
      </c>
      <c r="J242" s="30" t="inlineStr">
        <is>
          <t>532921</t>
        </is>
      </c>
    </row>
    <row r="243">
      <c r="A243" s="30" t="inlineStr">
        <is>
          <t>MAYURUNIQ</t>
        </is>
      </c>
      <c r="B243" s="30" t="inlineStr">
        <is>
          <t>Mayur Uniquoters Ltd</t>
        </is>
      </c>
      <c r="C243" s="30" t="inlineStr">
        <is>
          <t>consumer discretionary</t>
        </is>
      </c>
      <c r="D243" s="30" t="inlineStr">
        <is>
          <t>leather / leather products</t>
        </is>
      </c>
      <c r="E243" s="30" t="inlineStr">
        <is>
          <t>smallcap</t>
        </is>
      </c>
      <c r="F243" s="30" t="n">
        <v>3580.28</v>
      </c>
      <c r="G243" s="30" t="n">
        <v>826.75</v>
      </c>
      <c r="H243" s="30" t="n">
        <v>0.34</v>
      </c>
      <c r="I243" s="30" t="n">
        <v>120913</v>
      </c>
      <c r="J243" s="30" t="inlineStr">
        <is>
          <t>522249</t>
        </is>
      </c>
    </row>
    <row r="244">
      <c r="A244" s="30" t="inlineStr">
        <is>
          <t>APCOTEXIND</t>
        </is>
      </c>
      <c r="B244" s="30" t="inlineStr">
        <is>
          <t>Apcotex Industries Limited</t>
        </is>
      </c>
      <c r="C244" s="30" t="inlineStr">
        <is>
          <t>chemicals</t>
        </is>
      </c>
      <c r="D244" s="30" t="inlineStr">
        <is>
          <t>miscellaneous</t>
        </is>
      </c>
      <c r="E244" s="30" t="inlineStr">
        <is>
          <t>smallcap</t>
        </is>
      </c>
      <c r="F244" s="30" t="n">
        <v>2701.38</v>
      </c>
      <c r="G244" s="30" t="n">
        <v>522.8</v>
      </c>
      <c r="H244" s="30" t="n">
        <v>0.34</v>
      </c>
      <c r="I244" s="30" t="n">
        <v>57250</v>
      </c>
      <c r="J244" s="30" t="inlineStr">
        <is>
          <t>523694</t>
        </is>
      </c>
    </row>
    <row r="245">
      <c r="A245" s="30" t="inlineStr">
        <is>
          <t>ARVIND</t>
        </is>
      </c>
      <c r="B245" s="30" t="inlineStr">
        <is>
          <t>Arvind Limited</t>
        </is>
      </c>
      <c r="C245" s="30" t="inlineStr">
        <is>
          <t>textiles</t>
        </is>
      </c>
      <c r="D245" s="30" t="inlineStr">
        <is>
          <t>textiles - cotton/blended</t>
        </is>
      </c>
      <c r="E245" s="30" t="inlineStr">
        <is>
          <t>midcap</t>
        </is>
      </c>
      <c r="F245" s="30" t="n">
        <v>13011.37</v>
      </c>
      <c r="G245" s="30" t="n">
        <v>498</v>
      </c>
      <c r="H245" s="30" t="n">
        <v>0.32</v>
      </c>
      <c r="I245" s="30" t="n">
        <v>920934</v>
      </c>
      <c r="J245" s="30" t="inlineStr">
        <is>
          <t>500101</t>
        </is>
      </c>
    </row>
    <row r="246">
      <c r="A246" s="30" t="inlineStr">
        <is>
          <t>GRASIM</t>
        </is>
      </c>
      <c r="B246" s="30" t="inlineStr">
        <is>
          <t>Grasim Industries Limited</t>
        </is>
      </c>
      <c r="C246" s="30" t="inlineStr">
        <is>
          <t>textiles</t>
        </is>
      </c>
      <c r="D246" s="30" t="inlineStr">
        <is>
          <t>textiles - manmade</t>
        </is>
      </c>
      <c r="E246" s="30" t="inlineStr">
        <is>
          <t>largecap</t>
        </is>
      </c>
      <c r="F246" s="30" t="n">
        <v>213722.72</v>
      </c>
      <c r="G246" s="30" t="n">
        <v>3150.4</v>
      </c>
      <c r="H246" s="30" t="n">
        <v>0.32</v>
      </c>
      <c r="I246" s="30" t="n">
        <v>395269</v>
      </c>
      <c r="J246" s="30" t="inlineStr">
        <is>
          <t>500300</t>
        </is>
      </c>
    </row>
    <row r="247">
      <c r="A247" s="30" t="inlineStr">
        <is>
          <t>TALBROAUTO</t>
        </is>
      </c>
      <c r="B247" s="30" t="inlineStr">
        <is>
          <t>Talbros Automotive Components Limited</t>
        </is>
      </c>
      <c r="C247" s="30" t="inlineStr">
        <is>
          <t>auto</t>
        </is>
      </c>
      <c r="D247" s="30" t="inlineStr">
        <is>
          <t>auto ancillaries</t>
        </is>
      </c>
      <c r="E247" s="30" t="inlineStr">
        <is>
          <t>smallcap</t>
        </is>
      </c>
      <c r="F247" s="30" t="n">
        <v>2205.55</v>
      </c>
      <c r="G247" s="30" t="n">
        <v>358.4</v>
      </c>
      <c r="H247" s="30" t="n">
        <v>0.31</v>
      </c>
      <c r="I247" s="30" t="n">
        <v>122513</v>
      </c>
      <c r="J247" s="30" t="inlineStr">
        <is>
          <t>505160</t>
        </is>
      </c>
    </row>
    <row r="248">
      <c r="A248" s="30" t="inlineStr">
        <is>
          <t>VSTIND</t>
        </is>
      </c>
      <c r="B248" s="30" t="inlineStr">
        <is>
          <t>Vst Industries Limited</t>
        </is>
      </c>
      <c r="C248" s="30" t="inlineStr">
        <is>
          <t>fmcg</t>
        </is>
      </c>
      <c r="D248" s="30" t="inlineStr">
        <is>
          <t>cigarettes</t>
        </is>
      </c>
      <c r="E248" s="30" t="inlineStr">
        <is>
          <t>smallcap</t>
        </is>
      </c>
      <c r="F248" s="30" t="n">
        <v>4398.55</v>
      </c>
      <c r="G248" s="30" t="n">
        <v>259.75</v>
      </c>
      <c r="H248" s="30" t="n">
        <v>0.31</v>
      </c>
      <c r="I248" s="30" t="n">
        <v>166212</v>
      </c>
      <c r="J248" s="30" t="inlineStr">
        <is>
          <t>509966</t>
        </is>
      </c>
    </row>
    <row r="249">
      <c r="A249" s="30" t="inlineStr">
        <is>
          <t>GRAVITA</t>
        </is>
      </c>
      <c r="B249" s="30" t="inlineStr">
        <is>
          <t>Gravita India Limited</t>
        </is>
      </c>
      <c r="C249" s="30" t="inlineStr">
        <is>
          <t>metals &amp; mining</t>
        </is>
      </c>
      <c r="D249" s="30" t="inlineStr">
        <is>
          <t>mining / minerals / metals</t>
        </is>
      </c>
      <c r="E249" s="30" t="inlineStr">
        <is>
          <t>midcap</t>
        </is>
      </c>
      <c r="F249" s="30" t="n">
        <v>12280.99</v>
      </c>
      <c r="G249" s="30" t="n">
        <v>1668.9</v>
      </c>
      <c r="H249" s="30" t="n">
        <v>0.3</v>
      </c>
      <c r="I249" s="30" t="n">
        <v>407948</v>
      </c>
      <c r="J249" s="30" t="inlineStr">
        <is>
          <t>533282</t>
        </is>
      </c>
    </row>
    <row r="250">
      <c r="A250" s="30" t="inlineStr">
        <is>
          <t>360ONE</t>
        </is>
      </c>
      <c r="B250" s="30" t="inlineStr">
        <is>
          <t>360 ONE WAM Ltd</t>
        </is>
      </c>
      <c r="C250" s="30" t="inlineStr">
        <is>
          <t>financials</t>
        </is>
      </c>
      <c r="D250" s="30" t="inlineStr">
        <is>
          <t>finance &amp; investments</t>
        </is>
      </c>
      <c r="E250" s="30" t="inlineStr">
        <is>
          <t>largecap</t>
        </is>
      </c>
      <c r="F250" s="30" t="n">
        <v>46039.85</v>
      </c>
      <c r="G250" s="30" t="n">
        <v>1136.9</v>
      </c>
      <c r="H250" s="30" t="n">
        <v>0.29</v>
      </c>
      <c r="I250" s="30" t="n">
        <v>382759</v>
      </c>
      <c r="J250" s="30" t="inlineStr">
        <is>
          <t>542772</t>
        </is>
      </c>
    </row>
    <row r="251">
      <c r="A251" s="30" t="inlineStr">
        <is>
          <t>RAJRATAN</t>
        </is>
      </c>
      <c r="B251" s="30" t="inlineStr">
        <is>
          <t>Rajratan Global Wire Ltd</t>
        </is>
      </c>
      <c r="C251" s="30" t="inlineStr">
        <is>
          <t>metals &amp; mining</t>
        </is>
      </c>
      <c r="D251" s="30" t="inlineStr">
        <is>
          <t>steel - medium / small</t>
        </is>
      </c>
      <c r="E251" s="30" t="inlineStr">
        <is>
          <t>smallcap</t>
        </is>
      </c>
      <c r="F251" s="30" t="n">
        <v>2298.4</v>
      </c>
      <c r="G251" s="30" t="n">
        <v>453.95</v>
      </c>
      <c r="H251" s="30" t="n">
        <v>0.28</v>
      </c>
      <c r="I251" s="30" t="n">
        <v>29279</v>
      </c>
      <c r="J251" s="30" t="inlineStr">
        <is>
          <t>517522</t>
        </is>
      </c>
    </row>
    <row r="252">
      <c r="A252" s="30" t="inlineStr">
        <is>
          <t>OAL</t>
        </is>
      </c>
      <c r="B252" s="30" t="inlineStr">
        <is>
          <t>Oriental Aromatics Ltd</t>
        </is>
      </c>
      <c r="C252" s="30" t="inlineStr">
        <is>
          <t>chemicals</t>
        </is>
      </c>
      <c r="D252" s="30" t="inlineStr">
        <is>
          <t>chemicals</t>
        </is>
      </c>
      <c r="E252" s="30" t="inlineStr">
        <is>
          <t>smallcap</t>
        </is>
      </c>
      <c r="F252" s="30" t="n">
        <v>1143.89</v>
      </c>
      <c r="G252" s="30" t="n">
        <v>340.85</v>
      </c>
      <c r="H252" s="30" t="n">
        <v>0.28</v>
      </c>
      <c r="I252" s="30" t="n">
        <v>9842</v>
      </c>
      <c r="J252" s="30" t="inlineStr">
        <is>
          <t>500078</t>
        </is>
      </c>
    </row>
    <row r="253">
      <c r="A253" s="30" t="inlineStr">
        <is>
          <t>ADANIENT</t>
        </is>
      </c>
      <c r="B253" s="30" t="inlineStr">
        <is>
          <t>Adani Enterprises Limited</t>
        </is>
      </c>
      <c r="C253" s="30" t="inlineStr">
        <is>
          <t>services</t>
        </is>
      </c>
      <c r="D253" s="30" t="inlineStr">
        <is>
          <t>trading</t>
        </is>
      </c>
      <c r="E253" s="30" t="inlineStr">
        <is>
          <t>largecap</t>
        </is>
      </c>
      <c r="F253" s="30" t="n">
        <v>380514</v>
      </c>
      <c r="G253" s="30" t="n">
        <v>2951.9</v>
      </c>
      <c r="H253" s="30" t="n">
        <v>0.28</v>
      </c>
      <c r="I253" s="30" t="n">
        <v>1244567</v>
      </c>
      <c r="J253" s="30" t="inlineStr">
        <is>
          <t>512599</t>
        </is>
      </c>
    </row>
    <row r="254">
      <c r="A254" s="30" t="inlineStr">
        <is>
          <t>IMPAL</t>
        </is>
      </c>
      <c r="B254" s="30" t="inlineStr">
        <is>
          <t>India Motor Parts And Accessories Limited</t>
        </is>
      </c>
      <c r="C254" s="30" t="inlineStr">
        <is>
          <t>auto</t>
        </is>
      </c>
      <c r="D254" s="30" t="inlineStr">
        <is>
          <t>auto ancillaries</t>
        </is>
      </c>
      <c r="E254" s="30" t="inlineStr">
        <is>
          <t>smallcap</t>
        </is>
      </c>
      <c r="F254" s="30" t="n">
        <v>1354.33</v>
      </c>
      <c r="G254" s="30" t="n">
        <v>1088.1</v>
      </c>
      <c r="H254" s="30" t="n">
        <v>0.27</v>
      </c>
      <c r="I254" s="30" t="n">
        <v>3952</v>
      </c>
      <c r="J254" s="30" t="inlineStr">
        <is>
          <t>590065</t>
        </is>
      </c>
    </row>
    <row r="255">
      <c r="A255" s="30" t="inlineStr">
        <is>
          <t>RPEL</t>
        </is>
      </c>
      <c r="B255" s="30" t="inlineStr">
        <is>
          <t>Raghav Productivity Enhancers Ltd</t>
        </is>
      </c>
      <c r="C255" s="30" t="inlineStr">
        <is>
          <t>building materials</t>
        </is>
      </c>
      <c r="D255" s="30" t="inlineStr">
        <is>
          <t>refractories / intermediates</t>
        </is>
      </c>
      <c r="E255" s="30" t="inlineStr">
        <is>
          <t>midcap</t>
        </is>
      </c>
      <c r="F255" s="30" t="n">
        <v>5525.05</v>
      </c>
      <c r="G255" s="30" t="n">
        <v>1206.65</v>
      </c>
      <c r="H255" s="30" t="n">
        <v>0.27</v>
      </c>
      <c r="I255" s="30" t="n">
        <v>72591</v>
      </c>
      <c r="J255" s="30" t="inlineStr">
        <is>
          <t>539837</t>
        </is>
      </c>
    </row>
    <row r="256">
      <c r="A256" s="30" t="inlineStr">
        <is>
          <t>GOCLCORP</t>
        </is>
      </c>
      <c r="B256" s="30" t="inlineStr">
        <is>
          <t>Gocl Corporation Limited</t>
        </is>
      </c>
      <c r="C256" s="30" t="inlineStr">
        <is>
          <t>miscellaneous</t>
        </is>
      </c>
      <c r="D256" s="30" t="inlineStr">
        <is>
          <t>diversified - medium / small</t>
        </is>
      </c>
      <c r="E256" s="30" t="inlineStr">
        <is>
          <t>smallcap</t>
        </is>
      </c>
      <c r="F256" s="30" t="n">
        <v>1993.81</v>
      </c>
      <c r="G256" s="30" t="n">
        <v>403.3</v>
      </c>
      <c r="H256" s="30" t="n">
        <v>0.27</v>
      </c>
      <c r="I256" s="30" t="n">
        <v>61259</v>
      </c>
      <c r="J256" s="30" t="inlineStr">
        <is>
          <t>506480</t>
        </is>
      </c>
    </row>
    <row r="257">
      <c r="A257" s="30" t="inlineStr">
        <is>
          <t>HONASA</t>
        </is>
      </c>
      <c r="B257" s="30" t="inlineStr">
        <is>
          <t>Honasa Consumer Ltd</t>
        </is>
      </c>
      <c r="C257" s="30" t="inlineStr">
        <is>
          <t>services</t>
        </is>
      </c>
      <c r="D257" s="30" t="inlineStr">
        <is>
          <t>trading</t>
        </is>
      </c>
      <c r="E257" s="30" t="inlineStr">
        <is>
          <t>midcap</t>
        </is>
      </c>
      <c r="F257" s="30" t="n">
        <v>13027.81</v>
      </c>
      <c r="G257" s="30" t="n">
        <v>401.45</v>
      </c>
      <c r="H257" s="30" t="n">
        <v>0.26</v>
      </c>
      <c r="I257" s="30" t="n">
        <v>667351</v>
      </c>
      <c r="J257" s="30" t="inlineStr">
        <is>
          <t>544014</t>
        </is>
      </c>
    </row>
    <row r="258">
      <c r="A258" s="30" t="inlineStr">
        <is>
          <t>KPIL</t>
        </is>
      </c>
      <c r="B258" s="30" t="inlineStr">
        <is>
          <t>Kalpataru Projects International Ltd</t>
        </is>
      </c>
      <c r="C258" s="30" t="inlineStr">
        <is>
          <t>realty</t>
        </is>
      </c>
      <c r="D258" s="30" t="inlineStr">
        <is>
          <t>transmisson line towers / equipment</t>
        </is>
      </c>
      <c r="E258" s="30" t="inlineStr">
        <is>
          <t>largecap</t>
        </is>
      </c>
      <c r="F258" s="30" t="n">
        <v>23322.41</v>
      </c>
      <c r="G258" s="30" t="n">
        <v>1369.3</v>
      </c>
      <c r="H258" s="30" t="n">
        <v>0.26</v>
      </c>
      <c r="I258" s="30" t="n">
        <v>374939</v>
      </c>
      <c r="J258" s="30" t="inlineStr">
        <is>
          <t>522287</t>
        </is>
      </c>
    </row>
    <row r="259">
      <c r="A259" s="30" t="inlineStr">
        <is>
          <t>HARSHA</t>
        </is>
      </c>
      <c r="B259" s="30" t="inlineStr">
        <is>
          <t>Harsha Engineers International Ltd</t>
        </is>
      </c>
      <c r="C259" s="30" t="inlineStr">
        <is>
          <t>industrials</t>
        </is>
      </c>
      <c r="D259" s="30" t="inlineStr">
        <is>
          <t>engineering</t>
        </is>
      </c>
      <c r="E259" s="30" t="inlineStr">
        <is>
          <t>smallcap</t>
        </is>
      </c>
      <c r="F259" s="30" t="n">
        <v>3975.9</v>
      </c>
      <c r="G259" s="30" t="n">
        <v>437.85</v>
      </c>
      <c r="H259" s="30" t="n">
        <v>0.26</v>
      </c>
      <c r="I259" s="30" t="n">
        <v>164145</v>
      </c>
      <c r="J259" s="30" t="inlineStr">
        <is>
          <t>543600</t>
        </is>
      </c>
    </row>
    <row r="260">
      <c r="A260" s="30" t="inlineStr">
        <is>
          <t>SIGMAADV</t>
        </is>
      </c>
      <c r="B260" s="30" t="inlineStr">
        <is>
          <t>Sigma Advanced System Ltd</t>
        </is>
      </c>
      <c r="C260" s="30" t="inlineStr">
        <is>
          <t>aerospace &amp; defence</t>
        </is>
      </c>
      <c r="D260" s="30" t="inlineStr">
        <is>
          <t>electronics - components</t>
        </is>
      </c>
      <c r="E260" s="30" t="inlineStr">
        <is>
          <t>midcap</t>
        </is>
      </c>
      <c r="F260" s="30" t="n">
        <v>8373.15</v>
      </c>
      <c r="G260" s="30" t="n">
        <v>476.25</v>
      </c>
      <c r="H260" s="30" t="n">
        <v>0.24</v>
      </c>
      <c r="I260" s="30" t="n">
        <v>211451</v>
      </c>
      <c r="J260" s="30" t="inlineStr">
        <is>
          <t>532408</t>
        </is>
      </c>
    </row>
    <row r="261">
      <c r="A261" s="30" t="inlineStr">
        <is>
          <t>MGEL</t>
        </is>
      </c>
      <c r="B261" s="30" t="inlineStr">
        <is>
          <t>Mangalam Global Enterprise Ltd</t>
        </is>
      </c>
      <c r="C261" s="30" t="inlineStr">
        <is>
          <t>services</t>
        </is>
      </c>
      <c r="D261" s="30" t="inlineStr">
        <is>
          <t>trading</t>
        </is>
      </c>
      <c r="E261" s="30" t="inlineStr">
        <is>
          <t>smallcap</t>
        </is>
      </c>
      <c r="F261" s="30" t="n">
        <v>540.14</v>
      </c>
      <c r="G261" s="30" t="n">
        <v>16.43</v>
      </c>
      <c r="H261" s="30" t="n">
        <v>0.24</v>
      </c>
      <c r="I261" s="30" t="n">
        <v>258229</v>
      </c>
      <c r="J261" s="30" t="inlineStr">
        <is>
          <t>535349</t>
        </is>
      </c>
    </row>
    <row r="262">
      <c r="A262" s="30" t="inlineStr">
        <is>
          <t>AIAENG</t>
        </is>
      </c>
      <c r="B262" s="30" t="inlineStr">
        <is>
          <t>Aia Engineering Limited</t>
        </is>
      </c>
      <c r="C262" s="30" t="inlineStr">
        <is>
          <t>industrials</t>
        </is>
      </c>
      <c r="D262" s="30" t="inlineStr">
        <is>
          <t>castings &amp; forgings</t>
        </is>
      </c>
      <c r="E262" s="30" t="inlineStr">
        <is>
          <t>largecap</t>
        </is>
      </c>
      <c r="F262" s="30" t="n">
        <v>41913.91</v>
      </c>
      <c r="G262" s="30" t="n">
        <v>4501.6</v>
      </c>
      <c r="H262" s="30" t="n">
        <v>0.23</v>
      </c>
      <c r="I262" s="30" t="n">
        <v>75880</v>
      </c>
      <c r="J262" s="30" t="inlineStr">
        <is>
          <t>532683</t>
        </is>
      </c>
    </row>
    <row r="263">
      <c r="A263" s="30" t="inlineStr">
        <is>
          <t>SHRIPISTON</t>
        </is>
      </c>
      <c r="B263" s="30" t="inlineStr">
        <is>
          <t>Shriram Pistons &amp; Rings Limited</t>
        </is>
      </c>
      <c r="C263" s="30" t="inlineStr">
        <is>
          <t>auto</t>
        </is>
      </c>
      <c r="D263" s="30" t="inlineStr">
        <is>
          <t>auto ancillaries</t>
        </is>
      </c>
      <c r="E263" s="30" t="inlineStr">
        <is>
          <t>midcap</t>
        </is>
      </c>
      <c r="F263" s="30" t="n">
        <v>16279.93</v>
      </c>
      <c r="G263" s="30" t="n">
        <v>3704</v>
      </c>
      <c r="H263" s="30" t="n">
        <v>0.22</v>
      </c>
      <c r="I263" s="30" t="n">
        <v>36366</v>
      </c>
      <c r="J263" s="30" t="n"/>
    </row>
    <row r="264">
      <c r="A264" s="30" t="inlineStr">
        <is>
          <t>SKMEGGPROD</t>
        </is>
      </c>
      <c r="B264" s="30" t="inlineStr">
        <is>
          <t>Skm Egg Products Export (india) Limited</t>
        </is>
      </c>
      <c r="C264" s="30" t="inlineStr">
        <is>
          <t>fmcg</t>
        </is>
      </c>
      <c r="D264" s="30" t="inlineStr">
        <is>
          <t>food - processing - indian</t>
        </is>
      </c>
      <c r="E264" s="30" t="inlineStr">
        <is>
          <t>smallcap</t>
        </is>
      </c>
      <c r="F264" s="30" t="n">
        <v>1283.9</v>
      </c>
      <c r="G264" s="30" t="n">
        <v>244.31</v>
      </c>
      <c r="H264" s="30" t="n">
        <v>0.21</v>
      </c>
      <c r="I264" s="30" t="n">
        <v>389920</v>
      </c>
      <c r="J264" s="30" t="inlineStr">
        <is>
          <t>532143</t>
        </is>
      </c>
    </row>
    <row r="265">
      <c r="A265" s="30" t="inlineStr">
        <is>
          <t>WSTCSTPAPR</t>
        </is>
      </c>
      <c r="B265" s="30" t="inlineStr">
        <is>
          <t>West Coast Paper Mills Limited</t>
        </is>
      </c>
      <c r="C265" s="30" t="inlineStr">
        <is>
          <t>building materials</t>
        </is>
      </c>
      <c r="D265" s="30" t="inlineStr">
        <is>
          <t>paper</t>
        </is>
      </c>
      <c r="E265" s="30" t="inlineStr">
        <is>
          <t>smallcap</t>
        </is>
      </c>
      <c r="F265" s="30" t="n">
        <v>3398.55</v>
      </c>
      <c r="G265" s="30" t="n">
        <v>515.6</v>
      </c>
      <c r="H265" s="30" t="n">
        <v>0.2</v>
      </c>
      <c r="I265" s="30" t="n">
        <v>119377</v>
      </c>
      <c r="J265" s="30" t="inlineStr">
        <is>
          <t>500444</t>
        </is>
      </c>
    </row>
    <row r="266">
      <c r="A266" s="30" t="inlineStr">
        <is>
          <t>ICICIBANK</t>
        </is>
      </c>
      <c r="B266" s="30" t="inlineStr">
        <is>
          <t>Icici Bank Limited</t>
        </is>
      </c>
      <c r="C266" s="30" t="inlineStr">
        <is>
          <t>bank</t>
        </is>
      </c>
      <c r="D266" s="30" t="inlineStr">
        <is>
          <t>banks - private sector</t>
        </is>
      </c>
      <c r="E266" s="30" t="inlineStr">
        <is>
          <t>largecap</t>
        </is>
      </c>
      <c r="F266" s="30" t="n">
        <v>955373.8199999999</v>
      </c>
      <c r="G266" s="30" t="n">
        <v>1336.8</v>
      </c>
      <c r="H266" s="30" t="n">
        <v>0.19</v>
      </c>
      <c r="I266" s="30" t="n">
        <v>8026424</v>
      </c>
      <c r="J266" s="30" t="inlineStr">
        <is>
          <t>532174</t>
        </is>
      </c>
    </row>
    <row r="267">
      <c r="A267" s="30" t="inlineStr">
        <is>
          <t>AVALON</t>
        </is>
      </c>
      <c r="B267" s="30" t="inlineStr">
        <is>
          <t>Avalon Technologies Ltd</t>
        </is>
      </c>
      <c r="C267" s="30" t="inlineStr">
        <is>
          <t>consumer discretionary</t>
        </is>
      </c>
      <c r="D267" s="30" t="inlineStr">
        <is>
          <t>electronics - components</t>
        </is>
      </c>
      <c r="E267" s="30" t="inlineStr">
        <is>
          <t>midcap</t>
        </is>
      </c>
      <c r="F267" s="30" t="n">
        <v>11605.96</v>
      </c>
      <c r="G267" s="30" t="n">
        <v>1741.4</v>
      </c>
      <c r="H267" s="30" t="n">
        <v>0.18</v>
      </c>
      <c r="I267" s="30" t="n">
        <v>222226</v>
      </c>
      <c r="J267" s="30" t="inlineStr">
        <is>
          <t>543896</t>
        </is>
      </c>
    </row>
    <row r="268">
      <c r="A268" s="30" t="inlineStr">
        <is>
          <t>GENUSPOWER</t>
        </is>
      </c>
      <c r="B268" s="30" t="inlineStr">
        <is>
          <t>Genus Power Infrastructures Limited</t>
        </is>
      </c>
      <c r="C268" s="30" t="inlineStr">
        <is>
          <t>consumer discretionary</t>
        </is>
      </c>
      <c r="D268" s="30" t="inlineStr">
        <is>
          <t>electronics - components</t>
        </is>
      </c>
      <c r="E268" s="30" t="inlineStr">
        <is>
          <t>midcap</t>
        </is>
      </c>
      <c r="F268" s="30" t="n">
        <v>10005.72</v>
      </c>
      <c r="G268" s="30" t="n">
        <v>329.45</v>
      </c>
      <c r="H268" s="30" t="n">
        <v>0.17</v>
      </c>
      <c r="I268" s="30" t="n">
        <v>1162797</v>
      </c>
      <c r="J268" s="30" t="inlineStr">
        <is>
          <t>530343</t>
        </is>
      </c>
    </row>
    <row r="269">
      <c r="A269" s="30" t="inlineStr">
        <is>
          <t>TIRUPATIFL</t>
        </is>
      </c>
      <c r="B269" s="30" t="inlineStr">
        <is>
          <t>Tirupati Forge Ltd</t>
        </is>
      </c>
      <c r="C269" s="30" t="inlineStr">
        <is>
          <t>industrials</t>
        </is>
      </c>
      <c r="D269" s="30" t="inlineStr">
        <is>
          <t>castings &amp; forgings</t>
        </is>
      </c>
      <c r="E269" s="30" t="inlineStr">
        <is>
          <t>smallcap</t>
        </is>
      </c>
      <c r="F269" s="30" t="n">
        <v>616.88</v>
      </c>
      <c r="G269" s="30" t="n">
        <v>47.83</v>
      </c>
      <c r="H269" s="30" t="n">
        <v>0.17</v>
      </c>
      <c r="I269" s="30" t="n">
        <v>141977</v>
      </c>
      <c r="J269" s="30" t="inlineStr">
        <is>
          <t>535021</t>
        </is>
      </c>
    </row>
    <row r="270">
      <c r="A270" s="30" t="inlineStr">
        <is>
          <t>SHRIRAMFIN</t>
        </is>
      </c>
      <c r="B270" s="30" t="inlineStr">
        <is>
          <t>Shriram Finance Ltd</t>
        </is>
      </c>
      <c r="C270" s="30" t="inlineStr">
        <is>
          <t>financials</t>
        </is>
      </c>
      <c r="D270" s="30" t="inlineStr">
        <is>
          <t>finance &amp; investments</t>
        </is>
      </c>
      <c r="E270" s="30" t="inlineStr">
        <is>
          <t>largecap</t>
        </is>
      </c>
      <c r="F270" s="30" t="n">
        <v>236621.44</v>
      </c>
      <c r="G270" s="30" t="n">
        <v>1007.5</v>
      </c>
      <c r="H270" s="30" t="n">
        <v>0.17</v>
      </c>
      <c r="I270" s="30" t="n">
        <v>4353419</v>
      </c>
      <c r="J270" s="30" t="inlineStr">
        <is>
          <t>511218</t>
        </is>
      </c>
    </row>
    <row r="271">
      <c r="A271" s="30" t="inlineStr">
        <is>
          <t>TEGA</t>
        </is>
      </c>
      <c r="B271" s="30" t="inlineStr">
        <is>
          <t>Tega Industries Ltd</t>
        </is>
      </c>
      <c r="C271" s="30" t="inlineStr">
        <is>
          <t>industrials</t>
        </is>
      </c>
      <c r="D271" s="30" t="inlineStr">
        <is>
          <t>engineering</t>
        </is>
      </c>
      <c r="E271" s="30" t="inlineStr">
        <is>
          <t>midcap</t>
        </is>
      </c>
      <c r="F271" s="30" t="n">
        <v>13753.63</v>
      </c>
      <c r="G271" s="30" t="n">
        <v>1833.5</v>
      </c>
      <c r="H271" s="30" t="n">
        <v>0.15</v>
      </c>
      <c r="I271" s="30" t="n">
        <v>38433</v>
      </c>
      <c r="J271" s="30" t="inlineStr">
        <is>
          <t>543413</t>
        </is>
      </c>
    </row>
    <row r="272">
      <c r="A272" s="30" t="inlineStr">
        <is>
          <t>BBOX</t>
        </is>
      </c>
      <c r="B272" s="30" t="inlineStr">
        <is>
          <t>Black Box Ltd</t>
        </is>
      </c>
      <c r="C272" s="30" t="inlineStr">
        <is>
          <t>i.t</t>
        </is>
      </c>
      <c r="D272" s="30" t="inlineStr">
        <is>
          <t>computers - software - medium / small</t>
        </is>
      </c>
      <c r="E272" s="30" t="inlineStr">
        <is>
          <t>midcap</t>
        </is>
      </c>
      <c r="F272" s="30" t="n">
        <v>18045.94</v>
      </c>
      <c r="G272" s="30" t="n">
        <v>1018.2</v>
      </c>
      <c r="H272" s="30" t="n">
        <v>0.15</v>
      </c>
      <c r="I272" s="30" t="n">
        <v>456606</v>
      </c>
      <c r="J272" s="30" t="inlineStr">
        <is>
          <t>500463</t>
        </is>
      </c>
    </row>
    <row r="273">
      <c r="A273" s="30" t="inlineStr">
        <is>
          <t>AETHER</t>
        </is>
      </c>
      <c r="B273" s="30" t="inlineStr">
        <is>
          <t>Aether Industries Ltd</t>
        </is>
      </c>
      <c r="C273" s="30" t="inlineStr">
        <is>
          <t>chemicals</t>
        </is>
      </c>
      <c r="D273" s="30" t="inlineStr">
        <is>
          <t>chemicals</t>
        </is>
      </c>
      <c r="E273" s="30" t="inlineStr">
        <is>
          <t>midcap</t>
        </is>
      </c>
      <c r="F273" s="30" t="n">
        <v>15625.7</v>
      </c>
      <c r="G273" s="30" t="n">
        <v>1179.3</v>
      </c>
      <c r="H273" s="30" t="n">
        <v>0.14</v>
      </c>
      <c r="I273" s="30" t="n">
        <v>205767</v>
      </c>
      <c r="J273" s="30" t="inlineStr">
        <is>
          <t>543534</t>
        </is>
      </c>
    </row>
    <row r="274">
      <c r="A274" s="30" t="inlineStr">
        <is>
          <t>ANGELONE</t>
        </is>
      </c>
      <c r="B274" s="30" t="inlineStr">
        <is>
          <t>Angel One Ltd</t>
        </is>
      </c>
      <c r="C274" s="30" t="inlineStr">
        <is>
          <t>financials</t>
        </is>
      </c>
      <c r="D274" s="30" t="inlineStr">
        <is>
          <t>finance &amp; investments</t>
        </is>
      </c>
      <c r="E274" s="30" t="inlineStr">
        <is>
          <t>largecap</t>
        </is>
      </c>
      <c r="F274" s="30" t="n">
        <v>31720.67</v>
      </c>
      <c r="G274" s="30" t="n">
        <v>348.7</v>
      </c>
      <c r="H274" s="30" t="n">
        <v>0.13</v>
      </c>
      <c r="I274" s="30" t="n">
        <v>5718044</v>
      </c>
      <c r="J274" s="30" t="n"/>
    </row>
    <row r="275">
      <c r="A275" s="30" t="inlineStr">
        <is>
          <t>TIINDIA</t>
        </is>
      </c>
      <c r="B275" s="30" t="inlineStr">
        <is>
          <t>Tube Investments of India Ltd</t>
        </is>
      </c>
      <c r="C275" s="30" t="inlineStr">
        <is>
          <t>industrials</t>
        </is>
      </c>
      <c r="D275" s="30" t="inlineStr">
        <is>
          <t>steel - large</t>
        </is>
      </c>
      <c r="E275" s="30" t="inlineStr">
        <is>
          <t>largecap</t>
        </is>
      </c>
      <c r="F275" s="30" t="n">
        <v>63179.53</v>
      </c>
      <c r="G275" s="30" t="n">
        <v>3267.7</v>
      </c>
      <c r="H275" s="30" t="n">
        <v>0.11</v>
      </c>
      <c r="I275" s="30" t="n">
        <v>102689</v>
      </c>
      <c r="J275" s="30" t="inlineStr">
        <is>
          <t>540762</t>
        </is>
      </c>
    </row>
    <row r="276">
      <c r="A276" s="30" t="inlineStr">
        <is>
          <t>SWARAJENG</t>
        </is>
      </c>
      <c r="B276" s="30" t="inlineStr">
        <is>
          <t>Swaraj Engines Limited</t>
        </is>
      </c>
      <c r="C276" s="30" t="inlineStr">
        <is>
          <t>industrials</t>
        </is>
      </c>
      <c r="D276" s="30" t="inlineStr">
        <is>
          <t>engines</t>
        </is>
      </c>
      <c r="E276" s="30" t="inlineStr">
        <is>
          <t>smallcap</t>
        </is>
      </c>
      <c r="F276" s="30" t="n">
        <v>4686.2</v>
      </c>
      <c r="G276" s="30" t="n">
        <v>3861.1</v>
      </c>
      <c r="H276" s="30" t="n">
        <v>0.11</v>
      </c>
      <c r="I276" s="30" t="n">
        <v>10405</v>
      </c>
      <c r="J276" s="30" t="inlineStr">
        <is>
          <t>500407</t>
        </is>
      </c>
    </row>
    <row r="277">
      <c r="A277" s="30" t="inlineStr">
        <is>
          <t>RKFORGE</t>
        </is>
      </c>
      <c r="B277" s="30" t="inlineStr">
        <is>
          <t>Ramkrishna Forgings Limited</t>
        </is>
      </c>
      <c r="C277" s="30" t="inlineStr">
        <is>
          <t>industrials</t>
        </is>
      </c>
      <c r="D277" s="30" t="inlineStr">
        <is>
          <t>castings &amp; forgings</t>
        </is>
      </c>
      <c r="E277" s="30" t="inlineStr">
        <is>
          <t>midcap</t>
        </is>
      </c>
      <c r="F277" s="30" t="n">
        <v>10600.48</v>
      </c>
      <c r="G277" s="30" t="n">
        <v>584</v>
      </c>
      <c r="H277" s="30" t="n">
        <v>0.09</v>
      </c>
      <c r="I277" s="30" t="n">
        <v>180560</v>
      </c>
      <c r="J277" s="30" t="inlineStr">
        <is>
          <t>532527</t>
        </is>
      </c>
    </row>
    <row r="278">
      <c r="A278" s="30" t="inlineStr">
        <is>
          <t>ABDL</t>
        </is>
      </c>
      <c r="B278" s="30" t="inlineStr">
        <is>
          <t>Allied Blenders &amp; Distillers Ltd</t>
        </is>
      </c>
      <c r="C278" s="30" t="inlineStr">
        <is>
          <t>fmcg</t>
        </is>
      </c>
      <c r="D278" s="30" t="inlineStr">
        <is>
          <t>breweries &amp; distilleries</t>
        </is>
      </c>
      <c r="E278" s="30" t="inlineStr">
        <is>
          <t>midcap</t>
        </is>
      </c>
      <c r="F278" s="30" t="n">
        <v>17614.75</v>
      </c>
      <c r="G278" s="30" t="n">
        <v>630.25</v>
      </c>
      <c r="H278" s="30" t="n">
        <v>0.08</v>
      </c>
      <c r="I278" s="30" t="n">
        <v>161710</v>
      </c>
      <c r="J278" s="30" t="inlineStr">
        <is>
          <t>544203</t>
        </is>
      </c>
    </row>
    <row r="279">
      <c r="A279" s="30" t="inlineStr">
        <is>
          <t>DLINKINDIA</t>
        </is>
      </c>
      <c r="B279" s="30" t="inlineStr">
        <is>
          <t>D-link (india) Limited</t>
        </is>
      </c>
      <c r="C279" s="30" t="inlineStr">
        <is>
          <t>services</t>
        </is>
      </c>
      <c r="D279" s="30" t="inlineStr">
        <is>
          <t>trading</t>
        </is>
      </c>
      <c r="E279" s="30" t="inlineStr">
        <is>
          <t>smallcap</t>
        </is>
      </c>
      <c r="F279" s="30" t="n">
        <v>1812.88</v>
      </c>
      <c r="G279" s="30" t="n">
        <v>511</v>
      </c>
      <c r="H279" s="30" t="n">
        <v>0.08</v>
      </c>
      <c r="I279" s="30" t="n">
        <v>123381</v>
      </c>
      <c r="J279" s="30" t="inlineStr">
        <is>
          <t>533146</t>
        </is>
      </c>
    </row>
    <row r="280">
      <c r="A280" s="30" t="inlineStr">
        <is>
          <t>VIJAYA</t>
        </is>
      </c>
      <c r="B280" s="30" t="inlineStr">
        <is>
          <t>Vijaya Diagnostic Centre Ltd</t>
        </is>
      </c>
      <c r="C280" s="30" t="inlineStr">
        <is>
          <t>healthcare</t>
        </is>
      </c>
      <c r="D280" s="30" t="inlineStr">
        <is>
          <t>healthcare</t>
        </is>
      </c>
      <c r="E280" s="30" t="inlineStr">
        <is>
          <t>midcap</t>
        </is>
      </c>
      <c r="F280" s="30" t="n">
        <v>13362.17</v>
      </c>
      <c r="G280" s="30" t="n">
        <v>1299.5</v>
      </c>
      <c r="H280" s="30" t="n">
        <v>0.07000000000000001</v>
      </c>
      <c r="I280" s="30" t="n">
        <v>122820</v>
      </c>
      <c r="J280" s="30" t="inlineStr">
        <is>
          <t>543350</t>
        </is>
      </c>
    </row>
    <row r="281">
      <c r="A281" s="30" t="inlineStr">
        <is>
          <t>MMFL</t>
        </is>
      </c>
      <c r="B281" s="30" t="inlineStr">
        <is>
          <t>Mm Forgings Limited</t>
        </is>
      </c>
      <c r="C281" s="30" t="inlineStr">
        <is>
          <t>industrials</t>
        </is>
      </c>
      <c r="D281" s="30" t="inlineStr">
        <is>
          <t>castings &amp; forgings</t>
        </is>
      </c>
      <c r="E281" s="30" t="inlineStr">
        <is>
          <t>smallcap</t>
        </is>
      </c>
      <c r="F281" s="30" t="n">
        <v>2276.96</v>
      </c>
      <c r="G281" s="30" t="n">
        <v>471.85</v>
      </c>
      <c r="H281" s="30" t="n">
        <v>0.05</v>
      </c>
      <c r="I281" s="30" t="n">
        <v>42708</v>
      </c>
      <c r="J281" s="30" t="inlineStr">
        <is>
          <t>522241</t>
        </is>
      </c>
    </row>
    <row r="282">
      <c r="A282" s="30" t="inlineStr">
        <is>
          <t>PHOENIXLTD</t>
        </is>
      </c>
      <c r="B282" s="30" t="inlineStr">
        <is>
          <t>The Phoenix Mills Limited</t>
        </is>
      </c>
      <c r="C282" s="30" t="inlineStr">
        <is>
          <t>realty</t>
        </is>
      </c>
      <c r="D282" s="30" t="inlineStr">
        <is>
          <t>construction</t>
        </is>
      </c>
      <c r="E282" s="30" t="inlineStr">
        <is>
          <t>largecap</t>
        </is>
      </c>
      <c r="F282" s="30" t="n">
        <v>66813.3</v>
      </c>
      <c r="G282" s="30" t="n">
        <v>1869.1</v>
      </c>
      <c r="H282" s="30" t="n">
        <v>0.05</v>
      </c>
      <c r="I282" s="30" t="n">
        <v>670639</v>
      </c>
      <c r="J282" s="30" t="inlineStr">
        <is>
          <t>503100</t>
        </is>
      </c>
    </row>
    <row r="283">
      <c r="A283" s="30" t="inlineStr">
        <is>
          <t>PREMIERENE</t>
        </is>
      </c>
      <c r="B283" s="30" t="inlineStr">
        <is>
          <t>Premier Energies Ltd</t>
        </is>
      </c>
      <c r="C283" s="30" t="inlineStr">
        <is>
          <t>services</t>
        </is>
      </c>
      <c r="D283" s="30" t="inlineStr">
        <is>
          <t>trading</t>
        </is>
      </c>
      <c r="E283" s="30" t="inlineStr">
        <is>
          <t>largecap</t>
        </is>
      </c>
      <c r="F283" s="30" t="n">
        <v>47804.5</v>
      </c>
      <c r="G283" s="30" t="n">
        <v>1055.8</v>
      </c>
      <c r="H283" s="30" t="n">
        <v>0.05</v>
      </c>
      <c r="I283" s="30" t="n">
        <v>741569</v>
      </c>
      <c r="J283" s="30" t="n"/>
    </row>
    <row r="284">
      <c r="A284" s="30" t="inlineStr">
        <is>
          <t>GLOSTERLTD</t>
        </is>
      </c>
      <c r="B284" s="30" t="inlineStr">
        <is>
          <t>Gloster Ltd</t>
        </is>
      </c>
      <c r="C284" s="30" t="inlineStr">
        <is>
          <t>textiles</t>
        </is>
      </c>
      <c r="D284" s="30" t="inlineStr">
        <is>
          <t>textiles - jute - yarn / products</t>
        </is>
      </c>
      <c r="E284" s="30" t="inlineStr">
        <is>
          <t>smallcap</t>
        </is>
      </c>
      <c r="F284" s="30" t="n">
        <v>747.97</v>
      </c>
      <c r="G284" s="30" t="n">
        <v>683.85</v>
      </c>
      <c r="H284" s="30" t="n">
        <v>0.05</v>
      </c>
      <c r="I284" s="30" t="n">
        <v>2477</v>
      </c>
      <c r="J284" s="30" t="inlineStr">
        <is>
          <t>542351</t>
        </is>
      </c>
    </row>
    <row r="285">
      <c r="A285" s="30" t="inlineStr">
        <is>
          <t>BFINVEST</t>
        </is>
      </c>
      <c r="B285" s="30" t="inlineStr">
        <is>
          <t>Bf Investment Limited</t>
        </is>
      </c>
      <c r="C285" s="30" t="inlineStr">
        <is>
          <t>financials</t>
        </is>
      </c>
      <c r="D285" s="30" t="inlineStr">
        <is>
          <t>finance &amp; investments</t>
        </is>
      </c>
      <c r="E285" s="30" t="inlineStr">
        <is>
          <t>smallcap</t>
        </is>
      </c>
      <c r="F285" s="30" t="n">
        <v>1701.82</v>
      </c>
      <c r="G285" s="30" t="n">
        <v>452</v>
      </c>
      <c r="H285" s="30" t="n">
        <v>0.04</v>
      </c>
      <c r="I285" s="30" t="n">
        <v>17676</v>
      </c>
      <c r="J285" s="30" t="inlineStr">
        <is>
          <t>533303</t>
        </is>
      </c>
    </row>
    <row r="286">
      <c r="A286" s="30" t="inlineStr">
        <is>
          <t>PRESTIGE</t>
        </is>
      </c>
      <c r="B286" s="30" t="inlineStr">
        <is>
          <t>Prestige Estates Projects Limited</t>
        </is>
      </c>
      <c r="C286" s="30" t="inlineStr">
        <is>
          <t>realty</t>
        </is>
      </c>
      <c r="D286" s="30" t="inlineStr">
        <is>
          <t>construction</t>
        </is>
      </c>
      <c r="E286" s="30" t="inlineStr">
        <is>
          <t>largecap</t>
        </is>
      </c>
      <c r="F286" s="30" t="n">
        <v>65518.38</v>
      </c>
      <c r="G286" s="30" t="n">
        <v>1521.5</v>
      </c>
      <c r="H286" s="30" t="n">
        <v>0.03</v>
      </c>
      <c r="I286" s="30" t="n">
        <v>914420</v>
      </c>
      <c r="J286" s="30" t="inlineStr">
        <is>
          <t>533274</t>
        </is>
      </c>
    </row>
    <row r="287">
      <c r="A287" s="30" t="inlineStr">
        <is>
          <t>SUPRAJIT</t>
        </is>
      </c>
      <c r="B287" s="30" t="inlineStr">
        <is>
          <t>Suprajit Engineering Limited</t>
        </is>
      </c>
      <c r="C287" s="30" t="inlineStr">
        <is>
          <t>auto</t>
        </is>
      </c>
      <c r="D287" s="30" t="inlineStr">
        <is>
          <t>auto ancillaries</t>
        </is>
      </c>
      <c r="E287" s="30" t="inlineStr">
        <is>
          <t>midcap</t>
        </is>
      </c>
      <c r="F287" s="30" t="n">
        <v>6335.25</v>
      </c>
      <c r="G287" s="30" t="n">
        <v>462</v>
      </c>
      <c r="H287" s="30" t="n">
        <v>0.03</v>
      </c>
      <c r="I287" s="30" t="n">
        <v>140032</v>
      </c>
      <c r="J287" s="30" t="inlineStr">
        <is>
          <t>532509</t>
        </is>
      </c>
    </row>
    <row r="288">
      <c r="A288" s="30" t="inlineStr">
        <is>
          <t>ADFFOODS</t>
        </is>
      </c>
      <c r="B288" s="30" t="inlineStr">
        <is>
          <t>Adf Foods Limited</t>
        </is>
      </c>
      <c r="C288" s="30" t="inlineStr">
        <is>
          <t>fmcg</t>
        </is>
      </c>
      <c r="D288" s="30" t="inlineStr">
        <is>
          <t>food - processing - indian</t>
        </is>
      </c>
      <c r="E288" s="30" t="inlineStr">
        <is>
          <t>smallcap</t>
        </is>
      </c>
      <c r="F288" s="30" t="n">
        <v>3309.64</v>
      </c>
      <c r="G288" s="30" t="n">
        <v>301.3</v>
      </c>
      <c r="H288" s="30" t="n">
        <v>0.02</v>
      </c>
      <c r="I288" s="30" t="n">
        <v>331910</v>
      </c>
      <c r="J288" s="30" t="inlineStr">
        <is>
          <t>519183</t>
        </is>
      </c>
    </row>
    <row r="289">
      <c r="A289" s="30" t="inlineStr">
        <is>
          <t>CHOICEIN</t>
        </is>
      </c>
      <c r="B289" s="30" t="inlineStr">
        <is>
          <t>Choice International Ltd</t>
        </is>
      </c>
      <c r="C289" s="30" t="inlineStr">
        <is>
          <t>financials</t>
        </is>
      </c>
      <c r="D289" s="30" t="inlineStr">
        <is>
          <t>finance &amp; investments</t>
        </is>
      </c>
      <c r="E289" s="30" t="inlineStr">
        <is>
          <t>midcap</t>
        </is>
      </c>
      <c r="F289" s="30" t="n">
        <v>15810.45</v>
      </c>
      <c r="G289" s="30" t="n">
        <v>709.75</v>
      </c>
      <c r="H289" s="30" t="n">
        <v>0.01</v>
      </c>
      <c r="I289" s="30" t="n">
        <v>738782</v>
      </c>
      <c r="J289" s="30" t="inlineStr">
        <is>
          <t>531358</t>
        </is>
      </c>
    </row>
    <row r="290">
      <c r="A290" s="30" t="inlineStr">
        <is>
          <t>ADANIENSOL</t>
        </is>
      </c>
      <c r="B290" s="30" t="inlineStr">
        <is>
          <t>Adani Energy Solutions Ltd</t>
        </is>
      </c>
      <c r="C290" s="30" t="inlineStr">
        <is>
          <t>power &amp; utilities</t>
        </is>
      </c>
      <c r="D290" s="30" t="inlineStr">
        <is>
          <t>power generation and supply</t>
        </is>
      </c>
      <c r="E290" s="30" t="inlineStr">
        <is>
          <t>largecap</t>
        </is>
      </c>
      <c r="F290" s="30" t="n">
        <v>179123.25</v>
      </c>
      <c r="G290" s="30" t="n">
        <v>1491</v>
      </c>
      <c r="H290" s="30" t="n">
        <v>-0.01</v>
      </c>
      <c r="I290" s="30" t="n">
        <v>1270712</v>
      </c>
      <c r="J290" s="30" t="inlineStr">
        <is>
          <t>539254</t>
        </is>
      </c>
    </row>
    <row r="291">
      <c r="A291" s="30" t="inlineStr">
        <is>
          <t>THYROCARE</t>
        </is>
      </c>
      <c r="B291" s="30" t="inlineStr">
        <is>
          <t>Thyrocare Technologies Limited</t>
        </is>
      </c>
      <c r="C291" s="30" t="inlineStr">
        <is>
          <t>healthcare</t>
        </is>
      </c>
      <c r="D291" s="30" t="inlineStr">
        <is>
          <t>healthcare</t>
        </is>
      </c>
      <c r="E291" s="30" t="inlineStr">
        <is>
          <t>midcap</t>
        </is>
      </c>
      <c r="F291" s="30" t="n">
        <v>8493.059999999999</v>
      </c>
      <c r="G291" s="30" t="n">
        <v>533.5</v>
      </c>
      <c r="H291" s="30" t="n">
        <v>-0.02</v>
      </c>
      <c r="I291" s="30" t="n">
        <v>149817</v>
      </c>
      <c r="J291" s="30" t="inlineStr">
        <is>
          <t>539871</t>
        </is>
      </c>
    </row>
    <row r="292">
      <c r="A292" s="30" t="inlineStr">
        <is>
          <t>QPOWER</t>
        </is>
      </c>
      <c r="B292" s="30" t="inlineStr">
        <is>
          <t>Quality Power Electrical Equipments Ltd</t>
        </is>
      </c>
      <c r="C292" s="30" t="inlineStr">
        <is>
          <t>industrials</t>
        </is>
      </c>
      <c r="D292" s="30" t="inlineStr">
        <is>
          <t>electric equipment</t>
        </is>
      </c>
      <c r="E292" s="30" t="inlineStr">
        <is>
          <t>midcap</t>
        </is>
      </c>
      <c r="F292" s="30" t="n">
        <v>9664.25</v>
      </c>
      <c r="G292" s="30" t="n">
        <v>1247.6</v>
      </c>
      <c r="H292" s="30" t="n">
        <v>-0.02</v>
      </c>
      <c r="I292" s="30" t="n">
        <v>236449</v>
      </c>
      <c r="J292" s="30" t="inlineStr">
        <is>
          <t>544367</t>
        </is>
      </c>
    </row>
    <row r="293">
      <c r="A293" s="30" t="inlineStr">
        <is>
          <t>LTF</t>
        </is>
      </c>
      <c r="B293" s="30" t="inlineStr">
        <is>
          <t>L&amp;T Finance Ltd</t>
        </is>
      </c>
      <c r="C293" s="30" t="inlineStr">
        <is>
          <t>financials</t>
        </is>
      </c>
      <c r="D293" s="30" t="inlineStr">
        <is>
          <t>finance &amp; investments</t>
        </is>
      </c>
      <c r="E293" s="30" t="inlineStr">
        <is>
          <t>largecap</t>
        </is>
      </c>
      <c r="F293" s="30" t="n">
        <v>73691.56</v>
      </c>
      <c r="G293" s="30" t="n">
        <v>294.15</v>
      </c>
      <c r="H293" s="30" t="n">
        <v>-0.03</v>
      </c>
      <c r="I293" s="30" t="n">
        <v>2767001</v>
      </c>
      <c r="J293" s="30" t="inlineStr">
        <is>
          <t>533519</t>
        </is>
      </c>
    </row>
    <row r="294">
      <c r="A294" s="30" t="inlineStr">
        <is>
          <t>EXIDEIND</t>
        </is>
      </c>
      <c r="B294" s="30" t="inlineStr">
        <is>
          <t>Exide Industries Limited</t>
        </is>
      </c>
      <c r="C294" s="30" t="inlineStr">
        <is>
          <t>auto</t>
        </is>
      </c>
      <c r="D294" s="30" t="inlineStr">
        <is>
          <t>auto ancillaries</t>
        </is>
      </c>
      <c r="E294" s="30" t="inlineStr">
        <is>
          <t>largecap</t>
        </is>
      </c>
      <c r="F294" s="30" t="n">
        <v>33026.75</v>
      </c>
      <c r="G294" s="30" t="n">
        <v>388.4</v>
      </c>
      <c r="H294" s="30" t="n">
        <v>-0.04</v>
      </c>
      <c r="I294" s="30" t="n">
        <v>1037390</v>
      </c>
      <c r="J294" s="30" t="inlineStr">
        <is>
          <t>500086</t>
        </is>
      </c>
    </row>
    <row r="295">
      <c r="A295" s="30" t="inlineStr">
        <is>
          <t>RELIGARE</t>
        </is>
      </c>
      <c r="B295" s="30" t="inlineStr">
        <is>
          <t>Religare Enterprises Limited</t>
        </is>
      </c>
      <c r="C295" s="30" t="inlineStr">
        <is>
          <t>financials</t>
        </is>
      </c>
      <c r="D295" s="30" t="inlineStr">
        <is>
          <t>finance &amp; investments</t>
        </is>
      </c>
      <c r="E295" s="30" t="inlineStr">
        <is>
          <t>midcap</t>
        </is>
      </c>
      <c r="F295" s="30" t="n">
        <v>8181.45</v>
      </c>
      <c r="G295" s="30" t="n">
        <v>245.68</v>
      </c>
      <c r="H295" s="30" t="n">
        <v>-0.04</v>
      </c>
      <c r="I295" s="30" t="n">
        <v>1069551</v>
      </c>
      <c r="J295" s="30" t="inlineStr">
        <is>
          <t>532915</t>
        </is>
      </c>
    </row>
    <row r="296">
      <c r="A296" s="30" t="inlineStr">
        <is>
          <t>IGPL</t>
        </is>
      </c>
      <c r="B296" s="30" t="inlineStr">
        <is>
          <t>Ig Petrochemicals Limited</t>
        </is>
      </c>
      <c r="C296" s="30" t="inlineStr">
        <is>
          <t>chemicals</t>
        </is>
      </c>
      <c r="D296" s="30" t="inlineStr">
        <is>
          <t>chemicals</t>
        </is>
      </c>
      <c r="E296" s="30" t="inlineStr">
        <is>
          <t>smallcap</t>
        </is>
      </c>
      <c r="F296" s="30" t="n">
        <v>1376.84</v>
      </c>
      <c r="G296" s="30" t="n">
        <v>446.9</v>
      </c>
      <c r="H296" s="30" t="n">
        <v>-0.04</v>
      </c>
      <c r="I296" s="30" t="n">
        <v>16680</v>
      </c>
      <c r="J296" s="30" t="inlineStr">
        <is>
          <t>500199</t>
        </is>
      </c>
    </row>
    <row r="297">
      <c r="A297" s="30" t="inlineStr">
        <is>
          <t>PSPPROJECT</t>
        </is>
      </c>
      <c r="B297" s="30" t="inlineStr">
        <is>
          <t>PSP Projects Ltd</t>
        </is>
      </c>
      <c r="C297" s="30" t="inlineStr">
        <is>
          <t>realty</t>
        </is>
      </c>
      <c r="D297" s="30" t="inlineStr">
        <is>
          <t>construction</t>
        </is>
      </c>
      <c r="E297" s="30" t="inlineStr">
        <is>
          <t>smallcap</t>
        </is>
      </c>
      <c r="F297" s="30" t="n">
        <v>3598.68</v>
      </c>
      <c r="G297" s="30" t="n">
        <v>907.45</v>
      </c>
      <c r="H297" s="30" t="n">
        <v>-0.04</v>
      </c>
      <c r="I297" s="30" t="n">
        <v>62976</v>
      </c>
      <c r="J297" s="30" t="inlineStr">
        <is>
          <t>540544</t>
        </is>
      </c>
    </row>
    <row r="298">
      <c r="A298" s="30" t="inlineStr">
        <is>
          <t>ONEPOINT</t>
        </is>
      </c>
      <c r="B298" s="30" t="inlineStr">
        <is>
          <t>One Point One Solutions Ltd</t>
        </is>
      </c>
      <c r="C298" s="30" t="inlineStr">
        <is>
          <t>i.t</t>
        </is>
      </c>
      <c r="D298" s="30" t="inlineStr">
        <is>
          <t>computers - software - medium / small</t>
        </is>
      </c>
      <c r="E298" s="30" t="inlineStr">
        <is>
          <t>smallcap</t>
        </is>
      </c>
      <c r="F298" s="30" t="n">
        <v>1573.41</v>
      </c>
      <c r="G298" s="30" t="n">
        <v>59.8</v>
      </c>
      <c r="H298" s="30" t="n">
        <v>-0.07000000000000001</v>
      </c>
      <c r="I298" s="30" t="n">
        <v>1321115</v>
      </c>
      <c r="J298" s="30" t="inlineStr">
        <is>
          <t>535039</t>
        </is>
      </c>
    </row>
    <row r="299">
      <c r="A299" s="30" t="inlineStr">
        <is>
          <t>CHOLAFIN</t>
        </is>
      </c>
      <c r="B299" s="30" t="inlineStr">
        <is>
          <t>Cholamandalam Investment And Finance Company Limited</t>
        </is>
      </c>
      <c r="C299" s="30" t="inlineStr">
        <is>
          <t>financials</t>
        </is>
      </c>
      <c r="D299" s="30" t="inlineStr">
        <is>
          <t>finance &amp; investments</t>
        </is>
      </c>
      <c r="E299" s="30" t="inlineStr">
        <is>
          <t>largecap</t>
        </is>
      </c>
      <c r="F299" s="30" t="n">
        <v>143176.33</v>
      </c>
      <c r="G299" s="30" t="n">
        <v>1679.2</v>
      </c>
      <c r="H299" s="30" t="n">
        <v>-0.07000000000000001</v>
      </c>
      <c r="I299" s="30" t="n">
        <v>980447</v>
      </c>
      <c r="J299" s="30" t="inlineStr">
        <is>
          <t>511243</t>
        </is>
      </c>
    </row>
    <row r="300">
      <c r="A300" s="30" t="inlineStr">
        <is>
          <t>SYRMA</t>
        </is>
      </c>
      <c r="B300" s="30" t="inlineStr">
        <is>
          <t>Syrma SGS Technology Ltd</t>
        </is>
      </c>
      <c r="C300" s="30" t="inlineStr">
        <is>
          <t>consumer discretionary</t>
        </is>
      </c>
      <c r="D300" s="30" t="inlineStr">
        <is>
          <t>electronics - components</t>
        </is>
      </c>
      <c r="E300" s="30" t="inlineStr">
        <is>
          <t>largecap</t>
        </is>
      </c>
      <c r="F300" s="30" t="n">
        <v>25054.46</v>
      </c>
      <c r="G300" s="30" t="n">
        <v>1298.3</v>
      </c>
      <c r="H300" s="30" t="n">
        <v>-0.08</v>
      </c>
      <c r="I300" s="30" t="n">
        <v>786824</v>
      </c>
      <c r="J300" s="30" t="inlineStr">
        <is>
          <t>543573</t>
        </is>
      </c>
    </row>
    <row r="301">
      <c r="A301" s="30" t="inlineStr">
        <is>
          <t>HESTERBIO</t>
        </is>
      </c>
      <c r="B301" s="30" t="inlineStr">
        <is>
          <t>Hester Biosciences Limited</t>
        </is>
      </c>
      <c r="C301" s="30" t="inlineStr">
        <is>
          <t>healthcare</t>
        </is>
      </c>
      <c r="D301" s="30" t="inlineStr">
        <is>
          <t>pharmaceuticals - indian - formulations</t>
        </is>
      </c>
      <c r="E301" s="30" t="inlineStr">
        <is>
          <t>smallcap</t>
        </is>
      </c>
      <c r="F301" s="30" t="n">
        <v>1747.65</v>
      </c>
      <c r="G301" s="30" t="n">
        <v>2052.6</v>
      </c>
      <c r="H301" s="30" t="n">
        <v>-0.09</v>
      </c>
      <c r="I301" s="30" t="n">
        <v>4012</v>
      </c>
      <c r="J301" s="30" t="inlineStr">
        <is>
          <t>524669</t>
        </is>
      </c>
    </row>
    <row r="302">
      <c r="A302" s="30" t="inlineStr">
        <is>
          <t>RML</t>
        </is>
      </c>
      <c r="B302" s="30" t="inlineStr">
        <is>
          <t>Rane (madras) Limited</t>
        </is>
      </c>
      <c r="C302" s="30" t="inlineStr">
        <is>
          <t>auto</t>
        </is>
      </c>
      <c r="D302" s="30" t="inlineStr">
        <is>
          <t>auto ancillaries</t>
        </is>
      </c>
      <c r="E302" s="30" t="inlineStr">
        <is>
          <t>smallcap</t>
        </is>
      </c>
      <c r="F302" s="30" t="n">
        <v>2707.2</v>
      </c>
      <c r="G302" s="30" t="n">
        <v>978.6</v>
      </c>
      <c r="H302" s="30" t="n">
        <v>-0.1</v>
      </c>
      <c r="I302" s="30" t="n">
        <v>46693</v>
      </c>
      <c r="J302" s="30" t="inlineStr">
        <is>
          <t>532661</t>
        </is>
      </c>
    </row>
    <row r="303">
      <c r="A303" s="30" t="inlineStr">
        <is>
          <t>EDELWEISS</t>
        </is>
      </c>
      <c r="B303" s="30" t="inlineStr">
        <is>
          <t>Edelweiss Financial Services Limited</t>
        </is>
      </c>
      <c r="C303" s="30" t="inlineStr">
        <is>
          <t>financials</t>
        </is>
      </c>
      <c r="D303" s="30" t="inlineStr">
        <is>
          <t>finance &amp; investments</t>
        </is>
      </c>
      <c r="E303" s="30" t="inlineStr">
        <is>
          <t>midcap</t>
        </is>
      </c>
      <c r="F303" s="30" t="n">
        <v>11410.44</v>
      </c>
      <c r="G303" s="30" t="n">
        <v>120.43</v>
      </c>
      <c r="H303" s="30" t="n">
        <v>-0.1</v>
      </c>
      <c r="I303" s="30" t="n">
        <v>11066335</v>
      </c>
      <c r="J303" s="30" t="inlineStr">
        <is>
          <t>532922</t>
        </is>
      </c>
    </row>
    <row r="304">
      <c r="A304" s="30" t="inlineStr">
        <is>
          <t>INDSWFTLAB</t>
        </is>
      </c>
      <c r="B304" s="30" t="inlineStr">
        <is>
          <t>Ind-swift Laboratories Limited</t>
        </is>
      </c>
      <c r="C304" s="30" t="inlineStr">
        <is>
          <t>healthcare</t>
        </is>
      </c>
      <c r="D304" s="30" t="inlineStr">
        <is>
          <t>pharmaceuticals - indian - bulk drugs &amp; formln</t>
        </is>
      </c>
      <c r="E304" s="30" t="inlineStr">
        <is>
          <t>smallcap</t>
        </is>
      </c>
      <c r="F304" s="30" t="n">
        <v>1412.31</v>
      </c>
      <c r="G304" s="30" t="n">
        <v>162.48</v>
      </c>
      <c r="H304" s="30" t="n">
        <v>-0.1</v>
      </c>
      <c r="I304" s="30" t="n">
        <v>472194</v>
      </c>
      <c r="J304" s="30" t="inlineStr">
        <is>
          <t>532305</t>
        </is>
      </c>
    </row>
    <row r="305">
      <c r="A305" s="30" t="inlineStr">
        <is>
          <t>RAMCOSYS</t>
        </is>
      </c>
      <c r="B305" s="30" t="inlineStr">
        <is>
          <t>Ramco Systems Limited</t>
        </is>
      </c>
      <c r="C305" s="30" t="inlineStr">
        <is>
          <t>i.t</t>
        </is>
      </c>
      <c r="D305" s="30" t="inlineStr">
        <is>
          <t>computers - software - medium / small</t>
        </is>
      </c>
      <c r="E305" s="30" t="inlineStr">
        <is>
          <t>smallcap</t>
        </is>
      </c>
      <c r="F305" s="30" t="n">
        <v>2136.03</v>
      </c>
      <c r="G305" s="30" t="n">
        <v>570.3</v>
      </c>
      <c r="H305" s="30" t="n">
        <v>-0.11</v>
      </c>
      <c r="I305" s="30" t="n">
        <v>508569</v>
      </c>
      <c r="J305" s="30" t="inlineStr">
        <is>
          <t>532370</t>
        </is>
      </c>
    </row>
    <row r="306">
      <c r="A306" s="30" t="inlineStr">
        <is>
          <t>BAJFINANCE</t>
        </is>
      </c>
      <c r="B306" s="30" t="inlineStr">
        <is>
          <t>Bajaj Finance Limited</t>
        </is>
      </c>
      <c r="C306" s="30" t="inlineStr">
        <is>
          <t>financials</t>
        </is>
      </c>
      <c r="D306" s="30" t="inlineStr">
        <is>
          <t>finance &amp; investments</t>
        </is>
      </c>
      <c r="E306" s="30" t="inlineStr">
        <is>
          <t>largecap</t>
        </is>
      </c>
      <c r="F306" s="30" t="n">
        <v>597140.47</v>
      </c>
      <c r="G306" s="30" t="n">
        <v>958.4</v>
      </c>
      <c r="H306" s="30" t="n">
        <v>-0.13</v>
      </c>
      <c r="I306" s="30" t="n">
        <v>5682977</v>
      </c>
      <c r="J306" s="30" t="inlineStr">
        <is>
          <t>500034</t>
        </is>
      </c>
    </row>
    <row r="307">
      <c r="A307" s="30" t="inlineStr">
        <is>
          <t>FILATEX</t>
        </is>
      </c>
      <c r="B307" s="30" t="inlineStr">
        <is>
          <t>Filatex India Limited</t>
        </is>
      </c>
      <c r="C307" s="30" t="inlineStr">
        <is>
          <t>textiles</t>
        </is>
      </c>
      <c r="D307" s="30" t="inlineStr">
        <is>
          <t>textiles - manmade</t>
        </is>
      </c>
      <c r="E307" s="30" t="inlineStr">
        <is>
          <t>smallcap</t>
        </is>
      </c>
      <c r="F307" s="30" t="n">
        <v>2361.06</v>
      </c>
      <c r="G307" s="30" t="n">
        <v>53.1</v>
      </c>
      <c r="H307" s="30" t="n">
        <v>-0.13</v>
      </c>
      <c r="I307" s="30" t="n">
        <v>718482</v>
      </c>
      <c r="J307" s="30" t="inlineStr">
        <is>
          <t>526227</t>
        </is>
      </c>
    </row>
    <row r="308">
      <c r="A308" s="30" t="inlineStr">
        <is>
          <t>EQUITASBNK</t>
        </is>
      </c>
      <c r="B308" s="30" t="inlineStr">
        <is>
          <t>Equitas Small Finance Bank Ltd</t>
        </is>
      </c>
      <c r="C308" s="30" t="inlineStr">
        <is>
          <t>bank</t>
        </is>
      </c>
      <c r="D308" s="30" t="inlineStr">
        <is>
          <t>banks - private sector</t>
        </is>
      </c>
      <c r="E308" s="30" t="inlineStr">
        <is>
          <t>midcap</t>
        </is>
      </c>
      <c r="F308" s="30" t="n">
        <v>8985.709999999999</v>
      </c>
      <c r="G308" s="30" t="n">
        <v>78.65000000000001</v>
      </c>
      <c r="H308" s="30" t="n">
        <v>-0.13</v>
      </c>
      <c r="I308" s="30" t="n">
        <v>3409171</v>
      </c>
      <c r="J308" s="30" t="inlineStr">
        <is>
          <t>543243</t>
        </is>
      </c>
    </row>
    <row r="309">
      <c r="A309" s="30" t="inlineStr">
        <is>
          <t>RBLBANK</t>
        </is>
      </c>
      <c r="B309" s="30" t="inlineStr">
        <is>
          <t>Rbl Bank Limited</t>
        </is>
      </c>
      <c r="C309" s="30" t="inlineStr">
        <is>
          <t>bank</t>
        </is>
      </c>
      <c r="D309" s="30" t="inlineStr">
        <is>
          <t>banks - private sector</t>
        </is>
      </c>
      <c r="E309" s="30" t="inlineStr">
        <is>
          <t>largecap</t>
        </is>
      </c>
      <c r="F309" s="30" t="n">
        <v>22851.58</v>
      </c>
      <c r="G309" s="30" t="n">
        <v>369.2</v>
      </c>
      <c r="H309" s="30" t="n">
        <v>-0.14</v>
      </c>
      <c r="I309" s="30" t="n">
        <v>2703651</v>
      </c>
      <c r="J309" s="30" t="inlineStr">
        <is>
          <t>540065</t>
        </is>
      </c>
    </row>
    <row r="310">
      <c r="A310" s="30" t="inlineStr">
        <is>
          <t>MOTILALOFS</t>
        </is>
      </c>
      <c r="B310" s="30" t="inlineStr">
        <is>
          <t>Motilal Oswal Financial Services Limited</t>
        </is>
      </c>
      <c r="C310" s="30" t="inlineStr">
        <is>
          <t>financials</t>
        </is>
      </c>
      <c r="D310" s="30" t="inlineStr">
        <is>
          <t>finance &amp; investments</t>
        </is>
      </c>
      <c r="E310" s="30" t="inlineStr">
        <is>
          <t>largecap</t>
        </is>
      </c>
      <c r="F310" s="30" t="n">
        <v>56830.64</v>
      </c>
      <c r="G310" s="30" t="n">
        <v>942.85</v>
      </c>
      <c r="H310" s="30" t="n">
        <v>-0.15</v>
      </c>
      <c r="I310" s="30" t="n">
        <v>1087078</v>
      </c>
      <c r="J310" s="30" t="inlineStr">
        <is>
          <t>532892</t>
        </is>
      </c>
    </row>
    <row r="311">
      <c r="A311" s="30" t="inlineStr">
        <is>
          <t>VADILALIND</t>
        </is>
      </c>
      <c r="B311" s="30" t="inlineStr">
        <is>
          <t>Vadilal Industries Limited</t>
        </is>
      </c>
      <c r="C311" s="30" t="inlineStr">
        <is>
          <t>fmcg</t>
        </is>
      </c>
      <c r="D311" s="30" t="inlineStr">
        <is>
          <t>food - processing - indian</t>
        </is>
      </c>
      <c r="E311" s="30" t="inlineStr">
        <is>
          <t>smallcap</t>
        </is>
      </c>
      <c r="F311" s="30" t="n">
        <v>4440.64</v>
      </c>
      <c r="G311" s="30" t="n">
        <v>6168.9</v>
      </c>
      <c r="H311" s="30" t="n">
        <v>-0.15</v>
      </c>
      <c r="I311" s="30" t="n">
        <v>31707</v>
      </c>
      <c r="J311" s="30" t="inlineStr">
        <is>
          <t>519156</t>
        </is>
      </c>
    </row>
    <row r="312">
      <c r="A312" s="30" t="inlineStr">
        <is>
          <t>IDFCFIRSTB</t>
        </is>
      </c>
      <c r="B312" s="30" t="inlineStr">
        <is>
          <t>IDFC First Bank Ltd</t>
        </is>
      </c>
      <c r="C312" s="30" t="inlineStr">
        <is>
          <t>bank</t>
        </is>
      </c>
      <c r="D312" s="30" t="inlineStr">
        <is>
          <t>banks - private sector</t>
        </is>
      </c>
      <c r="E312" s="30" t="inlineStr">
        <is>
          <t>largecap</t>
        </is>
      </c>
      <c r="F312" s="30" t="n">
        <v>66663.17</v>
      </c>
      <c r="G312" s="30" t="n">
        <v>77.38</v>
      </c>
      <c r="H312" s="30" t="n">
        <v>-0.15</v>
      </c>
      <c r="I312" s="30" t="n">
        <v>20456804</v>
      </c>
      <c r="J312" s="30" t="inlineStr">
        <is>
          <t>539437</t>
        </is>
      </c>
    </row>
    <row r="313">
      <c r="A313" s="30" t="inlineStr">
        <is>
          <t>RADICO</t>
        </is>
      </c>
      <c r="B313" s="30" t="inlineStr">
        <is>
          <t>Radico Khaitan Limited</t>
        </is>
      </c>
      <c r="C313" s="30" t="inlineStr">
        <is>
          <t>fmcg</t>
        </is>
      </c>
      <c r="D313" s="30" t="inlineStr">
        <is>
          <t>breweries &amp; distilleries</t>
        </is>
      </c>
      <c r="E313" s="30" t="inlineStr">
        <is>
          <t>largecap</t>
        </is>
      </c>
      <c r="F313" s="30" t="n">
        <v>47918.05</v>
      </c>
      <c r="G313" s="30" t="n">
        <v>3572.2</v>
      </c>
      <c r="H313" s="30" t="n">
        <v>-0.18</v>
      </c>
      <c r="I313" s="30" t="n">
        <v>204287</v>
      </c>
      <c r="J313" s="30" t="inlineStr">
        <is>
          <t>532497</t>
        </is>
      </c>
    </row>
    <row r="314">
      <c r="A314" s="30" t="inlineStr">
        <is>
          <t>TVSSRICHAK</t>
        </is>
      </c>
      <c r="B314" s="30" t="inlineStr">
        <is>
          <t>Tvs Srichakra Limited</t>
        </is>
      </c>
      <c r="C314" s="30" t="inlineStr">
        <is>
          <t>auto</t>
        </is>
      </c>
      <c r="D314" s="30" t="inlineStr">
        <is>
          <t>tyres</t>
        </is>
      </c>
      <c r="E314" s="30" t="inlineStr">
        <is>
          <t>smallcap</t>
        </is>
      </c>
      <c r="F314" s="30" t="n">
        <v>3075.3</v>
      </c>
      <c r="G314" s="30" t="n">
        <v>4008.7</v>
      </c>
      <c r="H314" s="30" t="n">
        <v>-0.19</v>
      </c>
      <c r="I314" s="30" t="n">
        <v>3633</v>
      </c>
      <c r="J314" s="30" t="inlineStr">
        <is>
          <t>509243</t>
        </is>
      </c>
    </row>
    <row r="315">
      <c r="A315" s="30" t="inlineStr">
        <is>
          <t>ELGIEQUIP</t>
        </is>
      </c>
      <c r="B315" s="30" t="inlineStr">
        <is>
          <t>Elgi Equipments Limited</t>
        </is>
      </c>
      <c r="C315" s="30" t="inlineStr">
        <is>
          <t>industrials</t>
        </is>
      </c>
      <c r="D315" s="30" t="inlineStr">
        <is>
          <t>compressors / drilling equipment</t>
        </is>
      </c>
      <c r="E315" s="30" t="inlineStr">
        <is>
          <t>midcap</t>
        </is>
      </c>
      <c r="F315" s="30" t="n">
        <v>19055.74</v>
      </c>
      <c r="G315" s="30" t="n">
        <v>600.1</v>
      </c>
      <c r="H315" s="30" t="n">
        <v>-0.2</v>
      </c>
      <c r="I315" s="30" t="n">
        <v>270122</v>
      </c>
      <c r="J315" s="30" t="inlineStr">
        <is>
          <t>522074</t>
        </is>
      </c>
    </row>
    <row r="316">
      <c r="A316" s="30" t="inlineStr">
        <is>
          <t>VERANDA</t>
        </is>
      </c>
      <c r="B316" s="30" t="inlineStr">
        <is>
          <t>Veranda Learning Solutions Ltd</t>
        </is>
      </c>
      <c r="C316" s="30" t="inlineStr">
        <is>
          <t>services</t>
        </is>
      </c>
      <c r="D316" s="30" t="inlineStr">
        <is>
          <t>miscellaneous</t>
        </is>
      </c>
      <c r="E316" s="30" t="inlineStr">
        <is>
          <t>smallcap</t>
        </is>
      </c>
      <c r="F316" s="30" t="n">
        <v>2263.45</v>
      </c>
      <c r="G316" s="30" t="n">
        <v>234.89</v>
      </c>
      <c r="H316" s="30" t="n">
        <v>-0.2</v>
      </c>
      <c r="I316" s="30" t="n">
        <v>221734</v>
      </c>
      <c r="J316" s="30" t="inlineStr">
        <is>
          <t>543514</t>
        </is>
      </c>
    </row>
    <row r="317">
      <c r="A317" s="30" t="inlineStr">
        <is>
          <t>AUBANK</t>
        </is>
      </c>
      <c r="B317" s="30" t="inlineStr">
        <is>
          <t>AU Small Finance Bank Ltd</t>
        </is>
      </c>
      <c r="C317" s="30" t="inlineStr">
        <is>
          <t>bank</t>
        </is>
      </c>
      <c r="D317" s="30" t="inlineStr">
        <is>
          <t>banks - private sector</t>
        </is>
      </c>
      <c r="E317" s="30" t="inlineStr">
        <is>
          <t>largecap</t>
        </is>
      </c>
      <c r="F317" s="30" t="n">
        <v>76555.21000000001</v>
      </c>
      <c r="G317" s="30" t="n">
        <v>1020.85</v>
      </c>
      <c r="H317" s="30" t="n">
        <v>-0.22</v>
      </c>
      <c r="I317" s="30" t="n">
        <v>683318</v>
      </c>
      <c r="J317" s="30" t="inlineStr">
        <is>
          <t>540611</t>
        </is>
      </c>
    </row>
    <row r="318">
      <c r="A318" s="30" t="inlineStr">
        <is>
          <t>NCLIND</t>
        </is>
      </c>
      <c r="B318" s="30" t="inlineStr">
        <is>
          <t>Ncl Industries Limited</t>
        </is>
      </c>
      <c r="C318" s="30" t="inlineStr">
        <is>
          <t>building materials</t>
        </is>
      </c>
      <c r="D318" s="30" t="inlineStr">
        <is>
          <t>cement - south india</t>
        </is>
      </c>
      <c r="E318" s="30" t="inlineStr">
        <is>
          <t>smallcap</t>
        </is>
      </c>
      <c r="F318" s="30" t="n">
        <v>885.79</v>
      </c>
      <c r="G318" s="30" t="n">
        <v>195.36</v>
      </c>
      <c r="H318" s="30" t="n">
        <v>-0.24</v>
      </c>
      <c r="I318" s="30" t="n">
        <v>234853</v>
      </c>
      <c r="J318" s="30" t="inlineStr">
        <is>
          <t>502168</t>
        </is>
      </c>
    </row>
    <row r="319">
      <c r="A319" s="30" t="inlineStr">
        <is>
          <t>SANSTAR</t>
        </is>
      </c>
      <c r="B319" s="30" t="inlineStr">
        <is>
          <t>Sanstar Ltd</t>
        </is>
      </c>
      <c r="C319" s="30" t="inlineStr">
        <is>
          <t>fmcg</t>
        </is>
      </c>
      <c r="D319" s="30" t="inlineStr">
        <is>
          <t>miscellaneous</t>
        </is>
      </c>
      <c r="E319" s="30" t="inlineStr">
        <is>
          <t>smallcap</t>
        </is>
      </c>
      <c r="F319" s="30" t="n">
        <v>2097.27</v>
      </c>
      <c r="G319" s="30" t="n">
        <v>114.77</v>
      </c>
      <c r="H319" s="30" t="n">
        <v>-0.27</v>
      </c>
      <c r="I319" s="30" t="n">
        <v>450754</v>
      </c>
      <c r="J319" s="30" t="inlineStr">
        <is>
          <t>544217</t>
        </is>
      </c>
    </row>
    <row r="320">
      <c r="A320" s="30" t="inlineStr">
        <is>
          <t>CGCL</t>
        </is>
      </c>
      <c r="B320" s="30" t="inlineStr">
        <is>
          <t>Capri Global Capital Limited</t>
        </is>
      </c>
      <c r="C320" s="30" t="inlineStr">
        <is>
          <t>financials</t>
        </is>
      </c>
      <c r="D320" s="30" t="inlineStr">
        <is>
          <t>finance &amp; investments</t>
        </is>
      </c>
      <c r="E320" s="30" t="inlineStr">
        <is>
          <t>largecap</t>
        </is>
      </c>
      <c r="F320" s="30" t="n">
        <v>20963.41</v>
      </c>
      <c r="G320" s="30" t="n">
        <v>217.28</v>
      </c>
      <c r="H320" s="30" t="n">
        <v>-0.28</v>
      </c>
      <c r="I320" s="30" t="n">
        <v>2761580</v>
      </c>
      <c r="J320" s="30" t="inlineStr">
        <is>
          <t>531595</t>
        </is>
      </c>
    </row>
    <row r="321">
      <c r="A321" s="30" t="inlineStr">
        <is>
          <t>CENTUM</t>
        </is>
      </c>
      <c r="B321" s="30" t="inlineStr">
        <is>
          <t>Centum Electronics Limited</t>
        </is>
      </c>
      <c r="C321" s="30" t="inlineStr">
        <is>
          <t>consumer discretionary</t>
        </is>
      </c>
      <c r="D321" s="30" t="inlineStr">
        <is>
          <t>electronics - components</t>
        </is>
      </c>
      <c r="E321" s="30" t="inlineStr">
        <is>
          <t>midcap</t>
        </is>
      </c>
      <c r="F321" s="30" t="n">
        <v>5347.73</v>
      </c>
      <c r="G321" s="30" t="n">
        <v>3614.7</v>
      </c>
      <c r="H321" s="30" t="n">
        <v>-0.36</v>
      </c>
      <c r="I321" s="30" t="n">
        <v>41391</v>
      </c>
      <c r="J321" s="30" t="inlineStr">
        <is>
          <t>517544</t>
        </is>
      </c>
    </row>
    <row r="322">
      <c r="A322" s="30" t="inlineStr">
        <is>
          <t>ABCAPITAL</t>
        </is>
      </c>
      <c r="B322" s="30" t="inlineStr">
        <is>
          <t>Aditya Birla Capital Ltd</t>
        </is>
      </c>
      <c r="C322" s="30" t="inlineStr">
        <is>
          <t>financials</t>
        </is>
      </c>
      <c r="D322" s="30" t="inlineStr">
        <is>
          <t>finance &amp; investments</t>
        </is>
      </c>
      <c r="E322" s="30" t="inlineStr">
        <is>
          <t>largecap</t>
        </is>
      </c>
      <c r="F322" s="30" t="n">
        <v>97920.88</v>
      </c>
      <c r="G322" s="30" t="n">
        <v>372.45</v>
      </c>
      <c r="H322" s="30" t="n">
        <v>-0.36</v>
      </c>
      <c r="I322" s="30" t="n">
        <v>2381456</v>
      </c>
      <c r="J322" s="30" t="inlineStr">
        <is>
          <t>540691</t>
        </is>
      </c>
    </row>
    <row r="323">
      <c r="A323" s="30" t="inlineStr">
        <is>
          <t>UNIPARTS</t>
        </is>
      </c>
      <c r="B323" s="30" t="inlineStr">
        <is>
          <t>Uniparts India Ltd</t>
        </is>
      </c>
      <c r="C323" s="30" t="inlineStr">
        <is>
          <t>industrials</t>
        </is>
      </c>
      <c r="D323" s="30" t="inlineStr">
        <is>
          <t>engineering</t>
        </is>
      </c>
      <c r="E323" s="30" t="inlineStr">
        <is>
          <t>smallcap</t>
        </is>
      </c>
      <c r="F323" s="30" t="n">
        <v>3025.94</v>
      </c>
      <c r="G323" s="30" t="n">
        <v>667.9</v>
      </c>
      <c r="H323" s="30" t="n">
        <v>-0.36</v>
      </c>
      <c r="I323" s="30" t="n">
        <v>131608</v>
      </c>
      <c r="J323" s="30" t="inlineStr">
        <is>
          <t>543689</t>
        </is>
      </c>
    </row>
    <row r="324">
      <c r="A324" s="30" t="inlineStr">
        <is>
          <t>SANDHAR</t>
        </is>
      </c>
      <c r="B324" s="30" t="inlineStr">
        <is>
          <t>Sandhar Technologies Limited</t>
        </is>
      </c>
      <c r="C324" s="30" t="inlineStr">
        <is>
          <t>auto</t>
        </is>
      </c>
      <c r="D324" s="30" t="inlineStr">
        <is>
          <t>auto ancillaries</t>
        </is>
      </c>
      <c r="E324" s="30" t="inlineStr">
        <is>
          <t>smallcap</t>
        </is>
      </c>
      <c r="F324" s="30" t="n">
        <v>4146.84</v>
      </c>
      <c r="G324" s="30" t="n">
        <v>686.45</v>
      </c>
      <c r="H324" s="30" t="n">
        <v>-0.36</v>
      </c>
      <c r="I324" s="30" t="n">
        <v>157158</v>
      </c>
      <c r="J324" s="30" t="inlineStr">
        <is>
          <t>541163</t>
        </is>
      </c>
    </row>
    <row r="325">
      <c r="A325" s="30" t="inlineStr">
        <is>
          <t>ASIANPAINT</t>
        </is>
      </c>
      <c r="B325" s="30" t="inlineStr">
        <is>
          <t>Asian Paints Limited</t>
        </is>
      </c>
      <c r="C325" s="30" t="inlineStr">
        <is>
          <t>building materials</t>
        </is>
      </c>
      <c r="D325" s="30" t="inlineStr">
        <is>
          <t>paints / varnishes</t>
        </is>
      </c>
      <c r="E325" s="30" t="inlineStr">
        <is>
          <t>largecap</t>
        </is>
      </c>
      <c r="F325" s="30" t="n">
        <v>263597.14</v>
      </c>
      <c r="G325" s="30" t="n">
        <v>2738</v>
      </c>
      <c r="H325" s="30" t="n">
        <v>-0.37</v>
      </c>
      <c r="I325" s="30" t="n">
        <v>557209</v>
      </c>
      <c r="J325" s="30" t="inlineStr">
        <is>
          <t>500820</t>
        </is>
      </c>
    </row>
    <row r="326">
      <c r="A326" s="30" t="inlineStr">
        <is>
          <t>NITINSPIN</t>
        </is>
      </c>
      <c r="B326" s="30" t="inlineStr">
        <is>
          <t>Nitin Spinners Limited</t>
        </is>
      </c>
      <c r="C326" s="30" t="inlineStr">
        <is>
          <t>textiles</t>
        </is>
      </c>
      <c r="D326" s="30" t="inlineStr">
        <is>
          <t>textiles - cotton/blended</t>
        </is>
      </c>
      <c r="E326" s="30" t="inlineStr">
        <is>
          <t>smallcap</t>
        </is>
      </c>
      <c r="F326" s="30" t="n">
        <v>3090.69</v>
      </c>
      <c r="G326" s="30" t="n">
        <v>547.6</v>
      </c>
      <c r="H326" s="30" t="n">
        <v>-0.39</v>
      </c>
      <c r="I326" s="30" t="n">
        <v>56811</v>
      </c>
      <c r="J326" s="30" t="inlineStr">
        <is>
          <t>532698</t>
        </is>
      </c>
    </row>
    <row r="327">
      <c r="A327" s="30" t="inlineStr">
        <is>
          <t>APARINDS</t>
        </is>
      </c>
      <c r="B327" s="30" t="inlineStr">
        <is>
          <t>Apar Industries Limited</t>
        </is>
      </c>
      <c r="C327" s="30" t="inlineStr">
        <is>
          <t>industrials</t>
        </is>
      </c>
      <c r="D327" s="30" t="inlineStr">
        <is>
          <t>electric equipment</t>
        </is>
      </c>
      <c r="E327" s="30" t="inlineStr">
        <is>
          <t>largecap</t>
        </is>
      </c>
      <c r="F327" s="30" t="n">
        <v>64944.13</v>
      </c>
      <c r="G327" s="30" t="n">
        <v>16103</v>
      </c>
      <c r="H327" s="30" t="n">
        <v>-0.4</v>
      </c>
      <c r="I327" s="30" t="n">
        <v>210837</v>
      </c>
      <c r="J327" s="30" t="inlineStr">
        <is>
          <t>532259</t>
        </is>
      </c>
    </row>
    <row r="328">
      <c r="A328" s="30" t="inlineStr">
        <is>
          <t>PIXTRANS</t>
        </is>
      </c>
      <c r="B328" s="30" t="inlineStr">
        <is>
          <t>Pix Transmission Ltd</t>
        </is>
      </c>
      <c r="C328" s="30" t="inlineStr">
        <is>
          <t>fmcg</t>
        </is>
      </c>
      <c r="D328" s="30" t="inlineStr">
        <is>
          <t>miscellaneous</t>
        </is>
      </c>
      <c r="E328" s="30" t="inlineStr">
        <is>
          <t>smallcap</t>
        </is>
      </c>
      <c r="F328" s="30" t="n">
        <v>2199.52</v>
      </c>
      <c r="G328" s="30" t="n">
        <v>1607.8</v>
      </c>
      <c r="H328" s="30" t="n">
        <v>-0.4</v>
      </c>
      <c r="I328" s="30" t="n">
        <v>14225</v>
      </c>
      <c r="J328" s="30" t="inlineStr">
        <is>
          <t>500333</t>
        </is>
      </c>
    </row>
    <row r="329">
      <c r="A329" s="30" t="inlineStr">
        <is>
          <t>MBAPL</t>
        </is>
      </c>
      <c r="B329" s="30" t="inlineStr">
        <is>
          <t>Madhya Bharat Agro Products Ltd</t>
        </is>
      </c>
      <c r="C329" s="30" t="inlineStr">
        <is>
          <t>chemicals</t>
        </is>
      </c>
      <c r="D329" s="30" t="inlineStr">
        <is>
          <t>fertilizers</t>
        </is>
      </c>
      <c r="E329" s="30" t="inlineStr">
        <is>
          <t>smallcap</t>
        </is>
      </c>
      <c r="F329" s="30" t="n">
        <v>4956.62</v>
      </c>
      <c r="G329" s="30" t="n">
        <v>563.25</v>
      </c>
      <c r="H329" s="30" t="n">
        <v>-0.42</v>
      </c>
      <c r="I329" s="30" t="n">
        <v>105640</v>
      </c>
      <c r="J329" s="30" t="inlineStr">
        <is>
          <t>538370</t>
        </is>
      </c>
    </row>
    <row r="330">
      <c r="A330" s="30" t="inlineStr">
        <is>
          <t>VINCOFE</t>
        </is>
      </c>
      <c r="B330" s="30" t="inlineStr">
        <is>
          <t>Vintage Coffee &amp; Beverages Ltd</t>
        </is>
      </c>
      <c r="C330" s="30" t="inlineStr">
        <is>
          <t>consumer discretionary</t>
        </is>
      </c>
      <c r="D330" s="30" t="inlineStr">
        <is>
          <t>trading</t>
        </is>
      </c>
      <c r="E330" s="30" t="inlineStr">
        <is>
          <t>smallcap</t>
        </is>
      </c>
      <c r="F330" s="30" t="n">
        <v>2256.28</v>
      </c>
      <c r="G330" s="30" t="n">
        <v>154.19</v>
      </c>
      <c r="H330" s="30" t="n">
        <v>-0.44</v>
      </c>
      <c r="I330" s="30" t="n">
        <v>1989550</v>
      </c>
      <c r="J330" s="30" t="inlineStr">
        <is>
          <t>538920</t>
        </is>
      </c>
    </row>
    <row r="331">
      <c r="A331" s="30" t="inlineStr">
        <is>
          <t>THELEELA</t>
        </is>
      </c>
      <c r="B331" s="30" t="inlineStr">
        <is>
          <t>Leela Palaces Hotels &amp; Resorts Ltd</t>
        </is>
      </c>
      <c r="C331" s="30" t="inlineStr">
        <is>
          <t>services</t>
        </is>
      </c>
      <c r="D331" s="30" t="inlineStr">
        <is>
          <t>hotels</t>
        </is>
      </c>
      <c r="E331" s="30" t="inlineStr">
        <is>
          <t>midcap</t>
        </is>
      </c>
      <c r="F331" s="30" t="n">
        <v>15291.93</v>
      </c>
      <c r="G331" s="30" t="n">
        <v>455.8</v>
      </c>
      <c r="H331" s="30" t="n">
        <v>-0.46</v>
      </c>
      <c r="I331" s="30" t="n">
        <v>721487</v>
      </c>
      <c r="J331" s="30" t="inlineStr">
        <is>
          <t>544408</t>
        </is>
      </c>
    </row>
    <row r="332">
      <c r="A332" s="30" t="inlineStr">
        <is>
          <t>LAURUSLABS</t>
        </is>
      </c>
      <c r="B332" s="30" t="inlineStr">
        <is>
          <t>Laurus Labs Limited</t>
        </is>
      </c>
      <c r="C332" s="30" t="inlineStr">
        <is>
          <t>healthcare</t>
        </is>
      </c>
      <c r="D332" s="30" t="inlineStr">
        <is>
          <t>pharmaceuticals - indian - bulk drugs &amp; formln</t>
        </is>
      </c>
      <c r="E332" s="30" t="inlineStr">
        <is>
          <t>largecap</t>
        </is>
      </c>
      <c r="F332" s="30" t="n">
        <v>74305.86</v>
      </c>
      <c r="G332" s="30" t="n">
        <v>1369.8</v>
      </c>
      <c r="H332" s="30" t="n">
        <v>-0.48</v>
      </c>
      <c r="I332" s="30" t="n">
        <v>1070660</v>
      </c>
      <c r="J332" s="30" t="inlineStr">
        <is>
          <t>540222</t>
        </is>
      </c>
    </row>
    <row r="333">
      <c r="A333" s="30" t="inlineStr">
        <is>
          <t>ICIL</t>
        </is>
      </c>
      <c r="B333" s="30" t="inlineStr">
        <is>
          <t>Indo Count Industries Limited</t>
        </is>
      </c>
      <c r="C333" s="30" t="inlineStr">
        <is>
          <t>textiles</t>
        </is>
      </c>
      <c r="D333" s="30" t="inlineStr">
        <is>
          <t>textiles - cotton/blended</t>
        </is>
      </c>
      <c r="E333" s="30" t="inlineStr">
        <is>
          <t>midcap</t>
        </is>
      </c>
      <c r="F333" s="30" t="n">
        <v>6810.1</v>
      </c>
      <c r="G333" s="30" t="n">
        <v>342.1</v>
      </c>
      <c r="H333" s="30" t="n">
        <v>-0.51</v>
      </c>
      <c r="I333" s="30" t="n">
        <v>130016</v>
      </c>
      <c r="J333" s="30" t="inlineStr">
        <is>
          <t>521016</t>
        </is>
      </c>
    </row>
    <row r="334">
      <c r="A334" s="30" t="inlineStr">
        <is>
          <t>NAZARA</t>
        </is>
      </c>
      <c r="B334" s="30" t="inlineStr">
        <is>
          <t>Nazara Technologies Ltd</t>
        </is>
      </c>
      <c r="C334" s="30" t="inlineStr">
        <is>
          <t>i.t</t>
        </is>
      </c>
      <c r="D334" s="30" t="inlineStr">
        <is>
          <t>telecommunications - service provider</t>
        </is>
      </c>
      <c r="E334" s="30" t="inlineStr">
        <is>
          <t>midcap</t>
        </is>
      </c>
      <c r="F334" s="30" t="n">
        <v>11156.55</v>
      </c>
      <c r="G334" s="30" t="n">
        <v>299.6</v>
      </c>
      <c r="H334" s="30" t="n">
        <v>-0.51</v>
      </c>
      <c r="I334" s="30" t="n">
        <v>1760106</v>
      </c>
      <c r="J334" s="30" t="inlineStr">
        <is>
          <t>543280</t>
        </is>
      </c>
    </row>
    <row r="335">
      <c r="A335" s="30" t="inlineStr">
        <is>
          <t>VARROC</t>
        </is>
      </c>
      <c r="B335" s="30" t="inlineStr">
        <is>
          <t>Varroc Engineering Ltd</t>
        </is>
      </c>
      <c r="C335" s="30" t="inlineStr">
        <is>
          <t>auto</t>
        </is>
      </c>
      <c r="D335" s="30" t="inlineStr">
        <is>
          <t>auto ancillaries</t>
        </is>
      </c>
      <c r="E335" s="30" t="inlineStr">
        <is>
          <t>midcap</t>
        </is>
      </c>
      <c r="F335" s="30" t="n">
        <v>9518.59</v>
      </c>
      <c r="G335" s="30" t="n">
        <v>619.7</v>
      </c>
      <c r="H335" s="30" t="n">
        <v>-0.53</v>
      </c>
      <c r="I335" s="30" t="n">
        <v>127083</v>
      </c>
      <c r="J335" s="30" t="inlineStr">
        <is>
          <t>541578</t>
        </is>
      </c>
    </row>
    <row r="336">
      <c r="A336" s="30" t="inlineStr">
        <is>
          <t>AIIL</t>
        </is>
      </c>
      <c r="B336" s="30" t="inlineStr">
        <is>
          <t>Authum Investment &amp; Infrastructure Ltd</t>
        </is>
      </c>
      <c r="C336" s="30" t="inlineStr">
        <is>
          <t>financials</t>
        </is>
      </c>
      <c r="D336" s="30" t="inlineStr">
        <is>
          <t>finance &amp; investments</t>
        </is>
      </c>
      <c r="E336" s="30" t="inlineStr">
        <is>
          <t>largecap</t>
        </is>
      </c>
      <c r="F336" s="30" t="n">
        <v>46847.52</v>
      </c>
      <c r="G336" s="30" t="n">
        <v>548.75</v>
      </c>
      <c r="H336" s="30" t="n">
        <v>-0.53</v>
      </c>
      <c r="I336" s="30" t="n">
        <v>356580</v>
      </c>
      <c r="J336" s="30" t="inlineStr">
        <is>
          <t>539177</t>
        </is>
      </c>
    </row>
    <row r="337">
      <c r="A337" s="30" t="inlineStr">
        <is>
          <t>WELENT</t>
        </is>
      </c>
      <c r="B337" s="30" t="inlineStr">
        <is>
          <t>Welspun Enterprises Limited</t>
        </is>
      </c>
      <c r="C337" s="30" t="inlineStr">
        <is>
          <t>realty</t>
        </is>
      </c>
      <c r="D337" s="30" t="inlineStr">
        <is>
          <t>construction</t>
        </is>
      </c>
      <c r="E337" s="30" t="inlineStr">
        <is>
          <t>midcap</t>
        </is>
      </c>
      <c r="F337" s="30" t="n">
        <v>7653.59</v>
      </c>
      <c r="G337" s="30" t="n">
        <v>549.7</v>
      </c>
      <c r="H337" s="30" t="n">
        <v>-0.59</v>
      </c>
      <c r="I337" s="30" t="n">
        <v>108587</v>
      </c>
      <c r="J337" s="30" t="inlineStr">
        <is>
          <t>532553</t>
        </is>
      </c>
    </row>
    <row r="338">
      <c r="A338" s="30" t="inlineStr">
        <is>
          <t>OBEROIRLTY</t>
        </is>
      </c>
      <c r="B338" s="30" t="inlineStr">
        <is>
          <t>Oberoi Realty Limited</t>
        </is>
      </c>
      <c r="C338" s="30" t="inlineStr">
        <is>
          <t>realty</t>
        </is>
      </c>
      <c r="D338" s="30" t="inlineStr">
        <is>
          <t>construction</t>
        </is>
      </c>
      <c r="E338" s="30" t="inlineStr">
        <is>
          <t>largecap</t>
        </is>
      </c>
      <c r="F338" s="30" t="n">
        <v>61986.91</v>
      </c>
      <c r="G338" s="30" t="n">
        <v>1694.8</v>
      </c>
      <c r="H338" s="30" t="n">
        <v>-0.59</v>
      </c>
      <c r="I338" s="30" t="n">
        <v>602476</v>
      </c>
      <c r="J338" s="30" t="inlineStr">
        <is>
          <t>533273</t>
        </is>
      </c>
    </row>
    <row r="339">
      <c r="A339" s="30" t="inlineStr">
        <is>
          <t>GAIL</t>
        </is>
      </c>
      <c r="B339" s="30" t="inlineStr">
        <is>
          <t>Gail (india) Limited</t>
        </is>
      </c>
      <c r="C339" s="30" t="inlineStr">
        <is>
          <t>energy</t>
        </is>
      </c>
      <c r="D339" s="30" t="inlineStr">
        <is>
          <t>miscellaneous</t>
        </is>
      </c>
      <c r="E339" s="30" t="inlineStr">
        <is>
          <t>largecap</t>
        </is>
      </c>
      <c r="F339" s="30" t="n">
        <v>115780.93</v>
      </c>
      <c r="G339" s="30" t="n">
        <v>175.03</v>
      </c>
      <c r="H339" s="30" t="n">
        <v>-0.6</v>
      </c>
      <c r="I339" s="30" t="n">
        <v>4400943</v>
      </c>
      <c r="J339" s="30" t="inlineStr">
        <is>
          <t>532155</t>
        </is>
      </c>
    </row>
    <row r="340">
      <c r="A340" s="30" t="inlineStr">
        <is>
          <t>ESAFSFB</t>
        </is>
      </c>
      <c r="B340" s="30" t="inlineStr">
        <is>
          <t>ESAF Small Finance Bank Ltd</t>
        </is>
      </c>
      <c r="C340" s="30" t="inlineStr">
        <is>
          <t>bank</t>
        </is>
      </c>
      <c r="D340" s="30" t="inlineStr">
        <is>
          <t>banks - private sector</t>
        </is>
      </c>
      <c r="E340" s="30" t="inlineStr">
        <is>
          <t>smallcap</t>
        </is>
      </c>
      <c r="F340" s="30" t="n">
        <v>1599.59</v>
      </c>
      <c r="G340" s="30" t="n">
        <v>30.83</v>
      </c>
      <c r="H340" s="30" t="n">
        <v>-0.61</v>
      </c>
      <c r="I340" s="30" t="n">
        <v>2478686</v>
      </c>
      <c r="J340" s="30" t="inlineStr">
        <is>
          <t>544020</t>
        </is>
      </c>
    </row>
    <row r="341">
      <c r="A341" s="30" t="inlineStr">
        <is>
          <t>MUTHOOTMF</t>
        </is>
      </c>
      <c r="B341" s="30" t="inlineStr">
        <is>
          <t>Muthoot Microfin Ltd</t>
        </is>
      </c>
      <c r="C341" s="30" t="inlineStr">
        <is>
          <t>financials</t>
        </is>
      </c>
      <c r="D341" s="30" t="inlineStr">
        <is>
          <t>finance &amp; investments</t>
        </is>
      </c>
      <c r="E341" s="30" t="inlineStr">
        <is>
          <t>smallcap</t>
        </is>
      </c>
      <c r="F341" s="30" t="n">
        <v>3517.08</v>
      </c>
      <c r="G341" s="30" t="n">
        <v>205.01</v>
      </c>
      <c r="H341" s="30" t="n">
        <v>-0.62</v>
      </c>
      <c r="I341" s="30" t="n">
        <v>243036</v>
      </c>
      <c r="J341" s="30" t="inlineStr">
        <is>
          <t>544055</t>
        </is>
      </c>
    </row>
    <row r="342">
      <c r="A342" s="30" t="inlineStr">
        <is>
          <t>HONAUT</t>
        </is>
      </c>
      <c r="B342" s="30" t="inlineStr">
        <is>
          <t>Honeywell Automation India Limited</t>
        </is>
      </c>
      <c r="C342" s="30" t="inlineStr">
        <is>
          <t>consumer discretionary</t>
        </is>
      </c>
      <c r="D342" s="30" t="inlineStr">
        <is>
          <t>electronics - components</t>
        </is>
      </c>
      <c r="E342" s="30" t="inlineStr">
        <is>
          <t>largecap</t>
        </is>
      </c>
      <c r="F342" s="30" t="n">
        <v>32377.66</v>
      </c>
      <c r="G342" s="30" t="n">
        <v>36380</v>
      </c>
      <c r="H342" s="30" t="n">
        <v>-0.66</v>
      </c>
      <c r="I342" s="30" t="n">
        <v>5052</v>
      </c>
      <c r="J342" s="30" t="inlineStr">
        <is>
          <t>517174</t>
        </is>
      </c>
    </row>
    <row r="343">
      <c r="A343" s="30" t="inlineStr">
        <is>
          <t>KTKBANK</t>
        </is>
      </c>
      <c r="B343" s="30" t="inlineStr">
        <is>
          <t>The Karnataka Bank Limited</t>
        </is>
      </c>
      <c r="C343" s="30" t="inlineStr">
        <is>
          <t>bank</t>
        </is>
      </c>
      <c r="D343" s="30" t="inlineStr">
        <is>
          <t>banks - private sector</t>
        </is>
      </c>
      <c r="E343" s="30" t="inlineStr">
        <is>
          <t>midcap</t>
        </is>
      </c>
      <c r="F343" s="30" t="n">
        <v>10552.01</v>
      </c>
      <c r="G343" s="30" t="n">
        <v>277.15</v>
      </c>
      <c r="H343" s="30" t="n">
        <v>-0.68</v>
      </c>
      <c r="I343" s="30" t="n">
        <v>987984</v>
      </c>
      <c r="J343" s="30" t="inlineStr">
        <is>
          <t>532652</t>
        </is>
      </c>
    </row>
    <row r="344">
      <c r="A344" s="30" t="inlineStr">
        <is>
          <t>EICHERMOT</t>
        </is>
      </c>
      <c r="B344" s="30" t="inlineStr">
        <is>
          <t>Eicher Motors Limited</t>
        </is>
      </c>
      <c r="C344" s="30" t="inlineStr">
        <is>
          <t>auto</t>
        </is>
      </c>
      <c r="D344" s="30" t="inlineStr">
        <is>
          <t>automobiles - motorcycles / mopeds</t>
        </is>
      </c>
      <c r="E344" s="30" t="inlineStr">
        <is>
          <t>largecap</t>
        </is>
      </c>
      <c r="F344" s="30" t="n">
        <v>207395.25</v>
      </c>
      <c r="G344" s="30" t="n">
        <v>7509</v>
      </c>
      <c r="H344" s="30" t="n">
        <v>-0.68</v>
      </c>
      <c r="I344" s="30" t="n">
        <v>404085</v>
      </c>
      <c r="J344" s="30" t="inlineStr">
        <is>
          <t>505200</t>
        </is>
      </c>
    </row>
    <row r="345">
      <c r="A345" s="30" t="inlineStr">
        <is>
          <t>GREENLAM</t>
        </is>
      </c>
      <c r="B345" s="30" t="inlineStr">
        <is>
          <t>Greenlam Industries Limited</t>
        </is>
      </c>
      <c r="C345" s="30" t="inlineStr">
        <is>
          <t>building materials</t>
        </is>
      </c>
      <c r="D345" s="30" t="inlineStr">
        <is>
          <t>miscellaneous</t>
        </is>
      </c>
      <c r="E345" s="30" t="inlineStr">
        <is>
          <t>midcap</t>
        </is>
      </c>
      <c r="F345" s="30" t="n">
        <v>6608.58</v>
      </c>
      <c r="G345" s="30" t="n">
        <v>257.22</v>
      </c>
      <c r="H345" s="30" t="n">
        <v>-0.6899999999999999</v>
      </c>
      <c r="I345" s="30" t="n">
        <v>112816</v>
      </c>
      <c r="J345" s="30" t="inlineStr">
        <is>
          <t>538979</t>
        </is>
      </c>
    </row>
    <row r="346">
      <c r="A346" s="30" t="inlineStr">
        <is>
          <t>TATACOMM</t>
        </is>
      </c>
      <c r="B346" s="30" t="inlineStr">
        <is>
          <t>Tata Communications Limited</t>
        </is>
      </c>
      <c r="C346" s="30" t="inlineStr">
        <is>
          <t>telecom-service</t>
        </is>
      </c>
      <c r="D346" s="30" t="inlineStr">
        <is>
          <t>telecommunications - service provider</t>
        </is>
      </c>
      <c r="E346" s="30" t="inlineStr">
        <is>
          <t>largecap</t>
        </is>
      </c>
      <c r="F346" s="30" t="n">
        <v>54537.6</v>
      </c>
      <c r="G346" s="30" t="n">
        <v>1899.8</v>
      </c>
      <c r="H346" s="30" t="n">
        <v>-0.72</v>
      </c>
      <c r="I346" s="30" t="n">
        <v>839867</v>
      </c>
      <c r="J346" s="30" t="inlineStr">
        <is>
          <t>500483</t>
        </is>
      </c>
    </row>
    <row r="347">
      <c r="A347" s="30" t="inlineStr">
        <is>
          <t>TBZ</t>
        </is>
      </c>
      <c r="B347" s="30" t="inlineStr">
        <is>
          <t>Tribhovandas Bhimji Zaveri Limited</t>
        </is>
      </c>
      <c r="C347" s="30" t="inlineStr">
        <is>
          <t>consumer discretionary</t>
        </is>
      </c>
      <c r="D347" s="30" t="inlineStr">
        <is>
          <t>diamond cutting / jewellery</t>
        </is>
      </c>
      <c r="E347" s="30" t="inlineStr">
        <is>
          <t>smallcap</t>
        </is>
      </c>
      <c r="F347" s="30" t="n">
        <v>1306.92</v>
      </c>
      <c r="G347" s="30" t="n">
        <v>194.4</v>
      </c>
      <c r="H347" s="30" t="n">
        <v>-0.74</v>
      </c>
      <c r="I347" s="30" t="n">
        <v>839612</v>
      </c>
      <c r="J347" s="30" t="inlineStr">
        <is>
          <t>534369</t>
        </is>
      </c>
    </row>
    <row r="348">
      <c r="A348" s="30" t="inlineStr">
        <is>
          <t>VENUSPIPES</t>
        </is>
      </c>
      <c r="B348" s="30" t="inlineStr">
        <is>
          <t>Venus Pipes &amp; Tubes Ltd</t>
        </is>
      </c>
      <c r="C348" s="30" t="inlineStr">
        <is>
          <t>metals &amp; mining</t>
        </is>
      </c>
      <c r="D348" s="30" t="inlineStr">
        <is>
          <t>steel - medium / small</t>
        </is>
      </c>
      <c r="E348" s="30" t="inlineStr">
        <is>
          <t>smallcap</t>
        </is>
      </c>
      <c r="F348" s="30" t="n">
        <v>2988.92</v>
      </c>
      <c r="G348" s="30" t="n">
        <v>1431.8</v>
      </c>
      <c r="H348" s="30" t="n">
        <v>-0.76</v>
      </c>
      <c r="I348" s="30" t="n">
        <v>16368</v>
      </c>
      <c r="J348" s="30" t="inlineStr">
        <is>
          <t>543528</t>
        </is>
      </c>
    </row>
    <row r="349">
      <c r="A349" s="30" t="inlineStr">
        <is>
          <t>CYIENTDLM</t>
        </is>
      </c>
      <c r="B349" s="30" t="inlineStr">
        <is>
          <t>Cyient DLM Ltd</t>
        </is>
      </c>
      <c r="C349" s="30" t="inlineStr">
        <is>
          <t>consumer discretionary</t>
        </is>
      </c>
      <c r="D349" s="30" t="inlineStr">
        <is>
          <t>electronics - components</t>
        </is>
      </c>
      <c r="E349" s="30" t="inlineStr">
        <is>
          <t>smallcap</t>
        </is>
      </c>
      <c r="F349" s="30" t="n">
        <v>3719.81</v>
      </c>
      <c r="G349" s="30" t="n">
        <v>464.9</v>
      </c>
      <c r="H349" s="30" t="n">
        <v>-0.8100000000000001</v>
      </c>
      <c r="I349" s="30" t="n">
        <v>336655</v>
      </c>
      <c r="J349" s="30" t="inlineStr">
        <is>
          <t>543933</t>
        </is>
      </c>
    </row>
    <row r="350">
      <c r="A350" s="30" t="inlineStr">
        <is>
          <t>LOKESHMACH</t>
        </is>
      </c>
      <c r="B350" s="30" t="inlineStr">
        <is>
          <t>Lokesh Machines Limited</t>
        </is>
      </c>
      <c r="C350" s="30" t="inlineStr">
        <is>
          <t>industrials</t>
        </is>
      </c>
      <c r="D350" s="30" t="inlineStr">
        <is>
          <t>engineering</t>
        </is>
      </c>
      <c r="E350" s="30" t="inlineStr">
        <is>
          <t>smallcap</t>
        </is>
      </c>
      <c r="F350" s="30" t="n">
        <v>586.62</v>
      </c>
      <c r="G350" s="30" t="n">
        <v>273.2</v>
      </c>
      <c r="H350" s="30" t="n">
        <v>-0.82</v>
      </c>
      <c r="I350" s="30" t="n">
        <v>12949</v>
      </c>
      <c r="J350" s="30" t="inlineStr">
        <is>
          <t>532740</t>
        </is>
      </c>
    </row>
    <row r="351">
      <c r="A351" s="30" t="inlineStr">
        <is>
          <t>KOTAKBANK</t>
        </is>
      </c>
      <c r="B351" s="30" t="inlineStr">
        <is>
          <t>Kotak Mahindra Bank Limited</t>
        </is>
      </c>
      <c r="C351" s="30" t="inlineStr">
        <is>
          <t>bank</t>
        </is>
      </c>
      <c r="D351" s="30" t="inlineStr">
        <is>
          <t>banks - private sector</t>
        </is>
      </c>
      <c r="E351" s="30" t="inlineStr">
        <is>
          <t>largecap</t>
        </is>
      </c>
      <c r="F351" s="30" t="n">
        <v>81125.39</v>
      </c>
      <c r="G351" s="30" t="n">
        <v>404.5</v>
      </c>
      <c r="H351" s="30" t="n">
        <v>-0.82</v>
      </c>
      <c r="I351" s="30" t="n">
        <v>11654415</v>
      </c>
      <c r="J351" s="30" t="inlineStr">
        <is>
          <t>500247</t>
        </is>
      </c>
    </row>
    <row r="352">
      <c r="A352" s="30" t="inlineStr">
        <is>
          <t>CERA</t>
        </is>
      </c>
      <c r="B352" s="30" t="inlineStr">
        <is>
          <t>Cera Sanitaryware Limited</t>
        </is>
      </c>
      <c r="C352" s="30" t="inlineStr">
        <is>
          <t>building materials</t>
        </is>
      </c>
      <c r="D352" s="30" t="inlineStr">
        <is>
          <t>ceramics - tiles / sanitaryware</t>
        </is>
      </c>
      <c r="E352" s="30" t="inlineStr">
        <is>
          <t>midcap</t>
        </is>
      </c>
      <c r="F352" s="30" t="n">
        <v>8006.79</v>
      </c>
      <c r="G352" s="30" t="n">
        <v>6156</v>
      </c>
      <c r="H352" s="30" t="n">
        <v>-0.84</v>
      </c>
      <c r="I352" s="30" t="n">
        <v>6748</v>
      </c>
      <c r="J352" s="30" t="inlineStr">
        <is>
          <t>532443</t>
        </is>
      </c>
    </row>
    <row r="353">
      <c r="A353" s="30" t="inlineStr">
        <is>
          <t>USHAMART</t>
        </is>
      </c>
      <c r="B353" s="30" t="inlineStr">
        <is>
          <t>Usha Martin Limited</t>
        </is>
      </c>
      <c r="C353" s="30" t="inlineStr">
        <is>
          <t>metals &amp; mining</t>
        </is>
      </c>
      <c r="D353" s="30" t="inlineStr">
        <is>
          <t>steel - medium / small</t>
        </is>
      </c>
      <c r="E353" s="30" t="inlineStr">
        <is>
          <t>midcap</t>
        </is>
      </c>
      <c r="F353" s="30" t="n">
        <v>15212.72</v>
      </c>
      <c r="G353" s="30" t="n">
        <v>494.9</v>
      </c>
      <c r="H353" s="30" t="n">
        <v>-0.86</v>
      </c>
      <c r="I353" s="30" t="n">
        <v>184999</v>
      </c>
      <c r="J353" s="30" t="inlineStr">
        <is>
          <t>517146</t>
        </is>
      </c>
    </row>
    <row r="354">
      <c r="A354" s="30" t="inlineStr">
        <is>
          <t>MENONBE</t>
        </is>
      </c>
      <c r="B354" s="30" t="inlineStr">
        <is>
          <t>Menon Bearings Limited</t>
        </is>
      </c>
      <c r="C354" s="30" t="inlineStr">
        <is>
          <t>auto</t>
        </is>
      </c>
      <c r="D354" s="30" t="inlineStr">
        <is>
          <t>auto ancillaries</t>
        </is>
      </c>
      <c r="E354" s="30" t="inlineStr">
        <is>
          <t>smallcap</t>
        </is>
      </c>
      <c r="F354" s="30" t="n">
        <v>993.76</v>
      </c>
      <c r="G354" s="30" t="n">
        <v>175.77</v>
      </c>
      <c r="H354" s="30" t="n">
        <v>-0.88</v>
      </c>
      <c r="I354" s="30" t="n">
        <v>357151</v>
      </c>
      <c r="J354" s="30" t="inlineStr">
        <is>
          <t>523828</t>
        </is>
      </c>
    </row>
    <row r="355">
      <c r="A355" s="30" t="inlineStr">
        <is>
          <t>SOMANYCERA</t>
        </is>
      </c>
      <c r="B355" s="30" t="inlineStr">
        <is>
          <t>Somany Ceramics Limited</t>
        </is>
      </c>
      <c r="C355" s="30" t="inlineStr">
        <is>
          <t>building materials</t>
        </is>
      </c>
      <c r="D355" s="30" t="inlineStr">
        <is>
          <t>ceramics - tiles / sanitaryware</t>
        </is>
      </c>
      <c r="E355" s="30" t="inlineStr">
        <is>
          <t>smallcap</t>
        </is>
      </c>
      <c r="F355" s="30" t="n">
        <v>2158.3</v>
      </c>
      <c r="G355" s="30" t="n">
        <v>521.6</v>
      </c>
      <c r="H355" s="30" t="n">
        <v>-0.88</v>
      </c>
      <c r="I355" s="30" t="n">
        <v>79569</v>
      </c>
      <c r="J355" s="30" t="inlineStr">
        <is>
          <t>531548</t>
        </is>
      </c>
    </row>
    <row r="356">
      <c r="A356" s="30" t="inlineStr">
        <is>
          <t>AKUMS</t>
        </is>
      </c>
      <c r="B356" s="30" t="inlineStr">
        <is>
          <t>Akums Drugs &amp; Pharmaceuticals Ltd</t>
        </is>
      </c>
      <c r="C356" s="30" t="inlineStr">
        <is>
          <t>healthcare</t>
        </is>
      </c>
      <c r="D356" s="30" t="inlineStr">
        <is>
          <t>pharmaceuticals - indian - bulk drugs &amp; formln</t>
        </is>
      </c>
      <c r="E356" s="30" t="inlineStr">
        <is>
          <t>midcap</t>
        </is>
      </c>
      <c r="F356" s="30" t="n">
        <v>9394.059999999999</v>
      </c>
      <c r="G356" s="30" t="n">
        <v>591.55</v>
      </c>
      <c r="H356" s="30" t="n">
        <v>-0.89</v>
      </c>
      <c r="I356" s="30" t="n">
        <v>270885</v>
      </c>
      <c r="J356" s="30" t="inlineStr">
        <is>
          <t>544222</t>
        </is>
      </c>
    </row>
    <row r="357">
      <c r="A357" s="30" t="inlineStr">
        <is>
          <t>TEXINFRA</t>
        </is>
      </c>
      <c r="B357" s="30" t="inlineStr">
        <is>
          <t>Texmaco Infrastructure &amp; Holdings Limited</t>
        </is>
      </c>
      <c r="C357" s="30" t="inlineStr">
        <is>
          <t>realty</t>
        </is>
      </c>
      <c r="D357" s="30" t="inlineStr">
        <is>
          <t>construction</t>
        </is>
      </c>
      <c r="E357" s="30" t="inlineStr">
        <is>
          <t>smallcap</t>
        </is>
      </c>
      <c r="F357" s="30" t="n">
        <v>1302.94</v>
      </c>
      <c r="G357" s="30" t="n">
        <v>101.34</v>
      </c>
      <c r="H357" s="30" t="n">
        <v>-0.89</v>
      </c>
      <c r="I357" s="30" t="n">
        <v>61850</v>
      </c>
      <c r="J357" s="30" t="inlineStr">
        <is>
          <t>505400</t>
        </is>
      </c>
    </row>
    <row r="358">
      <c r="A358" s="30" t="inlineStr">
        <is>
          <t>VTL</t>
        </is>
      </c>
      <c r="B358" s="30" t="inlineStr">
        <is>
          <t>Vardhman Textiles Limited</t>
        </is>
      </c>
      <c r="C358" s="30" t="inlineStr">
        <is>
          <t>textiles</t>
        </is>
      </c>
      <c r="D358" s="30" t="inlineStr">
        <is>
          <t>textiles - cotton/blended</t>
        </is>
      </c>
      <c r="E358" s="30" t="inlineStr">
        <is>
          <t>midcap</t>
        </is>
      </c>
      <c r="F358" s="30" t="n">
        <v>18278.27</v>
      </c>
      <c r="G358" s="30" t="n">
        <v>626.15</v>
      </c>
      <c r="H358" s="30" t="n">
        <v>-0.9</v>
      </c>
      <c r="I358" s="30" t="n">
        <v>304538</v>
      </c>
      <c r="J358" s="30" t="inlineStr">
        <is>
          <t>502986</t>
        </is>
      </c>
    </row>
    <row r="359">
      <c r="A359" s="30" t="inlineStr">
        <is>
          <t>MONARCH</t>
        </is>
      </c>
      <c r="B359" s="30" t="inlineStr">
        <is>
          <t>Monarch Networth Capital Ltd</t>
        </is>
      </c>
      <c r="C359" s="30" t="inlineStr">
        <is>
          <t>financials</t>
        </is>
      </c>
      <c r="D359" s="30" t="inlineStr">
        <is>
          <t>finance &amp; investments</t>
        </is>
      </c>
      <c r="E359" s="30" t="inlineStr">
        <is>
          <t>smallcap</t>
        </is>
      </c>
      <c r="F359" s="30" t="n">
        <v>2755.76</v>
      </c>
      <c r="G359" s="30" t="n">
        <v>344.45</v>
      </c>
      <c r="H359" s="30" t="n">
        <v>-0.92</v>
      </c>
      <c r="I359" s="30" t="n">
        <v>161637</v>
      </c>
      <c r="J359" s="30" t="inlineStr">
        <is>
          <t>511551</t>
        </is>
      </c>
    </row>
    <row r="360">
      <c r="A360" s="30" t="inlineStr">
        <is>
          <t>ASHIANA</t>
        </is>
      </c>
      <c r="B360" s="30" t="inlineStr">
        <is>
          <t>Ashiana Housing Limited</t>
        </is>
      </c>
      <c r="C360" s="30" t="inlineStr">
        <is>
          <t>realty</t>
        </is>
      </c>
      <c r="D360" s="30" t="inlineStr">
        <is>
          <t>construction</t>
        </is>
      </c>
      <c r="E360" s="30" t="inlineStr">
        <is>
          <t>smallcap</t>
        </is>
      </c>
      <c r="F360" s="30" t="n">
        <v>3911.42</v>
      </c>
      <c r="G360" s="30" t="n">
        <v>385.5</v>
      </c>
      <c r="H360" s="30" t="n">
        <v>-0.93</v>
      </c>
      <c r="I360" s="30" t="n">
        <v>184366</v>
      </c>
      <c r="J360" s="30" t="inlineStr">
        <is>
          <t>523716</t>
        </is>
      </c>
    </row>
    <row r="361">
      <c r="A361" s="30" t="inlineStr">
        <is>
          <t>GALAPREC</t>
        </is>
      </c>
      <c r="B361" s="30" t="inlineStr">
        <is>
          <t>Gala Precision Engineering Ltd</t>
        </is>
      </c>
      <c r="C361" s="30" t="inlineStr">
        <is>
          <t>industrials</t>
        </is>
      </c>
      <c r="D361" s="30" t="inlineStr">
        <is>
          <t>fasteners</t>
        </is>
      </c>
      <c r="E361" s="30" t="inlineStr">
        <is>
          <t>smallcap</t>
        </is>
      </c>
      <c r="F361" s="30" t="n">
        <v>1330.94</v>
      </c>
      <c r="G361" s="30" t="n">
        <v>1034.1</v>
      </c>
      <c r="H361" s="30" t="n">
        <v>-0.93</v>
      </c>
      <c r="I361" s="30" t="n">
        <v>90325</v>
      </c>
      <c r="J361" s="30" t="inlineStr">
        <is>
          <t>544244</t>
        </is>
      </c>
    </row>
    <row r="362">
      <c r="A362" s="30" t="inlineStr">
        <is>
          <t>FINEORG</t>
        </is>
      </c>
      <c r="B362" s="30" t="inlineStr">
        <is>
          <t>Fine Organic Industries Ltd</t>
        </is>
      </c>
      <c r="C362" s="30" t="inlineStr">
        <is>
          <t>chemicals</t>
        </is>
      </c>
      <c r="D362" s="30" t="inlineStr">
        <is>
          <t>chemicals</t>
        </is>
      </c>
      <c r="E362" s="30" t="inlineStr">
        <is>
          <t>midcap</t>
        </is>
      </c>
      <c r="F362" s="30" t="n">
        <v>15445.88</v>
      </c>
      <c r="G362" s="30" t="n">
        <v>4990.6</v>
      </c>
      <c r="H362" s="30" t="n">
        <v>-0.9399999999999999</v>
      </c>
      <c r="I362" s="30" t="n">
        <v>12732</v>
      </c>
      <c r="J362" s="30" t="inlineStr">
        <is>
          <t>541557</t>
        </is>
      </c>
    </row>
    <row r="363">
      <c r="A363" s="30" t="inlineStr">
        <is>
          <t>SKIPPER</t>
        </is>
      </c>
      <c r="B363" s="30" t="inlineStr">
        <is>
          <t>Skipper Limited</t>
        </is>
      </c>
      <c r="C363" s="30" t="inlineStr">
        <is>
          <t>industrials</t>
        </is>
      </c>
      <c r="D363" s="30" t="inlineStr">
        <is>
          <t>engineering</t>
        </is>
      </c>
      <c r="E363" s="30" t="inlineStr">
        <is>
          <t>midcap</t>
        </is>
      </c>
      <c r="F363" s="30" t="n">
        <v>6257.14</v>
      </c>
      <c r="G363" s="30" t="n">
        <v>549</v>
      </c>
      <c r="H363" s="30" t="n">
        <v>-0.9399999999999999</v>
      </c>
      <c r="I363" s="30" t="n">
        <v>1095620</v>
      </c>
      <c r="J363" s="30" t="inlineStr">
        <is>
          <t>538562</t>
        </is>
      </c>
    </row>
    <row r="364">
      <c r="A364" s="30" t="inlineStr">
        <is>
          <t>GUFICBIO</t>
        </is>
      </c>
      <c r="B364" s="30" t="inlineStr">
        <is>
          <t>Gufic Biosciences Limited</t>
        </is>
      </c>
      <c r="C364" s="30" t="inlineStr">
        <is>
          <t>healthcare</t>
        </is>
      </c>
      <c r="D364" s="30" t="inlineStr">
        <is>
          <t>pharmaceuticals - indian - bulk drugs &amp; formln</t>
        </is>
      </c>
      <c r="E364" s="30" t="inlineStr">
        <is>
          <t>smallcap</t>
        </is>
      </c>
      <c r="F364" s="30" t="n">
        <v>3710.45</v>
      </c>
      <c r="G364" s="30" t="n">
        <v>366.45</v>
      </c>
      <c r="H364" s="30" t="n">
        <v>-0.96</v>
      </c>
      <c r="I364" s="30" t="n">
        <v>38405</v>
      </c>
      <c r="J364" s="30" t="inlineStr">
        <is>
          <t>509079</t>
        </is>
      </c>
    </row>
    <row r="365">
      <c r="A365" s="30" t="inlineStr">
        <is>
          <t>PARACABLES</t>
        </is>
      </c>
      <c r="B365" s="30" t="inlineStr">
        <is>
          <t>Paramount Communications Limited</t>
        </is>
      </c>
      <c r="C365" s="30" t="inlineStr">
        <is>
          <t>industrials</t>
        </is>
      </c>
      <c r="D365" s="30" t="inlineStr">
        <is>
          <t>cables - power</t>
        </is>
      </c>
      <c r="E365" s="30" t="inlineStr">
        <is>
          <t>smallcap</t>
        </is>
      </c>
      <c r="F365" s="30" t="n">
        <v>2036.67</v>
      </c>
      <c r="G365" s="30" t="n">
        <v>66.06999999999999</v>
      </c>
      <c r="H365" s="30" t="n">
        <v>-0.99</v>
      </c>
      <c r="I365" s="30" t="n">
        <v>1496944</v>
      </c>
      <c r="J365" s="30" t="inlineStr">
        <is>
          <t>530555</t>
        </is>
      </c>
    </row>
    <row r="366">
      <c r="A366" s="30" t="inlineStr">
        <is>
          <t>CHAMBLFERT</t>
        </is>
      </c>
      <c r="B366" s="30" t="inlineStr">
        <is>
          <t>Chambal Fertilizers &amp; Chemicals Limited</t>
        </is>
      </c>
      <c r="C366" s="30" t="inlineStr">
        <is>
          <t>chemicals</t>
        </is>
      </c>
      <c r="D366" s="30" t="inlineStr">
        <is>
          <t>fertilizers</t>
        </is>
      </c>
      <c r="E366" s="30" t="inlineStr">
        <is>
          <t>midcap</t>
        </is>
      </c>
      <c r="F366" s="30" t="n">
        <v>19631.96</v>
      </c>
      <c r="G366" s="30" t="n">
        <v>485.1</v>
      </c>
      <c r="H366" s="30" t="n">
        <v>-1</v>
      </c>
      <c r="I366" s="30" t="n">
        <v>987282</v>
      </c>
      <c r="J366" s="30" t="inlineStr">
        <is>
          <t>500085</t>
        </is>
      </c>
    </row>
    <row r="367">
      <c r="A367" s="30" t="inlineStr">
        <is>
          <t>INDNIPPON</t>
        </is>
      </c>
      <c r="B367" s="30" t="inlineStr">
        <is>
          <t>India Nippon Electricals Limited</t>
        </is>
      </c>
      <c r="C367" s="30" t="inlineStr">
        <is>
          <t>auto</t>
        </is>
      </c>
      <c r="D367" s="30" t="inlineStr">
        <is>
          <t>auto ancillaries</t>
        </is>
      </c>
      <c r="E367" s="30" t="inlineStr">
        <is>
          <t>smallcap</t>
        </is>
      </c>
      <c r="F367" s="30" t="n">
        <v>2096.1</v>
      </c>
      <c r="G367" s="30" t="n">
        <v>917.2</v>
      </c>
      <c r="H367" s="30" t="n">
        <v>-1.01</v>
      </c>
      <c r="I367" s="30" t="n">
        <v>24327</v>
      </c>
      <c r="J367" s="30" t="inlineStr">
        <is>
          <t>532240</t>
        </is>
      </c>
    </row>
    <row r="368">
      <c r="A368" s="30" t="inlineStr">
        <is>
          <t>GREENPLY</t>
        </is>
      </c>
      <c r="B368" s="30" t="inlineStr">
        <is>
          <t>Greenply Industries Limited</t>
        </is>
      </c>
      <c r="C368" s="30" t="inlineStr">
        <is>
          <t>building materials</t>
        </is>
      </c>
      <c r="D368" s="30" t="inlineStr">
        <is>
          <t>miscellaneous</t>
        </is>
      </c>
      <c r="E368" s="30" t="inlineStr">
        <is>
          <t>smallcap</t>
        </is>
      </c>
      <c r="F368" s="30" t="n">
        <v>3705.59</v>
      </c>
      <c r="G368" s="30" t="n">
        <v>293.67</v>
      </c>
      <c r="H368" s="30" t="n">
        <v>-1.01</v>
      </c>
      <c r="I368" s="30" t="n">
        <v>358100</v>
      </c>
      <c r="J368" s="30" t="inlineStr">
        <is>
          <t>526797</t>
        </is>
      </c>
    </row>
    <row r="369">
      <c r="A369" s="30" t="inlineStr">
        <is>
          <t>DIACABS</t>
        </is>
      </c>
      <c r="B369" s="30" t="inlineStr">
        <is>
          <t>Diamond Power Infrastructure Ltd</t>
        </is>
      </c>
      <c r="C369" s="30" t="inlineStr">
        <is>
          <t>industrials</t>
        </is>
      </c>
      <c r="D369" s="30" t="inlineStr">
        <is>
          <t>cables - power</t>
        </is>
      </c>
      <c r="E369" s="30" t="inlineStr">
        <is>
          <t>midcap</t>
        </is>
      </c>
      <c r="F369" s="30" t="n">
        <v>10887.22</v>
      </c>
      <c r="G369" s="30" t="n">
        <v>204.51</v>
      </c>
      <c r="H369" s="30" t="n">
        <v>-1.01</v>
      </c>
      <c r="I369" s="30" t="n">
        <v>4504372</v>
      </c>
      <c r="J369" s="30" t="inlineStr">
        <is>
          <t>522163</t>
        </is>
      </c>
    </row>
    <row r="370">
      <c r="A370" s="30" t="inlineStr">
        <is>
          <t>NORTHARC</t>
        </is>
      </c>
      <c r="B370" s="30" t="inlineStr">
        <is>
          <t>Northern ARC Capital Ltd</t>
        </is>
      </c>
      <c r="C370" s="30" t="inlineStr">
        <is>
          <t>financials</t>
        </is>
      </c>
      <c r="D370" s="30" t="inlineStr">
        <is>
          <t>finance &amp; investments</t>
        </is>
      </c>
      <c r="E370" s="30" t="inlineStr">
        <is>
          <t>smallcap</t>
        </is>
      </c>
      <c r="F370" s="30" t="n">
        <v>4826.96</v>
      </c>
      <c r="G370" s="30" t="n">
        <v>295.7</v>
      </c>
      <c r="H370" s="30" t="n">
        <v>-1.02</v>
      </c>
      <c r="I370" s="30" t="n">
        <v>283189</v>
      </c>
      <c r="J370" s="30" t="n"/>
    </row>
    <row r="371">
      <c r="A371" s="30" t="inlineStr">
        <is>
          <t>DIAMONDYD</t>
        </is>
      </c>
      <c r="B371" s="30" t="inlineStr">
        <is>
          <t>Prataap Snacks Ltd</t>
        </is>
      </c>
      <c r="C371" s="30" t="inlineStr">
        <is>
          <t>fmcg</t>
        </is>
      </c>
      <c r="D371" s="30" t="inlineStr">
        <is>
          <t>food - processing - indian</t>
        </is>
      </c>
      <c r="E371" s="30" t="inlineStr">
        <is>
          <t>smallcap</t>
        </is>
      </c>
      <c r="F371" s="30" t="n">
        <v>2697.75</v>
      </c>
      <c r="G371" s="30" t="n">
        <v>1116.6</v>
      </c>
      <c r="H371" s="30" t="n">
        <v>-1.06</v>
      </c>
      <c r="I371" s="30" t="n">
        <v>15094</v>
      </c>
      <c r="J371" s="30" t="inlineStr">
        <is>
          <t>540724</t>
        </is>
      </c>
    </row>
    <row r="372">
      <c r="A372" s="30" t="inlineStr">
        <is>
          <t>JTLIND</t>
        </is>
      </c>
      <c r="B372" s="30" t="inlineStr">
        <is>
          <t>JTL Industries Ltd</t>
        </is>
      </c>
      <c r="C372" s="30" t="inlineStr">
        <is>
          <t>metals &amp; mining</t>
        </is>
      </c>
      <c r="D372" s="30" t="inlineStr">
        <is>
          <t>steel - medium / small</t>
        </is>
      </c>
      <c r="E372" s="30" t="inlineStr">
        <is>
          <t>smallcap</t>
        </is>
      </c>
      <c r="F372" s="30" t="n">
        <v>3026.34</v>
      </c>
      <c r="G372" s="30" t="n">
        <v>76.17</v>
      </c>
      <c r="H372" s="30" t="n">
        <v>-1.07</v>
      </c>
      <c r="I372" s="30" t="n">
        <v>1662309</v>
      </c>
      <c r="J372" s="30" t="inlineStr">
        <is>
          <t>534600</t>
        </is>
      </c>
    </row>
    <row r="373">
      <c r="A373" s="30" t="inlineStr">
        <is>
          <t>KPRMILL</t>
        </is>
      </c>
      <c r="B373" s="30" t="inlineStr">
        <is>
          <t>K.p.r. Mill Limited</t>
        </is>
      </c>
      <c r="C373" s="30" t="inlineStr">
        <is>
          <t>consumer discretionary</t>
        </is>
      </c>
      <c r="D373" s="30" t="inlineStr">
        <is>
          <t>textiles - products</t>
        </is>
      </c>
      <c r="E373" s="30" t="inlineStr">
        <is>
          <t>largecap</t>
        </is>
      </c>
      <c r="F373" s="30" t="n">
        <v>36047.7</v>
      </c>
      <c r="G373" s="30" t="n">
        <v>1043.25</v>
      </c>
      <c r="H373" s="30" t="n">
        <v>-1.08</v>
      </c>
      <c r="I373" s="30" t="n">
        <v>186966</v>
      </c>
      <c r="J373" s="30" t="inlineStr">
        <is>
          <t>532889</t>
        </is>
      </c>
    </row>
    <row r="374">
      <c r="A374" s="30" t="inlineStr">
        <is>
          <t>AXISBANK</t>
        </is>
      </c>
      <c r="B374" s="30" t="inlineStr">
        <is>
          <t>Axis Bank Limited</t>
        </is>
      </c>
      <c r="C374" s="30" t="inlineStr">
        <is>
          <t>bank</t>
        </is>
      </c>
      <c r="D374" s="30" t="inlineStr">
        <is>
          <t>banks - private sector</t>
        </is>
      </c>
      <c r="E374" s="30" t="inlineStr">
        <is>
          <t>largecap</t>
        </is>
      </c>
      <c r="F374" s="30" t="n">
        <v>424483.14</v>
      </c>
      <c r="G374" s="30" t="n">
        <v>1350.9</v>
      </c>
      <c r="H374" s="30" t="n">
        <v>-1.08</v>
      </c>
      <c r="I374" s="30" t="n">
        <v>4761917</v>
      </c>
      <c r="J374" s="30" t="inlineStr">
        <is>
          <t>532215</t>
        </is>
      </c>
    </row>
    <row r="375">
      <c r="A375" s="30" t="inlineStr">
        <is>
          <t>ORCHPHARMA</t>
        </is>
      </c>
      <c r="B375" s="30" t="inlineStr">
        <is>
          <t>Orchid Pharma Ltd</t>
        </is>
      </c>
      <c r="C375" s="30" t="inlineStr">
        <is>
          <t>healthcare</t>
        </is>
      </c>
      <c r="D375" s="30" t="inlineStr">
        <is>
          <t>pharmaceuticals - indian - bulk drugs &amp; formln</t>
        </is>
      </c>
      <c r="E375" s="30" t="inlineStr">
        <is>
          <t>midcap</t>
        </is>
      </c>
      <c r="F375" s="30" t="n">
        <v>5316.12</v>
      </c>
      <c r="G375" s="30" t="n">
        <v>1036.85</v>
      </c>
      <c r="H375" s="30" t="n">
        <v>-1.08</v>
      </c>
      <c r="I375" s="30" t="n">
        <v>271306</v>
      </c>
      <c r="J375" s="30" t="inlineStr">
        <is>
          <t>524372</t>
        </is>
      </c>
    </row>
    <row r="376">
      <c r="A376" s="30" t="inlineStr">
        <is>
          <t>UJJIVANSFB</t>
        </is>
      </c>
      <c r="B376" s="30" t="inlineStr">
        <is>
          <t>Ujjivan Small Finance Bank Ltd</t>
        </is>
      </c>
      <c r="C376" s="30" t="inlineStr">
        <is>
          <t>bank</t>
        </is>
      </c>
      <c r="D376" s="30" t="inlineStr">
        <is>
          <t>banks - private sector</t>
        </is>
      </c>
      <c r="E376" s="30" t="inlineStr">
        <is>
          <t>midcap</t>
        </is>
      </c>
      <c r="F376" s="30" t="n">
        <v>11149.24</v>
      </c>
      <c r="G376" s="30" t="n">
        <v>56.75</v>
      </c>
      <c r="H376" s="30" t="n">
        <v>-1.12</v>
      </c>
      <c r="I376" s="30" t="n">
        <v>4356583</v>
      </c>
      <c r="J376" s="30" t="inlineStr">
        <is>
          <t>542904</t>
        </is>
      </c>
    </row>
    <row r="377">
      <c r="A377" s="30" t="inlineStr">
        <is>
          <t>ADANIGREEN</t>
        </is>
      </c>
      <c r="B377" s="30" t="inlineStr">
        <is>
          <t>Adani Green Energy Ltd</t>
        </is>
      </c>
      <c r="C377" s="30" t="inlineStr">
        <is>
          <t>power &amp; utilities</t>
        </is>
      </c>
      <c r="D377" s="30" t="inlineStr">
        <is>
          <t>power generation and supply</t>
        </is>
      </c>
      <c r="E377" s="30" t="inlineStr">
        <is>
          <t>largecap</t>
        </is>
      </c>
      <c r="F377" s="30" t="n">
        <v>244193.87</v>
      </c>
      <c r="G377" s="30" t="n">
        <v>1465.8</v>
      </c>
      <c r="H377" s="30" t="n">
        <v>-1.13</v>
      </c>
      <c r="I377" s="30" t="n">
        <v>2163196</v>
      </c>
      <c r="J377" s="30" t="inlineStr">
        <is>
          <t>541450</t>
        </is>
      </c>
    </row>
    <row r="378">
      <c r="A378" s="30" t="inlineStr">
        <is>
          <t>INDOBORAX</t>
        </is>
      </c>
      <c r="B378" s="30" t="inlineStr">
        <is>
          <t>Indo Borax &amp; Chemicals Ltd</t>
        </is>
      </c>
      <c r="C378" s="30" t="inlineStr">
        <is>
          <t>chemicals</t>
        </is>
      </c>
      <c r="D378" s="30" t="inlineStr">
        <is>
          <t>chemicals</t>
        </is>
      </c>
      <c r="E378" s="30" t="inlineStr">
        <is>
          <t>smallcap</t>
        </is>
      </c>
      <c r="F378" s="30" t="n">
        <v>1178.67</v>
      </c>
      <c r="G378" s="30" t="n">
        <v>363.1</v>
      </c>
      <c r="H378" s="30" t="n">
        <v>-1.14</v>
      </c>
      <c r="I378" s="30" t="n">
        <v>37899</v>
      </c>
      <c r="J378" s="30" t="inlineStr">
        <is>
          <t>524342</t>
        </is>
      </c>
    </row>
    <row r="379">
      <c r="A379" s="30" t="inlineStr">
        <is>
          <t>GABRIEL</t>
        </is>
      </c>
      <c r="B379" s="30" t="inlineStr">
        <is>
          <t>Gabriel India Limited</t>
        </is>
      </c>
      <c r="C379" s="30" t="inlineStr">
        <is>
          <t>auto</t>
        </is>
      </c>
      <c r="D379" s="30" t="inlineStr">
        <is>
          <t>auto ancillaries</t>
        </is>
      </c>
      <c r="E379" s="30" t="inlineStr">
        <is>
          <t>midcap</t>
        </is>
      </c>
      <c r="F379" s="30" t="n">
        <v>16323.7</v>
      </c>
      <c r="G379" s="30" t="n">
        <v>1123.2</v>
      </c>
      <c r="H379" s="30" t="n">
        <v>-1.16</v>
      </c>
      <c r="I379" s="30" t="n">
        <v>341020</v>
      </c>
      <c r="J379" s="30" t="inlineStr">
        <is>
          <t>505714</t>
        </is>
      </c>
    </row>
    <row r="380">
      <c r="A380" s="30" t="inlineStr">
        <is>
          <t>RUBYMILLS</t>
        </is>
      </c>
      <c r="B380" s="30" t="inlineStr">
        <is>
          <t>The Ruby Mills Limited</t>
        </is>
      </c>
      <c r="C380" s="30" t="inlineStr">
        <is>
          <t>textiles</t>
        </is>
      </c>
      <c r="D380" s="30" t="inlineStr">
        <is>
          <t>textiles - composite</t>
        </is>
      </c>
      <c r="E380" s="30" t="inlineStr">
        <is>
          <t>smallcap</t>
        </is>
      </c>
      <c r="F380" s="30" t="n">
        <v>1076.1</v>
      </c>
      <c r="G380" s="30" t="n">
        <v>318.05</v>
      </c>
      <c r="H380" s="30" t="n">
        <v>-1.17</v>
      </c>
      <c r="I380" s="30" t="n">
        <v>21464</v>
      </c>
      <c r="J380" s="30" t="inlineStr">
        <is>
          <t>503169</t>
        </is>
      </c>
    </row>
    <row r="381">
      <c r="A381" s="30" t="inlineStr">
        <is>
          <t>SJS</t>
        </is>
      </c>
      <c r="B381" s="30" t="inlineStr">
        <is>
          <t>S J S Enterprises Ltd</t>
        </is>
      </c>
      <c r="C381" s="30" t="inlineStr">
        <is>
          <t>auto</t>
        </is>
      </c>
      <c r="D381" s="30" t="inlineStr">
        <is>
          <t>plastics products</t>
        </is>
      </c>
      <c r="E381" s="30" t="inlineStr">
        <is>
          <t>midcap</t>
        </is>
      </c>
      <c r="F381" s="30" t="n">
        <v>7101.69</v>
      </c>
      <c r="G381" s="30" t="n">
        <v>2193.5</v>
      </c>
      <c r="H381" s="30" t="n">
        <v>-1.17</v>
      </c>
      <c r="I381" s="30" t="n">
        <v>113799</v>
      </c>
      <c r="J381" s="30" t="inlineStr">
        <is>
          <t>543387</t>
        </is>
      </c>
    </row>
    <row r="382">
      <c r="A382" s="30" t="inlineStr">
        <is>
          <t>MSPL</t>
        </is>
      </c>
      <c r="B382" s="30" t="inlineStr">
        <is>
          <t>Msp Steel &amp; Power Limited</t>
        </is>
      </c>
      <c r="C382" s="30" t="inlineStr">
        <is>
          <t>metals &amp; mining</t>
        </is>
      </c>
      <c r="D382" s="30" t="inlineStr">
        <is>
          <t>steel - medium / small</t>
        </is>
      </c>
      <c r="E382" s="30" t="inlineStr">
        <is>
          <t>smallcap</t>
        </is>
      </c>
      <c r="F382" s="30" t="n">
        <v>2407.75</v>
      </c>
      <c r="G382" s="30" t="n">
        <v>41.98</v>
      </c>
      <c r="H382" s="30" t="n">
        <v>-1.18</v>
      </c>
      <c r="I382" s="30" t="n">
        <v>5650507</v>
      </c>
      <c r="J382" s="30" t="inlineStr">
        <is>
          <t>532650</t>
        </is>
      </c>
    </row>
    <row r="383">
      <c r="A383" s="30" t="inlineStr">
        <is>
          <t>NRBBEARING</t>
        </is>
      </c>
      <c r="B383" s="30" t="inlineStr">
        <is>
          <t>Nrb Bearing Limited</t>
        </is>
      </c>
      <c r="C383" s="30" t="inlineStr">
        <is>
          <t>industrials</t>
        </is>
      </c>
      <c r="D383" s="30" t="inlineStr">
        <is>
          <t>bearings</t>
        </is>
      </c>
      <c r="E383" s="30" t="inlineStr">
        <is>
          <t>smallcap</t>
        </is>
      </c>
      <c r="F383" s="30" t="n">
        <v>4127.45</v>
      </c>
      <c r="G383" s="30" t="n">
        <v>420.6</v>
      </c>
      <c r="H383" s="30" t="n">
        <v>-1.23</v>
      </c>
      <c r="I383" s="30" t="n">
        <v>300512</v>
      </c>
      <c r="J383" s="30" t="inlineStr">
        <is>
          <t>530367</t>
        </is>
      </c>
    </row>
    <row r="384">
      <c r="A384" s="30" t="inlineStr">
        <is>
          <t>SKYGOLD</t>
        </is>
      </c>
      <c r="B384" s="30" t="inlineStr">
        <is>
          <t>Sky Gold Ltd</t>
        </is>
      </c>
      <c r="C384" s="30" t="inlineStr">
        <is>
          <t>consumer discretionary</t>
        </is>
      </c>
      <c r="D384" s="30" t="inlineStr">
        <is>
          <t>diamond cutting / jewellery</t>
        </is>
      </c>
      <c r="E384" s="30" t="inlineStr">
        <is>
          <t>midcap</t>
        </is>
      </c>
      <c r="F384" s="30" t="n">
        <v>8208.32</v>
      </c>
      <c r="G384" s="30" t="n">
        <v>523.35</v>
      </c>
      <c r="H384" s="30" t="n">
        <v>-1.25</v>
      </c>
      <c r="I384" s="30" t="n">
        <v>565947</v>
      </c>
      <c r="J384" s="30" t="inlineStr">
        <is>
          <t>541967</t>
        </is>
      </c>
    </row>
    <row r="385">
      <c r="A385" s="30" t="inlineStr">
        <is>
          <t>HNDFDS</t>
        </is>
      </c>
      <c r="B385" s="30" t="inlineStr">
        <is>
          <t>Hindustan Foods Ltd</t>
        </is>
      </c>
      <c r="C385" s="30" t="inlineStr">
        <is>
          <t>fmcg</t>
        </is>
      </c>
      <c r="D385" s="30" t="inlineStr">
        <is>
          <t>diversified - large</t>
        </is>
      </c>
      <c r="E385" s="30" t="inlineStr">
        <is>
          <t>midcap</t>
        </is>
      </c>
      <c r="F385" s="30" t="n">
        <v>6613.91</v>
      </c>
      <c r="G385" s="30" t="n">
        <v>546.6</v>
      </c>
      <c r="H385" s="30" t="n">
        <v>-1.26</v>
      </c>
      <c r="I385" s="30" t="n">
        <v>35525</v>
      </c>
      <c r="J385" s="30" t="inlineStr">
        <is>
          <t>519126</t>
        </is>
      </c>
    </row>
    <row r="386">
      <c r="A386" s="30" t="inlineStr">
        <is>
          <t>STLTECH</t>
        </is>
      </c>
      <c r="B386" s="30" t="inlineStr">
        <is>
          <t>Sterlite Technologies Limited</t>
        </is>
      </c>
      <c r="C386" s="30" t="inlineStr">
        <is>
          <t>industrials</t>
        </is>
      </c>
      <c r="D386" s="30" t="inlineStr">
        <is>
          <t>cables - telephone</t>
        </is>
      </c>
      <c r="E386" s="30" t="inlineStr">
        <is>
          <t>largecap</t>
        </is>
      </c>
      <c r="F386" s="30" t="n">
        <v>30493.64</v>
      </c>
      <c r="G386" s="30" t="n">
        <v>616.6</v>
      </c>
      <c r="H386" s="30" t="n">
        <v>-1.3</v>
      </c>
      <c r="I386" s="30" t="n">
        <v>2932768</v>
      </c>
      <c r="J386" s="30" t="inlineStr">
        <is>
          <t>532374</t>
        </is>
      </c>
    </row>
    <row r="387">
      <c r="A387" s="30" t="inlineStr">
        <is>
          <t>SANGHVIMOV</t>
        </is>
      </c>
      <c r="B387" s="30" t="inlineStr">
        <is>
          <t>Sanghvi Movers Limited</t>
        </is>
      </c>
      <c r="C387" s="30" t="inlineStr">
        <is>
          <t>miscellaneous</t>
        </is>
      </c>
      <c r="D387" s="30" t="inlineStr">
        <is>
          <t>miscellaneous</t>
        </is>
      </c>
      <c r="E387" s="30" t="inlineStr">
        <is>
          <t>smallcap</t>
        </is>
      </c>
      <c r="F387" s="30" t="n">
        <v>3653.94</v>
      </c>
      <c r="G387" s="30" t="n">
        <v>416.5</v>
      </c>
      <c r="H387" s="30" t="n">
        <v>-1.32</v>
      </c>
      <c r="I387" s="30" t="n">
        <v>447998</v>
      </c>
      <c r="J387" s="30" t="inlineStr">
        <is>
          <t>530073</t>
        </is>
      </c>
    </row>
    <row r="388">
      <c r="A388" s="30" t="inlineStr">
        <is>
          <t>BANDHANBNK</t>
        </is>
      </c>
      <c r="B388" s="30" t="inlineStr">
        <is>
          <t>Bandhan Bank Ltd</t>
        </is>
      </c>
      <c r="C388" s="30" t="inlineStr">
        <is>
          <t>bank</t>
        </is>
      </c>
      <c r="D388" s="30" t="inlineStr">
        <is>
          <t>banks - private sector</t>
        </is>
      </c>
      <c r="E388" s="30" t="inlineStr">
        <is>
          <t>largecap</t>
        </is>
      </c>
      <c r="F388" s="30" t="n">
        <v>34916.21</v>
      </c>
      <c r="G388" s="30" t="n">
        <v>213.76</v>
      </c>
      <c r="H388" s="30" t="n">
        <v>-1.37</v>
      </c>
      <c r="I388" s="30" t="n">
        <v>9233245</v>
      </c>
      <c r="J388" s="30" t="inlineStr">
        <is>
          <t>541153</t>
        </is>
      </c>
    </row>
    <row r="389">
      <c r="A389" s="30" t="inlineStr">
        <is>
          <t>SILVERTUC</t>
        </is>
      </c>
      <c r="B389" s="30" t="inlineStr">
        <is>
          <t>Silver Touch Technologies Ltd</t>
        </is>
      </c>
      <c r="C389" s="30" t="inlineStr">
        <is>
          <t>i.t</t>
        </is>
      </c>
      <c r="D389" s="30" t="inlineStr">
        <is>
          <t>computers - software - medium / small</t>
        </is>
      </c>
      <c r="E389" s="30" t="inlineStr">
        <is>
          <t>smallcap</t>
        </is>
      </c>
      <c r="F389" s="30" t="n">
        <v>2511.85</v>
      </c>
      <c r="G389" s="30" t="n">
        <v>195.35</v>
      </c>
      <c r="H389" s="30" t="n">
        <v>-1.38</v>
      </c>
      <c r="I389" s="30" t="n">
        <v>493145</v>
      </c>
      <c r="J389" s="30" t="inlineStr">
        <is>
          <t>535031</t>
        </is>
      </c>
    </row>
    <row r="390">
      <c r="A390" s="30" t="inlineStr">
        <is>
          <t>SBCL</t>
        </is>
      </c>
      <c r="B390" s="30" t="inlineStr">
        <is>
          <t>Shivalik Bimetal Controls Ltd</t>
        </is>
      </c>
      <c r="C390" s="30" t="inlineStr">
        <is>
          <t>metals &amp; mining</t>
        </is>
      </c>
      <c r="D390" s="30" t="inlineStr">
        <is>
          <t>mining / minerals / metals</t>
        </is>
      </c>
      <c r="E390" s="30" t="inlineStr">
        <is>
          <t>smallcap</t>
        </is>
      </c>
      <c r="F390" s="30" t="n">
        <v>4266.17</v>
      </c>
      <c r="G390" s="30" t="n">
        <v>729.1</v>
      </c>
      <c r="H390" s="30" t="n">
        <v>-1.55</v>
      </c>
      <c r="I390" s="30" t="n">
        <v>445466</v>
      </c>
      <c r="J390" s="30" t="inlineStr">
        <is>
          <t>513097</t>
        </is>
      </c>
    </row>
    <row r="391">
      <c r="A391" s="30" t="inlineStr">
        <is>
          <t>CHENNPETRO</t>
        </is>
      </c>
      <c r="B391" s="30" t="inlineStr">
        <is>
          <t>Chennai Petroleum Corporation Limited</t>
        </is>
      </c>
      <c r="C391" s="30" t="inlineStr">
        <is>
          <t>energy</t>
        </is>
      </c>
      <c r="D391" s="30" t="inlineStr">
        <is>
          <t>refineries</t>
        </is>
      </c>
      <c r="E391" s="30" t="inlineStr">
        <is>
          <t>midcap</t>
        </is>
      </c>
      <c r="F391" s="30" t="n">
        <v>17622.18</v>
      </c>
      <c r="G391" s="30" t="n">
        <v>1165.1</v>
      </c>
      <c r="H391" s="30" t="n">
        <v>-1.55</v>
      </c>
      <c r="I391" s="30" t="n">
        <v>598555</v>
      </c>
      <c r="J391" s="30" t="inlineStr">
        <is>
          <t>500110</t>
        </is>
      </c>
    </row>
    <row r="392">
      <c r="A392" s="30" t="inlineStr">
        <is>
          <t>NGLFINE</t>
        </is>
      </c>
      <c r="B392" s="30" t="inlineStr">
        <is>
          <t>NGL Fine Chem Ltd</t>
        </is>
      </c>
      <c r="C392" s="30" t="inlineStr">
        <is>
          <t>healthcare</t>
        </is>
      </c>
      <c r="D392" s="30" t="inlineStr">
        <is>
          <t>pharmaceuticals - indian - bulk drugs</t>
        </is>
      </c>
      <c r="E392" s="30" t="inlineStr">
        <is>
          <t>smallcap</t>
        </is>
      </c>
      <c r="F392" s="30" t="n">
        <v>1839.01</v>
      </c>
      <c r="G392" s="30" t="n">
        <v>2930.3</v>
      </c>
      <c r="H392" s="30" t="n">
        <v>-1.56</v>
      </c>
      <c r="I392" s="30" t="n">
        <v>35458</v>
      </c>
      <c r="J392" s="30" t="inlineStr">
        <is>
          <t>524774</t>
        </is>
      </c>
    </row>
    <row r="393">
      <c r="A393" s="30" t="inlineStr">
        <is>
          <t>MANALIPETC</t>
        </is>
      </c>
      <c r="B393" s="30" t="inlineStr">
        <is>
          <t>Manali Petrochemicals Limited</t>
        </is>
      </c>
      <c r="C393" s="30" t="inlineStr">
        <is>
          <t>energy</t>
        </is>
      </c>
      <c r="D393" s="30" t="inlineStr">
        <is>
          <t>petrochemicals</t>
        </is>
      </c>
      <c r="E393" s="30" t="inlineStr">
        <is>
          <t>smallcap</t>
        </is>
      </c>
      <c r="F393" s="30" t="n">
        <v>1164.09</v>
      </c>
      <c r="G393" s="30" t="n">
        <v>66.59</v>
      </c>
      <c r="H393" s="30" t="n">
        <v>-1.61</v>
      </c>
      <c r="I393" s="30" t="n">
        <v>457182</v>
      </c>
      <c r="J393" s="30" t="inlineStr">
        <is>
          <t>500268</t>
        </is>
      </c>
    </row>
    <row r="394">
      <c r="A394" s="30" t="inlineStr">
        <is>
          <t>AVTNPL</t>
        </is>
      </c>
      <c r="B394" s="30" t="inlineStr">
        <is>
          <t>Avt Natural Products Limited</t>
        </is>
      </c>
      <c r="C394" s="30" t="inlineStr">
        <is>
          <t>fmcg</t>
        </is>
      </c>
      <c r="D394" s="30" t="inlineStr">
        <is>
          <t>solvent extraction</t>
        </is>
      </c>
      <c r="E394" s="30" t="inlineStr">
        <is>
          <t>smallcap</t>
        </is>
      </c>
      <c r="F394" s="30" t="n">
        <v>1116.09</v>
      </c>
      <c r="G394" s="30" t="n">
        <v>72.09999999999999</v>
      </c>
      <c r="H394" s="30" t="n">
        <v>-1.62</v>
      </c>
      <c r="I394" s="30" t="n">
        <v>67504</v>
      </c>
      <c r="J394" s="30" t="inlineStr">
        <is>
          <t>519105</t>
        </is>
      </c>
    </row>
    <row r="395">
      <c r="A395" s="30" t="inlineStr">
        <is>
          <t>MOTHERSON</t>
        </is>
      </c>
      <c r="B395" s="30" t="inlineStr">
        <is>
          <t>Samvardhana Motherson International Ltd</t>
        </is>
      </c>
      <c r="C395" s="30" t="inlineStr">
        <is>
          <t>auto</t>
        </is>
      </c>
      <c r="D395" s="30" t="inlineStr">
        <is>
          <t>auto ancillaries</t>
        </is>
      </c>
      <c r="E395" s="30" t="inlineStr">
        <is>
          <t>largecap</t>
        </is>
      </c>
      <c r="F395" s="30" t="n">
        <v>155783.57</v>
      </c>
      <c r="G395" s="30" t="n">
        <v>145.1</v>
      </c>
      <c r="H395" s="30" t="n">
        <v>-1.69</v>
      </c>
      <c r="I395" s="30" t="n">
        <v>20551699</v>
      </c>
      <c r="J395" s="30" t="inlineStr">
        <is>
          <t>517334</t>
        </is>
      </c>
    </row>
    <row r="396">
      <c r="A396" s="30" t="inlineStr">
        <is>
          <t>SPORTKING</t>
        </is>
      </c>
      <c r="B396" s="30" t="inlineStr">
        <is>
          <t>Sportking India Ltd</t>
        </is>
      </c>
      <c r="C396" s="30" t="inlineStr">
        <is>
          <t>textiles</t>
        </is>
      </c>
      <c r="D396" s="30" t="inlineStr">
        <is>
          <t>textiles - spinning - synthetic / blended</t>
        </is>
      </c>
      <c r="E396" s="30" t="inlineStr">
        <is>
          <t>smallcap</t>
        </is>
      </c>
      <c r="F396" s="30" t="n">
        <v>2296.45</v>
      </c>
      <c r="G396" s="30" t="n">
        <v>177.67</v>
      </c>
      <c r="H396" s="30" t="n">
        <v>-1.69</v>
      </c>
      <c r="I396" s="30" t="n">
        <v>189333</v>
      </c>
      <c r="J396" s="30" t="inlineStr">
        <is>
          <t>539221</t>
        </is>
      </c>
    </row>
    <row r="397">
      <c r="A397" s="30" t="inlineStr">
        <is>
          <t>SURYODAY</t>
        </is>
      </c>
      <c r="B397" s="30" t="inlineStr">
        <is>
          <t>Suryoday Small Finance Bank Ltd</t>
        </is>
      </c>
      <c r="C397" s="30" t="inlineStr">
        <is>
          <t>bank</t>
        </is>
      </c>
      <c r="D397" s="30" t="inlineStr">
        <is>
          <t>banks - private sector</t>
        </is>
      </c>
      <c r="E397" s="30" t="inlineStr">
        <is>
          <t>smallcap</t>
        </is>
      </c>
      <c r="F397" s="30" t="n">
        <v>1844.55</v>
      </c>
      <c r="G397" s="30" t="n">
        <v>170.54</v>
      </c>
      <c r="H397" s="30" t="n">
        <v>-1.73</v>
      </c>
      <c r="I397" s="30" t="n">
        <v>396347</v>
      </c>
      <c r="J397" s="30" t="inlineStr">
        <is>
          <t>543279</t>
        </is>
      </c>
    </row>
    <row r="398">
      <c r="A398" s="30" t="inlineStr">
        <is>
          <t>NINSYS</t>
        </is>
      </c>
      <c r="B398" s="30" t="inlineStr">
        <is>
          <t>NINtec Systems Ltd</t>
        </is>
      </c>
      <c r="C398" s="30" t="inlineStr">
        <is>
          <t>i.t</t>
        </is>
      </c>
      <c r="D398" s="30" t="inlineStr">
        <is>
          <t>computers - software - medium / small</t>
        </is>
      </c>
      <c r="E398" s="30" t="inlineStr">
        <is>
          <t>smallcap</t>
        </is>
      </c>
      <c r="F398" s="30" t="n">
        <v>1309.24</v>
      </c>
      <c r="G398" s="30" t="n">
        <v>692.35</v>
      </c>
      <c r="H398" s="30" t="n">
        <v>-1.77</v>
      </c>
      <c r="I398" s="30" t="n">
        <v>2124</v>
      </c>
      <c r="J398" s="30" t="inlineStr">
        <is>
          <t>539843</t>
        </is>
      </c>
    </row>
    <row r="399">
      <c r="A399" s="30" t="inlineStr">
        <is>
          <t>CAPLIPOINT</t>
        </is>
      </c>
      <c r="B399" s="30" t="inlineStr">
        <is>
          <t>Caplin Point Laboratories Limited</t>
        </is>
      </c>
      <c r="C399" s="30" t="inlineStr">
        <is>
          <t>healthcare</t>
        </is>
      </c>
      <c r="D399" s="30" t="inlineStr">
        <is>
          <t>pharmaceuticals - indian - formulations</t>
        </is>
      </c>
      <c r="E399" s="30" t="inlineStr">
        <is>
          <t>midcap</t>
        </is>
      </c>
      <c r="F399" s="30" t="n">
        <v>18074.06</v>
      </c>
      <c r="G399" s="30" t="n">
        <v>2334.9</v>
      </c>
      <c r="H399" s="30" t="n">
        <v>-1.8</v>
      </c>
      <c r="I399" s="30" t="n">
        <v>66318</v>
      </c>
      <c r="J399" s="30" t="inlineStr">
        <is>
          <t>524742</t>
        </is>
      </c>
    </row>
    <row r="400">
      <c r="A400" s="30" t="inlineStr">
        <is>
          <t>JAYBARMARU</t>
        </is>
      </c>
      <c r="B400" s="30" t="inlineStr">
        <is>
          <t>Jay Bharat Maruti Limited</t>
        </is>
      </c>
      <c r="C400" s="30" t="inlineStr">
        <is>
          <t>auto</t>
        </is>
      </c>
      <c r="D400" s="30" t="inlineStr">
        <is>
          <t>auto ancillaries</t>
        </is>
      </c>
      <c r="E400" s="30" t="inlineStr">
        <is>
          <t>smallcap</t>
        </is>
      </c>
      <c r="F400" s="30" t="n">
        <v>1815.14</v>
      </c>
      <c r="G400" s="30" t="n">
        <v>164.57</v>
      </c>
      <c r="H400" s="30" t="n">
        <v>-1.85</v>
      </c>
      <c r="I400" s="30" t="n">
        <v>1641348</v>
      </c>
      <c r="J400" s="30" t="inlineStr">
        <is>
          <t>520066</t>
        </is>
      </c>
    </row>
    <row r="401">
      <c r="A401" s="30" t="inlineStr">
        <is>
          <t>ELECTHERM</t>
        </is>
      </c>
      <c r="B401" s="30" t="inlineStr">
        <is>
          <t>Electrotherm (india) Limited</t>
        </is>
      </c>
      <c r="C401" s="30" t="inlineStr">
        <is>
          <t>metals &amp; mining</t>
        </is>
      </c>
      <c r="D401" s="30" t="inlineStr">
        <is>
          <t>steel - medium / small</t>
        </is>
      </c>
      <c r="E401" s="30" t="inlineStr">
        <is>
          <t>smallcap</t>
        </is>
      </c>
      <c r="F401" s="30" t="n">
        <v>1454.59</v>
      </c>
      <c r="G401" s="30" t="n">
        <v>1119.85</v>
      </c>
      <c r="H401" s="30" t="n">
        <v>-1.9</v>
      </c>
      <c r="I401" s="30" t="n">
        <v>54058</v>
      </c>
      <c r="J401" s="30" t="inlineStr">
        <is>
          <t>526608</t>
        </is>
      </c>
    </row>
    <row r="402">
      <c r="A402" s="30" t="inlineStr">
        <is>
          <t>PAISALO</t>
        </is>
      </c>
      <c r="B402" s="30" t="inlineStr">
        <is>
          <t>Paisalo Digital Ltd</t>
        </is>
      </c>
      <c r="C402" s="30" t="inlineStr">
        <is>
          <t>financials</t>
        </is>
      </c>
      <c r="D402" s="30" t="inlineStr">
        <is>
          <t>finance &amp; investments</t>
        </is>
      </c>
      <c r="E402" s="30" t="inlineStr">
        <is>
          <t>midcap</t>
        </is>
      </c>
      <c r="F402" s="30" t="n">
        <v>5403.47</v>
      </c>
      <c r="G402" s="30" t="n">
        <v>58.25</v>
      </c>
      <c r="H402" s="30" t="n">
        <v>-1.95</v>
      </c>
      <c r="I402" s="30" t="n">
        <v>4245566</v>
      </c>
      <c r="J402" s="30" t="inlineStr">
        <is>
          <t>532900</t>
        </is>
      </c>
    </row>
    <row r="403">
      <c r="A403" s="30" t="inlineStr">
        <is>
          <t>MINDACORP</t>
        </is>
      </c>
      <c r="B403" s="30" t="inlineStr">
        <is>
          <t>Minda Corporation Limited</t>
        </is>
      </c>
      <c r="C403" s="30" t="inlineStr">
        <is>
          <t>auto</t>
        </is>
      </c>
      <c r="D403" s="30" t="inlineStr">
        <is>
          <t>auto ancillaries</t>
        </is>
      </c>
      <c r="E403" s="30" t="inlineStr">
        <is>
          <t>midcap</t>
        </is>
      </c>
      <c r="F403" s="30" t="n">
        <v>15709.91</v>
      </c>
      <c r="G403" s="30" t="n">
        <v>644</v>
      </c>
      <c r="H403" s="30" t="n">
        <v>-1.99</v>
      </c>
      <c r="I403" s="30" t="n">
        <v>381631</v>
      </c>
      <c r="J403" s="30" t="inlineStr">
        <is>
          <t>538962</t>
        </is>
      </c>
    </row>
    <row r="404">
      <c r="A404" s="30" t="inlineStr">
        <is>
          <t>DIVGIITTS</t>
        </is>
      </c>
      <c r="B404" s="30" t="inlineStr">
        <is>
          <t>Divgi Torqtransfer Systems Ltd</t>
        </is>
      </c>
      <c r="C404" s="30" t="inlineStr">
        <is>
          <t>auto</t>
        </is>
      </c>
      <c r="D404" s="30" t="inlineStr">
        <is>
          <t>auto ancillaries</t>
        </is>
      </c>
      <c r="E404" s="30" t="inlineStr">
        <is>
          <t>smallcap</t>
        </is>
      </c>
      <c r="F404" s="30" t="n">
        <v>2636.4</v>
      </c>
      <c r="G404" s="30" t="n">
        <v>844.85</v>
      </c>
      <c r="H404" s="30" t="n">
        <v>-2</v>
      </c>
      <c r="I404" s="30" t="n">
        <v>36831</v>
      </c>
      <c r="J404" s="30" t="inlineStr">
        <is>
          <t>543812</t>
        </is>
      </c>
    </row>
    <row r="405">
      <c r="A405" s="30" t="inlineStr">
        <is>
          <t>ABSLAMC</t>
        </is>
      </c>
      <c r="B405" s="30" t="inlineStr">
        <is>
          <t>Aditya Birla Sun Life AMC Ltd</t>
        </is>
      </c>
      <c r="C405" s="30" t="inlineStr">
        <is>
          <t>financials</t>
        </is>
      </c>
      <c r="D405" s="30" t="inlineStr">
        <is>
          <t>finance &amp; investments</t>
        </is>
      </c>
      <c r="E405" s="30" t="inlineStr">
        <is>
          <t>largecap</t>
        </is>
      </c>
      <c r="F405" s="30" t="n">
        <v>32363.62</v>
      </c>
      <c r="G405" s="30" t="n">
        <v>1097.9</v>
      </c>
      <c r="H405" s="30" t="n">
        <v>-2.03</v>
      </c>
      <c r="I405" s="30" t="n">
        <v>279342</v>
      </c>
      <c r="J405" s="30" t="inlineStr">
        <is>
          <t>543374</t>
        </is>
      </c>
    </row>
    <row r="406">
      <c r="A406" s="30" t="inlineStr">
        <is>
          <t>SPAL</t>
        </is>
      </c>
      <c r="B406" s="30" t="inlineStr">
        <is>
          <t>S. P. Apparels Limited</t>
        </is>
      </c>
      <c r="C406" s="30" t="inlineStr">
        <is>
          <t>consumer discretionary</t>
        </is>
      </c>
      <c r="D406" s="30" t="inlineStr">
        <is>
          <t>textiles - products</t>
        </is>
      </c>
      <c r="E406" s="30" t="inlineStr">
        <is>
          <t>smallcap</t>
        </is>
      </c>
      <c r="F406" s="30" t="n">
        <v>2132.41</v>
      </c>
      <c r="G406" s="30" t="n">
        <v>830.95</v>
      </c>
      <c r="H406" s="30" t="n">
        <v>-2.04</v>
      </c>
      <c r="I406" s="30" t="n">
        <v>76382</v>
      </c>
      <c r="J406" s="30" t="inlineStr">
        <is>
          <t>540048</t>
        </is>
      </c>
    </row>
    <row r="407">
      <c r="A407" s="30" t="inlineStr">
        <is>
          <t>XPROINDIA</t>
        </is>
      </c>
      <c r="B407" s="30" t="inlineStr">
        <is>
          <t>Xpro India Limited</t>
        </is>
      </c>
      <c r="C407" s="30" t="inlineStr">
        <is>
          <t>industrials</t>
        </is>
      </c>
      <c r="D407" s="30" t="inlineStr">
        <is>
          <t>packaging</t>
        </is>
      </c>
      <c r="E407" s="30" t="inlineStr">
        <is>
          <t>smallcap</t>
        </is>
      </c>
      <c r="F407" s="30" t="n">
        <v>3271.3</v>
      </c>
      <c r="G407" s="30" t="n">
        <v>1364</v>
      </c>
      <c r="H407" s="30" t="n">
        <v>-2.14</v>
      </c>
      <c r="I407" s="30" t="n">
        <v>641584</v>
      </c>
      <c r="J407" s="30" t="inlineStr">
        <is>
          <t>590013</t>
        </is>
      </c>
    </row>
    <row r="408">
      <c r="A408" s="30" t="inlineStr">
        <is>
          <t>MUNJALAU</t>
        </is>
      </c>
      <c r="B408" s="30" t="inlineStr">
        <is>
          <t>Munjal Auto Industries Limited</t>
        </is>
      </c>
      <c r="C408" s="30" t="inlineStr">
        <is>
          <t>auto</t>
        </is>
      </c>
      <c r="D408" s="30" t="inlineStr">
        <is>
          <t>auto ancillaries</t>
        </is>
      </c>
      <c r="E408" s="30" t="inlineStr">
        <is>
          <t>smallcap</t>
        </is>
      </c>
      <c r="F408" s="30" t="n">
        <v>987.9</v>
      </c>
      <c r="G408" s="30" t="n">
        <v>96.67</v>
      </c>
      <c r="H408" s="30" t="n">
        <v>-2.15</v>
      </c>
      <c r="I408" s="30" t="n">
        <v>226378</v>
      </c>
      <c r="J408" s="30" t="inlineStr">
        <is>
          <t>520059</t>
        </is>
      </c>
    </row>
    <row r="409">
      <c r="A409" s="30" t="inlineStr">
        <is>
          <t>SAMMAANCAP</t>
        </is>
      </c>
      <c r="B409" s="30" t="inlineStr">
        <is>
          <t>Sammaan Capital Ltd</t>
        </is>
      </c>
      <c r="C409" s="30" t="inlineStr">
        <is>
          <t>financials</t>
        </is>
      </c>
      <c r="D409" s="30" t="inlineStr">
        <is>
          <t>finance - housing</t>
        </is>
      </c>
      <c r="E409" s="30" t="inlineStr">
        <is>
          <t>largecap</t>
        </is>
      </c>
      <c r="F409" s="30" t="n">
        <v>20910.31</v>
      </c>
      <c r="G409" s="30" t="n">
        <v>176.1</v>
      </c>
      <c r="H409" s="30" t="n">
        <v>-2.17</v>
      </c>
      <c r="I409" s="30" t="n">
        <v>9009472</v>
      </c>
      <c r="J409" s="30" t="inlineStr">
        <is>
          <t>535789</t>
        </is>
      </c>
    </row>
    <row r="410">
      <c r="A410" s="30" t="inlineStr">
        <is>
          <t>BALRAMCHIN</t>
        </is>
      </c>
      <c r="B410" s="30" t="inlineStr">
        <is>
          <t>Balrampur Chini Mills Limited</t>
        </is>
      </c>
      <c r="C410" s="30" t="inlineStr">
        <is>
          <t>fmcg</t>
        </is>
      </c>
      <c r="D410" s="30" t="inlineStr">
        <is>
          <t>sugar</t>
        </is>
      </c>
      <c r="E410" s="30" t="inlineStr">
        <is>
          <t>midcap</t>
        </is>
      </c>
      <c r="F410" s="30" t="n">
        <v>11810.89</v>
      </c>
      <c r="G410" s="30" t="n">
        <v>546.9</v>
      </c>
      <c r="H410" s="30" t="n">
        <v>-2.17</v>
      </c>
      <c r="I410" s="30" t="n">
        <v>350514</v>
      </c>
      <c r="J410" s="30" t="inlineStr">
        <is>
          <t>500038</t>
        </is>
      </c>
    </row>
    <row r="411">
      <c r="A411" s="30" t="inlineStr">
        <is>
          <t>NRL</t>
        </is>
      </c>
      <c r="B411" s="30" t="inlineStr">
        <is>
          <t>Nupur Recyclers Ltd</t>
        </is>
      </c>
      <c r="C411" s="30" t="inlineStr">
        <is>
          <t>services</t>
        </is>
      </c>
      <c r="D411" s="30" t="inlineStr">
        <is>
          <t>trading</t>
        </is>
      </c>
      <c r="E411" s="30" t="inlineStr">
        <is>
          <t>smallcap</t>
        </is>
      </c>
      <c r="F411" s="30" t="n">
        <v>541.22</v>
      </c>
      <c r="G411" s="30" t="n">
        <v>76.61</v>
      </c>
      <c r="H411" s="30" t="n">
        <v>-2.23</v>
      </c>
      <c r="I411" s="30" t="n">
        <v>105896</v>
      </c>
      <c r="J411" s="30" t="inlineStr">
        <is>
          <t>535413</t>
        </is>
      </c>
    </row>
    <row r="412">
      <c r="A412" s="30" t="inlineStr">
        <is>
          <t>SSWL</t>
        </is>
      </c>
      <c r="B412" s="30" t="inlineStr">
        <is>
          <t>Steel Strips Wheels Limited</t>
        </is>
      </c>
      <c r="C412" s="30" t="inlineStr">
        <is>
          <t>auto</t>
        </is>
      </c>
      <c r="D412" s="30" t="inlineStr">
        <is>
          <t>auto ancillaries</t>
        </is>
      </c>
      <c r="E412" s="30" t="inlineStr">
        <is>
          <t>smallcap</t>
        </is>
      </c>
      <c r="F412" s="30" t="n">
        <v>3678.49</v>
      </c>
      <c r="G412" s="30" t="n">
        <v>228.73</v>
      </c>
      <c r="H412" s="30" t="n">
        <v>-2.26</v>
      </c>
      <c r="I412" s="30" t="n">
        <v>621123</v>
      </c>
      <c r="J412" s="30" t="inlineStr">
        <is>
          <t>513262</t>
        </is>
      </c>
    </row>
    <row r="413">
      <c r="A413" s="30" t="inlineStr">
        <is>
          <t>ACMESOLAR</t>
        </is>
      </c>
      <c r="B413" s="30" t="inlineStr">
        <is>
          <t>ACME Solar Holdings Ltd</t>
        </is>
      </c>
      <c r="C413" s="30" t="inlineStr">
        <is>
          <t>realty</t>
        </is>
      </c>
      <c r="D413" s="30" t="inlineStr">
        <is>
          <t>engineering - turnkey services</t>
        </is>
      </c>
      <c r="E413" s="30" t="inlineStr">
        <is>
          <t>largecap</t>
        </is>
      </c>
      <c r="F413" s="30" t="n">
        <v>23984.41</v>
      </c>
      <c r="G413" s="30" t="n">
        <v>331.8</v>
      </c>
      <c r="H413" s="30" t="n">
        <v>-2.31</v>
      </c>
      <c r="I413" s="30" t="n">
        <v>1975830</v>
      </c>
      <c r="J413" s="30" t="inlineStr">
        <is>
          <t>544283</t>
        </is>
      </c>
    </row>
    <row r="414">
      <c r="A414" s="30" t="inlineStr">
        <is>
          <t>PANACEABIO</t>
        </is>
      </c>
      <c r="B414" s="30" t="inlineStr">
        <is>
          <t>Panacea Biotec Limited</t>
        </is>
      </c>
      <c r="C414" s="30" t="inlineStr">
        <is>
          <t>healthcare</t>
        </is>
      </c>
      <c r="D414" s="30" t="inlineStr">
        <is>
          <t>pharmaceuticals - indian - bulk drugs &amp; formln</t>
        </is>
      </c>
      <c r="E414" s="30" t="inlineStr">
        <is>
          <t>smallcap</t>
        </is>
      </c>
      <c r="F414" s="30" t="n">
        <v>3337.86</v>
      </c>
      <c r="G414" s="30" t="n">
        <v>532.2</v>
      </c>
      <c r="H414" s="30" t="n">
        <v>-2.34</v>
      </c>
      <c r="I414" s="30" t="n">
        <v>282726</v>
      </c>
      <c r="J414" s="30" t="inlineStr">
        <is>
          <t>531349</t>
        </is>
      </c>
    </row>
    <row r="415">
      <c r="A415" s="30" t="inlineStr">
        <is>
          <t>ZIMLAB</t>
        </is>
      </c>
      <c r="B415" s="30" t="inlineStr">
        <is>
          <t>Zim Laboratories Ltd</t>
        </is>
      </c>
      <c r="C415" s="30" t="inlineStr">
        <is>
          <t>healthcare</t>
        </is>
      </c>
      <c r="D415" s="30" t="inlineStr">
        <is>
          <t>pharmaceuticals - indian - bulk drugs &amp; formln</t>
        </is>
      </c>
      <c r="E415" s="30" t="inlineStr">
        <is>
          <t>smallcap</t>
        </is>
      </c>
      <c r="F415" s="30" t="n">
        <v>595.08</v>
      </c>
      <c r="G415" s="30" t="n">
        <v>108.59</v>
      </c>
      <c r="H415" s="30" t="n">
        <v>-2.37</v>
      </c>
      <c r="I415" s="30" t="n">
        <v>46229</v>
      </c>
      <c r="J415" s="30" t="inlineStr">
        <is>
          <t>541400</t>
        </is>
      </c>
    </row>
    <row r="416">
      <c r="A416" s="30" t="inlineStr">
        <is>
          <t>SAREGAMA</t>
        </is>
      </c>
      <c r="B416" s="30" t="inlineStr">
        <is>
          <t>Saregama India Limited</t>
        </is>
      </c>
      <c r="C416" s="30" t="inlineStr">
        <is>
          <t>media</t>
        </is>
      </c>
      <c r="D416" s="30" t="inlineStr">
        <is>
          <t>entertainment / electronic media software</t>
        </is>
      </c>
      <c r="E416" s="30" t="inlineStr">
        <is>
          <t>midcap</t>
        </is>
      </c>
      <c r="F416" s="30" t="n">
        <v>8956.959999999999</v>
      </c>
      <c r="G416" s="30" t="n">
        <v>453.4</v>
      </c>
      <c r="H416" s="30" t="n">
        <v>-2.4</v>
      </c>
      <c r="I416" s="30" t="n">
        <v>478075</v>
      </c>
      <c r="J416" s="30" t="inlineStr">
        <is>
          <t>532163</t>
        </is>
      </c>
    </row>
    <row r="417">
      <c r="A417" s="30" t="inlineStr">
        <is>
          <t>WHEELS</t>
        </is>
      </c>
      <c r="B417" s="30" t="inlineStr">
        <is>
          <t>Wheels India Limited</t>
        </is>
      </c>
      <c r="C417" s="30" t="inlineStr">
        <is>
          <t>auto</t>
        </is>
      </c>
      <c r="D417" s="30" t="inlineStr">
        <is>
          <t>auto ancillaries</t>
        </is>
      </c>
      <c r="E417" s="30" t="inlineStr">
        <is>
          <t>smallcap</t>
        </is>
      </c>
      <c r="F417" s="30" t="n">
        <v>3903.66</v>
      </c>
      <c r="G417" s="30" t="n">
        <v>1556.7</v>
      </c>
      <c r="H417" s="30" t="n">
        <v>-2.57</v>
      </c>
      <c r="I417" s="30" t="n">
        <v>89834</v>
      </c>
      <c r="J417" s="30" t="inlineStr">
        <is>
          <t>590073</t>
        </is>
      </c>
    </row>
    <row r="418">
      <c r="A418" s="30" t="inlineStr">
        <is>
          <t>SAKAR</t>
        </is>
      </c>
      <c r="B418" s="30" t="inlineStr">
        <is>
          <t>Sakar Healthcare Ltd</t>
        </is>
      </c>
      <c r="C418" s="30" t="inlineStr">
        <is>
          <t>healthcare</t>
        </is>
      </c>
      <c r="D418" s="30" t="inlineStr">
        <is>
          <t>pharmaceuticals - indian - bulk drugs &amp; formln</t>
        </is>
      </c>
      <c r="E418" s="30" t="inlineStr">
        <is>
          <t>smallcap</t>
        </is>
      </c>
      <c r="F418" s="30" t="n">
        <v>1831.06</v>
      </c>
      <c r="G418" s="30" t="n">
        <v>801.4</v>
      </c>
      <c r="H418" s="30" t="n">
        <v>-2.62</v>
      </c>
      <c r="I418" s="30" t="n">
        <v>94486</v>
      </c>
      <c r="J418" s="30" t="inlineStr">
        <is>
          <t>538377</t>
        </is>
      </c>
    </row>
    <row r="419">
      <c r="A419" s="30" t="inlineStr">
        <is>
          <t>SUVEN</t>
        </is>
      </c>
      <c r="B419" s="30" t="inlineStr">
        <is>
          <t>Suven Life Sciences Limited</t>
        </is>
      </c>
      <c r="C419" s="30" t="inlineStr">
        <is>
          <t>healthcare</t>
        </is>
      </c>
      <c r="D419" s="30" t="inlineStr">
        <is>
          <t>miscellaneous</t>
        </is>
      </c>
      <c r="E419" s="30" t="inlineStr">
        <is>
          <t>midcap</t>
        </is>
      </c>
      <c r="F419" s="30" t="n">
        <v>7116.5</v>
      </c>
      <c r="G419" s="30" t="n">
        <v>262.75</v>
      </c>
      <c r="H419" s="30" t="n">
        <v>-2.63</v>
      </c>
      <c r="I419" s="30" t="n">
        <v>3516407</v>
      </c>
      <c r="J419" s="30" t="inlineStr">
        <is>
          <t>530239</t>
        </is>
      </c>
    </row>
    <row r="420">
      <c r="A420" s="30" t="inlineStr">
        <is>
          <t>PANAMAPET</t>
        </is>
      </c>
      <c r="B420" s="30" t="inlineStr">
        <is>
          <t>Panama Petrochem Limited</t>
        </is>
      </c>
      <c r="C420" s="30" t="inlineStr">
        <is>
          <t>energy</t>
        </is>
      </c>
      <c r="D420" s="30" t="inlineStr">
        <is>
          <t>petrochemicals</t>
        </is>
      </c>
      <c r="E420" s="30" t="inlineStr">
        <is>
          <t>smallcap</t>
        </is>
      </c>
      <c r="F420" s="30" t="n">
        <v>2326.58</v>
      </c>
      <c r="G420" s="30" t="n">
        <v>374.1</v>
      </c>
      <c r="H420" s="30" t="n">
        <v>-2.73</v>
      </c>
      <c r="I420" s="30" t="n">
        <v>101861</v>
      </c>
      <c r="J420" s="30" t="inlineStr">
        <is>
          <t>524820</t>
        </is>
      </c>
    </row>
    <row r="421">
      <c r="A421" s="30" t="inlineStr">
        <is>
          <t>KAMDHENU</t>
        </is>
      </c>
      <c r="B421" s="30" t="inlineStr">
        <is>
          <t>Kamdhenu Limited</t>
        </is>
      </c>
      <c r="C421" s="30" t="inlineStr">
        <is>
          <t>metals &amp; mining</t>
        </is>
      </c>
      <c r="D421" s="30" t="inlineStr">
        <is>
          <t>steel - medium / small</t>
        </is>
      </c>
      <c r="E421" s="30" t="inlineStr">
        <is>
          <t>smallcap</t>
        </is>
      </c>
      <c r="F421" s="30" t="n">
        <v>879.48</v>
      </c>
      <c r="G421" s="30" t="n">
        <v>30.33</v>
      </c>
      <c r="H421" s="30" t="n">
        <v>-2.79</v>
      </c>
      <c r="I421" s="30" t="n">
        <v>2094547</v>
      </c>
      <c r="J421" s="30" t="inlineStr">
        <is>
          <t>532741</t>
        </is>
      </c>
    </row>
    <row r="422">
      <c r="A422" s="30" t="inlineStr">
        <is>
          <t>MSTCLTD</t>
        </is>
      </c>
      <c r="B422" s="30" t="inlineStr">
        <is>
          <t>MSTC Ltd</t>
        </is>
      </c>
      <c r="C422" s="30" t="inlineStr">
        <is>
          <t>i.t</t>
        </is>
      </c>
      <c r="D422" s="30" t="inlineStr">
        <is>
          <t>trading</t>
        </is>
      </c>
      <c r="E422" s="30" t="inlineStr">
        <is>
          <t>smallcap</t>
        </is>
      </c>
      <c r="F422" s="30" t="n">
        <v>4989.95</v>
      </c>
      <c r="G422" s="30" t="n">
        <v>687.8</v>
      </c>
      <c r="H422" s="30" t="n">
        <v>-2.96</v>
      </c>
      <c r="I422" s="30" t="n">
        <v>5182987</v>
      </c>
      <c r="J422" s="30" t="inlineStr">
        <is>
          <t>542597</t>
        </is>
      </c>
    </row>
    <row r="423">
      <c r="A423" s="30" t="inlineStr">
        <is>
          <t>FACT</t>
        </is>
      </c>
      <c r="B423" s="30" t="inlineStr">
        <is>
          <t>Fertilizers And Chemicals Travancore Limited</t>
        </is>
      </c>
      <c r="C423" s="30" t="inlineStr">
        <is>
          <t>chemicals</t>
        </is>
      </c>
      <c r="D423" s="30" t="inlineStr">
        <is>
          <t>fertilizers</t>
        </is>
      </c>
      <c r="E423" s="30" t="inlineStr">
        <is>
          <t>largecap</t>
        </is>
      </c>
      <c r="F423" s="30" t="n">
        <v>64564.84</v>
      </c>
      <c r="G423" s="30" t="n">
        <v>967.6</v>
      </c>
      <c r="H423" s="30" t="n">
        <v>-3.03</v>
      </c>
      <c r="I423" s="30" t="n">
        <v>934315</v>
      </c>
      <c r="J423" s="30" t="inlineStr">
        <is>
          <t>590024</t>
        </is>
      </c>
    </row>
    <row r="424">
      <c r="A424" s="30" t="inlineStr">
        <is>
          <t>INNOVACAP</t>
        </is>
      </c>
      <c r="B424" s="30" t="inlineStr">
        <is>
          <t>Innova Captab Ltd</t>
        </is>
      </c>
      <c r="C424" s="30" t="inlineStr">
        <is>
          <t>healthcare</t>
        </is>
      </c>
      <c r="D424" s="30" t="inlineStr">
        <is>
          <t>pharmaceuticals - indian - bulk drugs &amp; formln</t>
        </is>
      </c>
      <c r="E424" s="30" t="inlineStr">
        <is>
          <t>midcap</t>
        </is>
      </c>
      <c r="F424" s="30" t="n">
        <v>5517.63</v>
      </c>
      <c r="G424" s="30" t="n">
        <v>934.9</v>
      </c>
      <c r="H424" s="30" t="n">
        <v>-3.04</v>
      </c>
      <c r="I424" s="30" t="n">
        <v>71741</v>
      </c>
      <c r="J424" s="30" t="inlineStr">
        <is>
          <t>544067</t>
        </is>
      </c>
    </row>
    <row r="425">
      <c r="A425" s="30" t="inlineStr">
        <is>
          <t>SUPRIYA</t>
        </is>
      </c>
      <c r="B425" s="30" t="inlineStr">
        <is>
          <t>Supriya Lifescience Ltd</t>
        </is>
      </c>
      <c r="C425" s="30" t="inlineStr">
        <is>
          <t>healthcare</t>
        </is>
      </c>
      <c r="D425" s="30" t="inlineStr">
        <is>
          <t>pharmaceuticals - indian - bulk drugs &amp; formln</t>
        </is>
      </c>
      <c r="E425" s="30" t="inlineStr">
        <is>
          <t>midcap</t>
        </is>
      </c>
      <c r="F425" s="30" t="n">
        <v>7620.92</v>
      </c>
      <c r="G425" s="30" t="n">
        <v>914.35</v>
      </c>
      <c r="H425" s="30" t="n">
        <v>-3.44</v>
      </c>
      <c r="I425" s="30" t="n">
        <v>298800</v>
      </c>
      <c r="J425" s="30" t="inlineStr">
        <is>
          <t>543434</t>
        </is>
      </c>
    </row>
    <row r="426">
      <c r="A426" s="30" t="inlineStr">
        <is>
          <t>OCCLLTD</t>
        </is>
      </c>
      <c r="B426" s="30" t="inlineStr">
        <is>
          <t>OCCL Ltd</t>
        </is>
      </c>
      <c r="C426" s="30" t="inlineStr">
        <is>
          <t>chemicals</t>
        </is>
      </c>
      <c r="D426" s="30" t="inlineStr">
        <is>
          <t>chemicals</t>
        </is>
      </c>
      <c r="E426" s="30" t="inlineStr">
        <is>
          <t>smallcap</t>
        </is>
      </c>
      <c r="F426" s="30" t="n">
        <v>675.73</v>
      </c>
      <c r="G426" s="30" t="n">
        <v>130.02</v>
      </c>
      <c r="H426" s="30" t="n">
        <v>-3.89</v>
      </c>
      <c r="I426" s="30" t="n">
        <v>55887</v>
      </c>
      <c r="J426" s="30" t="inlineStr">
        <is>
          <t>544278</t>
        </is>
      </c>
    </row>
    <row r="427">
      <c r="A427" s="30" t="inlineStr">
        <is>
          <t>JNKINDIA</t>
        </is>
      </c>
      <c r="B427" s="30" t="inlineStr">
        <is>
          <t>JNK India Ltd</t>
        </is>
      </c>
      <c r="C427" s="30" t="inlineStr">
        <is>
          <t>realty</t>
        </is>
      </c>
      <c r="D427" s="30" t="inlineStr">
        <is>
          <t>engineering - turnkey services</t>
        </is>
      </c>
      <c r="E427" s="30" t="inlineStr">
        <is>
          <t>smallcap</t>
        </is>
      </c>
      <c r="F427" s="30" t="n">
        <v>2754.89</v>
      </c>
      <c r="G427" s="30" t="n">
        <v>471.2</v>
      </c>
      <c r="H427" s="30" t="n">
        <v>-4.3</v>
      </c>
      <c r="I427" s="30" t="n">
        <v>927908</v>
      </c>
      <c r="J427" s="30" t="inlineStr">
        <is>
          <t>544167</t>
        </is>
      </c>
    </row>
    <row r="428">
      <c r="A428" s="30" t="inlineStr">
        <is>
          <t>VENUSREM</t>
        </is>
      </c>
      <c r="B428" s="30" t="inlineStr">
        <is>
          <t>Venus Remedies Limited</t>
        </is>
      </c>
      <c r="C428" s="30" t="inlineStr">
        <is>
          <t>healthcare</t>
        </is>
      </c>
      <c r="D428" s="30" t="inlineStr">
        <is>
          <t>pharmaceuticals - indian - formulations</t>
        </is>
      </c>
      <c r="E428" s="30" t="inlineStr">
        <is>
          <t>smallcap</t>
        </is>
      </c>
      <c r="F428" s="30" t="n">
        <v>2496.69</v>
      </c>
      <c r="G428" s="30" t="n">
        <v>1774.5</v>
      </c>
      <c r="H428" s="30" t="n">
        <v>-5</v>
      </c>
      <c r="I428" s="30" t="n">
        <v>42083</v>
      </c>
      <c r="J428" s="30" t="inlineStr">
        <is>
          <t>526953</t>
        </is>
      </c>
    </row>
    <row r="429">
      <c r="A429" s="30" t="inlineStr">
        <is>
          <t>RSWM</t>
        </is>
      </c>
      <c r="B429" s="30" t="inlineStr">
        <is>
          <t>Rswm Limited</t>
        </is>
      </c>
      <c r="C429" s="30" t="inlineStr">
        <is>
          <t>textiles</t>
        </is>
      </c>
      <c r="D429" s="30" t="inlineStr">
        <is>
          <t>textiles - cotton/blended</t>
        </is>
      </c>
      <c r="E429" s="30" t="inlineStr">
        <is>
          <t>smallcap</t>
        </is>
      </c>
      <c r="F429" s="30" t="n">
        <v>957.72</v>
      </c>
      <c r="G429" s="30" t="n">
        <v>193.12</v>
      </c>
      <c r="H429" s="30" t="n">
        <v>-5.02</v>
      </c>
      <c r="I429" s="30" t="n">
        <v>293211</v>
      </c>
      <c r="J429" s="30" t="inlineStr">
        <is>
          <t>500350</t>
        </is>
      </c>
    </row>
    <row r="430">
      <c r="A430" s="30" t="inlineStr">
        <is>
          <t>STEL</t>
        </is>
      </c>
      <c r="B430" s="30" t="inlineStr">
        <is>
          <t>Stel Holdings Limited</t>
        </is>
      </c>
      <c r="C430" s="30" t="inlineStr">
        <is>
          <t>financials</t>
        </is>
      </c>
      <c r="D430" s="30" t="inlineStr">
        <is>
          <t>finance &amp; investments</t>
        </is>
      </c>
      <c r="E430" s="30" t="inlineStr">
        <is>
          <t>smallcap</t>
        </is>
      </c>
      <c r="F430" s="30" t="n">
        <v>1146.82</v>
      </c>
      <c r="G430" s="30" t="n">
        <v>582.6</v>
      </c>
      <c r="H430" s="30" t="n">
        <v>-6.24</v>
      </c>
      <c r="I430" s="30" t="n">
        <v>41521</v>
      </c>
      <c r="J430" s="30" t="n"/>
    </row>
    <row r="431">
      <c r="A431" s="30" t="inlineStr">
        <is>
          <t>NEOGEN</t>
        </is>
      </c>
      <c r="B431" s="30" t="inlineStr">
        <is>
          <t>Neogen Chemicals Ltd</t>
        </is>
      </c>
      <c r="C431" s="30" t="inlineStr">
        <is>
          <t>chemicals</t>
        </is>
      </c>
      <c r="D431" s="30" t="inlineStr">
        <is>
          <t>chemicals</t>
        </is>
      </c>
      <c r="E431" s="30" t="inlineStr">
        <is>
          <t>midcap</t>
        </is>
      </c>
      <c r="F431" s="30" t="n">
        <v>5700.86</v>
      </c>
      <c r="G431" s="30" t="n">
        <v>1933.7</v>
      </c>
      <c r="H431" s="30" t="n">
        <v>-7.12</v>
      </c>
      <c r="I431" s="30" t="n">
        <v>300914</v>
      </c>
      <c r="J431" s="30" t="inlineStr">
        <is>
          <t>542665</t>
        </is>
      </c>
    </row>
    <row r="432">
      <c r="A432" s="30" t="inlineStr">
        <is>
          <t>ORBTEXP</t>
        </is>
      </c>
      <c r="B432" s="30" t="inlineStr">
        <is>
          <t>Orbit Exports Limited</t>
        </is>
      </c>
      <c r="C432" s="30" t="inlineStr">
        <is>
          <t>textiles</t>
        </is>
      </c>
      <c r="D432" s="30" t="inlineStr">
        <is>
          <t>textiles - processing</t>
        </is>
      </c>
      <c r="E432" s="30" t="inlineStr">
        <is>
          <t>smallcap</t>
        </is>
      </c>
      <c r="F432" s="30" t="n">
        <v>607.53</v>
      </c>
      <c r="G432" s="30" t="n">
        <v>212.36</v>
      </c>
      <c r="H432" s="30" t="n">
        <v>-7.33</v>
      </c>
      <c r="I432" s="30" t="n">
        <v>318400</v>
      </c>
      <c r="J432" s="30" t="inlineStr">
        <is>
          <t>512626</t>
        </is>
      </c>
    </row>
  </sheetData>
  <autoFilter ref="A1:J4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4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Relative Strength Rating</t>
        </is>
      </c>
      <c r="D1" s="29" t="inlineStr">
        <is>
          <t>Symbol</t>
        </is>
      </c>
      <c r="E1" s="29" t="inlineStr">
        <is>
          <t>Company Name</t>
        </is>
      </c>
      <c r="F1" s="29" t="inlineStr">
        <is>
          <t>Industry</t>
        </is>
      </c>
      <c r="G1" s="29" t="inlineStr">
        <is>
          <t>Common Count</t>
        </is>
      </c>
      <c r="H1" s="29" t="inlineStr">
        <is>
          <t>Scanner Signal</t>
        </is>
      </c>
      <c r="I1" s="29" t="inlineStr">
        <is>
          <t>Chartink Universe</t>
        </is>
      </c>
      <c r="J1" s="29" t="inlineStr">
        <is>
          <t>Scan Matches Count</t>
        </is>
      </c>
      <c r="K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MATCH(D2, 'Monit Non Financial'!$C$2:$C$400, 0)), IFERROR(INDEX('Monit Banks NBFC'!$B$2:$B$100, MATCH(D2, 'Monit Banks NBFC'!$C$2:$C$100, 0)), 0))</f>
        <v/>
      </c>
      <c r="C2" s="30">
        <f>IFERROR(INDEX('Monit Non Financial'!$L$2:$L$400, MATCH(D2, 'Monit Non Financial'!$C$2:$C$400, 0)), IFERROR(INDEX('Monit Banks NBFC'!$L$2:$L$100, MATCH(D2, 'Monit Banks NBFC'!$C$2:$C$100, 0)), ""))</f>
        <v/>
      </c>
      <c r="D2" s="30" t="inlineStr">
        <is>
          <t>MAHABANK</t>
        </is>
      </c>
      <c r="E2" s="30" t="inlineStr">
        <is>
          <t>Bank Of Maharashtra Ltd</t>
        </is>
      </c>
      <c r="F2" s="30" t="inlineStr">
        <is>
          <t>Banks - PSU</t>
        </is>
      </c>
      <c r="G2" s="30" t="n">
        <v>3</v>
      </c>
      <c r="H2" s="30" t="inlineStr">
        <is>
          <t>52W Breakout</t>
        </is>
      </c>
      <c r="I2" s="30" t="inlineStr">
        <is>
          <t>Yes</t>
        </is>
      </c>
      <c r="J2" s="30" t="n">
        <v>20</v>
      </c>
      <c r="K2" s="30" t="n">
        <v>14</v>
      </c>
    </row>
    <row r="3">
      <c r="A3" s="30">
        <f>IF(B3=0,"",ROW()-1)</f>
        <v/>
      </c>
      <c r="B3" s="31">
        <f>IFERROR(INDEX('Monit Non Financial'!$B$2:$B$400, MATCH(D3, 'Monit Non Financial'!$C$2:$C$400, 0)), IFERROR(INDEX('Monit Banks NBFC'!$B$2:$B$100, MATCH(D3, 'Monit Banks NBFC'!$C$2:$C$100, 0)), 0))</f>
        <v/>
      </c>
      <c r="C3" s="30">
        <f>IFERROR(INDEX('Monit Non Financial'!$L$2:$L$400, MATCH(D3, 'Monit Non Financial'!$C$2:$C$400, 0)), IFERROR(INDEX('Monit Banks NBFC'!$L$2:$L$100, MATCH(D3, 'Monit Banks NBFC'!$C$2:$C$100, 0)), ""))</f>
        <v/>
      </c>
      <c r="D3" s="30" t="inlineStr">
        <is>
          <t>BLISSGVS</t>
        </is>
      </c>
      <c r="E3" s="30" t="inlineStr">
        <is>
          <t>Bliss Gvs Pharma Limited</t>
        </is>
      </c>
      <c r="F3" s="30" t="inlineStr">
        <is>
          <t>Pharma - Formulators</t>
        </is>
      </c>
      <c r="G3" s="30" t="n">
        <v>3</v>
      </c>
      <c r="H3" s="30" t="inlineStr">
        <is>
          <t>52W Breakout</t>
        </is>
      </c>
      <c r="I3" s="30" t="inlineStr">
        <is>
          <t>Yes</t>
        </is>
      </c>
      <c r="J3" s="30" t="n">
        <v>22</v>
      </c>
      <c r="K3" s="30" t="n">
        <v>30</v>
      </c>
    </row>
    <row r="4">
      <c r="A4" s="30">
        <f>IF(B4=0,"",ROW()-1)</f>
        <v/>
      </c>
      <c r="B4" s="31">
        <f>IFERROR(INDEX('Monit Non Financial'!$B$2:$B$400, MATCH(D4, 'Monit Non Financial'!$C$2:$C$400, 0)), IFERROR(INDEX('Monit Banks NBFC'!$B$2:$B$100, MATCH(D4, 'Monit Banks NBFC'!$C$2:$C$100, 0)), 0))</f>
        <v/>
      </c>
      <c r="C4" s="30">
        <f>IFERROR(INDEX('Monit Non Financial'!$L$2:$L$400, MATCH(D4, 'Monit Non Financial'!$C$2:$C$400, 0)), IFERROR(INDEX('Monit Banks NBFC'!$L$2:$L$100, MATCH(D4, 'Monit Banks NBFC'!$C$2:$C$100, 0)), ""))</f>
        <v/>
      </c>
      <c r="D4" s="30" t="inlineStr">
        <is>
          <t>GAYAPROJ</t>
        </is>
      </c>
      <c r="E4" s="30" t="inlineStr">
        <is>
          <t>Gayatri Projects Limited</t>
        </is>
      </c>
      <c r="F4" s="30" t="inlineStr">
        <is>
          <t>Construction - Civil/Turnkey</t>
        </is>
      </c>
      <c r="G4" s="30" t="n">
        <v>3</v>
      </c>
      <c r="H4" s="30" t="inlineStr">
        <is>
          <t>52W Breakout</t>
        </is>
      </c>
      <c r="I4" s="30" t="inlineStr">
        <is>
          <t>Yes</t>
        </is>
      </c>
      <c r="J4" s="30" t="n">
        <v>22</v>
      </c>
      <c r="K4" s="30" t="n">
        <v>23</v>
      </c>
    </row>
    <row r="5">
      <c r="A5" s="30">
        <f>IF(B5=0,"",ROW()-1)</f>
        <v/>
      </c>
      <c r="B5" s="31">
        <f>IFERROR(INDEX('Monit Non Financial'!$B$2:$B$400, MATCH(D5, 'Monit Non Financial'!$C$2:$C$400, 0)), IFERROR(INDEX('Monit Banks NBFC'!$B$2:$B$100, MATCH(D5, 'Monit Banks NBFC'!$C$2:$C$100, 0)), 0))</f>
        <v/>
      </c>
      <c r="C5" s="30">
        <f>IFERROR(INDEX('Monit Non Financial'!$L$2:$L$400, MATCH(D5, 'Monit Non Financial'!$C$2:$C$400, 0)), IFERROR(INDEX('Monit Banks NBFC'!$L$2:$L$100, MATCH(D5, 'Monit Banks NBFC'!$C$2:$C$100, 0)), ""))</f>
        <v/>
      </c>
      <c r="D5" s="30" t="inlineStr">
        <is>
          <t>BHAGYANGR</t>
        </is>
      </c>
      <c r="E5" s="30" t="inlineStr">
        <is>
          <t>Bhagyanagar India</t>
        </is>
      </c>
      <c r="F5" s="30" t="inlineStr">
        <is>
          <t>Recycling</t>
        </is>
      </c>
      <c r="G5" s="30" t="n">
        <v>3</v>
      </c>
      <c r="H5" s="30" t="inlineStr">
        <is>
          <t>52W Breakout</t>
        </is>
      </c>
      <c r="I5" s="30" t="inlineStr">
        <is>
          <t>Yes</t>
        </is>
      </c>
      <c r="J5" s="30" t="n">
        <v>23</v>
      </c>
      <c r="K5" s="30" t="n">
        <v>22</v>
      </c>
    </row>
    <row r="6">
      <c r="A6" s="30">
        <f>IF(B6=0,"",ROW()-1)</f>
        <v/>
      </c>
      <c r="B6" s="31">
        <f>IFERROR(INDEX('Monit Non Financial'!$B$2:$B$400, MATCH(D6, 'Monit Non Financial'!$C$2:$C$400, 0)), IFERROR(INDEX('Monit Banks NBFC'!$B$2:$B$100, MATCH(D6, 'Monit Banks NBFC'!$C$2:$C$100, 0)), 0))</f>
        <v/>
      </c>
      <c r="C6" s="30">
        <f>IFERROR(INDEX('Monit Non Financial'!$L$2:$L$400, MATCH(D6, 'Monit Non Financial'!$C$2:$C$400, 0)), IFERROR(INDEX('Monit Banks NBFC'!$L$2:$L$100, MATCH(D6, 'Monit Banks NBFC'!$C$2:$C$100, 0)), ""))</f>
        <v/>
      </c>
      <c r="D6" s="30" t="inlineStr">
        <is>
          <t>SHILPAMED</t>
        </is>
      </c>
      <c r="E6" s="30" t="inlineStr">
        <is>
          <t>Shilpa Medicare Limited</t>
        </is>
      </c>
      <c r="F6" s="30" t="inlineStr">
        <is>
          <t>Pharma - API &amp; CRAMS</t>
        </is>
      </c>
      <c r="G6" s="30" t="n">
        <v>3</v>
      </c>
      <c r="H6" s="30" t="inlineStr">
        <is>
          <t>52W Breakout</t>
        </is>
      </c>
      <c r="I6" s="30" t="inlineStr">
        <is>
          <t>Yes</t>
        </is>
      </c>
      <c r="J6" s="30" t="n">
        <v>18</v>
      </c>
      <c r="K6" s="30" t="n">
        <v>30</v>
      </c>
    </row>
    <row r="7">
      <c r="A7" s="30">
        <f>IF(B7=0,"",ROW()-1)</f>
        <v/>
      </c>
      <c r="B7" s="31">
        <f>IFERROR(INDEX('Monit Non Financial'!$B$2:$B$400, MATCH(D7, 'Monit Non Financial'!$C$2:$C$400, 0)), IFERROR(INDEX('Monit Banks NBFC'!$B$2:$B$100, MATCH(D7, 'Monit Banks NBFC'!$C$2:$C$100, 0)), 0))</f>
        <v/>
      </c>
      <c r="C7" s="30">
        <f>IFERROR(INDEX('Monit Non Financial'!$L$2:$L$400, MATCH(D7, 'Monit Non Financial'!$C$2:$C$400, 0)), IFERROR(INDEX('Monit Banks NBFC'!$L$2:$L$100, MATCH(D7, 'Monit Banks NBFC'!$C$2:$C$100, 0)), ""))</f>
        <v/>
      </c>
      <c r="D7" s="30" t="inlineStr">
        <is>
          <t>RPEL</t>
        </is>
      </c>
      <c r="E7" s="30" t="inlineStr">
        <is>
          <t>Raghav Productivity Enhancers Ltd</t>
        </is>
      </c>
      <c r="F7" s="30" t="inlineStr">
        <is>
          <t>Steel Products</t>
        </is>
      </c>
      <c r="G7" s="30" t="n">
        <v>3</v>
      </c>
      <c r="H7" s="30" t="inlineStr">
        <is>
          <t>52W Breakout</t>
        </is>
      </c>
      <c r="I7" s="30" t="inlineStr">
        <is>
          <t>Yes</t>
        </is>
      </c>
      <c r="J7" s="30" t="n">
        <v>23</v>
      </c>
      <c r="K7" s="30" t="n">
        <v>27</v>
      </c>
    </row>
    <row r="8">
      <c r="A8" s="30">
        <f>IF(B8=0,"",ROW()-1)</f>
        <v/>
      </c>
      <c r="B8" s="31">
        <f>IFERROR(INDEX('Monit Non Financial'!$B$2:$B$400, MATCH(D8, 'Monit Non Financial'!$C$2:$C$400, 0)), IFERROR(INDEX('Monit Banks NBFC'!$B$2:$B$100, MATCH(D8, 'Monit Banks NBFC'!$C$2:$C$100, 0)), 0))</f>
        <v/>
      </c>
      <c r="C8" s="30">
        <f>IFERROR(INDEX('Monit Non Financial'!$L$2:$L$400, MATCH(D8, 'Monit Non Financial'!$C$2:$C$400, 0)), IFERROR(INDEX('Monit Banks NBFC'!$L$2:$L$100, MATCH(D8, 'Monit Banks NBFC'!$C$2:$C$100, 0)), ""))</f>
        <v/>
      </c>
      <c r="D8" s="30" t="inlineStr">
        <is>
          <t>KERNEX</t>
        </is>
      </c>
      <c r="E8" s="30" t="inlineStr">
        <is>
          <t>Kernex Microsystems (india) Limited</t>
        </is>
      </c>
      <c r="F8" s="30" t="inlineStr">
        <is>
          <t>Railways - Kavach/Springs</t>
        </is>
      </c>
      <c r="G8" s="30" t="n">
        <v>3</v>
      </c>
      <c r="H8" s="30" t="inlineStr">
        <is>
          <t>52W Breakout</t>
        </is>
      </c>
      <c r="I8" s="30" t="inlineStr">
        <is>
          <t>Yes</t>
        </is>
      </c>
      <c r="J8" s="30" t="n">
        <v>21</v>
      </c>
      <c r="K8" s="30" t="n">
        <v>26</v>
      </c>
    </row>
    <row r="9">
      <c r="A9" s="30">
        <f>IF(B9=0,"",ROW()-1)</f>
        <v/>
      </c>
      <c r="B9" s="31">
        <f>IFERROR(INDEX('Monit Non Financial'!$B$2:$B$400, MATCH(D9, 'Monit Non Financial'!$C$2:$C$400, 0)), IFERROR(INDEX('Monit Banks NBFC'!$B$2:$B$100, MATCH(D9, 'Monit Banks NBFC'!$C$2:$C$100, 0)), 0))</f>
        <v/>
      </c>
      <c r="C9" s="30">
        <f>IFERROR(INDEX('Monit Non Financial'!$L$2:$L$400, MATCH(D9, 'Monit Non Financial'!$C$2:$C$400, 0)), IFERROR(INDEX('Monit Banks NBFC'!$L$2:$L$100, MATCH(D9, 'Monit Banks NBFC'!$C$2:$C$100, 0)), ""))</f>
        <v/>
      </c>
      <c r="D9" s="30" t="inlineStr">
        <is>
          <t>SASKEN</t>
        </is>
      </c>
      <c r="E9" s="30" t="inlineStr">
        <is>
          <t>Sasken Communication Technologies Limited</t>
        </is>
      </c>
      <c r="F9" s="30" t="inlineStr">
        <is>
          <t>IT - Software</t>
        </is>
      </c>
      <c r="G9" s="30" t="n">
        <v>3</v>
      </c>
      <c r="H9" s="30" t="inlineStr">
        <is>
          <t>52W Breakout</t>
        </is>
      </c>
      <c r="I9" s="30" t="inlineStr">
        <is>
          <t>Yes</t>
        </is>
      </c>
      <c r="J9" s="30" t="n">
        <v>19</v>
      </c>
      <c r="K9" s="30" t="n">
        <v>30</v>
      </c>
    </row>
    <row r="10">
      <c r="A10" s="30">
        <f>IF(B10=0,"",ROW()-1)</f>
        <v/>
      </c>
      <c r="B10" s="31">
        <f>IFERROR(INDEX('Monit Non Financial'!$B$2:$B$400, MATCH(D10, 'Monit Non Financial'!$C$2:$C$400, 0)), IFERROR(INDEX('Monit Banks NBFC'!$B$2:$B$100, MATCH(D10, 'Monit Banks NBFC'!$C$2:$C$100, 0)), 0))</f>
        <v/>
      </c>
      <c r="C10" s="30">
        <f>IFERROR(INDEX('Monit Non Financial'!$L$2:$L$400, MATCH(D10, 'Monit Non Financial'!$C$2:$C$400, 0)), IFERROR(INDEX('Monit Banks NBFC'!$L$2:$L$100, MATCH(D10, 'Monit Banks NBFC'!$C$2:$C$100, 0)), ""))</f>
        <v/>
      </c>
      <c r="D10" s="30" t="inlineStr">
        <is>
          <t>SATIN</t>
        </is>
      </c>
      <c r="E10" s="30" t="inlineStr">
        <is>
          <t>Satin Creditcare Network Limited</t>
        </is>
      </c>
      <c r="F10" s="30" t="inlineStr">
        <is>
          <t>Finance &amp; Investments - Microfinance</t>
        </is>
      </c>
      <c r="G10" s="30" t="n">
        <v>2</v>
      </c>
      <c r="H10" s="30" t="inlineStr">
        <is>
          <t>No</t>
        </is>
      </c>
      <c r="I10" s="30" t="inlineStr">
        <is>
          <t>Yes</t>
        </is>
      </c>
      <c r="J10" s="30" t="n">
        <v>22</v>
      </c>
      <c r="K10" s="30" t="n">
        <v>29</v>
      </c>
    </row>
    <row r="11">
      <c r="A11" s="30">
        <f>IF(B11=0,"",ROW()-1)</f>
        <v/>
      </c>
      <c r="B11" s="31">
        <f>IFERROR(INDEX('Monit Non Financial'!$B$2:$B$400, MATCH(D11, 'Monit Non Financial'!$C$2:$C$400, 0)), IFERROR(INDEX('Monit Banks NBFC'!$B$2:$B$100, MATCH(D11, 'Monit Banks NBFC'!$C$2:$C$100, 0)), 0))</f>
        <v/>
      </c>
      <c r="C11" s="30">
        <f>IFERROR(INDEX('Monit Non Financial'!$L$2:$L$400, MATCH(D11, 'Monit Non Financial'!$C$2:$C$400, 0)), IFERROR(INDEX('Monit Banks NBFC'!$L$2:$L$100, MATCH(D11, 'Monit Banks NBFC'!$C$2:$C$100, 0)), ""))</f>
        <v/>
      </c>
      <c r="D11" s="30" t="inlineStr">
        <is>
          <t>IBULLSLTD</t>
        </is>
      </c>
      <c r="E11" s="30" t="inlineStr">
        <is>
          <t>Indiabulls Limited</t>
        </is>
      </c>
      <c r="F11" s="30" t="inlineStr">
        <is>
          <t>Diversified</t>
        </is>
      </c>
      <c r="G11" s="30" t="n">
        <v>2</v>
      </c>
      <c r="H11" s="30" t="inlineStr">
        <is>
          <t>No</t>
        </is>
      </c>
      <c r="I11" s="30" t="inlineStr">
        <is>
          <t>Yes</t>
        </is>
      </c>
      <c r="J11" s="30" t="n">
        <v>20</v>
      </c>
      <c r="K11" s="30" t="n">
        <v>26</v>
      </c>
    </row>
    <row r="12">
      <c r="A12" s="30">
        <f>IF(B12=0,"",ROW()-1)</f>
        <v/>
      </c>
      <c r="B12" s="31">
        <f>IFERROR(INDEX('Monit Non Financial'!$B$2:$B$400, MATCH(D12, 'Monit Non Financial'!$C$2:$C$400, 0)), IFERROR(INDEX('Monit Banks NBFC'!$B$2:$B$100, MATCH(D12, 'Monit Banks NBFC'!$C$2:$C$100, 0)), 0))</f>
        <v/>
      </c>
      <c r="C12" s="30">
        <f>IFERROR(INDEX('Monit Non Financial'!$L$2:$L$400, MATCH(D12, 'Monit Non Financial'!$C$2:$C$400, 0)), IFERROR(INDEX('Monit Banks NBFC'!$L$2:$L$100, MATCH(D12, 'Monit Banks NBFC'!$C$2:$C$100, 0)), ""))</f>
        <v/>
      </c>
      <c r="D12" s="30" t="inlineStr">
        <is>
          <t>BLUSPRING</t>
        </is>
      </c>
      <c r="E12" s="30" t="inlineStr">
        <is>
          <t>Bluspring Enterprises Ltd</t>
        </is>
      </c>
      <c r="F12" s="30" t="inlineStr">
        <is>
          <t>Diversified</t>
        </is>
      </c>
      <c r="G12" s="30" t="n">
        <v>2</v>
      </c>
      <c r="H12" s="30" t="inlineStr">
        <is>
          <t>52W Breakout</t>
        </is>
      </c>
      <c r="I12" s="30" t="inlineStr">
        <is>
          <t>Yes</t>
        </is>
      </c>
      <c r="J12" s="30" t="n">
        <v>16</v>
      </c>
      <c r="K12" s="30" t="n">
        <v>1</v>
      </c>
    </row>
    <row r="13">
      <c r="A13" s="30">
        <f>IF(B13=0,"",ROW()-1)</f>
        <v/>
      </c>
      <c r="B13" s="31">
        <f>IFERROR(INDEX('Monit Non Financial'!$B$2:$B$400, MATCH(D13, 'Monit Non Financial'!$C$2:$C$400, 0)), IFERROR(INDEX('Monit Banks NBFC'!$B$2:$B$100, MATCH(D13, 'Monit Banks NBFC'!$C$2:$C$100, 0)), 0))</f>
        <v/>
      </c>
      <c r="C13" s="30">
        <f>IFERROR(INDEX('Monit Non Financial'!$L$2:$L$400, MATCH(D13, 'Monit Non Financial'!$C$2:$C$400, 0)), IFERROR(INDEX('Monit Banks NBFC'!$L$2:$L$100, MATCH(D13, 'Monit Banks NBFC'!$C$2:$C$100, 0)), ""))</f>
        <v/>
      </c>
      <c r="D13" s="30" t="inlineStr">
        <is>
          <t>SAKAR</t>
        </is>
      </c>
      <c r="E13" s="30" t="inlineStr">
        <is>
          <t>Sakar Healthcare Ltd</t>
        </is>
      </c>
      <c r="F13" s="30" t="inlineStr">
        <is>
          <t>Hospitals</t>
        </is>
      </c>
      <c r="G13" s="30" t="n">
        <v>2</v>
      </c>
      <c r="H13" s="30" t="inlineStr">
        <is>
          <t>No</t>
        </is>
      </c>
      <c r="I13" s="30" t="inlineStr">
        <is>
          <t>Yes</t>
        </is>
      </c>
      <c r="J13" s="30" t="n">
        <v>18</v>
      </c>
      <c r="K13" s="30" t="n">
        <v>28</v>
      </c>
    </row>
    <row r="14">
      <c r="A14" s="30">
        <f>IF(B14=0,"",ROW()-1)</f>
        <v/>
      </c>
      <c r="B14" s="31">
        <f>IFERROR(INDEX('Monit Non Financial'!$B$2:$B$400, MATCH(D14, 'Monit Non Financial'!$C$2:$C$400, 0)), IFERROR(INDEX('Monit Banks NBFC'!$B$2:$B$100, MATCH(D14, 'Monit Banks NBFC'!$C$2:$C$100, 0)), 0))</f>
        <v/>
      </c>
      <c r="C14" s="30">
        <f>IFERROR(INDEX('Monit Non Financial'!$L$2:$L$400, MATCH(D14, 'Monit Non Financial'!$C$2:$C$400, 0)), IFERROR(INDEX('Monit Banks NBFC'!$L$2:$L$100, MATCH(D14, 'Monit Banks NBFC'!$C$2:$C$100, 0)), ""))</f>
        <v/>
      </c>
      <c r="D14" s="30" t="inlineStr">
        <is>
          <t>GVT&amp;D</t>
        </is>
      </c>
      <c r="E14" s="30" t="inlineStr">
        <is>
          <t>GE Vernova T&amp;D India Ltd</t>
        </is>
      </c>
      <c r="F14" s="30" t="inlineStr">
        <is>
          <t>Electrical Equipments/HVDC</t>
        </is>
      </c>
      <c r="G14" s="30" t="n">
        <v>2</v>
      </c>
      <c r="H14" s="30" t="inlineStr">
        <is>
          <t>No</t>
        </is>
      </c>
      <c r="I14" s="30" t="inlineStr">
        <is>
          <t>Yes</t>
        </is>
      </c>
      <c r="J14" s="30" t="n">
        <v>20</v>
      </c>
      <c r="K14" s="30" t="n">
        <v>21</v>
      </c>
    </row>
    <row r="15">
      <c r="A15" s="30">
        <f>IF(B15=0,"",ROW()-1)</f>
        <v/>
      </c>
      <c r="B15" s="31">
        <f>IFERROR(INDEX('Monit Non Financial'!$B$2:$B$400, MATCH(D15, 'Monit Non Financial'!$C$2:$C$400, 0)), IFERROR(INDEX('Monit Banks NBFC'!$B$2:$B$100, MATCH(D15, 'Monit Banks NBFC'!$C$2:$C$100, 0)), 0))</f>
        <v/>
      </c>
      <c r="C15" s="30">
        <f>IFERROR(INDEX('Monit Non Financial'!$L$2:$L$400, MATCH(D15, 'Monit Non Financial'!$C$2:$C$400, 0)), IFERROR(INDEX('Monit Banks NBFC'!$L$2:$L$100, MATCH(D15, 'Monit Banks NBFC'!$C$2:$C$100, 0)), ""))</f>
        <v/>
      </c>
      <c r="D15" s="30" t="inlineStr">
        <is>
          <t>STYLAMIND</t>
        </is>
      </c>
      <c r="E15" s="30" t="inlineStr">
        <is>
          <t>Stylam Industries Ltd</t>
        </is>
      </c>
      <c r="F15" s="30" t="inlineStr">
        <is>
          <t>Plywood Boards/Laminates</t>
        </is>
      </c>
      <c r="G15" s="30" t="n">
        <v>2</v>
      </c>
      <c r="H15" s="30" t="inlineStr">
        <is>
          <t>52W Breakout</t>
        </is>
      </c>
      <c r="I15" s="30" t="inlineStr">
        <is>
          <t>Yes</t>
        </is>
      </c>
      <c r="J15" s="30" t="n">
        <v>14</v>
      </c>
      <c r="K15" s="30" t="n">
        <v>30</v>
      </c>
    </row>
    <row r="16">
      <c r="A16" s="30">
        <f>IF(B16=0,"",ROW()-1)</f>
        <v/>
      </c>
      <c r="B16" s="31">
        <f>IFERROR(INDEX('Monit Non Financial'!$B$2:$B$400, MATCH(D16, 'Monit Non Financial'!$C$2:$C$400, 0)), IFERROR(INDEX('Monit Banks NBFC'!$B$2:$B$100, MATCH(D16, 'Monit Banks NBFC'!$C$2:$C$100, 0)), 0))</f>
        <v/>
      </c>
      <c r="C16" s="30">
        <f>IFERROR(INDEX('Monit Non Financial'!$L$2:$L$400, MATCH(D16, 'Monit Non Financial'!$C$2:$C$400, 0)), IFERROR(INDEX('Monit Banks NBFC'!$L$2:$L$100, MATCH(D16, 'Monit Banks NBFC'!$C$2:$C$100, 0)), ""))</f>
        <v/>
      </c>
      <c r="D16" s="30" t="inlineStr">
        <is>
          <t>VENUSREM</t>
        </is>
      </c>
      <c r="E16" s="30" t="inlineStr">
        <is>
          <t>Venus Remedies Limited</t>
        </is>
      </c>
      <c r="F16" s="30" t="inlineStr">
        <is>
          <t>Pharmaceuticals - I V Fluids</t>
        </is>
      </c>
      <c r="G16" s="30" t="n">
        <v>2</v>
      </c>
      <c r="H16" s="30" t="inlineStr">
        <is>
          <t>No</t>
        </is>
      </c>
      <c r="I16" s="30" t="inlineStr">
        <is>
          <t>Yes</t>
        </is>
      </c>
      <c r="J16" s="30" t="n">
        <v>24</v>
      </c>
      <c r="K16" s="30" t="n">
        <v>26</v>
      </c>
    </row>
    <row r="17">
      <c r="A17" s="30">
        <f>IF(B17=0,"",ROW()-1)</f>
        <v/>
      </c>
      <c r="B17" s="31">
        <f>IFERROR(INDEX('Monit Non Financial'!$B$2:$B$400, MATCH(D17, 'Monit Non Financial'!$C$2:$C$400, 0)), IFERROR(INDEX('Monit Banks NBFC'!$B$2:$B$100, MATCH(D17, 'Monit Banks NBFC'!$C$2:$C$100, 0)), 0))</f>
        <v/>
      </c>
      <c r="C17" s="30">
        <f>IFERROR(INDEX('Monit Non Financial'!$L$2:$L$400, MATCH(D17, 'Monit Non Financial'!$C$2:$C$400, 0)), IFERROR(INDEX('Monit Banks NBFC'!$L$2:$L$100, MATCH(D17, 'Monit Banks NBFC'!$C$2:$C$100, 0)), ""))</f>
        <v/>
      </c>
      <c r="D17" s="30" t="inlineStr">
        <is>
          <t>BAJAJCON</t>
        </is>
      </c>
      <c r="E17" s="30" t="inlineStr">
        <is>
          <t>Bajaj Consumer Care Ltd</t>
        </is>
      </c>
      <c r="F17" s="30" t="inlineStr">
        <is>
          <t>FMCG - Personal Care</t>
        </is>
      </c>
      <c r="G17" s="30" t="n">
        <v>2</v>
      </c>
      <c r="H17" s="30" t="inlineStr">
        <is>
          <t>No</t>
        </is>
      </c>
      <c r="I17" s="30" t="inlineStr">
        <is>
          <t>Yes</t>
        </is>
      </c>
      <c r="J17" s="30" t="n">
        <v>25</v>
      </c>
      <c r="K17" s="30" t="n">
        <v>30</v>
      </c>
    </row>
    <row r="18">
      <c r="A18" s="30">
        <f>IF(B18=0,"",ROW()-1)</f>
        <v/>
      </c>
      <c r="B18" s="31">
        <f>IFERROR(INDEX('Monit Non Financial'!$B$2:$B$400, MATCH(D18, 'Monit Non Financial'!$C$2:$C$400, 0)), IFERROR(INDEX('Monit Banks NBFC'!$B$2:$B$100, MATCH(D18, 'Monit Banks NBFC'!$C$2:$C$100, 0)), 0))</f>
        <v/>
      </c>
      <c r="C18" s="30">
        <f>IFERROR(INDEX('Monit Non Financial'!$L$2:$L$400, MATCH(D18, 'Monit Non Financial'!$C$2:$C$400, 0)), IFERROR(INDEX('Monit Banks NBFC'!$L$2:$L$100, MATCH(D18, 'Monit Banks NBFC'!$C$2:$C$100, 0)), ""))</f>
        <v/>
      </c>
      <c r="D18" s="30" t="inlineStr">
        <is>
          <t>NETWEB</t>
        </is>
      </c>
      <c r="E18" s="30" t="inlineStr">
        <is>
          <t>Netweb Technologies India Ltd</t>
        </is>
      </c>
      <c r="F18" s="30" t="inlineStr">
        <is>
          <t>Data Centre</t>
        </is>
      </c>
      <c r="G18" s="30" t="n">
        <v>2</v>
      </c>
      <c r="H18" s="30" t="inlineStr">
        <is>
          <t>No</t>
        </is>
      </c>
      <c r="I18" s="30" t="inlineStr">
        <is>
          <t>Yes</t>
        </is>
      </c>
      <c r="J18" s="30" t="n">
        <v>21</v>
      </c>
      <c r="K18" s="30" t="n">
        <v>17</v>
      </c>
    </row>
    <row r="19">
      <c r="A19" s="30">
        <f>IF(B19=0,"",ROW()-1)</f>
        <v/>
      </c>
      <c r="B19" s="31">
        <f>IFERROR(INDEX('Monit Non Financial'!$B$2:$B$400, MATCH(D19, 'Monit Non Financial'!$C$2:$C$400, 0)), IFERROR(INDEX('Monit Banks NBFC'!$B$2:$B$100, MATCH(D19, 'Monit Banks NBFC'!$C$2:$C$100, 0)), 0))</f>
        <v/>
      </c>
      <c r="C19" s="30">
        <f>IFERROR(INDEX('Monit Non Financial'!$L$2:$L$400, MATCH(D19, 'Monit Non Financial'!$C$2:$C$400, 0)), IFERROR(INDEX('Monit Banks NBFC'!$L$2:$L$100, MATCH(D19, 'Monit Banks NBFC'!$C$2:$C$100, 0)), ""))</f>
        <v/>
      </c>
      <c r="D19" s="30" t="inlineStr">
        <is>
          <t>RPTECH</t>
        </is>
      </c>
      <c r="E19" s="30" t="inlineStr">
        <is>
          <t>Rashi Peripherals Ltd</t>
        </is>
      </c>
      <c r="F19" s="30" t="inlineStr">
        <is>
          <t>Trading</t>
        </is>
      </c>
      <c r="G19" s="30" t="n">
        <v>2</v>
      </c>
      <c r="H19" s="30" t="inlineStr">
        <is>
          <t>No</t>
        </is>
      </c>
      <c r="I19" s="30" t="inlineStr">
        <is>
          <t>Yes</t>
        </is>
      </c>
      <c r="J19" s="30" t="n">
        <v>27</v>
      </c>
      <c r="K19" s="30" t="n">
        <v>28</v>
      </c>
    </row>
    <row r="20">
      <c r="A20" s="30">
        <f>IF(B20=0,"",ROW()-1)</f>
        <v/>
      </c>
      <c r="B20" s="31">
        <f>IFERROR(INDEX('Monit Non Financial'!$B$2:$B$400, MATCH(D20, 'Monit Non Financial'!$C$2:$C$400, 0)), IFERROR(INDEX('Monit Banks NBFC'!$B$2:$B$100, MATCH(D20, 'Monit Banks NBFC'!$C$2:$C$100, 0)), 0))</f>
        <v/>
      </c>
      <c r="C20" s="30">
        <f>IFERROR(INDEX('Monit Non Financial'!$L$2:$L$400, MATCH(D20, 'Monit Non Financial'!$C$2:$C$400, 0)), IFERROR(INDEX('Monit Banks NBFC'!$L$2:$L$100, MATCH(D20, 'Monit Banks NBFC'!$C$2:$C$100, 0)), ""))</f>
        <v/>
      </c>
      <c r="D20" s="30" t="inlineStr">
        <is>
          <t>THANGAMAYL</t>
        </is>
      </c>
      <c r="E20" s="30" t="inlineStr">
        <is>
          <t>Thangamayil Jewellery Limited</t>
        </is>
      </c>
      <c r="F20" s="30" t="inlineStr">
        <is>
          <t>Diamond, Gems &amp; Jewellery</t>
        </is>
      </c>
      <c r="G20" s="30" t="n">
        <v>2</v>
      </c>
      <c r="H20" s="30" t="inlineStr">
        <is>
          <t>No</t>
        </is>
      </c>
      <c r="I20" s="30" t="inlineStr">
        <is>
          <t>Yes</t>
        </is>
      </c>
      <c r="J20" s="30" t="n">
        <v>33</v>
      </c>
      <c r="K20" s="30" t="n">
        <v>18</v>
      </c>
    </row>
    <row r="21">
      <c r="A21" s="30">
        <f>IF(B21=0,"",ROW()-1)</f>
        <v/>
      </c>
      <c r="B21" s="31">
        <f>IFERROR(INDEX('Monit Non Financial'!$B$2:$B$400, MATCH(D21, 'Monit Non Financial'!$C$2:$C$400, 0)), IFERROR(INDEX('Monit Banks NBFC'!$B$2:$B$100, MATCH(D21, 'Monit Banks NBFC'!$C$2:$C$100, 0)), 0))</f>
        <v/>
      </c>
      <c r="C21" s="30">
        <f>IFERROR(INDEX('Monit Non Financial'!$L$2:$L$400, MATCH(D21, 'Monit Non Financial'!$C$2:$C$400, 0)), IFERROR(INDEX('Monit Banks NBFC'!$L$2:$L$100, MATCH(D21, 'Monit Banks NBFC'!$C$2:$C$100, 0)), ""))</f>
        <v/>
      </c>
      <c r="D21" s="30" t="inlineStr">
        <is>
          <t>MTARTECH</t>
        </is>
      </c>
      <c r="E21" s="30" t="inlineStr">
        <is>
          <t>MTAR Technologies Ltd</t>
        </is>
      </c>
      <c r="F21" s="30" t="inlineStr">
        <is>
          <t>Aerospace &amp; Defence - Equipments</t>
        </is>
      </c>
      <c r="G21" s="30" t="n">
        <v>2</v>
      </c>
      <c r="H21" s="30" t="inlineStr">
        <is>
          <t>No</t>
        </is>
      </c>
      <c r="I21" s="30" t="inlineStr">
        <is>
          <t>Yes</t>
        </is>
      </c>
      <c r="J21" s="30" t="n">
        <v>26</v>
      </c>
      <c r="K21" s="30" t="n">
        <v>24</v>
      </c>
    </row>
    <row r="22">
      <c r="A22" s="30">
        <f>IF(B22=0,"",ROW()-1)</f>
        <v/>
      </c>
      <c r="B22" s="31">
        <f>IFERROR(INDEX('Monit Non Financial'!$B$2:$B$400, MATCH(D22, 'Monit Non Financial'!$C$2:$C$400, 0)), IFERROR(INDEX('Monit Banks NBFC'!$B$2:$B$100, MATCH(D22, 'Monit Banks NBFC'!$C$2:$C$100, 0)), 0))</f>
        <v/>
      </c>
      <c r="C22" s="30">
        <f>IFERROR(INDEX('Monit Non Financial'!$L$2:$L$400, MATCH(D22, 'Monit Non Financial'!$C$2:$C$400, 0)), IFERROR(INDEX('Monit Banks NBFC'!$L$2:$L$100, MATCH(D22, 'Monit Banks NBFC'!$C$2:$C$100, 0)), ""))</f>
        <v/>
      </c>
      <c r="D22" s="30" t="inlineStr">
        <is>
          <t>PAISALO</t>
        </is>
      </c>
      <c r="E22" s="30" t="inlineStr">
        <is>
          <t>Paisalo Digital Ltd</t>
        </is>
      </c>
      <c r="F22" s="30" t="inlineStr">
        <is>
          <t>Finance - Capital Markets - Brokers</t>
        </is>
      </c>
      <c r="G22" s="30" t="n">
        <v>2</v>
      </c>
      <c r="H22" s="30" t="inlineStr">
        <is>
          <t>No</t>
        </is>
      </c>
      <c r="I22" s="30" t="inlineStr">
        <is>
          <t>Yes</t>
        </is>
      </c>
      <c r="J22" s="30" t="n">
        <v>20</v>
      </c>
      <c r="K22" s="30" t="n">
        <v>29</v>
      </c>
    </row>
    <row r="23">
      <c r="A23" s="30">
        <f>IF(B23=0,"",ROW()-1)</f>
        <v/>
      </c>
      <c r="B23" s="31">
        <f>IFERROR(INDEX('Monit Non Financial'!$B$2:$B$400, MATCH(D23, 'Monit Non Financial'!$C$2:$C$400, 0)), IFERROR(INDEX('Monit Banks NBFC'!$B$2:$B$100, MATCH(D23, 'Monit Banks NBFC'!$C$2:$C$100, 0)), 0))</f>
        <v/>
      </c>
      <c r="C23" s="30">
        <f>IFERROR(INDEX('Monit Non Financial'!$L$2:$L$400, MATCH(D23, 'Monit Non Financial'!$C$2:$C$400, 0)), IFERROR(INDEX('Monit Banks NBFC'!$L$2:$L$100, MATCH(D23, 'Monit Banks NBFC'!$C$2:$C$100, 0)), ""))</f>
        <v/>
      </c>
      <c r="D23" s="30" t="inlineStr">
        <is>
          <t>CUPID</t>
        </is>
      </c>
      <c r="E23" s="30" t="inlineStr">
        <is>
          <t>Cupid Limited</t>
        </is>
      </c>
      <c r="F23" s="30" t="inlineStr">
        <is>
          <t>Contraceptives/Protectives</t>
        </is>
      </c>
      <c r="G23" s="30" t="n">
        <v>2</v>
      </c>
      <c r="H23" s="30" t="inlineStr">
        <is>
          <t>No</t>
        </is>
      </c>
      <c r="I23" s="30" t="inlineStr">
        <is>
          <t>Yes</t>
        </is>
      </c>
      <c r="J23" s="30" t="n">
        <v>23</v>
      </c>
      <c r="K23" s="30" t="n">
        <v>29</v>
      </c>
    </row>
    <row r="24">
      <c r="A24" s="30">
        <f>IF(B24=0,"",ROW()-1)</f>
        <v/>
      </c>
      <c r="B24" s="31">
        <f>IFERROR(INDEX('Monit Non Financial'!$B$2:$B$400, MATCH(D24, 'Monit Non Financial'!$C$2:$C$400, 0)), IFERROR(INDEX('Monit Banks NBFC'!$B$2:$B$100, MATCH(D24, 'Monit Banks NBFC'!$C$2:$C$100, 0)), 0))</f>
        <v/>
      </c>
      <c r="C24" s="30">
        <f>IFERROR(INDEX('Monit Non Financial'!$L$2:$L$400, MATCH(D24, 'Monit Non Financial'!$C$2:$C$400, 0)), IFERROR(INDEX('Monit Banks NBFC'!$L$2:$L$100, MATCH(D24, 'Monit Banks NBFC'!$C$2:$C$100, 0)), ""))</f>
        <v/>
      </c>
      <c r="D24" s="30" t="inlineStr">
        <is>
          <t>NGLFINE</t>
        </is>
      </c>
      <c r="E24" s="30" t="inlineStr">
        <is>
          <t>NGL Fine Chem Ltd</t>
        </is>
      </c>
      <c r="F24" s="30" t="inlineStr">
        <is>
          <t>Pharma - Animal</t>
        </is>
      </c>
      <c r="G24" s="30" t="n">
        <v>2</v>
      </c>
      <c r="H24" s="30" t="inlineStr">
        <is>
          <t>No</t>
        </is>
      </c>
      <c r="I24" s="30" t="inlineStr">
        <is>
          <t>Yes</t>
        </is>
      </c>
      <c r="J24" s="30" t="n">
        <v>24</v>
      </c>
      <c r="K24" s="30" t="n">
        <v>24</v>
      </c>
    </row>
    <row r="25">
      <c r="A25" s="30">
        <f>IF(B25=0,"",ROW()-1)</f>
        <v/>
      </c>
      <c r="B25" s="31">
        <f>IFERROR(INDEX('Monit Non Financial'!$B$2:$B$400, MATCH(D25, 'Monit Non Financial'!$C$2:$C$400, 0)), IFERROR(INDEX('Monit Banks NBFC'!$B$2:$B$100, MATCH(D25, 'Monit Banks NBFC'!$C$2:$C$100, 0)), 0))</f>
        <v/>
      </c>
      <c r="C25" s="30">
        <f>IFERROR(INDEX('Monit Non Financial'!$L$2:$L$400, MATCH(D25, 'Monit Non Financial'!$C$2:$C$400, 0)), IFERROR(INDEX('Monit Banks NBFC'!$L$2:$L$100, MATCH(D25, 'Monit Banks NBFC'!$C$2:$C$100, 0)), ""))</f>
        <v/>
      </c>
      <c r="D25" s="30" t="inlineStr">
        <is>
          <t>MAYURUNIQ</t>
        </is>
      </c>
      <c r="E25" s="30" t="inlineStr">
        <is>
          <t>Mayur Uniquoters Ltd</t>
        </is>
      </c>
      <c r="F25" s="30" t="inlineStr">
        <is>
          <t>Plastics - Plastic &amp; Plastic Products</t>
        </is>
      </c>
      <c r="G25" s="30" t="n">
        <v>2</v>
      </c>
      <c r="H25" s="30" t="inlineStr">
        <is>
          <t>No</t>
        </is>
      </c>
      <c r="I25" s="30" t="inlineStr">
        <is>
          <t>Yes</t>
        </is>
      </c>
      <c r="J25" s="30" t="n">
        <v>18</v>
      </c>
      <c r="K25" s="30" t="n">
        <v>30</v>
      </c>
    </row>
    <row r="26">
      <c r="A26" s="30">
        <f>IF(B26=0,"",ROW()-1)</f>
        <v/>
      </c>
      <c r="B26" s="31">
        <f>IFERROR(INDEX('Monit Non Financial'!$B$2:$B$400, MATCH(D26, 'Monit Non Financial'!$C$2:$C$400, 0)), IFERROR(INDEX('Monit Banks NBFC'!$B$2:$B$100, MATCH(D26, 'Monit Banks NBFC'!$C$2:$C$100, 0)), 0))</f>
        <v/>
      </c>
      <c r="C26" s="30">
        <f>IFERROR(INDEX('Monit Non Financial'!$L$2:$L$400, MATCH(D26, 'Monit Non Financial'!$C$2:$C$400, 0)), IFERROR(INDEX('Monit Banks NBFC'!$L$2:$L$100, MATCH(D26, 'Monit Banks NBFC'!$C$2:$C$100, 0)), ""))</f>
        <v/>
      </c>
      <c r="D26" s="30" t="inlineStr">
        <is>
          <t>GOLDIAM</t>
        </is>
      </c>
      <c r="E26" s="30" t="inlineStr">
        <is>
          <t>Goldiam International Limited</t>
        </is>
      </c>
      <c r="F26" s="30" t="inlineStr">
        <is>
          <t>Lab Grown Diamonds</t>
        </is>
      </c>
      <c r="G26" s="30" t="n">
        <v>2</v>
      </c>
      <c r="H26" s="30" t="inlineStr">
        <is>
          <t>No</t>
        </is>
      </c>
      <c r="I26" s="30" t="inlineStr">
        <is>
          <t>Yes</t>
        </is>
      </c>
      <c r="J26" s="30" t="n">
        <v>24</v>
      </c>
      <c r="K26" s="30" t="n">
        <v>21</v>
      </c>
    </row>
    <row r="27">
      <c r="A27" s="30">
        <f>IF(B27=0,"",ROW()-1)</f>
        <v/>
      </c>
      <c r="B27" s="31">
        <f>IFERROR(INDEX('Monit Non Financial'!$B$2:$B$400, MATCH(D27, 'Monit Non Financial'!$C$2:$C$400, 0)), IFERROR(INDEX('Monit Banks NBFC'!$B$2:$B$100, MATCH(D27, 'Monit Banks NBFC'!$C$2:$C$100, 0)), 0))</f>
        <v/>
      </c>
      <c r="C27" s="30">
        <f>IFERROR(INDEX('Monit Non Financial'!$L$2:$L$400, MATCH(D27, 'Monit Non Financial'!$C$2:$C$400, 0)), IFERROR(INDEX('Monit Banks NBFC'!$L$2:$L$100, MATCH(D27, 'Monit Banks NBFC'!$C$2:$C$100, 0)), ""))</f>
        <v/>
      </c>
      <c r="D27" s="30" t="inlineStr">
        <is>
          <t>SKMEGGPROD</t>
        </is>
      </c>
      <c r="E27" s="30" t="inlineStr">
        <is>
          <t>Skm Egg Products Export (india) Limited</t>
        </is>
      </c>
      <c r="F27" s="30" t="inlineStr">
        <is>
          <t>FMCG - Animal/Polutry</t>
        </is>
      </c>
      <c r="G27" s="30" t="n">
        <v>2</v>
      </c>
      <c r="H27" s="30" t="inlineStr">
        <is>
          <t>No</t>
        </is>
      </c>
      <c r="I27" s="30" t="inlineStr">
        <is>
          <t>Yes</t>
        </is>
      </c>
      <c r="J27" s="30" t="n">
        <v>24</v>
      </c>
      <c r="K27" s="30" t="n">
        <v>23</v>
      </c>
    </row>
    <row r="28">
      <c r="A28" s="30">
        <f>IF(B28=0,"",ROW()-1)</f>
        <v/>
      </c>
      <c r="B28" s="31">
        <f>IFERROR(INDEX('Monit Non Financial'!$B$2:$B$400, MATCH(D28, 'Monit Non Financial'!$C$2:$C$400, 0)), IFERROR(INDEX('Monit Banks NBFC'!$B$2:$B$100, MATCH(D28, 'Monit Banks NBFC'!$C$2:$C$100, 0)), 0))</f>
        <v/>
      </c>
      <c r="C28" s="30">
        <f>IFERROR(INDEX('Monit Non Financial'!$L$2:$L$400, MATCH(D28, 'Monit Non Financial'!$C$2:$C$400, 0)), IFERROR(INDEX('Monit Banks NBFC'!$L$2:$L$100, MATCH(D28, 'Monit Banks NBFC'!$C$2:$C$100, 0)), ""))</f>
        <v/>
      </c>
      <c r="D28" s="30" t="inlineStr">
        <is>
          <t>ADFFOODS</t>
        </is>
      </c>
      <c r="E28" s="30" t="inlineStr">
        <is>
          <t>Adf Foods Limited</t>
        </is>
      </c>
      <c r="F28" s="30" t="inlineStr">
        <is>
          <t>FMCG - Contract Mfg</t>
        </is>
      </c>
      <c r="G28" s="30" t="n">
        <v>2</v>
      </c>
      <c r="H28" s="30" t="inlineStr">
        <is>
          <t>No</t>
        </is>
      </c>
      <c r="I28" s="30" t="inlineStr">
        <is>
          <t>Yes</t>
        </is>
      </c>
      <c r="J28" s="30" t="n">
        <v>18</v>
      </c>
      <c r="K28" s="30" t="n">
        <v>26</v>
      </c>
    </row>
    <row r="29">
      <c r="A29" s="30">
        <f>IF(B29=0,"",ROW()-1)</f>
        <v/>
      </c>
      <c r="B29" s="31">
        <f>IFERROR(INDEX('Monit Non Financial'!$B$2:$B$400, MATCH(D29, 'Monit Non Financial'!$C$2:$C$400, 0)), IFERROR(INDEX('Monit Banks NBFC'!$B$2:$B$100, MATCH(D29, 'Monit Banks NBFC'!$C$2:$C$100, 0)), 0))</f>
        <v/>
      </c>
      <c r="C29" s="30">
        <f>IFERROR(INDEX('Monit Non Financial'!$L$2:$L$400, MATCH(D29, 'Monit Non Financial'!$C$2:$C$400, 0)), IFERROR(INDEX('Monit Banks NBFC'!$L$2:$L$100, MATCH(D29, 'Monit Banks NBFC'!$C$2:$C$100, 0)), ""))</f>
        <v/>
      </c>
      <c r="D29" s="30" t="inlineStr">
        <is>
          <t>GVPIL</t>
        </is>
      </c>
      <c r="E29" s="30" t="inlineStr">
        <is>
          <t>GE Power India Ltd</t>
        </is>
      </c>
      <c r="F29" s="30" t="inlineStr">
        <is>
          <t>Infra - General</t>
        </is>
      </c>
      <c r="G29" s="30" t="n">
        <v>2</v>
      </c>
      <c r="H29" s="30" t="inlineStr">
        <is>
          <t>No</t>
        </is>
      </c>
      <c r="I29" s="30" t="inlineStr">
        <is>
          <t>Yes</t>
        </is>
      </c>
      <c r="J29" s="30" t="n">
        <v>21</v>
      </c>
      <c r="K29" s="30" t="n">
        <v>30</v>
      </c>
    </row>
    <row r="30">
      <c r="A30" s="30">
        <f>IF(B30=0,"",ROW()-1)</f>
        <v/>
      </c>
      <c r="B30" s="31">
        <f>IFERROR(INDEX('Monit Non Financial'!$B$2:$B$400, MATCH(D30, 'Monit Non Financial'!$C$2:$C$400, 0)), IFERROR(INDEX('Monit Banks NBFC'!$B$2:$B$100, MATCH(D30, 'Monit Banks NBFC'!$C$2:$C$100, 0)), 0))</f>
        <v/>
      </c>
      <c r="C30" s="30">
        <f>IFERROR(INDEX('Monit Non Financial'!$L$2:$L$400, MATCH(D30, 'Monit Non Financial'!$C$2:$C$400, 0)), IFERROR(INDEX('Monit Banks NBFC'!$L$2:$L$100, MATCH(D30, 'Monit Banks NBFC'!$C$2:$C$100, 0)), ""))</f>
        <v/>
      </c>
      <c r="D30" s="30" t="inlineStr">
        <is>
          <t>AEGISLOG</t>
        </is>
      </c>
      <c r="E30" s="30" t="inlineStr">
        <is>
          <t>Aegis Logistics Ltd</t>
        </is>
      </c>
      <c r="F30" s="30" t="inlineStr">
        <is>
          <t>Logistics</t>
        </is>
      </c>
      <c r="G30" s="30" t="n">
        <v>2</v>
      </c>
      <c r="H30" s="30" t="inlineStr">
        <is>
          <t>No</t>
        </is>
      </c>
      <c r="I30" s="30" t="inlineStr">
        <is>
          <t>Yes</t>
        </is>
      </c>
      <c r="J30" s="30" t="n">
        <v>29</v>
      </c>
      <c r="K30" s="30" t="n">
        <v>14</v>
      </c>
    </row>
    <row r="31">
      <c r="A31" s="30">
        <f>IF(B31=0,"",ROW()-1)</f>
        <v/>
      </c>
      <c r="B31" s="31">
        <f>IFERROR(INDEX('Monit Non Financial'!$B$2:$B$400, MATCH(D31, 'Monit Non Financial'!$C$2:$C$400, 0)), IFERROR(INDEX('Monit Banks NBFC'!$B$2:$B$100, MATCH(D31, 'Monit Banks NBFC'!$C$2:$C$100, 0)), 0))</f>
        <v/>
      </c>
      <c r="C31" s="30">
        <f>IFERROR(INDEX('Monit Non Financial'!$L$2:$L$400, MATCH(D31, 'Monit Non Financial'!$C$2:$C$400, 0)), IFERROR(INDEX('Monit Banks NBFC'!$L$2:$L$100, MATCH(D31, 'Monit Banks NBFC'!$C$2:$C$100, 0)), ""))</f>
        <v/>
      </c>
      <c r="D31" s="30" t="inlineStr">
        <is>
          <t>FEDERALBNK</t>
        </is>
      </c>
      <c r="E31" s="30" t="inlineStr">
        <is>
          <t>The Federal Bank  Limited</t>
        </is>
      </c>
      <c r="F31" s="30" t="inlineStr">
        <is>
          <t>Banks - Private</t>
        </is>
      </c>
      <c r="G31" s="30" t="n">
        <v>2</v>
      </c>
      <c r="H31" s="30" t="inlineStr">
        <is>
          <t>52W Breakout</t>
        </is>
      </c>
      <c r="I31" s="30" t="inlineStr">
        <is>
          <t>Yes</t>
        </is>
      </c>
      <c r="J31" s="30" t="n">
        <v>11</v>
      </c>
      <c r="K31" s="30" t="n">
        <v>14</v>
      </c>
    </row>
    <row r="32">
      <c r="A32" s="30">
        <f>IF(B32=0,"",ROW()-1)</f>
        <v/>
      </c>
      <c r="B32" s="31">
        <f>IFERROR(INDEX('Monit Non Financial'!$B$2:$B$400, MATCH(D32, 'Monit Non Financial'!$C$2:$C$400, 0)), IFERROR(INDEX('Monit Banks NBFC'!$B$2:$B$100, MATCH(D32, 'Monit Banks NBFC'!$C$2:$C$100, 0)), 0))</f>
        <v/>
      </c>
      <c r="C32" s="30">
        <f>IFERROR(INDEX('Monit Non Financial'!$L$2:$L$400, MATCH(D32, 'Monit Non Financial'!$C$2:$C$400, 0)), IFERROR(INDEX('Monit Banks NBFC'!$L$2:$L$100, MATCH(D32, 'Monit Banks NBFC'!$C$2:$C$100, 0)), ""))</f>
        <v/>
      </c>
      <c r="D32" s="30" t="inlineStr">
        <is>
          <t>J&amp;KBANK</t>
        </is>
      </c>
      <c r="E32" s="30" t="inlineStr">
        <is>
          <t>The Jammu &amp; Kashmir Bank Limited</t>
        </is>
      </c>
      <c r="F32" s="30" t="inlineStr">
        <is>
          <t>Banks - Private</t>
        </is>
      </c>
      <c r="G32" s="30" t="n">
        <v>2</v>
      </c>
      <c r="H32" s="30" t="inlineStr">
        <is>
          <t>52W Breakout</t>
        </is>
      </c>
      <c r="I32" s="30" t="inlineStr">
        <is>
          <t>Yes</t>
        </is>
      </c>
      <c r="J32" s="30" t="n">
        <v>14</v>
      </c>
      <c r="K32" s="30" t="n">
        <v>25</v>
      </c>
    </row>
    <row r="33">
      <c r="A33" s="30">
        <f>IF(B33=0,"",ROW()-1)</f>
        <v/>
      </c>
      <c r="B33" s="31">
        <f>IFERROR(INDEX('Monit Non Financial'!$B$2:$B$400, MATCH(D33, 'Monit Non Financial'!$C$2:$C$400, 0)), IFERROR(INDEX('Monit Banks NBFC'!$B$2:$B$100, MATCH(D33, 'Monit Banks NBFC'!$C$2:$C$100, 0)), 0))</f>
        <v/>
      </c>
      <c r="C33" s="30">
        <f>IFERROR(INDEX('Monit Non Financial'!$L$2:$L$400, MATCH(D33, 'Monit Non Financial'!$C$2:$C$400, 0)), IFERROR(INDEX('Monit Banks NBFC'!$L$2:$L$100, MATCH(D33, 'Monit Banks NBFC'!$C$2:$C$100, 0)), ""))</f>
        <v/>
      </c>
      <c r="D33" s="30" t="inlineStr">
        <is>
          <t>SPARC</t>
        </is>
      </c>
      <c r="E33" s="30" t="inlineStr">
        <is>
          <t>Sun Pharma Advanced Research Company Limited</t>
        </is>
      </c>
      <c r="F33" s="30" t="inlineStr">
        <is>
          <t>Pharma - Others</t>
        </is>
      </c>
      <c r="G33" s="30" t="n">
        <v>2</v>
      </c>
      <c r="H33" s="30" t="inlineStr">
        <is>
          <t>No</t>
        </is>
      </c>
      <c r="I33" s="30" t="inlineStr">
        <is>
          <t>Yes</t>
        </is>
      </c>
      <c r="J33" s="30" t="n">
        <v>22</v>
      </c>
      <c r="K33" s="30" t="n">
        <v>28</v>
      </c>
    </row>
    <row r="34">
      <c r="A34" s="30">
        <f>IF(B34=0,"",ROW()-1)</f>
        <v/>
      </c>
      <c r="B34" s="31">
        <f>IFERROR(INDEX('Monit Non Financial'!$B$2:$B$400, MATCH(D34, 'Monit Non Financial'!$C$2:$C$400, 0)), IFERROR(INDEX('Monit Banks NBFC'!$B$2:$B$100, MATCH(D34, 'Monit Banks NBFC'!$C$2:$C$100, 0)), 0))</f>
        <v/>
      </c>
      <c r="C34" s="30">
        <f>IFERROR(INDEX('Monit Non Financial'!$L$2:$L$400, MATCH(D34, 'Monit Non Financial'!$C$2:$C$400, 0)), IFERROR(INDEX('Monit Banks NBFC'!$L$2:$L$100, MATCH(D34, 'Monit Banks NBFC'!$C$2:$C$100, 0)), ""))</f>
        <v/>
      </c>
      <c r="D34" s="30" t="inlineStr">
        <is>
          <t>CEIGALL</t>
        </is>
      </c>
      <c r="E34" s="30" t="inlineStr">
        <is>
          <t>Ceigall India Ltd</t>
        </is>
      </c>
      <c r="F34" s="30" t="inlineStr">
        <is>
          <t>Construction - Civil/Turnkey</t>
        </is>
      </c>
      <c r="G34" s="30" t="n">
        <v>2</v>
      </c>
      <c r="H34" s="30" t="inlineStr">
        <is>
          <t>No</t>
        </is>
      </c>
      <c r="I34" s="30" t="inlineStr">
        <is>
          <t>Yes</t>
        </is>
      </c>
      <c r="J34" s="30" t="n">
        <v>20</v>
      </c>
      <c r="K34" s="30" t="n">
        <v>23</v>
      </c>
    </row>
    <row r="35">
      <c r="A35" s="30">
        <f>IF(B35=0,"",ROW()-1)</f>
        <v/>
      </c>
      <c r="B35" s="31">
        <f>IFERROR(INDEX('Monit Non Financial'!$B$2:$B$400, MATCH(D35, 'Monit Non Financial'!$C$2:$C$400, 0)), IFERROR(INDEX('Monit Banks NBFC'!$B$2:$B$100, MATCH(D35, 'Monit Banks NBFC'!$C$2:$C$100, 0)), 0))</f>
        <v/>
      </c>
      <c r="C35" s="30">
        <f>IFERROR(INDEX('Monit Non Financial'!$L$2:$L$400, MATCH(D35, 'Monit Non Financial'!$C$2:$C$400, 0)), IFERROR(INDEX('Monit Banks NBFC'!$L$2:$L$100, MATCH(D35, 'Monit Banks NBFC'!$C$2:$C$100, 0)), ""))</f>
        <v/>
      </c>
      <c r="D35" s="30" t="inlineStr">
        <is>
          <t>SIGMAADV</t>
        </is>
      </c>
      <c r="E35" s="30" t="inlineStr">
        <is>
          <t>Sigma Advanced System Ltd</t>
        </is>
      </c>
      <c r="F35" s="30" t="inlineStr">
        <is>
          <t>Aerospace &amp; Defence - Equipments</t>
        </is>
      </c>
      <c r="G35" s="30" t="n">
        <v>2</v>
      </c>
      <c r="H35" s="30" t="inlineStr">
        <is>
          <t>No</t>
        </is>
      </c>
      <c r="I35" s="30" t="inlineStr">
        <is>
          <t>Yes</t>
        </is>
      </c>
      <c r="J35" s="30" t="n">
        <v>25</v>
      </c>
      <c r="K35" s="30" t="n">
        <v>30</v>
      </c>
    </row>
    <row r="36">
      <c r="A36" s="30">
        <f>IF(B36=0,"",ROW()-1)</f>
        <v/>
      </c>
      <c r="B36" s="31">
        <f>IFERROR(INDEX('Monit Non Financial'!$B$2:$B$400, MATCH(D36, 'Monit Non Financial'!$C$2:$C$400, 0)), IFERROR(INDEX('Monit Banks NBFC'!$B$2:$B$100, MATCH(D36, 'Monit Banks NBFC'!$C$2:$C$100, 0)), 0))</f>
        <v/>
      </c>
      <c r="C36" s="30">
        <f>IFERROR(INDEX('Monit Non Financial'!$L$2:$L$400, MATCH(D36, 'Monit Non Financial'!$C$2:$C$400, 0)), IFERROR(INDEX('Monit Banks NBFC'!$L$2:$L$100, MATCH(D36, 'Monit Banks NBFC'!$C$2:$C$100, 0)), ""))</f>
        <v/>
      </c>
      <c r="D36" s="30" t="inlineStr">
        <is>
          <t>SYRMA</t>
        </is>
      </c>
      <c r="E36" s="30" t="inlineStr">
        <is>
          <t>Syrma SGS Technology Ltd</t>
        </is>
      </c>
      <c r="F36" s="30" t="inlineStr">
        <is>
          <t>Consumer Electronics - EMS</t>
        </is>
      </c>
      <c r="G36" s="30" t="n">
        <v>2</v>
      </c>
      <c r="H36" s="30" t="inlineStr">
        <is>
          <t>No</t>
        </is>
      </c>
      <c r="I36" s="30" t="inlineStr">
        <is>
          <t>Yes</t>
        </is>
      </c>
      <c r="J36" s="30" t="n">
        <v>21</v>
      </c>
      <c r="K36" s="30" t="n">
        <v>27</v>
      </c>
    </row>
    <row r="37">
      <c r="A37" s="30">
        <f>IF(B37=0,"",ROW()-1)</f>
        <v/>
      </c>
      <c r="B37" s="31">
        <f>IFERROR(INDEX('Monit Non Financial'!$B$2:$B$400, MATCH(D37, 'Monit Non Financial'!$C$2:$C$400, 0)), IFERROR(INDEX('Monit Banks NBFC'!$B$2:$B$100, MATCH(D37, 'Monit Banks NBFC'!$C$2:$C$100, 0)), 0))</f>
        <v/>
      </c>
      <c r="C37" s="30">
        <f>IFERROR(INDEX('Monit Non Financial'!$L$2:$L$400, MATCH(D37, 'Monit Non Financial'!$C$2:$C$400, 0)), IFERROR(INDEX('Monit Banks NBFC'!$L$2:$L$100, MATCH(D37, 'Monit Banks NBFC'!$C$2:$C$100, 0)), ""))</f>
        <v/>
      </c>
      <c r="D37" s="30" t="inlineStr">
        <is>
          <t>SIS</t>
        </is>
      </c>
      <c r="E37" s="30" t="inlineStr">
        <is>
          <t>Security &amp; Intelligence Services India</t>
        </is>
      </c>
      <c r="F37" s="30" t="inlineStr">
        <is>
          <t>Facility Management</t>
        </is>
      </c>
      <c r="G37" s="30" t="n">
        <v>2</v>
      </c>
      <c r="H37" s="30" t="inlineStr">
        <is>
          <t>No</t>
        </is>
      </c>
      <c r="I37" s="30" t="inlineStr">
        <is>
          <t>Yes</t>
        </is>
      </c>
      <c r="J37" s="30" t="n">
        <v>19</v>
      </c>
      <c r="K37" s="30" t="n">
        <v>30</v>
      </c>
    </row>
    <row r="38">
      <c r="A38" s="30">
        <f>IF(B38=0,"",ROW()-1)</f>
        <v/>
      </c>
      <c r="B38" s="31">
        <f>IFERROR(INDEX('Monit Non Financial'!$B$2:$B$400, MATCH(D38, 'Monit Non Financial'!$C$2:$C$400, 0)), IFERROR(INDEX('Monit Banks NBFC'!$B$2:$B$100, MATCH(D38, 'Monit Banks NBFC'!$C$2:$C$100, 0)), 0))</f>
        <v/>
      </c>
      <c r="C38" s="30">
        <f>IFERROR(INDEX('Monit Non Financial'!$L$2:$L$400, MATCH(D38, 'Monit Non Financial'!$C$2:$C$400, 0)), IFERROR(INDEX('Monit Banks NBFC'!$L$2:$L$100, MATCH(D38, 'Monit Banks NBFC'!$C$2:$C$100, 0)), ""))</f>
        <v/>
      </c>
      <c r="D38" s="30" t="inlineStr">
        <is>
          <t>RATEGAIN</t>
        </is>
      </c>
      <c r="E38" s="30" t="inlineStr">
        <is>
          <t>Rategain Travel Technologies Ltd</t>
        </is>
      </c>
      <c r="F38" s="30" t="inlineStr">
        <is>
          <t>IT Product Companies</t>
        </is>
      </c>
      <c r="G38" s="30" t="n">
        <v>2</v>
      </c>
      <c r="H38" s="30" t="inlineStr">
        <is>
          <t>52W Breakout</t>
        </is>
      </c>
      <c r="I38" s="30" t="inlineStr">
        <is>
          <t>Yes</t>
        </is>
      </c>
      <c r="J38" s="30" t="n">
        <v>18</v>
      </c>
      <c r="K38" s="30" t="n">
        <v>30</v>
      </c>
    </row>
    <row r="39">
      <c r="A39" s="30">
        <f>IF(B39=0,"",ROW()-1)</f>
        <v/>
      </c>
      <c r="B39" s="31">
        <f>IFERROR(INDEX('Monit Non Financial'!$B$2:$B$400, MATCH(D39, 'Monit Non Financial'!$C$2:$C$400, 0)), IFERROR(INDEX('Monit Banks NBFC'!$B$2:$B$100, MATCH(D39, 'Monit Banks NBFC'!$C$2:$C$100, 0)), 0))</f>
        <v/>
      </c>
      <c r="C39" s="30">
        <f>IFERROR(INDEX('Monit Non Financial'!$L$2:$L$400, MATCH(D39, 'Monit Non Financial'!$C$2:$C$400, 0)), IFERROR(INDEX('Monit Banks NBFC'!$L$2:$L$100, MATCH(D39, 'Monit Banks NBFC'!$C$2:$C$100, 0)), ""))</f>
        <v/>
      </c>
      <c r="D39" s="30" t="inlineStr">
        <is>
          <t>UNIPARTS</t>
        </is>
      </c>
      <c r="E39" s="30" t="inlineStr">
        <is>
          <t>Uniparts India Ltd</t>
        </is>
      </c>
      <c r="F39" s="30" t="inlineStr">
        <is>
          <t>Castings, Forgings &amp; Fastners</t>
        </is>
      </c>
      <c r="G39" s="30" t="n">
        <v>2</v>
      </c>
      <c r="H39" s="30" t="inlineStr">
        <is>
          <t>No</t>
        </is>
      </c>
      <c r="I39" s="30" t="inlineStr">
        <is>
          <t>Yes</t>
        </is>
      </c>
      <c r="J39" s="30" t="n">
        <v>24</v>
      </c>
      <c r="K39" s="30" t="n">
        <v>29</v>
      </c>
    </row>
    <row r="40">
      <c r="A40" s="30">
        <f>IF(B40=0,"",ROW()-1)</f>
        <v/>
      </c>
      <c r="B40" s="31">
        <f>IFERROR(INDEX('Monit Non Financial'!$B$2:$B$400, MATCH(D40, 'Monit Non Financial'!$C$2:$C$400, 0)), IFERROR(INDEX('Monit Banks NBFC'!$B$2:$B$100, MATCH(D40, 'Monit Banks NBFC'!$C$2:$C$100, 0)), 0))</f>
        <v/>
      </c>
      <c r="C40" s="30">
        <f>IFERROR(INDEX('Monit Non Financial'!$L$2:$L$400, MATCH(D40, 'Monit Non Financial'!$C$2:$C$400, 0)), IFERROR(INDEX('Monit Banks NBFC'!$L$2:$L$100, MATCH(D40, 'Monit Banks NBFC'!$C$2:$C$100, 0)), ""))</f>
        <v/>
      </c>
      <c r="D40" s="30" t="inlineStr">
        <is>
          <t>JAYBARMARU</t>
        </is>
      </c>
      <c r="E40" s="30" t="inlineStr">
        <is>
          <t>Jay Bharat Maruti Limited</t>
        </is>
      </c>
      <c r="F40" s="30" t="inlineStr">
        <is>
          <t>Auto Ancillaries - Diversified</t>
        </is>
      </c>
      <c r="G40" s="30" t="n">
        <v>2</v>
      </c>
      <c r="H40" s="30" t="inlineStr">
        <is>
          <t>No</t>
        </is>
      </c>
      <c r="I40" s="30" t="inlineStr">
        <is>
          <t>Yes</t>
        </is>
      </c>
      <c r="J40" s="30" t="n">
        <v>25</v>
      </c>
      <c r="K40" s="30" t="n">
        <v>25</v>
      </c>
    </row>
    <row r="41">
      <c r="A41" s="30">
        <f>IF(B41=0,"",ROW()-1)</f>
        <v/>
      </c>
      <c r="B41" s="31">
        <f>IFERROR(INDEX('Monit Non Financial'!$B$2:$B$400, MATCH(D41, 'Monit Non Financial'!$C$2:$C$400, 0)), IFERROR(INDEX('Monit Banks NBFC'!$B$2:$B$100, MATCH(D41, 'Monit Banks NBFC'!$C$2:$C$100, 0)), 0))</f>
        <v/>
      </c>
      <c r="C41" s="30">
        <f>IFERROR(INDEX('Monit Non Financial'!$L$2:$L$400, MATCH(D41, 'Monit Non Financial'!$C$2:$C$400, 0)), IFERROR(INDEX('Monit Banks NBFC'!$L$2:$L$100, MATCH(D41, 'Monit Banks NBFC'!$C$2:$C$100, 0)), ""))</f>
        <v/>
      </c>
      <c r="D41" s="30" t="inlineStr">
        <is>
          <t>PARAS</t>
        </is>
      </c>
      <c r="E41" s="30" t="inlineStr">
        <is>
          <t>Paras Defence and Space Technologies Ltd</t>
        </is>
      </c>
      <c r="F41" s="30" t="inlineStr">
        <is>
          <t>Aerospace &amp; Defence - Equipments</t>
        </is>
      </c>
      <c r="G41" s="30" t="n">
        <v>2</v>
      </c>
      <c r="H41" s="30" t="inlineStr">
        <is>
          <t>No</t>
        </is>
      </c>
      <c r="I41" s="30" t="inlineStr">
        <is>
          <t>Yes</t>
        </is>
      </c>
      <c r="J41" s="30" t="n">
        <v>23</v>
      </c>
      <c r="K41" s="30" t="n">
        <v>22</v>
      </c>
    </row>
    <row r="42">
      <c r="A42" s="30">
        <f>IF(B42=0,"",ROW()-1)</f>
        <v/>
      </c>
      <c r="B42" s="31">
        <f>IFERROR(INDEX('Monit Non Financial'!$B$2:$B$400, MATCH(D42, 'Monit Non Financial'!$C$2:$C$400, 0)), IFERROR(INDEX('Monit Banks NBFC'!$B$2:$B$100, MATCH(D42, 'Monit Banks NBFC'!$C$2:$C$100, 0)), 0))</f>
        <v/>
      </c>
      <c r="C42" s="30">
        <f>IFERROR(INDEX('Monit Non Financial'!$L$2:$L$400, MATCH(D42, 'Monit Non Financial'!$C$2:$C$400, 0)), IFERROR(INDEX('Monit Banks NBFC'!$L$2:$L$100, MATCH(D42, 'Monit Banks NBFC'!$C$2:$C$100, 0)), ""))</f>
        <v/>
      </c>
      <c r="D42" s="30" t="inlineStr">
        <is>
          <t>PRECWIRE</t>
        </is>
      </c>
      <c r="E42" s="30" t="inlineStr">
        <is>
          <t>Precision Wires India Limited</t>
        </is>
      </c>
      <c r="F42" s="30" t="inlineStr">
        <is>
          <t>Copper Wires</t>
        </is>
      </c>
      <c r="G42" s="30" t="n">
        <v>2</v>
      </c>
      <c r="H42" s="30" t="inlineStr">
        <is>
          <t>No</t>
        </is>
      </c>
      <c r="I42" s="30" t="inlineStr">
        <is>
          <t>Yes</t>
        </is>
      </c>
      <c r="J42" s="30" t="n">
        <v>21</v>
      </c>
      <c r="K42" s="30" t="n">
        <v>16</v>
      </c>
    </row>
    <row r="43">
      <c r="A43" s="30">
        <f>IF(B43=0,"",ROW()-1)</f>
        <v/>
      </c>
      <c r="B43" s="31">
        <f>IFERROR(INDEX('Monit Non Financial'!$B$2:$B$400, MATCH(D43, 'Monit Non Financial'!$C$2:$C$400, 0)), IFERROR(INDEX('Monit Banks NBFC'!$B$2:$B$100, MATCH(D43, 'Monit Banks NBFC'!$C$2:$C$100, 0)), 0))</f>
        <v/>
      </c>
      <c r="C43" s="30">
        <f>IFERROR(INDEX('Monit Non Financial'!$L$2:$L$400, MATCH(D43, 'Monit Non Financial'!$C$2:$C$400, 0)), IFERROR(INDEX('Monit Banks NBFC'!$L$2:$L$100, MATCH(D43, 'Monit Banks NBFC'!$C$2:$C$100, 0)), ""))</f>
        <v/>
      </c>
      <c r="D43" s="30" t="inlineStr">
        <is>
          <t>AVALON</t>
        </is>
      </c>
      <c r="E43" s="30" t="inlineStr">
        <is>
          <t>Avalon Technologies Ltd</t>
        </is>
      </c>
      <c r="F43" s="30" t="inlineStr">
        <is>
          <t>Consumer Electronics - EMS</t>
        </is>
      </c>
      <c r="G43" s="30" t="n">
        <v>2</v>
      </c>
      <c r="H43" s="30" t="inlineStr">
        <is>
          <t>No</t>
        </is>
      </c>
      <c r="I43" s="30" t="inlineStr">
        <is>
          <t>Yes</t>
        </is>
      </c>
      <c r="J43" s="30" t="n">
        <v>22</v>
      </c>
      <c r="K43" s="30" t="n">
        <v>30</v>
      </c>
    </row>
    <row r="44">
      <c r="A44" s="30">
        <f>IF(B44=0,"",ROW()-1)</f>
        <v/>
      </c>
      <c r="B44" s="31">
        <f>IFERROR(INDEX('Monit Non Financial'!$B$2:$B$400, MATCH(D44, 'Monit Non Financial'!$C$2:$C$400, 0)), IFERROR(INDEX('Monit Banks NBFC'!$B$2:$B$100, MATCH(D44, 'Monit Banks NBFC'!$C$2:$C$100, 0)), 0))</f>
        <v/>
      </c>
      <c r="C44" s="30">
        <f>IFERROR(INDEX('Monit Non Financial'!$L$2:$L$400, MATCH(D44, 'Monit Non Financial'!$C$2:$C$400, 0)), IFERROR(INDEX('Monit Banks NBFC'!$L$2:$L$100, MATCH(D44, 'Monit Banks NBFC'!$C$2:$C$100, 0)), ""))</f>
        <v/>
      </c>
      <c r="D44" s="30" t="inlineStr">
        <is>
          <t>NAM-INDIA</t>
        </is>
      </c>
      <c r="E44" s="30" t="inlineStr">
        <is>
          <t>Nippon Life India Asset Management Ltd</t>
        </is>
      </c>
      <c r="F44" s="30" t="inlineStr">
        <is>
          <t>Finance - AMC</t>
        </is>
      </c>
      <c r="G44" s="30" t="n">
        <v>2</v>
      </c>
      <c r="H44" s="30" t="inlineStr">
        <is>
          <t>No</t>
        </is>
      </c>
      <c r="I44" s="30" t="inlineStr">
        <is>
          <t>Yes</t>
        </is>
      </c>
      <c r="J44" s="30" t="n">
        <v>18</v>
      </c>
      <c r="K44" s="30" t="n">
        <v>24</v>
      </c>
    </row>
    <row r="45">
      <c r="A45" s="30">
        <f>IF(B45=0,"",ROW()-1)</f>
        <v/>
      </c>
      <c r="B45" s="31">
        <f>IFERROR(INDEX('Monit Non Financial'!$B$2:$B$400, MATCH(D45, 'Monit Non Financial'!$C$2:$C$400, 0)), IFERROR(INDEX('Monit Banks NBFC'!$B$2:$B$100, MATCH(D45, 'Monit Banks NBFC'!$C$2:$C$100, 0)), 0))</f>
        <v/>
      </c>
      <c r="C45" s="30">
        <f>IFERROR(INDEX('Monit Non Financial'!$L$2:$L$400, MATCH(D45, 'Monit Non Financial'!$C$2:$C$400, 0)), IFERROR(INDEX('Monit Banks NBFC'!$L$2:$L$100, MATCH(D45, 'Monit Banks NBFC'!$C$2:$C$100, 0)), ""))</f>
        <v/>
      </c>
      <c r="D45" s="30" t="inlineStr">
        <is>
          <t>CGCL</t>
        </is>
      </c>
      <c r="E45" s="30" t="inlineStr">
        <is>
          <t>Capri Global Capital Limited</t>
        </is>
      </c>
      <c r="F45" s="30" t="inlineStr">
        <is>
          <t>Finance &amp; Investments - Gold Loan</t>
        </is>
      </c>
      <c r="G45" s="30" t="n">
        <v>2</v>
      </c>
      <c r="H45" s="30" t="inlineStr">
        <is>
          <t>No</t>
        </is>
      </c>
      <c r="I45" s="30" t="inlineStr">
        <is>
          <t>Yes</t>
        </is>
      </c>
      <c r="J45" s="30" t="n">
        <v>24</v>
      </c>
      <c r="K45" s="30" t="n">
        <v>20</v>
      </c>
    </row>
    <row r="46">
      <c r="A46" s="30">
        <f>IF(B46=0,"",ROW()-1)</f>
        <v/>
      </c>
      <c r="B46" s="31">
        <f>IFERROR(INDEX('Monit Non Financial'!$B$2:$B$400, MATCH(D46, 'Monit Non Financial'!$C$2:$C$400, 0)), IFERROR(INDEX('Monit Banks NBFC'!$B$2:$B$100, MATCH(D46, 'Monit Banks NBFC'!$C$2:$C$100, 0)), 0))</f>
        <v/>
      </c>
      <c r="C46" s="30">
        <f>IFERROR(INDEX('Monit Non Financial'!$L$2:$L$400, MATCH(D46, 'Monit Non Financial'!$C$2:$C$400, 0)), IFERROR(INDEX('Monit Banks NBFC'!$L$2:$L$100, MATCH(D46, 'Monit Banks NBFC'!$C$2:$C$100, 0)), ""))</f>
        <v/>
      </c>
      <c r="D46" s="30" t="inlineStr">
        <is>
          <t>INNOVACAP</t>
        </is>
      </c>
      <c r="E46" s="30" t="inlineStr">
        <is>
          <t>Innova Captab Ltd</t>
        </is>
      </c>
      <c r="F46" s="30" t="inlineStr">
        <is>
          <t>Pharma - API</t>
        </is>
      </c>
      <c r="G46" s="30" t="n">
        <v>2</v>
      </c>
      <c r="H46" s="30" t="inlineStr">
        <is>
          <t>No</t>
        </is>
      </c>
      <c r="I46" s="30" t="inlineStr">
        <is>
          <t>Yes</t>
        </is>
      </c>
      <c r="J46" s="30" t="n">
        <v>19</v>
      </c>
      <c r="K46" s="30" t="n">
        <v>30</v>
      </c>
    </row>
    <row r="47">
      <c r="A47" s="30">
        <f>IF(B47=0,"",ROW()-1)</f>
        <v/>
      </c>
      <c r="B47" s="31">
        <f>IFERROR(INDEX('Monit Non Financial'!$B$2:$B$400, MATCH(D47, 'Monit Non Financial'!$C$2:$C$400, 0)), IFERROR(INDEX('Monit Banks NBFC'!$B$2:$B$100, MATCH(D47, 'Monit Banks NBFC'!$C$2:$C$100, 0)), 0))</f>
        <v/>
      </c>
      <c r="C47" s="30">
        <f>IFERROR(INDEX('Monit Non Financial'!$L$2:$L$400, MATCH(D47, 'Monit Non Financial'!$C$2:$C$400, 0)), IFERROR(INDEX('Monit Banks NBFC'!$L$2:$L$100, MATCH(D47, 'Monit Banks NBFC'!$C$2:$C$100, 0)), ""))</f>
        <v/>
      </c>
      <c r="D47" s="30" t="inlineStr">
        <is>
          <t>ANGELONE</t>
        </is>
      </c>
      <c r="E47" s="30" t="inlineStr">
        <is>
          <t>Angel One Ltd</t>
        </is>
      </c>
      <c r="F47" s="30" t="inlineStr">
        <is>
          <t>Finance - Capital Markets - Brokers</t>
        </is>
      </c>
      <c r="G47" s="30" t="n">
        <v>2</v>
      </c>
      <c r="H47" s="30" t="inlineStr">
        <is>
          <t>No</t>
        </is>
      </c>
      <c r="I47" s="30" t="inlineStr">
        <is>
          <t>Yes</t>
        </is>
      </c>
      <c r="J47" s="30" t="n">
        <v>19</v>
      </c>
      <c r="K47" s="30" t="n">
        <v>23</v>
      </c>
    </row>
    <row r="48">
      <c r="A48" s="30">
        <f>IF(B48=0,"",ROW()-1)</f>
        <v/>
      </c>
      <c r="B48" s="31">
        <f>IFERROR(INDEX('Monit Non Financial'!$B$2:$B$400, MATCH(D48, 'Monit Non Financial'!$C$2:$C$400, 0)), IFERROR(INDEX('Monit Banks NBFC'!$B$2:$B$100, MATCH(D48, 'Monit Banks NBFC'!$C$2:$C$100, 0)), 0))</f>
        <v/>
      </c>
      <c r="C48" s="30">
        <f>IFERROR(INDEX('Monit Non Financial'!$L$2:$L$400, MATCH(D48, 'Monit Non Financial'!$C$2:$C$400, 0)), IFERROR(INDEX('Monit Banks NBFC'!$L$2:$L$100, MATCH(D48, 'Monit Banks NBFC'!$C$2:$C$100, 0)), ""))</f>
        <v/>
      </c>
      <c r="D48" s="30" t="inlineStr">
        <is>
          <t>CAPLIPOINT</t>
        </is>
      </c>
      <c r="E48" s="30" t="inlineStr">
        <is>
          <t>Caplin Point Laboratories Limited</t>
        </is>
      </c>
      <c r="F48" s="30" t="inlineStr">
        <is>
          <t>Pharma - Formulators</t>
        </is>
      </c>
      <c r="G48" s="30" t="n">
        <v>2</v>
      </c>
      <c r="H48" s="30" t="inlineStr">
        <is>
          <t>No</t>
        </is>
      </c>
      <c r="I48" s="30" t="inlineStr">
        <is>
          <t>Yes</t>
        </is>
      </c>
      <c r="J48" s="30" t="n">
        <v>20</v>
      </c>
      <c r="K48" s="30" t="n">
        <v>29</v>
      </c>
    </row>
    <row r="49">
      <c r="A49" s="30">
        <f>IF(B49=0,"",ROW()-1)</f>
        <v/>
      </c>
      <c r="B49" s="31">
        <f>IFERROR(INDEX('Monit Non Financial'!$B$2:$B$400, MATCH(D49, 'Monit Non Financial'!$C$2:$C$400, 0)), IFERROR(INDEX('Monit Banks NBFC'!$B$2:$B$100, MATCH(D49, 'Monit Banks NBFC'!$C$2:$C$100, 0)), 0))</f>
        <v/>
      </c>
      <c r="C49" s="30">
        <f>IFERROR(INDEX('Monit Non Financial'!$L$2:$L$400, MATCH(D49, 'Monit Non Financial'!$C$2:$C$400, 0)), IFERROR(INDEX('Monit Banks NBFC'!$L$2:$L$100, MATCH(D49, 'Monit Banks NBFC'!$C$2:$C$100, 0)), ""))</f>
        <v/>
      </c>
      <c r="D49" s="30" t="inlineStr">
        <is>
          <t>SENORES</t>
        </is>
      </c>
      <c r="E49" s="30" t="inlineStr">
        <is>
          <t>Senores Pharmaceuticals Ltd</t>
        </is>
      </c>
      <c r="F49" s="30" t="inlineStr">
        <is>
          <t>Pharma - API</t>
        </is>
      </c>
      <c r="G49" s="30" t="n">
        <v>2</v>
      </c>
      <c r="H49" s="30" t="inlineStr">
        <is>
          <t>No</t>
        </is>
      </c>
      <c r="I49" s="30" t="inlineStr">
        <is>
          <t>Yes</t>
        </is>
      </c>
      <c r="J49" s="30" t="n">
        <v>23</v>
      </c>
      <c r="K49" s="30" t="n">
        <v>23</v>
      </c>
    </row>
    <row r="50">
      <c r="A50" s="30">
        <f>IF(B50=0,"",ROW()-1)</f>
        <v/>
      </c>
      <c r="B50" s="31">
        <f>IFERROR(INDEX('Monit Non Financial'!$B$2:$B$400, MATCH(D50, 'Monit Non Financial'!$C$2:$C$400, 0)), IFERROR(INDEX('Monit Banks NBFC'!$B$2:$B$100, MATCH(D50, 'Monit Banks NBFC'!$C$2:$C$100, 0)), 0))</f>
        <v/>
      </c>
      <c r="C50" s="30">
        <f>IFERROR(INDEX('Monit Non Financial'!$L$2:$L$400, MATCH(D50, 'Monit Non Financial'!$C$2:$C$400, 0)), IFERROR(INDEX('Monit Banks NBFC'!$L$2:$L$100, MATCH(D50, 'Monit Banks NBFC'!$C$2:$C$100, 0)), ""))</f>
        <v/>
      </c>
      <c r="D50" s="30" t="inlineStr">
        <is>
          <t>MMTC</t>
        </is>
      </c>
      <c r="E50" s="30" t="inlineStr">
        <is>
          <t>Mmtc Limited</t>
        </is>
      </c>
      <c r="F50" s="30" t="inlineStr">
        <is>
          <t>Trading</t>
        </is>
      </c>
      <c r="G50" s="30" t="n">
        <v>2</v>
      </c>
      <c r="H50" s="30" t="inlineStr">
        <is>
          <t>No</t>
        </is>
      </c>
      <c r="I50" s="30" t="inlineStr">
        <is>
          <t>Yes</t>
        </is>
      </c>
      <c r="J50" s="30" t="n">
        <v>26</v>
      </c>
      <c r="K50" s="30" t="n">
        <v>5</v>
      </c>
    </row>
    <row r="51">
      <c r="A51" s="30">
        <f>IF(B51=0,"",ROW()-1)</f>
        <v/>
      </c>
      <c r="B51" s="31">
        <f>IFERROR(INDEX('Monit Non Financial'!$B$2:$B$400, MATCH(D51, 'Monit Non Financial'!$C$2:$C$400, 0)), IFERROR(INDEX('Monit Banks NBFC'!$B$2:$B$100, MATCH(D51, 'Monit Banks NBFC'!$C$2:$C$100, 0)), 0))</f>
        <v/>
      </c>
      <c r="C51" s="30">
        <f>IFERROR(INDEX('Monit Non Financial'!$L$2:$L$400, MATCH(D51, 'Monit Non Financial'!$C$2:$C$400, 0)), IFERROR(INDEX('Monit Banks NBFC'!$L$2:$L$100, MATCH(D51, 'Monit Banks NBFC'!$C$2:$C$100, 0)), ""))</f>
        <v/>
      </c>
      <c r="D51" s="30" t="inlineStr">
        <is>
          <t>NUVAMA</t>
        </is>
      </c>
      <c r="E51" s="30" t="inlineStr">
        <is>
          <t>Nuvama Wealth Management Ltd</t>
        </is>
      </c>
      <c r="F51" s="30" t="inlineStr">
        <is>
          <t>Finance - Capital Markets - Wealth Management</t>
        </is>
      </c>
      <c r="G51" s="30" t="n">
        <v>2</v>
      </c>
      <c r="H51" s="30" t="inlineStr">
        <is>
          <t>52W Breakout</t>
        </is>
      </c>
      <c r="I51" s="30" t="inlineStr">
        <is>
          <t>Yes</t>
        </is>
      </c>
      <c r="J51" s="30" t="n">
        <v>11</v>
      </c>
      <c r="K51" s="30" t="n">
        <v>27</v>
      </c>
    </row>
    <row r="52">
      <c r="A52" s="30">
        <f>IF(B52=0,"",ROW()-1)</f>
        <v/>
      </c>
      <c r="B52" s="31">
        <f>IFERROR(INDEX('Monit Non Financial'!$B$2:$B$400, MATCH(D52, 'Monit Non Financial'!$C$2:$C$400, 0)), IFERROR(INDEX('Monit Banks NBFC'!$B$2:$B$100, MATCH(D52, 'Monit Banks NBFC'!$C$2:$C$100, 0)), 0))</f>
        <v/>
      </c>
      <c r="C52" s="30">
        <f>IFERROR(INDEX('Monit Non Financial'!$L$2:$L$400, MATCH(D52, 'Monit Non Financial'!$C$2:$C$400, 0)), IFERROR(INDEX('Monit Banks NBFC'!$L$2:$L$100, MATCH(D52, 'Monit Banks NBFC'!$C$2:$C$100, 0)), ""))</f>
        <v/>
      </c>
      <c r="D52" s="30" t="inlineStr">
        <is>
          <t>SKIPPER</t>
        </is>
      </c>
      <c r="E52" s="30" t="inlineStr">
        <is>
          <t>Skipper Limited</t>
        </is>
      </c>
      <c r="F52" s="30" t="inlineStr">
        <is>
          <t>Electrical Equipments/HVDC</t>
        </is>
      </c>
      <c r="G52" s="30" t="n">
        <v>2</v>
      </c>
      <c r="H52" s="30" t="inlineStr">
        <is>
          <t>No</t>
        </is>
      </c>
      <c r="I52" s="30" t="inlineStr">
        <is>
          <t>Yes</t>
        </is>
      </c>
      <c r="J52" s="30" t="n">
        <v>20</v>
      </c>
      <c r="K52" s="30" t="n">
        <v>21</v>
      </c>
    </row>
    <row r="53">
      <c r="A53" s="30">
        <f>IF(B53=0,"",ROW()-1)</f>
        <v/>
      </c>
      <c r="B53" s="31">
        <f>IFERROR(INDEX('Monit Non Financial'!$B$2:$B$400, MATCH(D53, 'Monit Non Financial'!$C$2:$C$400, 0)), IFERROR(INDEX('Monit Banks NBFC'!$B$2:$B$100, MATCH(D53, 'Monit Banks NBFC'!$C$2:$C$100, 0)), 0))</f>
        <v/>
      </c>
      <c r="C53" s="30">
        <f>IFERROR(INDEX('Monit Non Financial'!$L$2:$L$400, MATCH(D53, 'Monit Non Financial'!$C$2:$C$400, 0)), IFERROR(INDEX('Monit Banks NBFC'!$L$2:$L$100, MATCH(D53, 'Monit Banks NBFC'!$C$2:$C$100, 0)), ""))</f>
        <v/>
      </c>
      <c r="D53" s="30" t="inlineStr">
        <is>
          <t>KIRLPNU</t>
        </is>
      </c>
      <c r="E53" s="30" t="inlineStr">
        <is>
          <t>Kirloskar Pneumatic Company Ltd</t>
        </is>
      </c>
      <c r="F53" s="30" t="inlineStr">
        <is>
          <t>Compressors</t>
        </is>
      </c>
      <c r="G53" s="30" t="n">
        <v>2</v>
      </c>
      <c r="H53" s="30" t="inlineStr">
        <is>
          <t>No</t>
        </is>
      </c>
      <c r="I53" s="30" t="inlineStr">
        <is>
          <t>Yes</t>
        </is>
      </c>
      <c r="J53" s="30" t="n">
        <v>18</v>
      </c>
      <c r="K53" s="30" t="n">
        <v>28</v>
      </c>
    </row>
    <row r="54">
      <c r="A54" s="30">
        <f>IF(B54=0,"",ROW()-1)</f>
        <v/>
      </c>
      <c r="B54" s="31">
        <f>IFERROR(INDEX('Monit Non Financial'!$B$2:$B$400, MATCH(D54, 'Monit Non Financial'!$C$2:$C$400, 0)), IFERROR(INDEX('Monit Banks NBFC'!$B$2:$B$100, MATCH(D54, 'Monit Banks NBFC'!$C$2:$C$100, 0)), 0))</f>
        <v/>
      </c>
      <c r="C54" s="30">
        <f>IFERROR(INDEX('Monit Non Financial'!$L$2:$L$400, MATCH(D54, 'Monit Non Financial'!$C$2:$C$400, 0)), IFERROR(INDEX('Monit Banks NBFC'!$L$2:$L$100, MATCH(D54, 'Monit Banks NBFC'!$C$2:$C$100, 0)), ""))</f>
        <v/>
      </c>
      <c r="D54" s="30" t="inlineStr">
        <is>
          <t>NRBBEARING</t>
        </is>
      </c>
      <c r="E54" s="30" t="inlineStr">
        <is>
          <t>Nrb Bearing Limited</t>
        </is>
      </c>
      <c r="F54" s="30" t="inlineStr">
        <is>
          <t>Bearings</t>
        </is>
      </c>
      <c r="G54" s="30" t="n">
        <v>2</v>
      </c>
      <c r="H54" s="30" t="inlineStr">
        <is>
          <t>No</t>
        </is>
      </c>
      <c r="I54" s="30" t="inlineStr">
        <is>
          <t>Yes</t>
        </is>
      </c>
      <c r="J54" s="30" t="n">
        <v>18</v>
      </c>
      <c r="K54" s="30" t="n">
        <v>30</v>
      </c>
    </row>
    <row r="55">
      <c r="A55" s="30">
        <f>IF(B55=0,"",ROW()-1)</f>
        <v/>
      </c>
      <c r="B55" s="31">
        <f>IFERROR(INDEX('Monit Non Financial'!$B$2:$B$400, MATCH(D55, 'Monit Non Financial'!$C$2:$C$400, 0)), IFERROR(INDEX('Monit Banks NBFC'!$B$2:$B$100, MATCH(D55, 'Monit Banks NBFC'!$C$2:$C$100, 0)), 0))</f>
        <v/>
      </c>
      <c r="C55" s="30">
        <f>IFERROR(INDEX('Monit Non Financial'!$L$2:$L$400, MATCH(D55, 'Monit Non Financial'!$C$2:$C$400, 0)), IFERROR(INDEX('Monit Banks NBFC'!$L$2:$L$100, MATCH(D55, 'Monit Banks NBFC'!$C$2:$C$100, 0)), ""))</f>
        <v/>
      </c>
      <c r="D55" s="30" t="inlineStr">
        <is>
          <t>STLTECH</t>
        </is>
      </c>
      <c r="E55" s="30" t="inlineStr">
        <is>
          <t>Sterlite Technologies Limited</t>
        </is>
      </c>
      <c r="F55" s="30" t="inlineStr">
        <is>
          <t>Cables - Telecom</t>
        </is>
      </c>
      <c r="G55" s="30" t="n">
        <v>2</v>
      </c>
      <c r="H55" s="30" t="inlineStr">
        <is>
          <t>No</t>
        </is>
      </c>
      <c r="I55" s="30" t="inlineStr">
        <is>
          <t>Yes</t>
        </is>
      </c>
      <c r="J55" s="30" t="n">
        <v>18</v>
      </c>
      <c r="K55" s="30" t="n">
        <v>30</v>
      </c>
    </row>
    <row r="56">
      <c r="A56" s="30">
        <f>IF(B56=0,"",ROW()-1)</f>
        <v/>
      </c>
      <c r="B56" s="31">
        <f>IFERROR(INDEX('Monit Non Financial'!$B$2:$B$400, MATCH(D56, 'Monit Non Financial'!$C$2:$C$400, 0)), IFERROR(INDEX('Monit Banks NBFC'!$B$2:$B$100, MATCH(D56, 'Monit Banks NBFC'!$C$2:$C$100, 0)), 0))</f>
        <v/>
      </c>
      <c r="C56" s="30">
        <f>IFERROR(INDEX('Monit Non Financial'!$L$2:$L$400, MATCH(D56, 'Monit Non Financial'!$C$2:$C$400, 0)), IFERROR(INDEX('Monit Banks NBFC'!$L$2:$L$100, MATCH(D56, 'Monit Banks NBFC'!$C$2:$C$100, 0)), ""))</f>
        <v/>
      </c>
      <c r="D56" s="30" t="inlineStr">
        <is>
          <t>GRWRHITECH</t>
        </is>
      </c>
      <c r="E56" s="30" t="inlineStr">
        <is>
          <t>Garware Hi Tech Films Ltd</t>
        </is>
      </c>
      <c r="F56" s="30" t="inlineStr">
        <is>
          <t>Packaging - Films</t>
        </is>
      </c>
      <c r="G56" s="30" t="n">
        <v>2</v>
      </c>
      <c r="H56" s="30" t="inlineStr">
        <is>
          <t>52W Breakout</t>
        </is>
      </c>
      <c r="I56" s="30" t="inlineStr">
        <is>
          <t>Yes</t>
        </is>
      </c>
      <c r="J56" s="30" t="n">
        <v>12</v>
      </c>
      <c r="K56" s="30" t="n">
        <v>30</v>
      </c>
    </row>
    <row r="57">
      <c r="A57" s="30">
        <f>IF(B57=0,"",ROW()-1)</f>
        <v/>
      </c>
      <c r="B57" s="31">
        <f>IFERROR(INDEX('Monit Non Financial'!$B$2:$B$400, MATCH(D57, 'Monit Non Financial'!$C$2:$C$400, 0)), IFERROR(INDEX('Monit Banks NBFC'!$B$2:$B$100, MATCH(D57, 'Monit Banks NBFC'!$C$2:$C$100, 0)), 0))</f>
        <v/>
      </c>
      <c r="C57" s="30">
        <f>IFERROR(INDEX('Monit Non Financial'!$L$2:$L$400, MATCH(D57, 'Monit Non Financial'!$C$2:$C$400, 0)), IFERROR(INDEX('Monit Banks NBFC'!$L$2:$L$100, MATCH(D57, 'Monit Banks NBFC'!$C$2:$C$100, 0)), ""))</f>
        <v/>
      </c>
      <c r="D57" s="30" t="inlineStr">
        <is>
          <t>ASTRAMICRO</t>
        </is>
      </c>
      <c r="E57" s="30" t="inlineStr">
        <is>
          <t>Astra Microwave Products Limited</t>
        </is>
      </c>
      <c r="F57" s="30" t="inlineStr">
        <is>
          <t>Aerospace &amp; Defence - Equipments</t>
        </is>
      </c>
      <c r="G57" s="30" t="n">
        <v>2</v>
      </c>
      <c r="H57" s="30" t="inlineStr">
        <is>
          <t>52W Breakout</t>
        </is>
      </c>
      <c r="I57" s="30" t="inlineStr">
        <is>
          <t>Yes</t>
        </is>
      </c>
      <c r="J57" s="30" t="n">
        <v>17</v>
      </c>
      <c r="K57" s="30" t="n">
        <v>27</v>
      </c>
    </row>
    <row r="58">
      <c r="A58" s="30">
        <f>IF(B58=0,"",ROW()-1)</f>
        <v/>
      </c>
      <c r="B58" s="31">
        <f>IFERROR(INDEX('Monit Non Financial'!$B$2:$B$400, MATCH(D58, 'Monit Non Financial'!$C$2:$C$400, 0)), IFERROR(INDEX('Monit Banks NBFC'!$B$2:$B$100, MATCH(D58, 'Monit Banks NBFC'!$C$2:$C$100, 0)), 0))</f>
        <v/>
      </c>
      <c r="C58" s="30">
        <f>IFERROR(INDEX('Monit Non Financial'!$L$2:$L$400, MATCH(D58, 'Monit Non Financial'!$C$2:$C$400, 0)), IFERROR(INDEX('Monit Banks NBFC'!$L$2:$L$100, MATCH(D58, 'Monit Banks NBFC'!$C$2:$C$100, 0)), ""))</f>
        <v/>
      </c>
      <c r="D58" s="30" t="inlineStr">
        <is>
          <t>APOLLO</t>
        </is>
      </c>
      <c r="E58" s="30" t="inlineStr">
        <is>
          <t>Apollo Micro Systems Ltd</t>
        </is>
      </c>
      <c r="F58" s="30" t="inlineStr">
        <is>
          <t>Aerospace &amp; Defence - Equipments</t>
        </is>
      </c>
      <c r="G58" s="30" t="n">
        <v>2</v>
      </c>
      <c r="H58" s="30" t="inlineStr">
        <is>
          <t>No</t>
        </is>
      </c>
      <c r="I58" s="30" t="inlineStr">
        <is>
          <t>Yes</t>
        </is>
      </c>
      <c r="J58" s="30" t="n">
        <v>26</v>
      </c>
      <c r="K58" s="30" t="n">
        <v>29</v>
      </c>
    </row>
    <row r="59">
      <c r="A59" s="30">
        <f>IF(B59=0,"",ROW()-1)</f>
        <v/>
      </c>
      <c r="B59" s="31">
        <f>IFERROR(INDEX('Monit Non Financial'!$B$2:$B$400, MATCH(D59, 'Monit Non Financial'!$C$2:$C$400, 0)), IFERROR(INDEX('Monit Banks NBFC'!$B$2:$B$100, MATCH(D59, 'Monit Banks NBFC'!$C$2:$C$100, 0)), 0))</f>
        <v/>
      </c>
      <c r="C59" s="30">
        <f>IFERROR(INDEX('Monit Non Financial'!$L$2:$L$400, MATCH(D59, 'Monit Non Financial'!$C$2:$C$400, 0)), IFERROR(INDEX('Monit Banks NBFC'!$L$2:$L$100, MATCH(D59, 'Monit Banks NBFC'!$C$2:$C$100, 0)), ""))</f>
        <v/>
      </c>
      <c r="D59" s="30" t="inlineStr">
        <is>
          <t>SFL</t>
        </is>
      </c>
      <c r="E59" s="30" t="inlineStr">
        <is>
          <t>Sheela Foam Limited</t>
        </is>
      </c>
      <c r="F59" s="30" t="inlineStr">
        <is>
          <t>Mattress</t>
        </is>
      </c>
      <c r="G59" s="30" t="n">
        <v>2</v>
      </c>
      <c r="H59" s="30" t="inlineStr">
        <is>
          <t>No</t>
        </is>
      </c>
      <c r="I59" s="30" t="inlineStr">
        <is>
          <t>Yes</t>
        </is>
      </c>
      <c r="J59" s="30" t="n">
        <v>20</v>
      </c>
      <c r="K59" s="30" t="n">
        <v>17</v>
      </c>
    </row>
    <row r="60">
      <c r="A60" s="30">
        <f>IF(B60=0,"",ROW()-1)</f>
        <v/>
      </c>
      <c r="B60" s="31">
        <f>IFERROR(INDEX('Monit Non Financial'!$B$2:$B$400, MATCH(D60, 'Monit Non Financial'!$C$2:$C$400, 0)), IFERROR(INDEX('Monit Banks NBFC'!$B$2:$B$100, MATCH(D60, 'Monit Banks NBFC'!$C$2:$C$100, 0)), 0))</f>
        <v/>
      </c>
      <c r="C60" s="30">
        <f>IFERROR(INDEX('Monit Non Financial'!$L$2:$L$400, MATCH(D60, 'Monit Non Financial'!$C$2:$C$400, 0)), IFERROR(INDEX('Monit Banks NBFC'!$L$2:$L$100, MATCH(D60, 'Monit Banks NBFC'!$C$2:$C$100, 0)), ""))</f>
        <v/>
      </c>
      <c r="D60" s="30" t="inlineStr">
        <is>
          <t>HFCL</t>
        </is>
      </c>
      <c r="E60" s="30" t="inlineStr">
        <is>
          <t>HFCL Ltd</t>
        </is>
      </c>
      <c r="F60" s="30" t="inlineStr">
        <is>
          <t>Telecom Services</t>
        </is>
      </c>
      <c r="G60" s="30" t="n">
        <v>2</v>
      </c>
      <c r="H60" s="30" t="inlineStr">
        <is>
          <t>No</t>
        </is>
      </c>
      <c r="I60" s="30" t="inlineStr">
        <is>
          <t>Yes</t>
        </is>
      </c>
      <c r="J60" s="30" t="n">
        <v>21</v>
      </c>
      <c r="K60" s="30" t="n">
        <v>29</v>
      </c>
    </row>
    <row r="61">
      <c r="A61" s="30">
        <f>IF(B61=0,"",ROW()-1)</f>
        <v/>
      </c>
      <c r="B61" s="31">
        <f>IFERROR(INDEX('Monit Non Financial'!$B$2:$B$400, MATCH(D61, 'Monit Non Financial'!$C$2:$C$400, 0)), IFERROR(INDEX('Monit Banks NBFC'!$B$2:$B$100, MATCH(D61, 'Monit Banks NBFC'!$C$2:$C$100, 0)), 0))</f>
        <v/>
      </c>
      <c r="C61" s="30">
        <f>IFERROR(INDEX('Monit Non Financial'!$L$2:$L$400, MATCH(D61, 'Monit Non Financial'!$C$2:$C$400, 0)), IFERROR(INDEX('Monit Banks NBFC'!$L$2:$L$100, MATCH(D61, 'Monit Banks NBFC'!$C$2:$C$100, 0)), ""))</f>
        <v/>
      </c>
      <c r="D61" s="30" t="inlineStr">
        <is>
          <t>SOUTHBANK</t>
        </is>
      </c>
      <c r="E61" s="30" t="inlineStr">
        <is>
          <t>The South Indian Bank Limited</t>
        </is>
      </c>
      <c r="F61" s="30" t="inlineStr">
        <is>
          <t>Banks - Private</t>
        </is>
      </c>
      <c r="G61" s="30" t="n">
        <v>2</v>
      </c>
      <c r="H61" s="30" t="inlineStr">
        <is>
          <t>52W Breakout</t>
        </is>
      </c>
      <c r="I61" s="30" t="inlineStr">
        <is>
          <t>Yes</t>
        </is>
      </c>
      <c r="J61" s="30" t="n">
        <v>15</v>
      </c>
      <c r="K61" s="30" t="n">
        <v>25</v>
      </c>
    </row>
    <row r="62">
      <c r="A62" s="30">
        <f>IF(B62=0,"",ROW()-1)</f>
        <v/>
      </c>
      <c r="B62" s="31">
        <f>IFERROR(INDEX('Monit Non Financial'!$B$2:$B$400, MATCH(D62, 'Monit Non Financial'!$C$2:$C$400, 0)), IFERROR(INDEX('Monit Banks NBFC'!$B$2:$B$100, MATCH(D62, 'Monit Banks NBFC'!$C$2:$C$100, 0)), 0))</f>
        <v/>
      </c>
      <c r="C62" s="30">
        <f>IFERROR(INDEX('Monit Non Financial'!$L$2:$L$400, MATCH(D62, 'Monit Non Financial'!$C$2:$C$400, 0)), IFERROR(INDEX('Monit Banks NBFC'!$L$2:$L$100, MATCH(D62, 'Monit Banks NBFC'!$C$2:$C$100, 0)), ""))</f>
        <v/>
      </c>
      <c r="D62" s="30" t="inlineStr">
        <is>
          <t>ORCHPHARMA</t>
        </is>
      </c>
      <c r="E62" s="30" t="inlineStr">
        <is>
          <t>Orchid Pharma Ltd</t>
        </is>
      </c>
      <c r="F62" s="30" t="inlineStr">
        <is>
          <t>Pharma - API</t>
        </is>
      </c>
      <c r="G62" s="30" t="n">
        <v>2</v>
      </c>
      <c r="H62" s="30" t="inlineStr">
        <is>
          <t>No</t>
        </is>
      </c>
      <c r="I62" s="30" t="inlineStr">
        <is>
          <t>Yes</t>
        </is>
      </c>
      <c r="J62" s="30" t="n">
        <v>19</v>
      </c>
      <c r="K62" s="30" t="n">
        <v>23</v>
      </c>
    </row>
    <row r="63">
      <c r="A63" s="30">
        <f>IF(B63=0,"",ROW()-1)</f>
        <v/>
      </c>
      <c r="B63" s="31">
        <f>IFERROR(INDEX('Monit Non Financial'!$B$2:$B$400, MATCH(D63, 'Monit Non Financial'!$C$2:$C$400, 0)), IFERROR(INDEX('Monit Banks NBFC'!$B$2:$B$100, MATCH(D63, 'Monit Banks NBFC'!$C$2:$C$100, 0)), 0))</f>
        <v/>
      </c>
      <c r="C63" s="30">
        <f>IFERROR(INDEX('Monit Non Financial'!$L$2:$L$400, MATCH(D63, 'Monit Non Financial'!$C$2:$C$400, 0)), IFERROR(INDEX('Monit Banks NBFC'!$L$2:$L$100, MATCH(D63, 'Monit Banks NBFC'!$C$2:$C$100, 0)), ""))</f>
        <v/>
      </c>
      <c r="D63" s="30" t="inlineStr">
        <is>
          <t>VADILALIND</t>
        </is>
      </c>
      <c r="E63" s="30" t="inlineStr">
        <is>
          <t>Vadilal Industries Limited</t>
        </is>
      </c>
      <c r="F63" s="30" t="inlineStr">
        <is>
          <t>FMCG - Dairy Products</t>
        </is>
      </c>
      <c r="G63" s="30" t="n">
        <v>2</v>
      </c>
      <c r="H63" s="30" t="inlineStr">
        <is>
          <t>No</t>
        </is>
      </c>
      <c r="I63" s="30" t="inlineStr">
        <is>
          <t>Yes</t>
        </is>
      </c>
      <c r="J63" s="30" t="n">
        <v>30</v>
      </c>
      <c r="K63" s="30" t="n">
        <v>15</v>
      </c>
    </row>
    <row r="64">
      <c r="A64" s="30">
        <f>IF(B64=0,"",ROW()-1)</f>
        <v/>
      </c>
      <c r="B64" s="31">
        <f>IFERROR(INDEX('Monit Non Financial'!$B$2:$B$400, MATCH(D64, 'Monit Non Financial'!$C$2:$C$400, 0)), IFERROR(INDEX('Monit Banks NBFC'!$B$2:$B$100, MATCH(D64, 'Monit Banks NBFC'!$C$2:$C$100, 0)), 0))</f>
        <v/>
      </c>
      <c r="C64" s="30">
        <f>IFERROR(INDEX('Monit Non Financial'!$L$2:$L$400, MATCH(D64, 'Monit Non Financial'!$C$2:$C$400, 0)), IFERROR(INDEX('Monit Banks NBFC'!$L$2:$L$100, MATCH(D64, 'Monit Banks NBFC'!$C$2:$C$100, 0)), ""))</f>
        <v/>
      </c>
      <c r="D64" s="30" t="inlineStr">
        <is>
          <t>CRAFTSMAN</t>
        </is>
      </c>
      <c r="E64" s="30" t="inlineStr">
        <is>
          <t>Craftsman Automation Ltd</t>
        </is>
      </c>
      <c r="F64" s="30" t="inlineStr">
        <is>
          <t>Auto &amp; Auto Ancl - CV</t>
        </is>
      </c>
      <c r="G64" s="30" t="n">
        <v>2</v>
      </c>
      <c r="H64" s="30" t="inlineStr">
        <is>
          <t>No</t>
        </is>
      </c>
      <c r="I64" s="30" t="inlineStr">
        <is>
          <t>Yes</t>
        </is>
      </c>
      <c r="J64" s="30" t="n">
        <v>21</v>
      </c>
      <c r="K64" s="30" t="n">
        <v>29</v>
      </c>
    </row>
    <row r="65">
      <c r="A65" s="30">
        <f>IF(B65=0,"",ROW()-1)</f>
        <v/>
      </c>
      <c r="B65" s="31">
        <f>IFERROR(INDEX('Monit Non Financial'!$B$2:$B$400, MATCH(D65, 'Monit Non Financial'!$C$2:$C$400, 0)), IFERROR(INDEX('Monit Banks NBFC'!$B$2:$B$100, MATCH(D65, 'Monit Banks NBFC'!$C$2:$C$100, 0)), 0))</f>
        <v/>
      </c>
      <c r="C65" s="30">
        <f>IFERROR(INDEX('Monit Non Financial'!$L$2:$L$400, MATCH(D65, 'Monit Non Financial'!$C$2:$C$400, 0)), IFERROR(INDEX('Monit Banks NBFC'!$L$2:$L$100, MATCH(D65, 'Monit Banks NBFC'!$C$2:$C$100, 0)), ""))</f>
        <v/>
      </c>
      <c r="D65" s="30" t="inlineStr">
        <is>
          <t>PREMEXPLN</t>
        </is>
      </c>
      <c r="E65" s="30" t="inlineStr">
        <is>
          <t>Premier Explosives Limited</t>
        </is>
      </c>
      <c r="F65" s="30" t="inlineStr">
        <is>
          <t>Industrial Explosives</t>
        </is>
      </c>
      <c r="G65" s="30" t="n">
        <v>2</v>
      </c>
      <c r="H65" s="30" t="inlineStr">
        <is>
          <t>No</t>
        </is>
      </c>
      <c r="I65" s="30" t="inlineStr">
        <is>
          <t>Yes</t>
        </is>
      </c>
      <c r="J65" s="30" t="n">
        <v>20</v>
      </c>
      <c r="K65" s="30" t="n">
        <v>25</v>
      </c>
    </row>
    <row r="66">
      <c r="A66" s="30">
        <f>IF(B66=0,"",ROW()-1)</f>
        <v/>
      </c>
      <c r="B66" s="31">
        <f>IFERROR(INDEX('Monit Non Financial'!$B$2:$B$400, MATCH(D66, 'Monit Non Financial'!$C$2:$C$400, 0)), IFERROR(INDEX('Monit Banks NBFC'!$B$2:$B$100, MATCH(D66, 'Monit Banks NBFC'!$C$2:$C$100, 0)), 0))</f>
        <v/>
      </c>
      <c r="C66" s="30">
        <f>IFERROR(INDEX('Monit Non Financial'!$L$2:$L$400, MATCH(D66, 'Monit Non Financial'!$C$2:$C$400, 0)), IFERROR(INDEX('Monit Banks NBFC'!$L$2:$L$100, MATCH(D66, 'Monit Banks NBFC'!$C$2:$C$100, 0)), ""))</f>
        <v/>
      </c>
      <c r="D66" s="30" t="inlineStr">
        <is>
          <t>MINDACORP</t>
        </is>
      </c>
      <c r="E66" s="30" t="inlineStr">
        <is>
          <t>Minda Corporation Limited</t>
        </is>
      </c>
      <c r="F66" s="30" t="inlineStr">
        <is>
          <t>Auto Ancillaries - Diversified</t>
        </is>
      </c>
      <c r="G66" s="30" t="n">
        <v>2</v>
      </c>
      <c r="H66" s="30" t="inlineStr">
        <is>
          <t>No</t>
        </is>
      </c>
      <c r="I66" s="30" t="inlineStr">
        <is>
          <t>Yes</t>
        </is>
      </c>
      <c r="J66" s="30" t="n">
        <v>24</v>
      </c>
      <c r="K66" s="30" t="n">
        <v>23</v>
      </c>
    </row>
    <row r="67">
      <c r="A67" s="30">
        <f>IF(B67=0,"",ROW()-1)</f>
        <v/>
      </c>
      <c r="B67" s="31">
        <f>IFERROR(INDEX('Monit Non Financial'!$B$2:$B$400, MATCH(D67, 'Monit Non Financial'!$C$2:$C$400, 0)), IFERROR(INDEX('Monit Banks NBFC'!$B$2:$B$100, MATCH(D67, 'Monit Banks NBFC'!$C$2:$C$100, 0)), 0))</f>
        <v/>
      </c>
      <c r="C67" s="30">
        <f>IFERROR(INDEX('Monit Non Financial'!$L$2:$L$400, MATCH(D67, 'Monit Non Financial'!$C$2:$C$400, 0)), IFERROR(INDEX('Monit Banks NBFC'!$L$2:$L$100, MATCH(D67, 'Monit Banks NBFC'!$C$2:$C$100, 0)), ""))</f>
        <v/>
      </c>
      <c r="D67" s="30" t="inlineStr">
        <is>
          <t>KMEW</t>
        </is>
      </c>
      <c r="E67" s="30" t="inlineStr">
        <is>
          <t>Knowledge Marine &amp; Engineering Works Ltd</t>
        </is>
      </c>
      <c r="F67" s="30" t="inlineStr">
        <is>
          <t>Shipping</t>
        </is>
      </c>
      <c r="G67" s="30" t="n">
        <v>2</v>
      </c>
      <c r="H67" s="30" t="inlineStr">
        <is>
          <t>No</t>
        </is>
      </c>
      <c r="I67" s="30" t="inlineStr">
        <is>
          <t>Yes</t>
        </is>
      </c>
      <c r="J67" s="30" t="n">
        <v>19</v>
      </c>
      <c r="K67" s="30" t="n">
        <v>10</v>
      </c>
    </row>
    <row r="68">
      <c r="A68" s="30">
        <f>IF(B68=0,"",ROW()-1)</f>
        <v/>
      </c>
      <c r="B68" s="31">
        <f>IFERROR(INDEX('Monit Non Financial'!$B$2:$B$400, MATCH(D68, 'Monit Non Financial'!$C$2:$C$400, 0)), IFERROR(INDEX('Monit Banks NBFC'!$B$2:$B$100, MATCH(D68, 'Monit Banks NBFC'!$C$2:$C$100, 0)), 0))</f>
        <v/>
      </c>
      <c r="C68" s="30">
        <f>IFERROR(INDEX('Monit Non Financial'!$L$2:$L$400, MATCH(D68, 'Monit Non Financial'!$C$2:$C$400, 0)), IFERROR(INDEX('Monit Banks NBFC'!$L$2:$L$100, MATCH(D68, 'Monit Banks NBFC'!$C$2:$C$100, 0)), ""))</f>
        <v/>
      </c>
      <c r="D68" s="30" t="inlineStr">
        <is>
          <t>PSPPROJECT</t>
        </is>
      </c>
      <c r="E68" s="30" t="inlineStr">
        <is>
          <t>PSP Projects Ltd</t>
        </is>
      </c>
      <c r="F68" s="30" t="inlineStr">
        <is>
          <t>Construction &amp; Contracting</t>
        </is>
      </c>
      <c r="G68" s="30" t="n">
        <v>2</v>
      </c>
      <c r="H68" s="30" t="inlineStr">
        <is>
          <t>No</t>
        </is>
      </c>
      <c r="I68" s="30" t="inlineStr">
        <is>
          <t>Yes</t>
        </is>
      </c>
      <c r="J68" s="30" t="n">
        <v>19</v>
      </c>
      <c r="K68" s="30" t="n">
        <v>20</v>
      </c>
    </row>
    <row r="69">
      <c r="A69" s="30">
        <f>IF(B69=0,"",ROW()-1)</f>
        <v/>
      </c>
      <c r="B69" s="31">
        <f>IFERROR(INDEX('Monit Non Financial'!$B$2:$B$400, MATCH(D69, 'Monit Non Financial'!$C$2:$C$400, 0)), IFERROR(INDEX('Monit Banks NBFC'!$B$2:$B$100, MATCH(D69, 'Monit Banks NBFC'!$C$2:$C$100, 0)), 0))</f>
        <v/>
      </c>
      <c r="C69" s="30">
        <f>IFERROR(INDEX('Monit Non Financial'!$L$2:$L$400, MATCH(D69, 'Monit Non Financial'!$C$2:$C$400, 0)), IFERROR(INDEX('Monit Banks NBFC'!$L$2:$L$100, MATCH(D69, 'Monit Banks NBFC'!$C$2:$C$100, 0)), ""))</f>
        <v/>
      </c>
      <c r="D69" s="30" t="inlineStr">
        <is>
          <t>DIFFNKG</t>
        </is>
      </c>
      <c r="E69" s="30" t="inlineStr">
        <is>
          <t>Diffusion Engineers Ltd</t>
        </is>
      </c>
      <c r="F69" s="30" t="inlineStr">
        <is>
          <t>Welding Equipments</t>
        </is>
      </c>
      <c r="G69" s="30" t="n">
        <v>2</v>
      </c>
      <c r="H69" s="30" t="inlineStr">
        <is>
          <t>No</t>
        </is>
      </c>
      <c r="I69" s="30" t="inlineStr">
        <is>
          <t>Yes</t>
        </is>
      </c>
      <c r="J69" s="30" t="n">
        <v>19</v>
      </c>
      <c r="K69" s="30" t="n">
        <v>8</v>
      </c>
    </row>
    <row r="70">
      <c r="A70" s="30">
        <f>IF(B70=0,"",ROW()-1)</f>
        <v/>
      </c>
      <c r="B70" s="31">
        <f>IFERROR(INDEX('Monit Non Financial'!$B$2:$B$400, MATCH(D70, 'Monit Non Financial'!$C$2:$C$400, 0)), IFERROR(INDEX('Monit Banks NBFC'!$B$2:$B$100, MATCH(D70, 'Monit Banks NBFC'!$C$2:$C$100, 0)), 0))</f>
        <v/>
      </c>
      <c r="C70" s="30">
        <f>IFERROR(INDEX('Monit Non Financial'!$L$2:$L$400, MATCH(D70, 'Monit Non Financial'!$C$2:$C$400, 0)), IFERROR(INDEX('Monit Banks NBFC'!$L$2:$L$100, MATCH(D70, 'Monit Banks NBFC'!$C$2:$C$100, 0)), ""))</f>
        <v/>
      </c>
      <c r="D70" s="30" t="inlineStr">
        <is>
          <t>AEROFLEX</t>
        </is>
      </c>
      <c r="E70" s="30" t="inlineStr">
        <is>
          <t>Aeroflex Industries Ltd</t>
        </is>
      </c>
      <c r="F70" s="30" t="inlineStr">
        <is>
          <t>Stainless Steel</t>
        </is>
      </c>
      <c r="G70" s="30" t="n">
        <v>2</v>
      </c>
      <c r="H70" s="30" t="inlineStr">
        <is>
          <t>No</t>
        </is>
      </c>
      <c r="I70" s="30" t="inlineStr">
        <is>
          <t>Yes</t>
        </is>
      </c>
      <c r="J70" s="30" t="n">
        <v>19</v>
      </c>
      <c r="K70" s="30" t="n">
        <v>27</v>
      </c>
    </row>
    <row r="71">
      <c r="A71" s="30">
        <f>IF(B71=0,"",ROW()-1)</f>
        <v/>
      </c>
      <c r="B71" s="31">
        <f>IFERROR(INDEX('Monit Non Financial'!$B$2:$B$400, MATCH(D71, 'Monit Non Financial'!$C$2:$C$400, 0)), IFERROR(INDEX('Monit Banks NBFC'!$B$2:$B$100, MATCH(D71, 'Monit Banks NBFC'!$C$2:$C$100, 0)), 0))</f>
        <v/>
      </c>
      <c r="C71" s="30">
        <f>IFERROR(INDEX('Monit Non Financial'!$L$2:$L$400, MATCH(D71, 'Monit Non Financial'!$C$2:$C$400, 0)), IFERROR(INDEX('Monit Banks NBFC'!$L$2:$L$100, MATCH(D71, 'Monit Banks NBFC'!$C$2:$C$100, 0)), ""))</f>
        <v/>
      </c>
      <c r="D71" s="30" t="inlineStr">
        <is>
          <t>WABAG</t>
        </is>
      </c>
      <c r="E71" s="30" t="inlineStr">
        <is>
          <t>Va Tech Wabag Limited</t>
        </is>
      </c>
      <c r="F71" s="30" t="inlineStr">
        <is>
          <t>Water Treatment</t>
        </is>
      </c>
      <c r="G71" s="30" t="n">
        <v>2</v>
      </c>
      <c r="H71" s="30" t="inlineStr">
        <is>
          <t>No</t>
        </is>
      </c>
      <c r="I71" s="30" t="inlineStr">
        <is>
          <t>Yes</t>
        </is>
      </c>
      <c r="J71" s="30" t="n">
        <v>19</v>
      </c>
      <c r="K71" s="30" t="n">
        <v>21</v>
      </c>
    </row>
    <row r="72">
      <c r="A72" s="30">
        <f>IF(B72=0,"",ROW()-1)</f>
        <v/>
      </c>
      <c r="B72" s="31">
        <f>IFERROR(INDEX('Monit Non Financial'!$B$2:$B$400, MATCH(D72, 'Monit Non Financial'!$C$2:$C$400, 0)), IFERROR(INDEX('Monit Banks NBFC'!$B$2:$B$100, MATCH(D72, 'Monit Banks NBFC'!$C$2:$C$100, 0)), 0))</f>
        <v/>
      </c>
      <c r="C72" s="30">
        <f>IFERROR(INDEX('Monit Non Financial'!$L$2:$L$400, MATCH(D72, 'Monit Non Financial'!$C$2:$C$400, 0)), IFERROR(INDEX('Monit Banks NBFC'!$L$2:$L$100, MATCH(D72, 'Monit Banks NBFC'!$C$2:$C$100, 0)), ""))</f>
        <v/>
      </c>
      <c r="D72" s="30" t="inlineStr">
        <is>
          <t>AVL</t>
        </is>
      </c>
      <c r="E72" s="30" t="inlineStr">
        <is>
          <t>Aditya Vision Ltd</t>
        </is>
      </c>
      <c r="F72" s="30" t="inlineStr">
        <is>
          <t>Retail - Electronics</t>
        </is>
      </c>
      <c r="G72" s="30" t="n">
        <v>2</v>
      </c>
      <c r="H72" s="30" t="inlineStr">
        <is>
          <t>52W Breakout</t>
        </is>
      </c>
      <c r="I72" s="30" t="inlineStr">
        <is>
          <t>Yes</t>
        </is>
      </c>
      <c r="J72" s="30" t="n">
        <v>15</v>
      </c>
      <c r="K72" s="30" t="n">
        <v>12</v>
      </c>
    </row>
    <row r="73">
      <c r="A73" s="30">
        <f>IF(B73=0,"",ROW()-1)</f>
        <v/>
      </c>
      <c r="B73" s="31">
        <f>IFERROR(INDEX('Monit Non Financial'!$B$2:$B$400, MATCH(D73, 'Monit Non Financial'!$C$2:$C$400, 0)), IFERROR(INDEX('Monit Banks NBFC'!$B$2:$B$100, MATCH(D73, 'Monit Banks NBFC'!$C$2:$C$100, 0)), 0))</f>
        <v/>
      </c>
      <c r="C73" s="30">
        <f>IFERROR(INDEX('Monit Non Financial'!$L$2:$L$400, MATCH(D73, 'Monit Non Financial'!$C$2:$C$400, 0)), IFERROR(INDEX('Monit Banks NBFC'!$L$2:$L$100, MATCH(D73, 'Monit Banks NBFC'!$C$2:$C$100, 0)), ""))</f>
        <v/>
      </c>
      <c r="D73" s="30" t="inlineStr">
        <is>
          <t>GMRAIRPORT</t>
        </is>
      </c>
      <c r="E73" s="30" t="inlineStr">
        <is>
          <t>GMR Airports Ltd</t>
        </is>
      </c>
      <c r="F73" s="30" t="inlineStr">
        <is>
          <t>Miscellaneous</t>
        </is>
      </c>
      <c r="G73" s="30" t="n">
        <v>2</v>
      </c>
      <c r="H73" s="30" t="inlineStr">
        <is>
          <t>52W Breakout</t>
        </is>
      </c>
      <c r="I73" s="30" t="inlineStr">
        <is>
          <t>Yes</t>
        </is>
      </c>
      <c r="J73" s="30" t="n">
        <v>17</v>
      </c>
      <c r="K73" s="30" t="n">
        <v>14</v>
      </c>
    </row>
    <row r="74">
      <c r="A74" s="30">
        <f>IF(B74=0,"",ROW()-1)</f>
        <v/>
      </c>
      <c r="B74" s="31">
        <f>IFERROR(INDEX('Monit Non Financial'!$B$2:$B$400, MATCH(D74, 'Monit Non Financial'!$C$2:$C$400, 0)), IFERROR(INDEX('Monit Banks NBFC'!$B$2:$B$100, MATCH(D74, 'Monit Banks NBFC'!$C$2:$C$100, 0)), 0))</f>
        <v/>
      </c>
      <c r="C74" s="30">
        <f>IFERROR(INDEX('Monit Non Financial'!$L$2:$L$400, MATCH(D74, 'Monit Non Financial'!$C$2:$C$400, 0)), IFERROR(INDEX('Monit Banks NBFC'!$L$2:$L$100, MATCH(D74, 'Monit Banks NBFC'!$C$2:$C$100, 0)), ""))</f>
        <v/>
      </c>
      <c r="D74" s="30" t="inlineStr">
        <is>
          <t>FCL</t>
        </is>
      </c>
      <c r="E74" s="30" t="inlineStr">
        <is>
          <t>Fineotex Chemical Limited</t>
        </is>
      </c>
      <c r="F74" s="30" t="inlineStr">
        <is>
          <t>Speciality Chemicals</t>
        </is>
      </c>
      <c r="G74" s="30" t="n">
        <v>2</v>
      </c>
      <c r="H74" s="30" t="inlineStr">
        <is>
          <t>No</t>
        </is>
      </c>
      <c r="I74" s="30" t="inlineStr">
        <is>
          <t>Yes</t>
        </is>
      </c>
      <c r="J74" s="30" t="n">
        <v>20</v>
      </c>
      <c r="K74" s="30" t="n">
        <v>27</v>
      </c>
    </row>
    <row r="75">
      <c r="A75" s="30">
        <f>IF(B75=0,"",ROW()-1)</f>
        <v/>
      </c>
      <c r="B75" s="31">
        <f>IFERROR(INDEX('Monit Non Financial'!$B$2:$B$400, MATCH(D75, 'Monit Non Financial'!$C$2:$C$400, 0)), IFERROR(INDEX('Monit Banks NBFC'!$B$2:$B$100, MATCH(D75, 'Monit Banks NBFC'!$C$2:$C$100, 0)), 0))</f>
        <v/>
      </c>
      <c r="C75" s="30">
        <f>IFERROR(INDEX('Monit Non Financial'!$L$2:$L$400, MATCH(D75, 'Monit Non Financial'!$C$2:$C$400, 0)), IFERROR(INDEX('Monit Banks NBFC'!$L$2:$L$100, MATCH(D75, 'Monit Banks NBFC'!$C$2:$C$100, 0)), ""))</f>
        <v/>
      </c>
      <c r="D75" s="30" t="inlineStr">
        <is>
          <t>PREMIERENE</t>
        </is>
      </c>
      <c r="E75" s="30" t="inlineStr">
        <is>
          <t>Premier Energies Ltd</t>
        </is>
      </c>
      <c r="F75" s="30" t="inlineStr">
        <is>
          <t>Capital Goods - Solar</t>
        </is>
      </c>
      <c r="G75" s="30" t="n">
        <v>2</v>
      </c>
      <c r="H75" s="30" t="inlineStr">
        <is>
          <t>No</t>
        </is>
      </c>
      <c r="I75" s="30" t="inlineStr">
        <is>
          <t>Yes</t>
        </is>
      </c>
      <c r="J75" s="30" t="n">
        <v>18</v>
      </c>
      <c r="K75" s="30" t="n">
        <v>20</v>
      </c>
    </row>
    <row r="76">
      <c r="A76" s="30">
        <f>IF(B76=0,"",ROW()-1)</f>
        <v/>
      </c>
      <c r="B76" s="31">
        <f>IFERROR(INDEX('Monit Non Financial'!$B$2:$B$400, MATCH(D76, 'Monit Non Financial'!$C$2:$C$400, 0)), IFERROR(INDEX('Monit Banks NBFC'!$B$2:$B$100, MATCH(D76, 'Monit Banks NBFC'!$C$2:$C$100, 0)), 0))</f>
        <v/>
      </c>
      <c r="C76" s="30">
        <f>IFERROR(INDEX('Monit Non Financial'!$L$2:$L$400, MATCH(D76, 'Monit Non Financial'!$C$2:$C$400, 0)), IFERROR(INDEX('Monit Banks NBFC'!$L$2:$L$100, MATCH(D76, 'Monit Banks NBFC'!$C$2:$C$100, 0)), ""))</f>
        <v/>
      </c>
      <c r="D76" s="30" t="inlineStr">
        <is>
          <t>DATAPATTNS</t>
        </is>
      </c>
      <c r="E76" s="30" t="inlineStr">
        <is>
          <t>Data Patterns (India) Ltd</t>
        </is>
      </c>
      <c r="F76" s="30" t="inlineStr">
        <is>
          <t>Aerospace &amp; Defence - Equipments</t>
        </is>
      </c>
      <c r="G76" s="30" t="n">
        <v>2</v>
      </c>
      <c r="H76" s="30" t="inlineStr">
        <is>
          <t>52W Breakout</t>
        </is>
      </c>
      <c r="I76" s="30" t="inlineStr">
        <is>
          <t>Yes</t>
        </is>
      </c>
      <c r="J76" s="30" t="n">
        <v>14</v>
      </c>
      <c r="K76" s="30" t="n">
        <v>20</v>
      </c>
    </row>
    <row r="77">
      <c r="A77" s="30">
        <f>IF(B77=0,"",ROW()-1)</f>
        <v/>
      </c>
      <c r="B77" s="31">
        <f>IFERROR(INDEX('Monit Non Financial'!$B$2:$B$400, MATCH(D77, 'Monit Non Financial'!$C$2:$C$400, 0)), IFERROR(INDEX('Monit Banks NBFC'!$B$2:$B$100, MATCH(D77, 'Monit Banks NBFC'!$C$2:$C$100, 0)), 0))</f>
        <v/>
      </c>
      <c r="C77" s="30">
        <f>IFERROR(INDEX('Monit Non Financial'!$L$2:$L$400, MATCH(D77, 'Monit Non Financial'!$C$2:$C$400, 0)), IFERROR(INDEX('Monit Banks NBFC'!$L$2:$L$100, MATCH(D77, 'Monit Banks NBFC'!$C$2:$C$100, 0)), ""))</f>
        <v/>
      </c>
      <c r="D77" s="30" t="inlineStr">
        <is>
          <t>SKYGOLD</t>
        </is>
      </c>
      <c r="E77" s="30" t="inlineStr">
        <is>
          <t>Sky Gold Ltd</t>
        </is>
      </c>
      <c r="F77" s="30" t="inlineStr">
        <is>
          <t>Diamond, Gems &amp; Jewellery</t>
        </is>
      </c>
      <c r="G77" s="30" t="n">
        <v>2</v>
      </c>
      <c r="H77" s="30" t="inlineStr">
        <is>
          <t>No</t>
        </is>
      </c>
      <c r="I77" s="30" t="inlineStr">
        <is>
          <t>Yes</t>
        </is>
      </c>
      <c r="J77" s="30" t="n">
        <v>20</v>
      </c>
      <c r="K77" s="30" t="n">
        <v>22</v>
      </c>
    </row>
    <row r="78">
      <c r="A78" s="30">
        <f>IF(B78=0,"",ROW()-1)</f>
        <v/>
      </c>
      <c r="B78" s="31">
        <f>IFERROR(INDEX('Monit Non Financial'!$B$2:$B$400, MATCH(D78, 'Monit Non Financial'!$C$2:$C$400, 0)), IFERROR(INDEX('Monit Banks NBFC'!$B$2:$B$100, MATCH(D78, 'Monit Banks NBFC'!$C$2:$C$100, 0)), 0))</f>
        <v/>
      </c>
      <c r="C78" s="30">
        <f>IFERROR(INDEX('Monit Non Financial'!$L$2:$L$400, MATCH(D78, 'Monit Non Financial'!$C$2:$C$400, 0)), IFERROR(INDEX('Monit Banks NBFC'!$L$2:$L$100, MATCH(D78, 'Monit Banks NBFC'!$C$2:$C$100, 0)), ""))</f>
        <v/>
      </c>
      <c r="D78" s="30" t="inlineStr">
        <is>
          <t>GALAPREC</t>
        </is>
      </c>
      <c r="E78" s="30" t="inlineStr">
        <is>
          <t>Gala Precision Engineering Ltd</t>
        </is>
      </c>
      <c r="F78" s="30" t="inlineStr">
        <is>
          <t>Castings, Forgings &amp; Fastners</t>
        </is>
      </c>
      <c r="G78" s="30" t="n">
        <v>2</v>
      </c>
      <c r="H78" s="30" t="inlineStr">
        <is>
          <t>No</t>
        </is>
      </c>
      <c r="I78" s="30" t="inlineStr">
        <is>
          <t>Yes</t>
        </is>
      </c>
      <c r="J78" s="30" t="n">
        <v>22</v>
      </c>
      <c r="K78" s="30" t="n">
        <v>28</v>
      </c>
    </row>
    <row r="79">
      <c r="A79" s="30">
        <f>IF(B79=0,"",ROW()-1)</f>
        <v/>
      </c>
      <c r="B79" s="31">
        <f>IFERROR(INDEX('Monit Non Financial'!$B$2:$B$400, MATCH(D79, 'Monit Non Financial'!$C$2:$C$400, 0)), IFERROR(INDEX('Monit Banks NBFC'!$B$2:$B$100, MATCH(D79, 'Monit Banks NBFC'!$C$2:$C$100, 0)), 0))</f>
        <v/>
      </c>
      <c r="C79" s="30">
        <f>IFERROR(INDEX('Monit Non Financial'!$L$2:$L$400, MATCH(D79, 'Monit Non Financial'!$C$2:$C$400, 0)), IFERROR(INDEX('Monit Banks NBFC'!$L$2:$L$100, MATCH(D79, 'Monit Banks NBFC'!$C$2:$C$100, 0)), ""))</f>
        <v/>
      </c>
      <c r="D79" s="30" t="inlineStr">
        <is>
          <t>SOTL</t>
        </is>
      </c>
      <c r="E79" s="30" t="inlineStr">
        <is>
          <t>Savita Oil Technologies Limited</t>
        </is>
      </c>
      <c r="F79" s="30" t="inlineStr">
        <is>
          <t>Petrochem - Others</t>
        </is>
      </c>
      <c r="G79" s="30" t="n">
        <v>2</v>
      </c>
      <c r="H79" s="30" t="inlineStr">
        <is>
          <t>No</t>
        </is>
      </c>
      <c r="I79" s="30" t="inlineStr">
        <is>
          <t>Yes</t>
        </is>
      </c>
      <c r="J79" s="30" t="n">
        <v>25</v>
      </c>
      <c r="K79" s="30" t="n">
        <v>30</v>
      </c>
    </row>
    <row r="80">
      <c r="A80" s="30">
        <f>IF(B80=0,"",ROW()-1)</f>
        <v/>
      </c>
      <c r="B80" s="31">
        <f>IFERROR(INDEX('Monit Non Financial'!$B$2:$B$400, MATCH(D80, 'Monit Non Financial'!$C$2:$C$400, 0)), IFERROR(INDEX('Monit Banks NBFC'!$B$2:$B$100, MATCH(D80, 'Monit Banks NBFC'!$C$2:$C$100, 0)), 0))</f>
        <v/>
      </c>
      <c r="C80" s="30">
        <f>IFERROR(INDEX('Monit Non Financial'!$L$2:$L$400, MATCH(D80, 'Monit Non Financial'!$C$2:$C$400, 0)), IFERROR(INDEX('Monit Banks NBFC'!$L$2:$L$100, MATCH(D80, 'Monit Banks NBFC'!$C$2:$C$100, 0)), ""))</f>
        <v/>
      </c>
      <c r="D80" s="30" t="inlineStr">
        <is>
          <t>LLOYDSENGG</t>
        </is>
      </c>
      <c r="E80" s="30" t="inlineStr">
        <is>
          <t>Lloyds Engineering Works Ltd</t>
        </is>
      </c>
      <c r="F80" s="30" t="inlineStr">
        <is>
          <t>Capital Goods - Electrical Equipment</t>
        </is>
      </c>
      <c r="G80" s="30" t="n">
        <v>2</v>
      </c>
      <c r="H80" s="30" t="inlineStr">
        <is>
          <t>No</t>
        </is>
      </c>
      <c r="I80" s="30" t="inlineStr">
        <is>
          <t>Yes</t>
        </is>
      </c>
      <c r="J80" s="30" t="n">
        <v>19</v>
      </c>
      <c r="K80" s="30" t="n">
        <v>28</v>
      </c>
    </row>
    <row r="81">
      <c r="A81" s="30">
        <f>IF(B81=0,"",ROW()-1)</f>
        <v/>
      </c>
      <c r="B81" s="31">
        <f>IFERROR(INDEX('Monit Non Financial'!$B$2:$B$400, MATCH(D81, 'Monit Non Financial'!$C$2:$C$400, 0)), IFERROR(INDEX('Monit Banks NBFC'!$B$2:$B$100, MATCH(D81, 'Monit Banks NBFC'!$C$2:$C$100, 0)), 0))</f>
        <v/>
      </c>
      <c r="C81" s="30">
        <f>IFERROR(INDEX('Monit Non Financial'!$L$2:$L$400, MATCH(D81, 'Monit Non Financial'!$C$2:$C$400, 0)), IFERROR(INDEX('Monit Banks NBFC'!$L$2:$L$100, MATCH(D81, 'Monit Banks NBFC'!$C$2:$C$100, 0)), ""))</f>
        <v/>
      </c>
      <c r="D81" s="30" t="inlineStr">
        <is>
          <t>SETL</t>
        </is>
      </c>
      <c r="E81" s="30" t="inlineStr">
        <is>
          <t>Standard Enginnering Technology Ltd</t>
        </is>
      </c>
      <c r="F81" s="30" t="inlineStr">
        <is>
          <t>Engineering - Heavy - Glass - lined Equipment</t>
        </is>
      </c>
      <c r="G81" s="30" t="n">
        <v>2</v>
      </c>
      <c r="H81" s="30" t="inlineStr">
        <is>
          <t>No</t>
        </is>
      </c>
      <c r="I81" s="30" t="inlineStr">
        <is>
          <t>Yes</t>
        </is>
      </c>
      <c r="J81" s="30" t="n">
        <v>21</v>
      </c>
      <c r="K81" s="30" t="n">
        <v>3</v>
      </c>
    </row>
    <row r="82">
      <c r="A82" s="30">
        <f>IF(B82=0,"",ROW()-1)</f>
        <v/>
      </c>
      <c r="B82" s="31">
        <f>IFERROR(INDEX('Monit Non Financial'!$B$2:$B$400, MATCH(D82, 'Monit Non Financial'!$C$2:$C$400, 0)), IFERROR(INDEX('Monit Banks NBFC'!$B$2:$B$100, MATCH(D82, 'Monit Banks NBFC'!$C$2:$C$100, 0)), 0))</f>
        <v/>
      </c>
      <c r="C82" s="30">
        <f>IFERROR(INDEX('Monit Non Financial'!$L$2:$L$400, MATCH(D82, 'Monit Non Financial'!$C$2:$C$400, 0)), IFERROR(INDEX('Monit Banks NBFC'!$L$2:$L$100, MATCH(D82, 'Monit Banks NBFC'!$C$2:$C$100, 0)), ""))</f>
        <v/>
      </c>
      <c r="D82" s="30" t="inlineStr">
        <is>
          <t>YASHO</t>
        </is>
      </c>
      <c r="E82" s="30" t="inlineStr">
        <is>
          <t>Yasho Industries Ltd</t>
        </is>
      </c>
      <c r="F82" s="30" t="inlineStr">
        <is>
          <t>Speciality Chemicals</t>
        </is>
      </c>
      <c r="G82" s="30" t="n">
        <v>2</v>
      </c>
      <c r="H82" s="30" t="inlineStr">
        <is>
          <t>No</t>
        </is>
      </c>
      <c r="I82" s="30" t="inlineStr">
        <is>
          <t>Yes</t>
        </is>
      </c>
      <c r="J82" s="30" t="n">
        <v>19</v>
      </c>
      <c r="K82" s="30" t="n">
        <v>26</v>
      </c>
    </row>
    <row r="83">
      <c r="A83" s="30">
        <f>IF(B83=0,"",ROW()-1)</f>
        <v/>
      </c>
      <c r="B83" s="31">
        <f>IFERROR(INDEX('Monit Non Financial'!$B$2:$B$400, MATCH(D83, 'Monit Non Financial'!$C$2:$C$400, 0)), IFERROR(INDEX('Monit Banks NBFC'!$B$2:$B$100, MATCH(D83, 'Monit Banks NBFC'!$C$2:$C$100, 0)), 0))</f>
        <v/>
      </c>
      <c r="C83" s="30">
        <f>IFERROR(INDEX('Monit Non Financial'!$L$2:$L$400, MATCH(D83, 'Monit Non Financial'!$C$2:$C$400, 0)), IFERROR(INDEX('Monit Banks NBFC'!$L$2:$L$100, MATCH(D83, 'Monit Banks NBFC'!$C$2:$C$100, 0)), ""))</f>
        <v/>
      </c>
      <c r="D83" s="30" t="inlineStr">
        <is>
          <t>TBZ</t>
        </is>
      </c>
      <c r="E83" s="30" t="inlineStr">
        <is>
          <t>Tribhovandas Bhimji Zaveri Limited</t>
        </is>
      </c>
      <c r="F83" s="30" t="inlineStr">
        <is>
          <t>Diamond, Gems &amp; Jewellery</t>
        </is>
      </c>
      <c r="G83" s="30" t="n">
        <v>2</v>
      </c>
      <c r="H83" s="30" t="inlineStr">
        <is>
          <t>No</t>
        </is>
      </c>
      <c r="I83" s="30" t="inlineStr">
        <is>
          <t>Yes</t>
        </is>
      </c>
      <c r="J83" s="30" t="n">
        <v>23</v>
      </c>
      <c r="K83" s="30" t="n">
        <v>7</v>
      </c>
    </row>
    <row r="84">
      <c r="A84" s="30">
        <f>IF(B84=0,"",ROW()-1)</f>
        <v/>
      </c>
      <c r="B84" s="31">
        <f>IFERROR(INDEX('Monit Non Financial'!$B$2:$B$400, MATCH(D84, 'Monit Non Financial'!$C$2:$C$400, 0)), IFERROR(INDEX('Monit Banks NBFC'!$B$2:$B$100, MATCH(D84, 'Monit Banks NBFC'!$C$2:$C$100, 0)), 0))</f>
        <v/>
      </c>
      <c r="C84" s="30">
        <f>IFERROR(INDEX('Monit Non Financial'!$L$2:$L$400, MATCH(D84, 'Monit Non Financial'!$C$2:$C$400, 0)), IFERROR(INDEX('Monit Banks NBFC'!$L$2:$L$100, MATCH(D84, 'Monit Banks NBFC'!$C$2:$C$100, 0)), ""))</f>
        <v/>
      </c>
      <c r="D84" s="30" t="inlineStr">
        <is>
          <t>AEROENTER</t>
        </is>
      </c>
      <c r="E84" s="30" t="inlineStr">
        <is>
          <t>Aeroflex Enterprises Ltd</t>
        </is>
      </c>
      <c r="F84" s="30" t="inlineStr">
        <is>
          <t>Miscellaneous</t>
        </is>
      </c>
      <c r="G84" s="30" t="n">
        <v>2</v>
      </c>
      <c r="H84" s="30" t="inlineStr">
        <is>
          <t>No</t>
        </is>
      </c>
      <c r="I84" s="30" t="inlineStr">
        <is>
          <t>Yes</t>
        </is>
      </c>
      <c r="J84" s="30" t="n">
        <v>20</v>
      </c>
      <c r="K84" s="30" t="n">
        <v>21</v>
      </c>
    </row>
    <row r="85">
      <c r="A85" s="30">
        <f>IF(B85=0,"",ROW()-1)</f>
        <v/>
      </c>
      <c r="B85" s="31">
        <f>IFERROR(INDEX('Monit Non Financial'!$B$2:$B$400, MATCH(D85, 'Monit Non Financial'!$C$2:$C$400, 0)), IFERROR(INDEX('Monit Banks NBFC'!$B$2:$B$100, MATCH(D85, 'Monit Banks NBFC'!$C$2:$C$100, 0)), 0))</f>
        <v/>
      </c>
      <c r="C85" s="30">
        <f>IFERROR(INDEX('Monit Non Financial'!$L$2:$L$400, MATCH(D85, 'Monit Non Financial'!$C$2:$C$400, 0)), IFERROR(INDEX('Monit Banks NBFC'!$L$2:$L$100, MATCH(D85, 'Monit Banks NBFC'!$C$2:$C$100, 0)), ""))</f>
        <v/>
      </c>
      <c r="D85" s="30" t="inlineStr">
        <is>
          <t>JNKINDIA</t>
        </is>
      </c>
      <c r="E85" s="30" t="inlineStr">
        <is>
          <t>JNK India Ltd</t>
        </is>
      </c>
      <c r="F85" s="30" t="inlineStr">
        <is>
          <t>Capital Goods - Engineering Heavy</t>
        </is>
      </c>
      <c r="G85" s="30" t="n">
        <v>2</v>
      </c>
      <c r="H85" s="30" t="inlineStr">
        <is>
          <t>No</t>
        </is>
      </c>
      <c r="I85" s="30" t="inlineStr">
        <is>
          <t>Yes</t>
        </is>
      </c>
      <c r="J85" s="30" t="n">
        <v>31</v>
      </c>
      <c r="K85" s="30" t="n">
        <v>24</v>
      </c>
    </row>
    <row r="86">
      <c r="A86" s="30">
        <f>IF(B86=0,"",ROW()-1)</f>
        <v/>
      </c>
      <c r="B86" s="31">
        <f>IFERROR(INDEX('Monit Non Financial'!$B$2:$B$400, MATCH(D86, 'Monit Non Financial'!$C$2:$C$400, 0)), IFERROR(INDEX('Monit Banks NBFC'!$B$2:$B$100, MATCH(D86, 'Monit Banks NBFC'!$C$2:$C$100, 0)), 0))</f>
        <v/>
      </c>
      <c r="C86" s="30">
        <f>IFERROR(INDEX('Monit Non Financial'!$L$2:$L$400, MATCH(D86, 'Monit Non Financial'!$C$2:$C$400, 0)), IFERROR(INDEX('Monit Banks NBFC'!$L$2:$L$100, MATCH(D86, 'Monit Banks NBFC'!$C$2:$C$100, 0)), ""))</f>
        <v/>
      </c>
      <c r="D86" s="30" t="inlineStr">
        <is>
          <t>DIACABS</t>
        </is>
      </c>
      <c r="E86" s="30" t="inlineStr">
        <is>
          <t>Diamond Power Infrastructure Ltd</t>
        </is>
      </c>
      <c r="F86" s="30" t="inlineStr">
        <is>
          <t>Cables - Power</t>
        </is>
      </c>
      <c r="G86" s="30" t="n">
        <v>2</v>
      </c>
      <c r="H86" s="30" t="inlineStr">
        <is>
          <t>No</t>
        </is>
      </c>
      <c r="I86" s="30" t="inlineStr">
        <is>
          <t>Yes</t>
        </is>
      </c>
      <c r="J86" s="30" t="n">
        <v>20</v>
      </c>
      <c r="K86" s="30" t="n">
        <v>28</v>
      </c>
    </row>
    <row r="87">
      <c r="A87" s="30">
        <f>IF(B87=0,"",ROW()-1)</f>
        <v/>
      </c>
      <c r="B87" s="31">
        <f>IFERROR(INDEX('Monit Non Financial'!$B$2:$B$400, MATCH(D87, 'Monit Non Financial'!$C$2:$C$400, 0)), IFERROR(INDEX('Monit Banks NBFC'!$B$2:$B$100, MATCH(D87, 'Monit Banks NBFC'!$C$2:$C$100, 0)), 0))</f>
        <v/>
      </c>
      <c r="C87" s="30">
        <f>IFERROR(INDEX('Monit Non Financial'!$L$2:$L$400, MATCH(D87, 'Monit Non Financial'!$C$2:$C$400, 0)), IFERROR(INDEX('Monit Banks NBFC'!$L$2:$L$100, MATCH(D87, 'Monit Banks NBFC'!$C$2:$C$100, 0)), ""))</f>
        <v/>
      </c>
      <c r="D87" s="30" t="inlineStr">
        <is>
          <t>BHARATFORG</t>
        </is>
      </c>
      <c r="E87" s="30" t="inlineStr">
        <is>
          <t>Bharat Forge Limited</t>
        </is>
      </c>
      <c r="F87" s="30" t="inlineStr">
        <is>
          <t>Castings, Forgings &amp; Fastners</t>
        </is>
      </c>
      <c r="G87" s="30" t="n">
        <v>2</v>
      </c>
      <c r="H87" s="30" t="inlineStr">
        <is>
          <t>52W Breakout</t>
        </is>
      </c>
      <c r="I87" s="30" t="inlineStr">
        <is>
          <t>Yes</t>
        </is>
      </c>
      <c r="J87" s="30" t="n">
        <v>7</v>
      </c>
      <c r="K87" s="30" t="n">
        <v>17</v>
      </c>
    </row>
    <row r="88">
      <c r="A88" s="30">
        <f>IF(B88=0,"",ROW()-1)</f>
        <v/>
      </c>
      <c r="B88" s="31">
        <f>IFERROR(INDEX('Monit Non Financial'!$B$2:$B$400, MATCH(D88, 'Monit Non Financial'!$C$2:$C$400, 0)), IFERROR(INDEX('Monit Banks NBFC'!$B$2:$B$100, MATCH(D88, 'Monit Banks NBFC'!$C$2:$C$100, 0)), 0))</f>
        <v/>
      </c>
      <c r="C88" s="30">
        <f>IFERROR(INDEX('Monit Non Financial'!$L$2:$L$400, MATCH(D88, 'Monit Non Financial'!$C$2:$C$400, 0)), IFERROR(INDEX('Monit Banks NBFC'!$L$2:$L$100, MATCH(D88, 'Monit Banks NBFC'!$C$2:$C$100, 0)), ""))</f>
        <v/>
      </c>
      <c r="D88" s="30" t="inlineStr">
        <is>
          <t>WHEELS</t>
        </is>
      </c>
      <c r="E88" s="30" t="inlineStr">
        <is>
          <t>Wheels India Limited</t>
        </is>
      </c>
      <c r="F88" s="30" t="inlineStr">
        <is>
          <t>Auto Ancillaries - Wheels</t>
        </is>
      </c>
      <c r="G88" s="30" t="n">
        <v>2</v>
      </c>
      <c r="H88" s="30" t="inlineStr">
        <is>
          <t>No</t>
        </is>
      </c>
      <c r="I88" s="30" t="inlineStr">
        <is>
          <t>Yes</t>
        </is>
      </c>
      <c r="J88" s="30" t="n">
        <v>21</v>
      </c>
      <c r="K88" s="30" t="n">
        <v>29</v>
      </c>
    </row>
    <row r="89">
      <c r="A89" s="30">
        <f>IF(B89=0,"",ROW()-1)</f>
        <v/>
      </c>
      <c r="B89" s="31">
        <f>IFERROR(INDEX('Monit Non Financial'!$B$2:$B$400, MATCH(D89, 'Monit Non Financial'!$C$2:$C$400, 0)), IFERROR(INDEX('Monit Banks NBFC'!$B$2:$B$100, MATCH(D89, 'Monit Banks NBFC'!$C$2:$C$100, 0)), 0))</f>
        <v/>
      </c>
      <c r="C89" s="30">
        <f>IFERROR(INDEX('Monit Non Financial'!$L$2:$L$400, MATCH(D89, 'Monit Non Financial'!$C$2:$C$400, 0)), IFERROR(INDEX('Monit Banks NBFC'!$L$2:$L$100, MATCH(D89, 'Monit Banks NBFC'!$C$2:$C$100, 0)), ""))</f>
        <v/>
      </c>
      <c r="D89" s="30" t="inlineStr">
        <is>
          <t>KIRLOSENG</t>
        </is>
      </c>
      <c r="E89" s="30" t="inlineStr">
        <is>
          <t>Kirloskar Oil Engines Limited</t>
        </is>
      </c>
      <c r="F89" s="30" t="inlineStr">
        <is>
          <t>Gensets</t>
        </is>
      </c>
      <c r="G89" s="30" t="n">
        <v>2</v>
      </c>
      <c r="H89" s="30" t="inlineStr">
        <is>
          <t>52W Breakout</t>
        </is>
      </c>
      <c r="I89" s="30" t="inlineStr">
        <is>
          <t>Yes</t>
        </is>
      </c>
      <c r="J89" s="30" t="n">
        <v>11</v>
      </c>
      <c r="K89" s="30" t="n">
        <v>22</v>
      </c>
    </row>
    <row r="90">
      <c r="A90" s="30">
        <f>IF(B90=0,"",ROW()-1)</f>
        <v/>
      </c>
      <c r="B90" s="31">
        <f>IFERROR(INDEX('Monit Non Financial'!$B$2:$B$400, MATCH(D90, 'Monit Non Financial'!$C$2:$C$400, 0)), IFERROR(INDEX('Monit Banks NBFC'!$B$2:$B$100, MATCH(D90, 'Monit Banks NBFC'!$C$2:$C$100, 0)), 0))</f>
        <v/>
      </c>
      <c r="C90" s="30">
        <f>IFERROR(INDEX('Monit Non Financial'!$L$2:$L$400, MATCH(D90, 'Monit Non Financial'!$C$2:$C$400, 0)), IFERROR(INDEX('Monit Banks NBFC'!$L$2:$L$100, MATCH(D90, 'Monit Banks NBFC'!$C$2:$C$100, 0)), ""))</f>
        <v/>
      </c>
      <c r="D90" s="30" t="inlineStr">
        <is>
          <t>VINCOFE</t>
        </is>
      </c>
      <c r="E90" s="30" t="inlineStr">
        <is>
          <t>Vintage Coffee &amp; Beverages Ltd</t>
        </is>
      </c>
      <c r="F90" s="30" t="inlineStr">
        <is>
          <t>FMCG - Coffee</t>
        </is>
      </c>
      <c r="G90" s="30" t="n">
        <v>2</v>
      </c>
      <c r="H90" s="30" t="inlineStr">
        <is>
          <t>No</t>
        </is>
      </c>
      <c r="I90" s="30" t="inlineStr">
        <is>
          <t>Yes</t>
        </is>
      </c>
      <c r="J90" s="30" t="n">
        <v>21</v>
      </c>
      <c r="K90" s="30" t="n">
        <v>20</v>
      </c>
    </row>
    <row r="91">
      <c r="A91" s="30">
        <f>IF(B91=0,"",ROW()-1)</f>
        <v/>
      </c>
      <c r="B91" s="31">
        <f>IFERROR(INDEX('Monit Non Financial'!$B$2:$B$400, MATCH(D91, 'Monit Non Financial'!$C$2:$C$400, 0)), IFERROR(INDEX('Monit Banks NBFC'!$B$2:$B$100, MATCH(D91, 'Monit Banks NBFC'!$C$2:$C$100, 0)), 0))</f>
        <v/>
      </c>
      <c r="C91" s="30">
        <f>IFERROR(INDEX('Monit Non Financial'!$L$2:$L$400, MATCH(D91, 'Monit Non Financial'!$C$2:$C$400, 0)), IFERROR(INDEX('Monit Banks NBFC'!$L$2:$L$100, MATCH(D91, 'Monit Banks NBFC'!$C$2:$C$100, 0)), ""))</f>
        <v/>
      </c>
      <c r="D91" s="30" t="inlineStr">
        <is>
          <t>RAMCOSYS</t>
        </is>
      </c>
      <c r="E91" s="30" t="inlineStr">
        <is>
          <t>Ramco Systems Limited</t>
        </is>
      </c>
      <c r="F91" s="30" t="inlineStr">
        <is>
          <t>IT Product Companies</t>
        </is>
      </c>
      <c r="G91" s="30" t="n">
        <v>2</v>
      </c>
      <c r="H91" s="30" t="inlineStr">
        <is>
          <t>No</t>
        </is>
      </c>
      <c r="I91" s="30" t="inlineStr">
        <is>
          <t>Yes</t>
        </is>
      </c>
      <c r="J91" s="30" t="n">
        <v>18</v>
      </c>
      <c r="K91" s="30" t="n">
        <v>9</v>
      </c>
    </row>
    <row r="92">
      <c r="A92" s="30">
        <f>IF(B92=0,"",ROW()-1)</f>
        <v/>
      </c>
      <c r="B92" s="31">
        <f>IFERROR(INDEX('Monit Non Financial'!$B$2:$B$400, MATCH(D92, 'Monit Non Financial'!$C$2:$C$400, 0)), IFERROR(INDEX('Monit Banks NBFC'!$B$2:$B$100, MATCH(D92, 'Monit Banks NBFC'!$C$2:$C$100, 0)), 0))</f>
        <v/>
      </c>
      <c r="C92" s="30">
        <f>IFERROR(INDEX('Monit Non Financial'!$L$2:$L$400, MATCH(D92, 'Monit Non Financial'!$C$2:$C$400, 0)), IFERROR(INDEX('Monit Banks NBFC'!$L$2:$L$100, MATCH(D92, 'Monit Banks NBFC'!$C$2:$C$100, 0)), ""))</f>
        <v/>
      </c>
      <c r="D92" s="30" t="inlineStr">
        <is>
          <t>MSTCLTD</t>
        </is>
      </c>
      <c r="E92" s="30" t="inlineStr">
        <is>
          <t>MSTC Ltd</t>
        </is>
      </c>
      <c r="F92" s="30" t="inlineStr">
        <is>
          <t>E-Commerce - Platform - Utility</t>
        </is>
      </c>
      <c r="G92" s="30" t="n">
        <v>2</v>
      </c>
      <c r="H92" s="30" t="inlineStr">
        <is>
          <t>No</t>
        </is>
      </c>
      <c r="I92" s="30" t="inlineStr">
        <is>
          <t>Yes</t>
        </is>
      </c>
      <c r="J92" s="30" t="n">
        <v>20</v>
      </c>
      <c r="K92" s="30" t="n">
        <v>12</v>
      </c>
    </row>
    <row r="93">
      <c r="A93" s="30">
        <f>IF(B93=0,"",ROW()-1)</f>
        <v/>
      </c>
      <c r="B93" s="31">
        <f>IFERROR(INDEX('Monit Non Financial'!$B$2:$B$400, MATCH(D93, 'Monit Non Financial'!$C$2:$C$400, 0)), IFERROR(INDEX('Monit Banks NBFC'!$B$2:$B$100, MATCH(D93, 'Monit Banks NBFC'!$C$2:$C$100, 0)), 0))</f>
        <v/>
      </c>
      <c r="C93" s="30">
        <f>IFERROR(INDEX('Monit Non Financial'!$L$2:$L$400, MATCH(D93, 'Monit Non Financial'!$C$2:$C$400, 0)), IFERROR(INDEX('Monit Banks NBFC'!$L$2:$L$100, MATCH(D93, 'Monit Banks NBFC'!$C$2:$C$100, 0)), ""))</f>
        <v/>
      </c>
      <c r="D93" s="30" t="inlineStr">
        <is>
          <t>PANAMAPET</t>
        </is>
      </c>
      <c r="E93" s="30" t="inlineStr">
        <is>
          <t>Panama Petrochem Limited</t>
        </is>
      </c>
      <c r="F93" s="30" t="inlineStr">
        <is>
          <t>Speciality Chemicals</t>
        </is>
      </c>
      <c r="G93" s="30" t="n">
        <v>2</v>
      </c>
      <c r="H93" s="30" t="inlineStr">
        <is>
          <t>No</t>
        </is>
      </c>
      <c r="I93" s="30" t="inlineStr">
        <is>
          <t>Yes</t>
        </is>
      </c>
      <c r="J93" s="30" t="n">
        <v>24</v>
      </c>
      <c r="K93" s="30" t="n">
        <v>22</v>
      </c>
    </row>
    <row r="94">
      <c r="A94" s="30">
        <f>IF(B94=0,"",ROW()-1)</f>
        <v/>
      </c>
      <c r="B94" s="31">
        <f>IFERROR(INDEX('Monit Non Financial'!$B$2:$B$400, MATCH(D94, 'Monit Non Financial'!$C$2:$C$400, 0)), IFERROR(INDEX('Monit Banks NBFC'!$B$2:$B$100, MATCH(D94, 'Monit Banks NBFC'!$C$2:$C$100, 0)), 0))</f>
        <v/>
      </c>
      <c r="C94" s="30">
        <f>IFERROR(INDEX('Monit Non Financial'!$L$2:$L$400, MATCH(D94, 'Monit Non Financial'!$C$2:$C$400, 0)), IFERROR(INDEX('Monit Banks NBFC'!$L$2:$L$100, MATCH(D94, 'Monit Banks NBFC'!$C$2:$C$100, 0)), ""))</f>
        <v/>
      </c>
      <c r="D94" s="30" t="inlineStr">
        <is>
          <t>SILVERTUC</t>
        </is>
      </c>
      <c r="E94" s="30" t="inlineStr">
        <is>
          <t>Silver Touch Technologies Ltd</t>
        </is>
      </c>
      <c r="F94" s="30" t="inlineStr">
        <is>
          <t>IT - Software</t>
        </is>
      </c>
      <c r="G94" s="30" t="n">
        <v>2</v>
      </c>
      <c r="H94" s="30" t="inlineStr">
        <is>
          <t>No</t>
        </is>
      </c>
      <c r="I94" s="30" t="inlineStr">
        <is>
          <t>Yes</t>
        </is>
      </c>
      <c r="J94" s="30" t="n">
        <v>18</v>
      </c>
      <c r="K94" s="30" t="n">
        <v>21</v>
      </c>
    </row>
  </sheetData>
  <autoFilter ref="A1:K94"/>
  <conditionalFormatting sqref="G2:G9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4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6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IF(B2=0,"",RANK(B2,$B$2:$B$361,0))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BLUSPRING</t>
        </is>
      </c>
      <c r="D2" s="30" t="inlineStr">
        <is>
          <t>Bluspring Enterprises Ltd</t>
        </is>
      </c>
      <c r="E2" s="30" t="inlineStr">
        <is>
          <t>miscellaneous</t>
        </is>
      </c>
      <c r="F2" s="30" t="inlineStr">
        <is>
          <t>diversified - large</t>
        </is>
      </c>
      <c r="G2" s="30" t="inlineStr">
        <is>
          <t>smallcap</t>
        </is>
      </c>
      <c r="H2" s="31" t="n">
        <v>1369.33</v>
      </c>
      <c r="I2" s="31" t="n">
        <v>109.35</v>
      </c>
      <c r="J2" s="31" t="n">
        <v>19.09</v>
      </c>
      <c r="K2" s="31" t="n">
        <v>12171273</v>
      </c>
      <c r="L2" s="30" t="n">
        <v>95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74.5</v>
      </c>
      <c r="P2" s="31" t="n">
        <v>34.2</v>
      </c>
      <c r="Q2" s="31" t="n">
        <v>79.48</v>
      </c>
      <c r="R2" s="30" t="inlineStr">
        <is>
          <t>Volume Spike &amp; Near 52W High Breakout</t>
        </is>
      </c>
      <c r="S2" s="30" t="inlineStr">
        <is>
          <t>Nifty 50</t>
        </is>
      </c>
      <c r="T2" s="31" t="n">
        <v>-4.09</v>
      </c>
      <c r="U2" s="31" t="n">
        <v>52.3</v>
      </c>
      <c r="V2" s="31" t="n">
        <v>58.79</v>
      </c>
      <c r="W2" s="31" t="n">
        <v>48.9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20 to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Between 50% to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IF(B3=0,"",RANK(B3,$B$2:$B$361,0))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 - medium / small</t>
        </is>
      </c>
      <c r="G3" s="30" t="inlineStr">
        <is>
          <t>midcap</t>
        </is>
      </c>
      <c r="H3" s="31" t="n">
        <v>5550.62</v>
      </c>
      <c r="I3" s="31" t="n">
        <v>24.05</v>
      </c>
      <c r="J3" s="31" t="n">
        <v>0.71</v>
      </c>
      <c r="K3" s="31" t="n">
        <v>3148546</v>
      </c>
      <c r="L3" s="30" t="n">
        <v>95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73.02</v>
      </c>
      <c r="P3" s="31" t="n">
        <v>36.21</v>
      </c>
      <c r="Q3" s="31" t="n">
        <v>17.05</v>
      </c>
      <c r="R3" s="30" t="inlineStr">
        <is>
          <t>Near 52W High Breakout</t>
        </is>
      </c>
      <c r="S3" s="30" t="inlineStr">
        <is>
          <t>Nifty 50</t>
        </is>
      </c>
      <c r="T3" s="31" t="n">
        <v>-4.09</v>
      </c>
      <c r="U3" s="31" t="n">
        <v>37.04</v>
      </c>
      <c r="V3" s="31" t="n">
        <v>42.88</v>
      </c>
      <c r="W3" s="31" t="n">
        <v>47.85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IF(B4=0,"",RANK(B4,$B$2:$B$361,0))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SAKAR</t>
        </is>
      </c>
      <c r="D4" s="30" t="inlineStr">
        <is>
          <t>Sakar Healthcare Ltd</t>
        </is>
      </c>
      <c r="E4" s="30" t="inlineStr">
        <is>
          <t>healthcare</t>
        </is>
      </c>
      <c r="F4" s="30" t="inlineStr">
        <is>
          <t>pharmaceuticals - indian - bulk drugs &amp; formln</t>
        </is>
      </c>
      <c r="G4" s="30" t="inlineStr">
        <is>
          <t>smallcap</t>
        </is>
      </c>
      <c r="H4" s="31" t="n">
        <v>1831.06</v>
      </c>
      <c r="I4" s="31" t="n">
        <v>801.4</v>
      </c>
      <c r="J4" s="31" t="n">
        <v>-2.62</v>
      </c>
      <c r="K4" s="31" t="n">
        <v>94486</v>
      </c>
      <c r="L4" s="30" t="n">
        <v>87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73</v>
      </c>
      <c r="P4" s="31" t="n">
        <v>53.87</v>
      </c>
      <c r="Q4" s="31" t="n">
        <v>576.1</v>
      </c>
      <c r="R4" s="30" t="inlineStr">
        <is>
          <t>Near 52W High Breakout</t>
        </is>
      </c>
      <c r="S4" s="30" t="inlineStr">
        <is>
          <t>Nifty Pharma</t>
        </is>
      </c>
      <c r="T4" s="31" t="n">
        <v>11.72</v>
      </c>
      <c r="U4" s="31" t="n">
        <v>129.46</v>
      </c>
      <c r="V4" s="31" t="n">
        <v>105.39</v>
      </c>
      <c r="W4" s="31" t="n">
        <v>29.77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Yes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IF(B5=0,"",RANK(B5,$B$2:$B$361,0))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GVT&amp;D</t>
        </is>
      </c>
      <c r="D5" s="30" t="inlineStr">
        <is>
          <t>GE Vernova T&amp;D India Ltd</t>
        </is>
      </c>
      <c r="E5" s="30" t="inlineStr">
        <is>
          <t>industrials</t>
        </is>
      </c>
      <c r="F5" s="30" t="inlineStr">
        <is>
          <t>electric equipment</t>
        </is>
      </c>
      <c r="G5" s="30" t="inlineStr">
        <is>
          <t>largecap</t>
        </is>
      </c>
      <c r="H5" s="31" t="n">
        <v>124758.67</v>
      </c>
      <c r="I5" s="31" t="n">
        <v>5152.5</v>
      </c>
      <c r="J5" s="31" t="n">
        <v>5.75</v>
      </c>
      <c r="K5" s="31" t="n">
        <v>887332</v>
      </c>
      <c r="L5" s="30" t="n">
        <v>81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71.81999999999999</v>
      </c>
      <c r="P5" s="31" t="n">
        <v>50.48</v>
      </c>
      <c r="Q5" s="31" t="n">
        <v>3909.43</v>
      </c>
      <c r="R5" s="30" t="inlineStr">
        <is>
          <t>Near 52W High Breakout</t>
        </is>
      </c>
      <c r="S5" s="30" t="inlineStr">
        <is>
          <t>Nifty 50</t>
        </is>
      </c>
      <c r="T5" s="31" t="n">
        <v>-4.09</v>
      </c>
      <c r="U5" s="31" t="n">
        <v>119.07</v>
      </c>
      <c r="V5" s="31" t="n">
        <v>128.41</v>
      </c>
      <c r="W5" s="31" t="n">
        <v>26.33</v>
      </c>
      <c r="X5" s="30" t="inlineStr">
        <is>
          <t>Cyclical in an Upturn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IF(B6=0,"",RANK(B6,$B$2:$B$361,0))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STYLAMIND</t>
        </is>
      </c>
      <c r="D6" s="30" t="inlineStr">
        <is>
          <t>Stylam Industries Ltd</t>
        </is>
      </c>
      <c r="E6" s="30" t="inlineStr">
        <is>
          <t>building materials</t>
        </is>
      </c>
      <c r="F6" s="30" t="inlineStr">
        <is>
          <t>miscellaneous</t>
        </is>
      </c>
      <c r="G6" s="30" t="inlineStr">
        <is>
          <t>midcap</t>
        </is>
      </c>
      <c r="H6" s="31" t="n">
        <v>5514.39</v>
      </c>
      <c r="I6" s="31" t="n">
        <v>3293.9</v>
      </c>
      <c r="J6" s="31" t="n">
        <v>1.24</v>
      </c>
      <c r="K6" s="31" t="n">
        <v>16165</v>
      </c>
      <c r="L6" s="30" t="n">
        <v>81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91.29000000000001</v>
      </c>
      <c r="P6" s="31" t="n">
        <v>59.6</v>
      </c>
      <c r="Q6" s="31" t="n">
        <v>2816.03</v>
      </c>
      <c r="R6" s="30" t="inlineStr">
        <is>
          <t>Near 52W High Breakout</t>
        </is>
      </c>
      <c r="S6" s="30" t="inlineStr">
        <is>
          <t>Nifty Infra</t>
        </is>
      </c>
      <c r="T6" s="31" t="n">
        <v>3.72</v>
      </c>
      <c r="U6" s="31" t="n">
        <v>100.1</v>
      </c>
      <c r="V6" s="31" t="n">
        <v>92.93000000000001</v>
      </c>
      <c r="W6" s="31" t="n">
        <v>26.22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IF(B7=0,"",RANK(B7,$B$2:$B$361,0))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BLISSGVS</t>
        </is>
      </c>
      <c r="D7" s="30" t="inlineStr">
        <is>
          <t>Bliss Gvs Pharma Limited</t>
        </is>
      </c>
      <c r="E7" s="30" t="inlineStr">
        <is>
          <t>healthcare</t>
        </is>
      </c>
      <c r="F7" s="30" t="inlineStr">
        <is>
          <t>pharmaceuticals - indian - formulations</t>
        </is>
      </c>
      <c r="G7" s="30" t="inlineStr">
        <is>
          <t>smallcap</t>
        </is>
      </c>
      <c r="H7" s="31" t="n">
        <v>4780.6</v>
      </c>
      <c r="I7" s="31" t="n">
        <v>474.85</v>
      </c>
      <c r="J7" s="31" t="n">
        <v>5.08</v>
      </c>
      <c r="K7" s="31" t="n">
        <v>1969782</v>
      </c>
      <c r="L7" s="30" t="n">
        <v>96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89.90000000000001</v>
      </c>
      <c r="P7" s="31" t="n">
        <v>63.47</v>
      </c>
      <c r="Q7" s="31" t="n">
        <v>366.04</v>
      </c>
      <c r="R7" s="30" t="inlineStr">
        <is>
          <t>Near 52W High Breakout</t>
        </is>
      </c>
      <c r="S7" s="30" t="inlineStr">
        <is>
          <t>Nifty Pharma</t>
        </is>
      </c>
      <c r="T7" s="31" t="n">
        <v>11.72</v>
      </c>
      <c r="U7" s="31" t="n">
        <v>244.84</v>
      </c>
      <c r="V7" s="31" t="n">
        <v>208.66</v>
      </c>
      <c r="W7" s="31" t="n">
        <v>59.51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IF(B8=0,"",RANK(B8,$B$2:$B$361,0))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BAJAJCON</t>
        </is>
      </c>
      <c r="D8" s="30" t="inlineStr">
        <is>
          <t>Bajaj Consumer Care Ltd</t>
        </is>
      </c>
      <c r="E8" s="30" t="inlineStr">
        <is>
          <t>fmcg</t>
        </is>
      </c>
      <c r="F8" s="30" t="inlineStr">
        <is>
          <t>personal care - indian</t>
        </is>
      </c>
      <c r="G8" s="30" t="inlineStr">
        <is>
          <t>midcap</t>
        </is>
      </c>
      <c r="H8" s="31" t="n">
        <v>7842.98</v>
      </c>
      <c r="I8" s="31" t="n">
        <v>602.85</v>
      </c>
      <c r="J8" s="31" t="n">
        <v>0.4</v>
      </c>
      <c r="K8" s="31" t="n">
        <v>617156</v>
      </c>
      <c r="L8" s="30" t="n">
        <v>94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78.11</v>
      </c>
      <c r="P8" s="31" t="n">
        <v>56.02</v>
      </c>
      <c r="Q8" s="31" t="n">
        <v>473.01</v>
      </c>
      <c r="R8" s="30" t="inlineStr">
        <is>
          <t>Near 52W High Breakout</t>
        </is>
      </c>
      <c r="S8" s="30" t="inlineStr">
        <is>
          <t>Nifty FMCG</t>
        </is>
      </c>
      <c r="T8" s="31" t="n">
        <v>-9.289999999999999</v>
      </c>
      <c r="U8" s="31" t="n">
        <v>256.19</v>
      </c>
      <c r="V8" s="31" t="n">
        <v>292.67</v>
      </c>
      <c r="W8" s="31" t="n">
        <v>44.77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B2C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IF(B9=0,"",RANK(B9,$B$2:$B$361,0))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RADICO</t>
        </is>
      </c>
      <c r="D9" s="30" t="inlineStr">
        <is>
          <t>Radico Khaitan Limited</t>
        </is>
      </c>
      <c r="E9" s="30" t="inlineStr">
        <is>
          <t>fmcg</t>
        </is>
      </c>
      <c r="F9" s="30" t="inlineStr">
        <is>
          <t>breweries &amp; distilleries</t>
        </is>
      </c>
      <c r="G9" s="30" t="inlineStr">
        <is>
          <t>largecap</t>
        </is>
      </c>
      <c r="H9" s="31" t="n">
        <v>47918.05</v>
      </c>
      <c r="I9" s="31" t="n">
        <v>3572.2</v>
      </c>
      <c r="J9" s="31" t="n">
        <v>-0.18</v>
      </c>
      <c r="K9" s="31" t="n">
        <v>204287</v>
      </c>
      <c r="L9" s="30" t="n">
        <v>57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69.34</v>
      </c>
      <c r="P9" s="31" t="n">
        <v>35.8</v>
      </c>
      <c r="Q9" s="31" t="n">
        <v>2937.97</v>
      </c>
      <c r="R9" s="30" t="inlineStr">
        <is>
          <t>Near 52W High Breakout</t>
        </is>
      </c>
      <c r="S9" s="30" t="inlineStr">
        <is>
          <t>Nifty FMCG</t>
        </is>
      </c>
      <c r="T9" s="31" t="n">
        <v>-9.289999999999999</v>
      </c>
      <c r="U9" s="31" t="n">
        <v>35.87</v>
      </c>
      <c r="V9" s="31" t="n">
        <v>49.79</v>
      </c>
      <c r="W9" s="31" t="n">
        <v>14.52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B2C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20 to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IF(B10=0,"",RANK(B10,$B$2:$B$361,0))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VENUSREM</t>
        </is>
      </c>
      <c r="D10" s="30" t="inlineStr">
        <is>
          <t>Venus Remedies Limited</t>
        </is>
      </c>
      <c r="E10" s="30" t="inlineStr">
        <is>
          <t>healthcare</t>
        </is>
      </c>
      <c r="F10" s="30" t="inlineStr">
        <is>
          <t>pharmaceuticals - indian - formulations</t>
        </is>
      </c>
      <c r="G10" s="30" t="inlineStr">
        <is>
          <t>smallcap</t>
        </is>
      </c>
      <c r="H10" s="31" t="n">
        <v>2496.69</v>
      </c>
      <c r="I10" s="31" t="n">
        <v>1774.5</v>
      </c>
      <c r="J10" s="31" t="n">
        <v>-5</v>
      </c>
      <c r="K10" s="31" t="n">
        <v>42083</v>
      </c>
      <c r="L10" s="30" t="n">
        <v>96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81.20999999999999</v>
      </c>
      <c r="P10" s="31" t="n">
        <v>52.86</v>
      </c>
      <c r="Q10" s="31" t="n">
        <v>1358.02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11.72</v>
      </c>
      <c r="U10" s="31" t="n">
        <v>309.48</v>
      </c>
      <c r="V10" s="31" t="n">
        <v>266.52</v>
      </c>
      <c r="W10" s="31" t="n">
        <v>59.86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IF(B11=0,"",RANK(B11,$B$2:$B$361,0))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MTARTECH</t>
        </is>
      </c>
      <c r="D11" s="30" t="inlineStr">
        <is>
          <t>MTAR Technologies Ltd</t>
        </is>
      </c>
      <c r="E11" s="30" t="inlineStr">
        <is>
          <t>aerospace &amp; defence</t>
        </is>
      </c>
      <c r="F11" s="30" t="inlineStr">
        <is>
          <t>engineering</t>
        </is>
      </c>
      <c r="G11" s="30" t="inlineStr">
        <is>
          <t>largecap</t>
        </is>
      </c>
      <c r="H11" s="31" t="n">
        <v>23680.27</v>
      </c>
      <c r="I11" s="31" t="n">
        <v>8319</v>
      </c>
      <c r="J11" s="31" t="n">
        <v>8.06</v>
      </c>
      <c r="K11" s="31" t="n">
        <v>4240038</v>
      </c>
      <c r="L11" s="30" t="n">
        <v>98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80.51000000000001</v>
      </c>
      <c r="P11" s="31" t="n">
        <v>63.49</v>
      </c>
      <c r="Q11" s="31" t="n">
        <v>5902.33</v>
      </c>
      <c r="R11" s="30" t="inlineStr">
        <is>
          <t>Near 52W High Breakout</t>
        </is>
      </c>
      <c r="S11" s="30" t="inlineStr">
        <is>
          <t>Nifty 50</t>
        </is>
      </c>
      <c r="T11" s="31" t="n">
        <v>-4.09</v>
      </c>
      <c r="U11" s="31" t="n">
        <v>384.59</v>
      </c>
      <c r="V11" s="31" t="n">
        <v>405.25</v>
      </c>
      <c r="W11" s="31" t="n">
        <v>71.5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IF(B12=0,"",RANK(B12,$B$2:$B$361,0))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GAYAPROJ</t>
        </is>
      </c>
      <c r="D12" s="30" t="inlineStr">
        <is>
          <t>Gayatri Projects Limited</t>
        </is>
      </c>
      <c r="E12" s="30" t="inlineStr">
        <is>
          <t>realty</t>
        </is>
      </c>
      <c r="F12" s="30" t="inlineStr">
        <is>
          <t>construction</t>
        </is>
      </c>
      <c r="G12" s="30" t="inlineStr">
        <is>
          <t>smallcap</t>
        </is>
      </c>
      <c r="H12" s="31" t="n">
        <v>713.54</v>
      </c>
      <c r="I12" s="31" t="n">
        <v>25.26</v>
      </c>
      <c r="J12" s="31" t="n">
        <v>4.86</v>
      </c>
      <c r="K12" s="31" t="n">
        <v>2517674</v>
      </c>
      <c r="L12" s="30" t="n">
        <v>94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80.98</v>
      </c>
      <c r="P12" s="31" t="n">
        <v>60.34</v>
      </c>
      <c r="Q12" s="31" t="n">
        <v>20.43</v>
      </c>
      <c r="R12" s="30" t="inlineStr">
        <is>
          <t>Near 52W High Breakout</t>
        </is>
      </c>
      <c r="S12" s="30" t="inlineStr">
        <is>
          <t>Nifty Realty</t>
        </is>
      </c>
      <c r="T12" s="31" t="n">
        <v>-19.64</v>
      </c>
      <c r="U12" s="31" t="n">
        <v>195.44</v>
      </c>
      <c r="V12" s="31" t="n">
        <v>267.63</v>
      </c>
      <c r="W12" s="31" t="n">
        <v>45.44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IF(B13=0,"",RANK(B13,$B$2:$B$361,0))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RPTECH</t>
        </is>
      </c>
      <c r="D13" s="30" t="inlineStr">
        <is>
          <t>Rashi Peripherals Ltd</t>
        </is>
      </c>
      <c r="E13" s="30" t="inlineStr">
        <is>
          <t>services</t>
        </is>
      </c>
      <c r="F13" s="30" t="inlineStr">
        <is>
          <t>trading</t>
        </is>
      </c>
      <c r="G13" s="30" t="inlineStr">
        <is>
          <t>smallcap</t>
        </is>
      </c>
      <c r="H13" s="31" t="n">
        <v>4366.51</v>
      </c>
      <c r="I13" s="31" t="n">
        <v>685.8</v>
      </c>
      <c r="J13" s="31" t="n">
        <v>3.5</v>
      </c>
      <c r="K13" s="31" t="n">
        <v>17812129</v>
      </c>
      <c r="L13" s="30" t="n">
        <v>94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86.28</v>
      </c>
      <c r="P13" s="31" t="n">
        <v>53.78</v>
      </c>
      <c r="Q13" s="31" t="n">
        <v>528.36</v>
      </c>
      <c r="R13" s="30" t="inlineStr">
        <is>
          <t>Volume Spike &amp; Near 52W High Breakout</t>
        </is>
      </c>
      <c r="S13" s="30" t="inlineStr">
        <is>
          <t>Nifty 50</t>
        </is>
      </c>
      <c r="T13" s="31" t="n">
        <v>-4.09</v>
      </c>
      <c r="U13" s="31" t="n">
        <v>133.24</v>
      </c>
      <c r="V13" s="31" t="n">
        <v>143.18</v>
      </c>
      <c r="W13" s="31" t="n">
        <v>43.3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Less than 50%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IF(B14=0,"",RANK(B14,$B$2:$B$361,0))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THANGAMAYL</t>
        </is>
      </c>
      <c r="D14" s="30" t="inlineStr">
        <is>
          <t>Thangamayil Jewellery Limited</t>
        </is>
      </c>
      <c r="E14" s="30" t="inlineStr">
        <is>
          <t>consumer discretionary</t>
        </is>
      </c>
      <c r="F14" s="30" t="inlineStr">
        <is>
          <t>diamond cutting / jewellery</t>
        </is>
      </c>
      <c r="G14" s="30" t="inlineStr">
        <is>
          <t>midcap</t>
        </is>
      </c>
      <c r="H14" s="31" t="n">
        <v>16922.92</v>
      </c>
      <c r="I14" s="31" t="n">
        <v>5632.7</v>
      </c>
      <c r="J14" s="31" t="n">
        <v>3.45</v>
      </c>
      <c r="K14" s="31" t="n">
        <v>118289</v>
      </c>
      <c r="L14" s="30" t="n">
        <v>93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72.26000000000001</v>
      </c>
      <c r="P14" s="31" t="n">
        <v>40.06</v>
      </c>
      <c r="Q14" s="31" t="n">
        <v>4143.28</v>
      </c>
      <c r="R14" s="30" t="inlineStr">
        <is>
          <t>Near 52W High Breakout</t>
        </is>
      </c>
      <c r="S14" s="30" t="inlineStr">
        <is>
          <t>Nifty 50</t>
        </is>
      </c>
      <c r="T14" s="31" t="n">
        <v>-4.09</v>
      </c>
      <c r="U14" s="31" t="n">
        <v>201.41</v>
      </c>
      <c r="V14" s="31" t="n">
        <v>214.26</v>
      </c>
      <c r="W14" s="31" t="n">
        <v>41.68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IF(B15=0,"",RANK(B15,$B$2:$B$361,0))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NETWEB</t>
        </is>
      </c>
      <c r="D15" s="30" t="inlineStr">
        <is>
          <t>Netweb Technologies India Ltd</t>
        </is>
      </c>
      <c r="E15" s="30" t="inlineStr">
        <is>
          <t>i.t</t>
        </is>
      </c>
      <c r="F15" s="30" t="inlineStr">
        <is>
          <t>computers - hardware</t>
        </is>
      </c>
      <c r="G15" s="30" t="inlineStr">
        <is>
          <t>largecap</t>
        </is>
      </c>
      <c r="H15" s="31" t="n">
        <v>27812.11</v>
      </c>
      <c r="I15" s="31" t="n">
        <v>4911.5</v>
      </c>
      <c r="J15" s="31" t="n">
        <v>0.55</v>
      </c>
      <c r="K15" s="31" t="n">
        <v>2612717</v>
      </c>
      <c r="L15" s="30" t="n">
        <v>91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67.95999999999999</v>
      </c>
      <c r="P15" s="31" t="n">
        <v>45.2</v>
      </c>
      <c r="Q15" s="31" t="n">
        <v>3468.21</v>
      </c>
      <c r="R15" s="30" t="inlineStr">
        <is>
          <t>Near 52W High Breakout</t>
        </is>
      </c>
      <c r="S15" s="30" t="inlineStr">
        <is>
          <t>Nifty IT</t>
        </is>
      </c>
      <c r="T15" s="31" t="n">
        <v>-26.11</v>
      </c>
      <c r="U15" s="31" t="n">
        <v>178.75</v>
      </c>
      <c r="V15" s="31" t="n">
        <v>277.27</v>
      </c>
      <c r="W15" s="31" t="n">
        <v>37.07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Yes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Between 50% to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IF(B16=0,"",RANK(B16,$B$2:$B$361,0))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INDOBORAX</t>
        </is>
      </c>
      <c r="D16" s="30" t="inlineStr">
        <is>
          <t>Indo Borax &amp; Chemicals Ltd</t>
        </is>
      </c>
      <c r="E16" s="30" t="inlineStr">
        <is>
          <t>chemicals</t>
        </is>
      </c>
      <c r="F16" s="30" t="inlineStr">
        <is>
          <t>chemicals</t>
        </is>
      </c>
      <c r="G16" s="30" t="inlineStr">
        <is>
          <t>smallcap</t>
        </is>
      </c>
      <c r="H16" s="31" t="n">
        <v>1178.67</v>
      </c>
      <c r="I16" s="31" t="n">
        <v>363.1</v>
      </c>
      <c r="J16" s="31" t="n">
        <v>-1.14</v>
      </c>
      <c r="K16" s="31" t="n">
        <v>37899</v>
      </c>
      <c r="L16" s="30" t="n">
        <v>78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77</v>
      </c>
      <c r="P16" s="31" t="n">
        <v>52.58</v>
      </c>
      <c r="Q16" s="31" t="n">
        <v>295.31</v>
      </c>
      <c r="R16" s="30" t="inlineStr">
        <is>
          <t>Near 52W High Breakout</t>
        </is>
      </c>
      <c r="S16" s="30" t="inlineStr">
        <is>
          <t>Nifty 50</t>
        </is>
      </c>
      <c r="T16" s="31" t="n">
        <v>-4.09</v>
      </c>
      <c r="U16" s="31" t="n">
        <v>81.81999999999999</v>
      </c>
      <c r="V16" s="31" t="n">
        <v>89.56999999999999</v>
      </c>
      <c r="W16" s="31" t="n">
        <v>24.14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IF(B17=0,"",RANK(B17,$B$2:$B$361,0))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MOTHERSON</t>
        </is>
      </c>
      <c r="D17" s="30" t="inlineStr">
        <is>
          <t>Samvardhana Motherson International Ltd</t>
        </is>
      </c>
      <c r="E17" s="30" t="inlineStr">
        <is>
          <t>auto</t>
        </is>
      </c>
      <c r="F17" s="30" t="inlineStr">
        <is>
          <t>auto ancillaries</t>
        </is>
      </c>
      <c r="G17" s="30" t="inlineStr">
        <is>
          <t>largecap</t>
        </is>
      </c>
      <c r="H17" s="31" t="n">
        <v>155783.57</v>
      </c>
      <c r="I17" s="31" t="n">
        <v>145.1</v>
      </c>
      <c r="J17" s="31" t="n">
        <v>-1.69</v>
      </c>
      <c r="K17" s="31" t="n">
        <v>20551699</v>
      </c>
      <c r="L17" s="30" t="n">
        <v>58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66.76000000000001</v>
      </c>
      <c r="P17" s="31" t="n">
        <v>23.03</v>
      </c>
      <c r="Q17" s="31" t="n">
        <v>116.61</v>
      </c>
      <c r="R17" s="30" t="inlineStr">
        <is>
          <t>Near 52W High Breakout</t>
        </is>
      </c>
      <c r="S17" s="30" t="inlineStr">
        <is>
          <t>Nifty Auto</t>
        </is>
      </c>
      <c r="T17" s="31" t="n">
        <v>12.86</v>
      </c>
      <c r="U17" s="31" t="n">
        <v>45.7</v>
      </c>
      <c r="V17" s="31" t="n">
        <v>29.1</v>
      </c>
      <c r="W17" s="31" t="n">
        <v>14.64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IF(B18=0,"",RANK(B18,$B$2:$B$361,0))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CUPID</t>
        </is>
      </c>
      <c r="D18" s="30" t="inlineStr">
        <is>
          <t>Cupid Limited</t>
        </is>
      </c>
      <c r="E18" s="30" t="inlineStr">
        <is>
          <t>fmcg</t>
        </is>
      </c>
      <c r="F18" s="30" t="inlineStr">
        <is>
          <t>personal care - indian</t>
        </is>
      </c>
      <c r="G18" s="30" t="inlineStr">
        <is>
          <t>largecap</t>
        </is>
      </c>
      <c r="H18" s="31" t="n">
        <v>22172.11</v>
      </c>
      <c r="I18" s="31" t="n">
        <v>166.18</v>
      </c>
      <c r="J18" s="31" t="n">
        <v>0.78</v>
      </c>
      <c r="K18" s="31" t="n">
        <v>22652204</v>
      </c>
      <c r="L18" s="30" t="n">
        <v>99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82.69</v>
      </c>
      <c r="P18" s="31" t="n">
        <v>48.57</v>
      </c>
      <c r="Q18" s="31" t="n">
        <v>128.63</v>
      </c>
      <c r="R18" s="30" t="inlineStr">
        <is>
          <t>Near 52W High Breakout</t>
        </is>
      </c>
      <c r="S18" s="30" t="inlineStr">
        <is>
          <t>Nifty FMCG</t>
        </is>
      </c>
      <c r="T18" s="31" t="n">
        <v>-9.289999999999999</v>
      </c>
      <c r="U18" s="31" t="n">
        <v>794.21</v>
      </c>
      <c r="V18" s="31" t="n">
        <v>885.78</v>
      </c>
      <c r="W18" s="31" t="n">
        <v>89.2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B2C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Above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Less than 50%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IF(B19=0,"",RANK(B19,$B$2:$B$361,0))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NGLFINE</t>
        </is>
      </c>
      <c r="D19" s="30" t="inlineStr">
        <is>
          <t>NGL Fine Chem Ltd</t>
        </is>
      </c>
      <c r="E19" s="30" t="inlineStr">
        <is>
          <t>healthcare</t>
        </is>
      </c>
      <c r="F19" s="30" t="inlineStr">
        <is>
          <t>pharmaceuticals - indian - bulk drugs</t>
        </is>
      </c>
      <c r="G19" s="30" t="inlineStr">
        <is>
          <t>smallcap</t>
        </is>
      </c>
      <c r="H19" s="31" t="n">
        <v>1839.01</v>
      </c>
      <c r="I19" s="31" t="n">
        <v>2930.3</v>
      </c>
      <c r="J19" s="31" t="n">
        <v>-1.56</v>
      </c>
      <c r="K19" s="31" t="n">
        <v>35458</v>
      </c>
      <c r="L19" s="30" t="n">
        <v>89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73.5</v>
      </c>
      <c r="P19" s="31" t="n">
        <v>65.51000000000001</v>
      </c>
      <c r="Q19" s="31" t="n">
        <v>2026.99</v>
      </c>
      <c r="R19" s="30" t="inlineStr">
        <is>
          <t>Near 52W High Breakout</t>
        </is>
      </c>
      <c r="S19" s="30" t="inlineStr">
        <is>
          <t>Nifty Pharma</t>
        </is>
      </c>
      <c r="T19" s="31" t="n">
        <v>11.72</v>
      </c>
      <c r="U19" s="31" t="n">
        <v>193.45</v>
      </c>
      <c r="V19" s="31" t="n">
        <v>162.66</v>
      </c>
      <c r="W19" s="31" t="n">
        <v>34.23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IF(B20=0,"",RANK(B20,$B$2:$B$361,0))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STCINDIA</t>
        </is>
      </c>
      <c r="D20" s="30" t="inlineStr">
        <is>
          <t>The State Trading Corporation Of India Limited</t>
        </is>
      </c>
      <c r="E20" s="30" t="inlineStr">
        <is>
          <t>services</t>
        </is>
      </c>
      <c r="F20" s="30" t="inlineStr">
        <is>
          <t>trading</t>
        </is>
      </c>
      <c r="G20" s="30" t="inlineStr">
        <is>
          <t>smallcap</t>
        </is>
      </c>
      <c r="H20" s="31" t="n">
        <v>766.4400000000001</v>
      </c>
      <c r="I20" s="31" t="n">
        <v>145.09</v>
      </c>
      <c r="J20" s="31" t="n">
        <v>13.58</v>
      </c>
      <c r="K20" s="31" t="n">
        <v>3239198</v>
      </c>
      <c r="L20" s="30" t="n">
        <v>29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64.8</v>
      </c>
      <c r="P20" s="31" t="n">
        <v>22.82</v>
      </c>
      <c r="Q20" s="31" t="n">
        <v>104.44</v>
      </c>
      <c r="R20" s="30" t="inlineStr">
        <is>
          <t>Volume Spike &amp; Near 52W High Breakout</t>
        </is>
      </c>
      <c r="S20" s="30" t="inlineStr">
        <is>
          <t>Nifty 50</t>
        </is>
      </c>
      <c r="T20" s="31" t="n">
        <v>-4.09</v>
      </c>
      <c r="U20" s="31" t="n">
        <v>-0.74</v>
      </c>
      <c r="V20" s="31" t="n">
        <v>3.49</v>
      </c>
      <c r="W20" s="31" t="n">
        <v>8.24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One Time, Lower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IF(B21=0,"",RANK(B21,$B$2:$B$361,0))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GOLDIAM</t>
        </is>
      </c>
      <c r="D21" s="30" t="inlineStr">
        <is>
          <t>Goldiam International Limited</t>
        </is>
      </c>
      <c r="E21" s="30" t="inlineStr">
        <is>
          <t>consumer discretionary</t>
        </is>
      </c>
      <c r="F21" s="30" t="inlineStr">
        <is>
          <t>diamond cutting / jewellery</t>
        </is>
      </c>
      <c r="G21" s="30" t="inlineStr">
        <is>
          <t>midcap</t>
        </is>
      </c>
      <c r="H21" s="31" t="n">
        <v>5483.86</v>
      </c>
      <c r="I21" s="31" t="n">
        <v>500</v>
      </c>
      <c r="J21" s="31" t="n">
        <v>2.95</v>
      </c>
      <c r="K21" s="31" t="n">
        <v>1607470</v>
      </c>
      <c r="L21" s="30" t="n">
        <v>80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67.01000000000001</v>
      </c>
      <c r="P21" s="31" t="n">
        <v>28.72</v>
      </c>
      <c r="Q21" s="31" t="n">
        <v>364.19</v>
      </c>
      <c r="R21" s="30" t="inlineStr">
        <is>
          <t>Near 52W High Breakout</t>
        </is>
      </c>
      <c r="S21" s="30" t="inlineStr">
        <is>
          <t>Nifty 50</t>
        </is>
      </c>
      <c r="T21" s="31" t="n">
        <v>-4.09</v>
      </c>
      <c r="U21" s="31" t="n">
        <v>45.55</v>
      </c>
      <c r="V21" s="31" t="n">
        <v>51.76</v>
      </c>
      <c r="W21" s="31" t="n">
        <v>25.26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One Time, Lower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Less than 50%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IF(B22=0,"",RANK(B22,$B$2:$B$361,0))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IDEA</t>
        </is>
      </c>
      <c r="D22" s="30" t="inlineStr">
        <is>
          <t>Vodafone Idea Ltd</t>
        </is>
      </c>
      <c r="E22" s="30" t="inlineStr">
        <is>
          <t>telecom-service</t>
        </is>
      </c>
      <c r="F22" s="30" t="inlineStr">
        <is>
          <t>telecommunications - service provider</t>
        </is>
      </c>
      <c r="G22" s="30" t="inlineStr">
        <is>
          <t>largecap</t>
        </is>
      </c>
      <c r="H22" s="31" t="n">
        <v>158397.52</v>
      </c>
      <c r="I22" s="31" t="n">
        <v>14.92</v>
      </c>
      <c r="J22" s="31" t="n">
        <v>2.05</v>
      </c>
      <c r="K22" s="31" t="n">
        <v>503061861</v>
      </c>
      <c r="L22" s="30" t="n">
        <v>89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74.83</v>
      </c>
      <c r="P22" s="31" t="n">
        <v>28.8</v>
      </c>
      <c r="Q22" s="31" t="n">
        <v>11.71</v>
      </c>
      <c r="R22" s="30" t="inlineStr">
        <is>
          <t>Near 52W High Breakout</t>
        </is>
      </c>
      <c r="S22" s="30" t="inlineStr">
        <is>
          <t>Nifty 500</t>
        </is>
      </c>
      <c r="T22" s="31" t="n">
        <v>0.3</v>
      </c>
      <c r="U22" s="31" t="n">
        <v>127.44</v>
      </c>
      <c r="V22" s="31" t="n">
        <v>126.76</v>
      </c>
      <c r="W22" s="31" t="n">
        <v>33.6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Oligopoly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IF(B23=0,"",RANK(B23,$B$2:$B$361,0))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CARYSIL</t>
        </is>
      </c>
      <c r="D23" s="30" t="inlineStr">
        <is>
          <t>Carysil Ltd</t>
        </is>
      </c>
      <c r="E23" s="30" t="inlineStr">
        <is>
          <t>consumer discretionary</t>
        </is>
      </c>
      <c r="F23" s="30" t="inlineStr">
        <is>
          <t>domestic appliances</t>
        </is>
      </c>
      <c r="G23" s="30" t="inlineStr">
        <is>
          <t>smallcap</t>
        </is>
      </c>
      <c r="H23" s="31" t="n">
        <v>3360.78</v>
      </c>
      <c r="I23" s="31" t="n">
        <v>1187.8</v>
      </c>
      <c r="J23" s="31" t="n">
        <v>0.52</v>
      </c>
      <c r="K23" s="31" t="n">
        <v>154929</v>
      </c>
      <c r="L23" s="30" t="n">
        <v>69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71.68000000000001</v>
      </c>
      <c r="P23" s="31" t="n">
        <v>23.35</v>
      </c>
      <c r="Q23" s="31" t="n">
        <v>896.03</v>
      </c>
      <c r="R23" s="30" t="inlineStr">
        <is>
          <t>Near 52W High Breakout</t>
        </is>
      </c>
      <c r="S23" s="30" t="inlineStr">
        <is>
          <t>Nifty 50</t>
        </is>
      </c>
      <c r="T23" s="31" t="n">
        <v>-4.09</v>
      </c>
      <c r="U23" s="31" t="n">
        <v>38.1</v>
      </c>
      <c r="V23" s="31" t="n">
        <v>43.98</v>
      </c>
      <c r="W23" s="31" t="n">
        <v>19.09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Between 50% to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IF(B24=0,"",RANK(B24,$B$2:$B$361,0))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MAYURUNIQ</t>
        </is>
      </c>
      <c r="D24" s="30" t="inlineStr">
        <is>
          <t>Mayur Uniquoters Ltd</t>
        </is>
      </c>
      <c r="E24" s="30" t="inlineStr">
        <is>
          <t>consumer discretionary</t>
        </is>
      </c>
      <c r="F24" s="30" t="inlineStr">
        <is>
          <t>leather / leather products</t>
        </is>
      </c>
      <c r="G24" s="30" t="inlineStr">
        <is>
          <t>smallcap</t>
        </is>
      </c>
      <c r="H24" s="31" t="n">
        <v>3580.28</v>
      </c>
      <c r="I24" s="31" t="n">
        <v>826.75</v>
      </c>
      <c r="J24" s="31" t="n">
        <v>0.34</v>
      </c>
      <c r="K24" s="31" t="n">
        <v>120913</v>
      </c>
      <c r="L24" s="30" t="n">
        <v>77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79.48</v>
      </c>
      <c r="P24" s="31" t="n">
        <v>40.58</v>
      </c>
      <c r="Q24" s="31" t="n">
        <v>648.83</v>
      </c>
      <c r="R24" s="30" t="inlineStr">
        <is>
          <t>Near 52W High Breakout</t>
        </is>
      </c>
      <c r="S24" s="30" t="inlineStr">
        <is>
          <t>Nifty 50</t>
        </is>
      </c>
      <c r="T24" s="31" t="n">
        <v>-4.09</v>
      </c>
      <c r="U24" s="31" t="n">
        <v>50.81</v>
      </c>
      <c r="V24" s="31" t="n">
        <v>57.23</v>
      </c>
      <c r="W24" s="31" t="n">
        <v>23.59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IF(B25=0,"",RANK(B25,$B$2:$B$361,0))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KPIL</t>
        </is>
      </c>
      <c r="D25" s="30" t="inlineStr">
        <is>
          <t>Kalpataru Projects International Ltd</t>
        </is>
      </c>
      <c r="E25" s="30" t="inlineStr">
        <is>
          <t>realty</t>
        </is>
      </c>
      <c r="F25" s="30" t="inlineStr">
        <is>
          <t>transmisson line towers / equipment</t>
        </is>
      </c>
      <c r="G25" s="30" t="inlineStr">
        <is>
          <t>largecap</t>
        </is>
      </c>
      <c r="H25" s="31" t="n">
        <v>23322.41</v>
      </c>
      <c r="I25" s="31" t="n">
        <v>1369.3</v>
      </c>
      <c r="J25" s="31" t="n">
        <v>0.26</v>
      </c>
      <c r="K25" s="31" t="n">
        <v>374939</v>
      </c>
      <c r="L25" s="30" t="n">
        <v>38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66.72</v>
      </c>
      <c r="P25" s="31" t="n">
        <v>22.26</v>
      </c>
      <c r="Q25" s="31" t="n">
        <v>1116.7</v>
      </c>
      <c r="R25" s="30" t="inlineStr">
        <is>
          <t>Volume Spike &amp; Near 52W High Breakout</t>
        </is>
      </c>
      <c r="S25" s="30" t="inlineStr">
        <is>
          <t>Nifty Realty</t>
        </is>
      </c>
      <c r="T25" s="31" t="n">
        <v>-19.64</v>
      </c>
      <c r="U25" s="31" t="n">
        <v>18.95</v>
      </c>
      <c r="V25" s="31" t="n">
        <v>48.01</v>
      </c>
      <c r="W25" s="31" t="n">
        <v>9.94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IF(B26=0,"",RANK(B26,$B$2:$B$361,0))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SJS</t>
        </is>
      </c>
      <c r="D26" s="30" t="inlineStr">
        <is>
          <t>S J S Enterprises Ltd</t>
        </is>
      </c>
      <c r="E26" s="30" t="inlineStr">
        <is>
          <t>auto</t>
        </is>
      </c>
      <c r="F26" s="30" t="inlineStr">
        <is>
          <t>plastics products</t>
        </is>
      </c>
      <c r="G26" s="30" t="inlineStr">
        <is>
          <t>midcap</t>
        </is>
      </c>
      <c r="H26" s="31" t="n">
        <v>7101.69</v>
      </c>
      <c r="I26" s="31" t="n">
        <v>2193.5</v>
      </c>
      <c r="J26" s="31" t="n">
        <v>-1.17</v>
      </c>
      <c r="K26" s="31" t="n">
        <v>113799</v>
      </c>
      <c r="L26" s="30" t="n">
        <v>73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66.11</v>
      </c>
      <c r="P26" s="31" t="n">
        <v>24.29</v>
      </c>
      <c r="Q26" s="31" t="n">
        <v>1714.92</v>
      </c>
      <c r="R26" s="30" t="inlineStr">
        <is>
          <t>Near 52W High Breakout</t>
        </is>
      </c>
      <c r="S26" s="30" t="inlineStr">
        <is>
          <t>Nifty Auto</t>
        </is>
      </c>
      <c r="T26" s="31" t="n">
        <v>12.86</v>
      </c>
      <c r="U26" s="31" t="n">
        <v>77.34</v>
      </c>
      <c r="V26" s="31" t="n">
        <v>57.14</v>
      </c>
      <c r="W26" s="31" t="n">
        <v>20.97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IF(B27=0,"",RANK(B27,$B$2:$B$361,0))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SANGHVIMOV</t>
        </is>
      </c>
      <c r="D27" s="30" t="inlineStr">
        <is>
          <t>Sanghvi Movers Limited</t>
        </is>
      </c>
      <c r="E27" s="30" t="inlineStr">
        <is>
          <t>miscellaneous</t>
        </is>
      </c>
      <c r="F27" s="30" t="inlineStr">
        <is>
          <t>miscellaneous</t>
        </is>
      </c>
      <c r="G27" s="30" t="inlineStr">
        <is>
          <t>smallcap</t>
        </is>
      </c>
      <c r="H27" s="31" t="n">
        <v>3653.94</v>
      </c>
      <c r="I27" s="31" t="n">
        <v>416.5</v>
      </c>
      <c r="J27" s="31" t="n">
        <v>-1.32</v>
      </c>
      <c r="K27" s="31" t="n">
        <v>447998</v>
      </c>
      <c r="L27" s="30" t="n">
        <v>84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68.18000000000001</v>
      </c>
      <c r="P27" s="31" t="n">
        <v>21.34</v>
      </c>
      <c r="Q27" s="31" t="n">
        <v>304.08</v>
      </c>
      <c r="R27" s="30" t="inlineStr">
        <is>
          <t>Near 52W High Breakout</t>
        </is>
      </c>
      <c r="S27" s="30" t="inlineStr">
        <is>
          <t>Nifty 50</t>
        </is>
      </c>
      <c r="T27" s="31" t="n">
        <v>-4.09</v>
      </c>
      <c r="U27" s="31" t="n">
        <v>49.1</v>
      </c>
      <c r="V27" s="31" t="n">
        <v>55.46</v>
      </c>
      <c r="W27" s="31" t="n">
        <v>28.18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IF(B28=0,"",RANK(B28,$B$2:$B$361,0))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GVPIL</t>
        </is>
      </c>
      <c r="D28" s="30" t="inlineStr">
        <is>
          <t>GE Power India Ltd</t>
        </is>
      </c>
      <c r="E28" s="30" t="inlineStr">
        <is>
          <t>realty</t>
        </is>
      </c>
      <c r="F28" s="30" t="inlineStr">
        <is>
          <t>engineering - turnkey services</t>
        </is>
      </c>
      <c r="G28" s="30" t="inlineStr">
        <is>
          <t>midcap</t>
        </is>
      </c>
      <c r="H28" s="31" t="n">
        <v>6889.47</v>
      </c>
      <c r="I28" s="31" t="n">
        <v>1055.2</v>
      </c>
      <c r="J28" s="31" t="n">
        <v>2.97</v>
      </c>
      <c r="K28" s="31" t="n">
        <v>803906</v>
      </c>
      <c r="L28" s="30" t="n">
        <v>97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90.59999999999999</v>
      </c>
      <c r="P28" s="31" t="n">
        <v>58.79</v>
      </c>
      <c r="Q28" s="31" t="n">
        <v>821.83</v>
      </c>
      <c r="R28" s="30" t="inlineStr">
        <is>
          <t>Near 52W High Breakout</t>
        </is>
      </c>
      <c r="S28" s="30" t="inlineStr">
        <is>
          <t>Nifty Realty</t>
        </is>
      </c>
      <c r="T28" s="31" t="n">
        <v>-19.64</v>
      </c>
      <c r="U28" s="31" t="n">
        <v>247.28</v>
      </c>
      <c r="V28" s="31" t="n">
        <v>332.13</v>
      </c>
      <c r="W28" s="31" t="n">
        <v>67.31999999999999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Duopoly That Cooperate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Shallow Cyclical (2 to 3 Years Growth)</t>
        </is>
      </c>
      <c r="AG28" s="30">
        <f>IF(AF28="Structural (10 Years Consistency)",10,IF(AF28="Shallow Cyclical (2 to 3 years growth)",5,0))</f>
        <v/>
      </c>
      <c r="AH28" s="30" t="inlineStr">
        <is>
          <t>Yes due to Product Mix change or Operating Leverage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B2C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Fully Annuity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only for next 1 to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Between 0.7 to 1.2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IF(B29=0,"",RANK(B29,$B$2:$B$361,0))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METROPOLIS</t>
        </is>
      </c>
      <c r="D29" s="30" t="inlineStr">
        <is>
          <t>Metropolis Healthcare Ltd</t>
        </is>
      </c>
      <c r="E29" s="30" t="inlineStr">
        <is>
          <t>healthcare</t>
        </is>
      </c>
      <c r="F29" s="30" t="inlineStr">
        <is>
          <t>healthcare</t>
        </is>
      </c>
      <c r="G29" s="30" t="inlineStr">
        <is>
          <t>midcap</t>
        </is>
      </c>
      <c r="H29" s="31" t="n">
        <v>11074.41</v>
      </c>
      <c r="I29" s="31" t="n">
        <v>545.6</v>
      </c>
      <c r="J29" s="31" t="n">
        <v>2.14</v>
      </c>
      <c r="K29" s="31" t="n">
        <v>384614</v>
      </c>
      <c r="L29" s="30" t="n">
        <v>41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61.26</v>
      </c>
      <c r="P29" s="31" t="n">
        <v>26.69</v>
      </c>
      <c r="Q29" s="31" t="n">
        <v>435.8</v>
      </c>
      <c r="R29" s="30" t="inlineStr">
        <is>
          <t>Near 52W High Breakout</t>
        </is>
      </c>
      <c r="S29" s="30" t="inlineStr">
        <is>
          <t>Nifty Pharma</t>
        </is>
      </c>
      <c r="T29" s="31" t="n">
        <v>11.72</v>
      </c>
      <c r="U29" s="31" t="n">
        <v>27.09</v>
      </c>
      <c r="V29" s="31" t="n">
        <v>13.75</v>
      </c>
      <c r="W29" s="31" t="n">
        <v>10.75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IF(B30=0,"",RANK(B30,$B$2:$B$361,0))</f>
        <v/>
      </c>
      <c r="B30" s="31">
        <f>SUM(N30,Y30,AA30,AC30,AE30,AG30,AI30,AK30,AM30,AO30,AQ30,AS30,AU30,AW30,AY30,BA30,BC30,BE30,BG30,BI30,BK30,BM30,BO30,BQ30,BS30,BU30,BW30,BY30,CA30,CC30,CE30)</f>
        <v/>
      </c>
      <c r="C30" s="32" t="inlineStr">
        <is>
          <t>PGHL</t>
        </is>
      </c>
      <c r="D30" s="32" t="inlineStr">
        <is>
          <t>Procter &amp; Gamble Health Ltd</t>
        </is>
      </c>
      <c r="E30" s="30" t="inlineStr">
        <is>
          <t>healthcare</t>
        </is>
      </c>
      <c r="F30" s="30" t="inlineStr">
        <is>
          <t>pharmaceuticals - multinational</t>
        </is>
      </c>
      <c r="G30" s="30" t="inlineStr">
        <is>
          <t>midcap</t>
        </is>
      </c>
      <c r="H30" s="31" t="n">
        <v>10335.61</v>
      </c>
      <c r="I30" s="31" t="n">
        <v>6249.5</v>
      </c>
      <c r="J30" s="31" t="n">
        <v>0.37</v>
      </c>
      <c r="K30" s="31" t="n">
        <v>8072</v>
      </c>
      <c r="L30" s="30" t="n">
        <v>31</v>
      </c>
      <c r="M30" s="30" t="inlineStr">
        <is>
          <t>Underperforming</t>
        </is>
      </c>
      <c r="N30" s="31">
        <f>IF(M30="Underperforming",-5,IF(L30&gt;=95,15,IF(L30&gt;=90,10,IF(L30&gt;=80,5,0))))</f>
        <v/>
      </c>
      <c r="O30" s="31" t="n">
        <v>73.72</v>
      </c>
      <c r="P30" s="31" t="n">
        <v>39.96</v>
      </c>
      <c r="Q30" s="31" t="n">
        <v>5349.01</v>
      </c>
      <c r="R30" s="30" t="inlineStr">
        <is>
          <t>Near 52W High Breakout</t>
        </is>
      </c>
      <c r="S30" s="30" t="inlineStr">
        <is>
          <t>Nifty Pharma</t>
        </is>
      </c>
      <c r="T30" s="31" t="n">
        <v>11.72</v>
      </c>
      <c r="U30" s="31" t="n">
        <v>9.76</v>
      </c>
      <c r="V30" s="31" t="n">
        <v>-1.76</v>
      </c>
      <c r="W30" s="31" t="n">
        <v>8.609999999999999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IF(B31=0,"",RANK(B31,$B$2:$B$361,0))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SKMEGGPROD</t>
        </is>
      </c>
      <c r="D31" s="30" t="inlineStr">
        <is>
          <t>Skm Egg Products Export (india) Limited</t>
        </is>
      </c>
      <c r="E31" s="30" t="inlineStr">
        <is>
          <t>fmcg</t>
        </is>
      </c>
      <c r="F31" s="30" t="inlineStr">
        <is>
          <t>food - processing - indian</t>
        </is>
      </c>
      <c r="G31" s="30" t="inlineStr">
        <is>
          <t>smallcap</t>
        </is>
      </c>
      <c r="H31" s="31" t="n">
        <v>1283.9</v>
      </c>
      <c r="I31" s="31" t="n">
        <v>244.31</v>
      </c>
      <c r="J31" s="31" t="n">
        <v>0.21</v>
      </c>
      <c r="K31" s="31" t="n">
        <v>389920</v>
      </c>
      <c r="L31" s="30" t="n">
        <v>86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69.81999999999999</v>
      </c>
      <c r="P31" s="31" t="n">
        <v>22.1</v>
      </c>
      <c r="Q31" s="31" t="n">
        <v>171.78</v>
      </c>
      <c r="R31" s="30" t="inlineStr">
        <is>
          <t>Near 52W High Breakout</t>
        </is>
      </c>
      <c r="S31" s="30" t="inlineStr">
        <is>
          <t>Nifty FMCG</t>
        </is>
      </c>
      <c r="T31" s="31" t="n">
        <v>-9.289999999999999</v>
      </c>
      <c r="U31" s="31" t="n">
        <v>93.93000000000001</v>
      </c>
      <c r="V31" s="31" t="n">
        <v>113.79</v>
      </c>
      <c r="W31" s="31" t="n">
        <v>29.48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B2C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Annuity, Lower One Time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IF(B32=0,"",RANK(B32,$B$2:$B$361,0))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ADFFOODS</t>
        </is>
      </c>
      <c r="D32" s="30" t="inlineStr">
        <is>
          <t>Adf Foods Limited</t>
        </is>
      </c>
      <c r="E32" s="30" t="inlineStr">
        <is>
          <t>fmcg</t>
        </is>
      </c>
      <c r="F32" s="30" t="inlineStr">
        <is>
          <t>food - processing - indian</t>
        </is>
      </c>
      <c r="G32" s="30" t="inlineStr">
        <is>
          <t>smallcap</t>
        </is>
      </c>
      <c r="H32" s="31" t="n">
        <v>3309.64</v>
      </c>
      <c r="I32" s="31" t="n">
        <v>301.3</v>
      </c>
      <c r="J32" s="31" t="n">
        <v>0.02</v>
      </c>
      <c r="K32" s="31" t="n">
        <v>331910</v>
      </c>
      <c r="L32" s="30" t="n">
        <v>73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67.61</v>
      </c>
      <c r="P32" s="31" t="n">
        <v>31.28</v>
      </c>
      <c r="Q32" s="31" t="n">
        <v>219.12</v>
      </c>
      <c r="R32" s="30" t="inlineStr">
        <is>
          <t>Near 52W High Breakout</t>
        </is>
      </c>
      <c r="S32" s="30" t="inlineStr">
        <is>
          <t>Nifty FMCG</t>
        </is>
      </c>
      <c r="T32" s="31" t="n">
        <v>-9.289999999999999</v>
      </c>
      <c r="U32" s="31" t="n">
        <v>11.05</v>
      </c>
      <c r="V32" s="31" t="n">
        <v>22.42</v>
      </c>
      <c r="W32" s="31" t="n">
        <v>20.92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B2C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IF(B33=0,"",RANK(B33,$B$2:$B$361,0))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AVTNPL</t>
        </is>
      </c>
      <c r="D33" s="30" t="inlineStr">
        <is>
          <t>Avt Natural Products Limited</t>
        </is>
      </c>
      <c r="E33" s="30" t="inlineStr">
        <is>
          <t>fmcg</t>
        </is>
      </c>
      <c r="F33" s="30" t="inlineStr">
        <is>
          <t>solvent extraction</t>
        </is>
      </c>
      <c r="G33" s="30" t="inlineStr">
        <is>
          <t>smallcap</t>
        </is>
      </c>
      <c r="H33" s="31" t="n">
        <v>1116.09</v>
      </c>
      <c r="I33" s="31" t="n">
        <v>72.09999999999999</v>
      </c>
      <c r="J33" s="31" t="n">
        <v>-1.62</v>
      </c>
      <c r="K33" s="31" t="n">
        <v>67504</v>
      </c>
      <c r="L33" s="30" t="n">
        <v>26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59.47</v>
      </c>
      <c r="P33" s="31" t="n">
        <v>25.52</v>
      </c>
      <c r="Q33" s="31" t="n">
        <v>55.17</v>
      </c>
      <c r="R33" s="30" t="inlineStr">
        <is>
          <t>Near 52W High Breakout</t>
        </is>
      </c>
      <c r="S33" s="30" t="inlineStr">
        <is>
          <t>Nifty FMCG</t>
        </is>
      </c>
      <c r="T33" s="31" t="n">
        <v>-9.289999999999999</v>
      </c>
      <c r="U33" s="31" t="n">
        <v>11.79</v>
      </c>
      <c r="V33" s="31" t="n">
        <v>23.23</v>
      </c>
      <c r="W33" s="31" t="n">
        <v>7.58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B2C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Annuity, Lower One Time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Less than 50%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IF(B34=0,"",RANK(B34,$B$2:$B$361,0))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NINSYS</t>
        </is>
      </c>
      <c r="D34" s="30" t="inlineStr">
        <is>
          <t>NINtec Systems Ltd</t>
        </is>
      </c>
      <c r="E34" s="30" t="inlineStr">
        <is>
          <t>i.t</t>
        </is>
      </c>
      <c r="F34" s="30" t="inlineStr">
        <is>
          <t>computers - software - medium / small</t>
        </is>
      </c>
      <c r="G34" s="30" t="inlineStr">
        <is>
          <t>smallcap</t>
        </is>
      </c>
      <c r="H34" s="31" t="n">
        <v>1309.24</v>
      </c>
      <c r="I34" s="31" t="n">
        <v>692.35</v>
      </c>
      <c r="J34" s="31" t="n">
        <v>-1.77</v>
      </c>
      <c r="K34" s="31" t="n">
        <v>2124</v>
      </c>
      <c r="L34" s="30" t="n">
        <v>95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78.37</v>
      </c>
      <c r="P34" s="31" t="n">
        <v>51.6</v>
      </c>
      <c r="Q34" s="31" t="n">
        <v>544.92</v>
      </c>
      <c r="R34" s="30" t="inlineStr">
        <is>
          <t>Near 52W High Breakout</t>
        </is>
      </c>
      <c r="S34" s="30" t="inlineStr">
        <is>
          <t>Nifty IT</t>
        </is>
      </c>
      <c r="T34" s="31" t="n">
        <v>-26.11</v>
      </c>
      <c r="U34" s="31" t="n">
        <v>53.63</v>
      </c>
      <c r="V34" s="31" t="n">
        <v>107.93</v>
      </c>
      <c r="W34" s="31" t="n">
        <v>47.74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Annuity, Lower One Time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Between 12 to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Above 2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IF(B35=0,"",RANK(B35,$B$2:$B$361,0))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BHAGYANGR</t>
        </is>
      </c>
      <c r="D35" s="30" t="inlineStr">
        <is>
          <t>Bhagyanagar India</t>
        </is>
      </c>
      <c r="E35" s="30" t="inlineStr">
        <is>
          <t>power &amp; utilities</t>
        </is>
      </c>
      <c r="F35" s="30" t="inlineStr">
        <is>
          <t>power generation and supply</t>
        </is>
      </c>
      <c r="G35" s="30" t="inlineStr">
        <is>
          <t>smallcap</t>
        </is>
      </c>
      <c r="H35" s="31" t="n">
        <v>1095.51</v>
      </c>
      <c r="I35" s="31" t="n">
        <v>359.5</v>
      </c>
      <c r="J35" s="31" t="n">
        <v>4.99</v>
      </c>
      <c r="K35" s="31" t="n">
        <v>134205</v>
      </c>
      <c r="L35" s="30" t="n">
        <v>98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80.20999999999999</v>
      </c>
      <c r="P35" s="31" t="n">
        <v>60.03</v>
      </c>
      <c r="Q35" s="31" t="n">
        <v>257.99</v>
      </c>
      <c r="R35" s="30" t="inlineStr">
        <is>
          <t>Near 52W High Breakout</t>
        </is>
      </c>
      <c r="S35" s="30" t="inlineStr">
        <is>
          <t>Nifty IT</t>
        </is>
      </c>
      <c r="T35" s="31" t="n">
        <v>-26.11</v>
      </c>
      <c r="U35" s="31" t="n">
        <v>358.14</v>
      </c>
      <c r="V35" s="31" t="n">
        <v>520.05</v>
      </c>
      <c r="W35" s="31" t="n">
        <v>72.90000000000001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Between 50% to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Between 0.7 to 1.2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IF(B36=0,"",RANK(B36,$B$2:$B$361,0))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RISHABH</t>
        </is>
      </c>
      <c r="D36" s="30" t="inlineStr">
        <is>
          <t>Rishabh Instruments Ltd</t>
        </is>
      </c>
      <c r="E36" s="30" t="inlineStr">
        <is>
          <t>industrials</t>
        </is>
      </c>
      <c r="F36" s="30" t="inlineStr">
        <is>
          <t>electric equipment</t>
        </is>
      </c>
      <c r="G36" s="30" t="inlineStr">
        <is>
          <t>smallcap</t>
        </is>
      </c>
      <c r="H36" s="31" t="n">
        <v>2124.46</v>
      </c>
      <c r="I36" s="31" t="n">
        <v>571</v>
      </c>
      <c r="J36" s="31" t="n">
        <v>3.6</v>
      </c>
      <c r="K36" s="31" t="n">
        <v>222295</v>
      </c>
      <c r="L36" s="30" t="n">
        <v>82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66.72</v>
      </c>
      <c r="P36" s="31" t="n">
        <v>30.53</v>
      </c>
      <c r="Q36" s="31" t="n">
        <v>410.04</v>
      </c>
      <c r="R36" s="30" t="inlineStr">
        <is>
          <t>Near 52W High Breakout</t>
        </is>
      </c>
      <c r="S36" s="30" t="inlineStr">
        <is>
          <t>Nifty 50</t>
        </is>
      </c>
      <c r="T36" s="31" t="n">
        <v>-4.09</v>
      </c>
      <c r="U36" s="31" t="n">
        <v>100.63</v>
      </c>
      <c r="V36" s="31" t="n">
        <v>109.18</v>
      </c>
      <c r="W36" s="31" t="n">
        <v>26.77</v>
      </c>
      <c r="X36" s="30" t="inlineStr">
        <is>
          <t>Cyclical in an Upturn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IF(B37=0,"",RANK(B37,$B$2:$B$361,0))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IDEAFORGE</t>
        </is>
      </c>
      <c r="D37" s="30" t="inlineStr">
        <is>
          <t>Ideaforge Technology Ltd</t>
        </is>
      </c>
      <c r="E37" s="30" t="inlineStr">
        <is>
          <t>aerospace &amp; defence</t>
        </is>
      </c>
      <c r="F37" s="30" t="inlineStr">
        <is>
          <t>engineering</t>
        </is>
      </c>
      <c r="G37" s="30" t="inlineStr">
        <is>
          <t>smallcap</t>
        </is>
      </c>
      <c r="H37" s="31" t="n">
        <v>3929.67</v>
      </c>
      <c r="I37" s="31" t="n">
        <v>929.1</v>
      </c>
      <c r="J37" s="31" t="n">
        <v>2.32</v>
      </c>
      <c r="K37" s="31" t="n">
        <v>363400</v>
      </c>
      <c r="L37" s="30" t="n">
        <v>94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74.06999999999999</v>
      </c>
      <c r="P37" s="31" t="n">
        <v>46.96</v>
      </c>
      <c r="Q37" s="31" t="n">
        <v>669.8200000000001</v>
      </c>
      <c r="R37" s="30" t="inlineStr">
        <is>
          <t>Near 52W High Breakout</t>
        </is>
      </c>
      <c r="S37" s="30" t="inlineStr">
        <is>
          <t>Nifty Infra</t>
        </is>
      </c>
      <c r="T37" s="31" t="n">
        <v>3.72</v>
      </c>
      <c r="U37" s="31" t="n">
        <v>61.95</v>
      </c>
      <c r="V37" s="31" t="n">
        <v>56.14</v>
      </c>
      <c r="W37" s="31" t="n">
        <v>43.13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Negative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IF(B38=0,"",RANK(B38,$B$2:$B$361,0))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AEGISLOG</t>
        </is>
      </c>
      <c r="D38" s="30" t="inlineStr">
        <is>
          <t>Aegis Logistics Ltd</t>
        </is>
      </c>
      <c r="E38" s="30" t="inlineStr">
        <is>
          <t>services</t>
        </is>
      </c>
      <c r="F38" s="30" t="inlineStr">
        <is>
          <t>trading</t>
        </is>
      </c>
      <c r="G38" s="30" t="inlineStr">
        <is>
          <t>largecap</t>
        </is>
      </c>
      <c r="H38" s="31" t="n">
        <v>34598.07</v>
      </c>
      <c r="I38" s="31" t="n">
        <v>1006.95</v>
      </c>
      <c r="J38" s="31" t="n">
        <v>2.16</v>
      </c>
      <c r="K38" s="31" t="n">
        <v>2654899</v>
      </c>
      <c r="L38" s="30" t="n">
        <v>74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75.48</v>
      </c>
      <c r="P38" s="31" t="n">
        <v>23.33</v>
      </c>
      <c r="Q38" s="31" t="n">
        <v>782.49</v>
      </c>
      <c r="R38" s="30" t="inlineStr">
        <is>
          <t>Near 52W High Breakout</t>
        </is>
      </c>
      <c r="S38" s="30" t="inlineStr">
        <is>
          <t>Nifty 50</t>
        </is>
      </c>
      <c r="T38" s="31" t="n">
        <v>-4.09</v>
      </c>
      <c r="U38" s="31" t="n">
        <v>29.23</v>
      </c>
      <c r="V38" s="31" t="n">
        <v>34.74</v>
      </c>
      <c r="W38" s="31" t="n">
        <v>21.38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IF(B39=0,"",RANK(B39,$B$2:$B$361,0))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PREMIERPOL</t>
        </is>
      </c>
      <c r="D39" s="30" t="inlineStr">
        <is>
          <t>Premier Polyfilm Limited</t>
        </is>
      </c>
      <c r="E39" s="30" t="inlineStr">
        <is>
          <t>plastic products</t>
        </is>
      </c>
      <c r="F39" s="30" t="inlineStr">
        <is>
          <t>plastics products</t>
        </is>
      </c>
      <c r="G39" s="30" t="inlineStr">
        <is>
          <t>smallcap</t>
        </is>
      </c>
      <c r="H39" s="31" t="n">
        <v>599.02</v>
      </c>
      <c r="I39" s="31" t="n">
        <v>58.21</v>
      </c>
      <c r="J39" s="31" t="n">
        <v>1.78</v>
      </c>
      <c r="K39" s="31" t="n">
        <v>311231</v>
      </c>
      <c r="L39" s="30" t="n">
        <v>11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56.69</v>
      </c>
      <c r="P39" s="31" t="n">
        <v>43.71</v>
      </c>
      <c r="Q39" s="31" t="n">
        <v>43.34</v>
      </c>
      <c r="R39" s="30" t="inlineStr">
        <is>
          <t>Earnings / Momentum Support</t>
        </is>
      </c>
      <c r="S39" s="30" t="inlineStr">
        <is>
          <t>Nifty 50</t>
        </is>
      </c>
      <c r="T39" s="31" t="n">
        <v>-4.09</v>
      </c>
      <c r="U39" s="31" t="n">
        <v>14.54</v>
      </c>
      <c r="V39" s="31" t="n">
        <v>19.43</v>
      </c>
      <c r="W39" s="31" t="n">
        <v>4.25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No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Above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Close to 52 week high or retracement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IF(B40=0,"",RANK(B40,$B$2:$B$361,0))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ZFCVINDIA</t>
        </is>
      </c>
      <c r="D40" s="30" t="inlineStr">
        <is>
          <t>ZF Commercial Vehicle Control System India Ltd</t>
        </is>
      </c>
      <c r="E40" s="30" t="inlineStr">
        <is>
          <t>auto</t>
        </is>
      </c>
      <c r="F40" s="30" t="inlineStr">
        <is>
          <t>auto ancillaries</t>
        </is>
      </c>
      <c r="G40" s="30" t="inlineStr">
        <is>
          <t>largecap</t>
        </is>
      </c>
      <c r="H40" s="31" t="n">
        <v>28225.66</v>
      </c>
      <c r="I40" s="31" t="n">
        <v>15112</v>
      </c>
      <c r="J40" s="31" t="n">
        <v>1.55</v>
      </c>
      <c r="K40" s="31" t="n">
        <v>25914</v>
      </c>
      <c r="L40" s="30" t="n">
        <v>15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56.96</v>
      </c>
      <c r="P40" s="31" t="n">
        <v>24.37</v>
      </c>
      <c r="Q40" s="31" t="n">
        <v>12270.26</v>
      </c>
      <c r="R40" s="30" t="inlineStr">
        <is>
          <t>Near 52W High Breakout</t>
        </is>
      </c>
      <c r="S40" s="30" t="inlineStr">
        <is>
          <t>Nifty Auto</t>
        </is>
      </c>
      <c r="T40" s="31" t="n">
        <v>12.86</v>
      </c>
      <c r="U40" s="31" t="n">
        <v>14.58</v>
      </c>
      <c r="V40" s="31" t="n">
        <v>1.52</v>
      </c>
      <c r="W40" s="31" t="n">
        <v>5.12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IF(B41=0,"",RANK(B41,$B$2:$B$361,0))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SANSERA</t>
        </is>
      </c>
      <c r="D41" s="30" t="inlineStr">
        <is>
          <t>Sansera Engineering Ltd</t>
        </is>
      </c>
      <c r="E41" s="30" t="inlineStr">
        <is>
          <t>auto</t>
        </is>
      </c>
      <c r="F41" s="30" t="inlineStr">
        <is>
          <t>auto ancillaries</t>
        </is>
      </c>
      <c r="G41" s="30" t="inlineStr">
        <is>
          <t>midcap</t>
        </is>
      </c>
      <c r="H41" s="31" t="n">
        <v>17694.82</v>
      </c>
      <c r="I41" s="31" t="n">
        <v>2879.3</v>
      </c>
      <c r="J41" s="31" t="n">
        <v>1.43</v>
      </c>
      <c r="K41" s="31" t="n">
        <v>184562</v>
      </c>
      <c r="L41" s="30" t="n">
        <v>78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71.33</v>
      </c>
      <c r="P41" s="31" t="n">
        <v>41.37</v>
      </c>
      <c r="Q41" s="31" t="n">
        <v>2296.55</v>
      </c>
      <c r="R41" s="30" t="inlineStr">
        <is>
          <t>Near 52W High Breakout</t>
        </is>
      </c>
      <c r="S41" s="30" t="inlineStr">
        <is>
          <t>Nifty Auto</t>
        </is>
      </c>
      <c r="T41" s="31" t="n">
        <v>12.86</v>
      </c>
      <c r="U41" s="31" t="n">
        <v>117.44</v>
      </c>
      <c r="V41" s="31" t="n">
        <v>92.66</v>
      </c>
      <c r="W41" s="31" t="n">
        <v>23.79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IF(B42=0,"",RANK(B42,$B$2:$B$361,0))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BELRISE</t>
        </is>
      </c>
      <c r="D42" s="30" t="inlineStr">
        <is>
          <t>Belrise Industries Ltd</t>
        </is>
      </c>
      <c r="E42" s="30" t="inlineStr">
        <is>
          <t>auto</t>
        </is>
      </c>
      <c r="F42" s="30" t="inlineStr">
        <is>
          <t>auto ancillaries</t>
        </is>
      </c>
      <c r="G42" s="30" t="inlineStr">
        <is>
          <t>largecap</t>
        </is>
      </c>
      <c r="H42" s="31" t="n">
        <v>21128.4</v>
      </c>
      <c r="I42" s="31" t="n">
        <v>238.85</v>
      </c>
      <c r="J42" s="31" t="n">
        <v>0.6</v>
      </c>
      <c r="K42" s="31" t="n">
        <v>4711917</v>
      </c>
      <c r="L42" s="30" t="n">
        <v>81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73.06</v>
      </c>
      <c r="P42" s="31" t="n">
        <v>52.7</v>
      </c>
      <c r="Q42" s="31" t="n">
        <v>189.22</v>
      </c>
      <c r="R42" s="30" t="inlineStr">
        <is>
          <t>Near 52W High Breakout</t>
        </is>
      </c>
      <c r="S42" s="30" t="inlineStr">
        <is>
          <t>Nifty Auto</t>
        </is>
      </c>
      <c r="T42" s="31" t="n">
        <v>12.86</v>
      </c>
      <c r="U42" s="31" t="n">
        <v>135.13</v>
      </c>
      <c r="V42" s="31" t="n">
        <v>108.34</v>
      </c>
      <c r="W42" s="31" t="n">
        <v>25.43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Less than 12%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IF(B43=0,"",RANK(B43,$B$2:$B$361,0))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ADOR</t>
        </is>
      </c>
      <c r="D43" s="30" t="inlineStr">
        <is>
          <t>Ador Welding Ltd</t>
        </is>
      </c>
      <c r="E43" s="30" t="inlineStr">
        <is>
          <t>industrials</t>
        </is>
      </c>
      <c r="F43" s="30" t="inlineStr">
        <is>
          <t>electrodes - welding equipment</t>
        </is>
      </c>
      <c r="G43" s="30" t="inlineStr">
        <is>
          <t>smallcap</t>
        </is>
      </c>
      <c r="H43" s="31" t="n">
        <v>2032.65</v>
      </c>
      <c r="I43" s="31" t="n">
        <v>1173.1</v>
      </c>
      <c r="J43" s="31" t="n">
        <v>0.44</v>
      </c>
      <c r="K43" s="31" t="n">
        <v>11942</v>
      </c>
      <c r="L43" s="30" t="n">
        <v>38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64.3</v>
      </c>
      <c r="P43" s="31" t="n">
        <v>23.29</v>
      </c>
      <c r="Q43" s="31" t="n">
        <v>915.42</v>
      </c>
      <c r="R43" s="30" t="inlineStr">
        <is>
          <t>Near 52W High Breakout</t>
        </is>
      </c>
      <c r="S43" s="30" t="inlineStr">
        <is>
          <t>Nifty 50</t>
        </is>
      </c>
      <c r="T43" s="31" t="n">
        <v>-4.09</v>
      </c>
      <c r="U43" s="31" t="n">
        <v>19.25</v>
      </c>
      <c r="V43" s="31" t="n">
        <v>24.34</v>
      </c>
      <c r="W43" s="31" t="n">
        <v>9.91</v>
      </c>
      <c r="X43" s="30" t="inlineStr">
        <is>
          <t>Cyclical in an Upturn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IF(B44=0,"",RANK(B44,$B$2:$B$361,0))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NITINSPIN</t>
        </is>
      </c>
      <c r="D44" s="30" t="inlineStr">
        <is>
          <t>Nitin Spinners Limited</t>
        </is>
      </c>
      <c r="E44" s="30" t="inlineStr">
        <is>
          <t>textiles</t>
        </is>
      </c>
      <c r="F44" s="30" t="inlineStr">
        <is>
          <t>textiles - cotton/blended</t>
        </is>
      </c>
      <c r="G44" s="30" t="inlineStr">
        <is>
          <t>smallcap</t>
        </is>
      </c>
      <c r="H44" s="31" t="n">
        <v>3090.69</v>
      </c>
      <c r="I44" s="31" t="n">
        <v>547.6</v>
      </c>
      <c r="J44" s="31" t="n">
        <v>-0.39</v>
      </c>
      <c r="K44" s="31" t="n">
        <v>56811</v>
      </c>
      <c r="L44" s="30" t="n">
        <v>70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77.06</v>
      </c>
      <c r="P44" s="31" t="n">
        <v>57.16</v>
      </c>
      <c r="Q44" s="31" t="n">
        <v>437.79</v>
      </c>
      <c r="R44" s="30" t="inlineStr">
        <is>
          <t>Near 52W High Breakout</t>
        </is>
      </c>
      <c r="S44" s="30" t="inlineStr">
        <is>
          <t>Nifty 50</t>
        </is>
      </c>
      <c r="T44" s="31" t="n">
        <v>-4.09</v>
      </c>
      <c r="U44" s="31" t="n">
        <v>49.18</v>
      </c>
      <c r="V44" s="31" t="n">
        <v>55.54</v>
      </c>
      <c r="W44" s="31" t="n">
        <v>19.81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Above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Between 0.7 to 1.2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IF(B45=0,"",RANK(B45,$B$2:$B$361,0))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MENONBE</t>
        </is>
      </c>
      <c r="D45" s="30" t="inlineStr">
        <is>
          <t>Menon Bearings Limited</t>
        </is>
      </c>
      <c r="E45" s="30" t="inlineStr">
        <is>
          <t>auto</t>
        </is>
      </c>
      <c r="F45" s="30" t="inlineStr">
        <is>
          <t>auto ancillaries</t>
        </is>
      </c>
      <c r="G45" s="30" t="inlineStr">
        <is>
          <t>smallcap</t>
        </is>
      </c>
      <c r="H45" s="31" t="n">
        <v>993.76</v>
      </c>
      <c r="I45" s="31" t="n">
        <v>175.77</v>
      </c>
      <c r="J45" s="31" t="n">
        <v>-0.88</v>
      </c>
      <c r="K45" s="31" t="n">
        <v>357151</v>
      </c>
      <c r="L45" s="30" t="n">
        <v>71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73.33</v>
      </c>
      <c r="P45" s="31" t="n">
        <v>32.82</v>
      </c>
      <c r="Q45" s="31" t="n">
        <v>130.75</v>
      </c>
      <c r="R45" s="30" t="inlineStr">
        <is>
          <t>Near 52W High Breakout</t>
        </is>
      </c>
      <c r="S45" s="30" t="inlineStr">
        <is>
          <t>Nifty Auto</t>
        </is>
      </c>
      <c r="T45" s="31" t="n">
        <v>12.86</v>
      </c>
      <c r="U45" s="31" t="n">
        <v>47.96</v>
      </c>
      <c r="V45" s="31" t="n">
        <v>31.1</v>
      </c>
      <c r="W45" s="31" t="n">
        <v>20.06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Less than 50%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IF(B46=0,"",RANK(B46,$B$2:$B$361,0))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VTL</t>
        </is>
      </c>
      <c r="D46" s="30" t="inlineStr">
        <is>
          <t>Vardhman Textiles Limited</t>
        </is>
      </c>
      <c r="E46" s="30" t="inlineStr">
        <is>
          <t>textiles</t>
        </is>
      </c>
      <c r="F46" s="30" t="inlineStr">
        <is>
          <t>textiles - cotton/blended</t>
        </is>
      </c>
      <c r="G46" s="30" t="inlineStr">
        <is>
          <t>midcap</t>
        </is>
      </c>
      <c r="H46" s="31" t="n">
        <v>18278.27</v>
      </c>
      <c r="I46" s="31" t="n">
        <v>626.15</v>
      </c>
      <c r="J46" s="31" t="n">
        <v>-0.9</v>
      </c>
      <c r="K46" s="31" t="n">
        <v>304538</v>
      </c>
      <c r="L46" s="30" t="n">
        <v>40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66.94</v>
      </c>
      <c r="P46" s="31" t="n">
        <v>52.59</v>
      </c>
      <c r="Q46" s="31" t="n">
        <v>495.74</v>
      </c>
      <c r="R46" s="30" t="inlineStr">
        <is>
          <t>Near 52W High Breakout</t>
        </is>
      </c>
      <c r="S46" s="30" t="inlineStr">
        <is>
          <t>Nifty 50</t>
        </is>
      </c>
      <c r="T46" s="31" t="n">
        <v>-4.09</v>
      </c>
      <c r="U46" s="31" t="n">
        <v>38.32</v>
      </c>
      <c r="V46" s="31" t="n">
        <v>44.21</v>
      </c>
      <c r="W46" s="31" t="n">
        <v>10.61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Above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Less than 12%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IF(B47=0,"",RANK(B47,$B$2:$B$361,0))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RATEGAIN</t>
        </is>
      </c>
      <c r="D47" s="30" t="inlineStr">
        <is>
          <t>Rategain Travel Technologies Ltd</t>
        </is>
      </c>
      <c r="E47" s="30" t="inlineStr">
        <is>
          <t>i.t</t>
        </is>
      </c>
      <c r="F47" s="30" t="inlineStr">
        <is>
          <t>computers - software - medium / small</t>
        </is>
      </c>
      <c r="G47" s="30" t="inlineStr">
        <is>
          <t>midcap</t>
        </is>
      </c>
      <c r="H47" s="31" t="n">
        <v>9977.299999999999</v>
      </c>
      <c r="I47" s="31" t="n">
        <v>886.2</v>
      </c>
      <c r="J47" s="31" t="n">
        <v>4.96</v>
      </c>
      <c r="K47" s="31" t="n">
        <v>863360</v>
      </c>
      <c r="L47" s="30" t="n">
        <v>92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78.59999999999999</v>
      </c>
      <c r="P47" s="31" t="n">
        <v>26.79</v>
      </c>
      <c r="Q47" s="31" t="n">
        <v>693.17</v>
      </c>
      <c r="R47" s="30" t="inlineStr">
        <is>
          <t>Near 52W High Breakout</t>
        </is>
      </c>
      <c r="S47" s="30" t="inlineStr">
        <is>
          <t>Nifty IT</t>
        </is>
      </c>
      <c r="T47" s="31" t="n">
        <v>-26.11</v>
      </c>
      <c r="U47" s="31" t="n">
        <v>104.69</v>
      </c>
      <c r="V47" s="31" t="n">
        <v>177.03</v>
      </c>
      <c r="W47" s="31" t="n">
        <v>38.34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Between 1.5 to 2</t>
        </is>
      </c>
      <c r="BU47" s="30">
        <f>IF(BT47="Above 2",0,IF(BT47="Between 1.5 to 2",5,IF(BT47="Less than 1.5",10,0)))</f>
        <v/>
      </c>
      <c r="BV47" s="30" t="inlineStr">
        <is>
          <t>Between 50% to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IF(B48=0,"",RANK(B48,$B$2:$B$361,0))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SHILPAMED</t>
        </is>
      </c>
      <c r="D48" s="30" t="inlineStr">
        <is>
          <t>Shilpa Medicare Limited</t>
        </is>
      </c>
      <c r="E48" s="30" t="inlineStr">
        <is>
          <t>healthcare</t>
        </is>
      </c>
      <c r="F48" s="30" t="inlineStr">
        <is>
          <t>pharmaceuticals - indian - formulations</t>
        </is>
      </c>
      <c r="G48" s="30" t="inlineStr">
        <is>
          <t>midcap</t>
        </is>
      </c>
      <c r="H48" s="31" t="n">
        <v>10804.92</v>
      </c>
      <c r="I48" s="31" t="n">
        <v>572.4</v>
      </c>
      <c r="J48" s="31" t="n">
        <v>3.61</v>
      </c>
      <c r="K48" s="31" t="n">
        <v>1320326</v>
      </c>
      <c r="L48" s="30" t="n">
        <v>80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81.59</v>
      </c>
      <c r="P48" s="31" t="n">
        <v>49.64</v>
      </c>
      <c r="Q48" s="31" t="n">
        <v>446.91</v>
      </c>
      <c r="R48" s="30" t="inlineStr">
        <is>
          <t>Near 52W High Breakout</t>
        </is>
      </c>
      <c r="S48" s="30" t="inlineStr">
        <is>
          <t>Nifty Pharma</t>
        </is>
      </c>
      <c r="T48" s="31" t="n">
        <v>11.72</v>
      </c>
      <c r="U48" s="31" t="n">
        <v>30.18</v>
      </c>
      <c r="V48" s="31" t="n">
        <v>16.52</v>
      </c>
      <c r="W48" s="31" t="n">
        <v>25.24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Above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IF(B49=0,"",RANK(B49,$B$2:$B$361,0))</f>
        <v/>
      </c>
      <c r="B49" s="31">
        <f>SUM(N49,Y49,AA49,AC49,AE49,AG49,AI49,AK49,AM49,AO49,AQ49,AS49,AU49,AW49,AY49,BA49,BC49,BE49,BG49,BI49,BK49,BM49,BO49,BQ49,BS49,BU49,BW49,BY49,CA49,CC49,CE49)</f>
        <v/>
      </c>
      <c r="C49" s="32" t="inlineStr">
        <is>
          <t>MARKSANS</t>
        </is>
      </c>
      <c r="D49" s="32" t="inlineStr">
        <is>
          <t>Marksans Pharma Limited</t>
        </is>
      </c>
      <c r="E49" s="30" t="inlineStr">
        <is>
          <t>healthcare</t>
        </is>
      </c>
      <c r="F49" s="30" t="inlineStr">
        <is>
          <t>pharmaceuticals - indian - formulations</t>
        </is>
      </c>
      <c r="G49" s="30" t="inlineStr">
        <is>
          <t>midcap</t>
        </is>
      </c>
      <c r="H49" s="31" t="n">
        <v>11199.04</v>
      </c>
      <c r="I49" s="31" t="n">
        <v>254.75</v>
      </c>
      <c r="J49" s="31" t="n">
        <v>3.08</v>
      </c>
      <c r="K49" s="31" t="n">
        <v>1494630</v>
      </c>
      <c r="L49" s="30" t="n">
        <v>54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72.39</v>
      </c>
      <c r="P49" s="31" t="n">
        <v>32.26</v>
      </c>
      <c r="Q49" s="31" t="n">
        <v>197.45</v>
      </c>
      <c r="R49" s="30" t="inlineStr">
        <is>
          <t>Near 52W High Breakout</t>
        </is>
      </c>
      <c r="S49" s="30" t="inlineStr">
        <is>
          <t>Nifty Pharma</t>
        </is>
      </c>
      <c r="T49" s="31" t="n">
        <v>11.72</v>
      </c>
      <c r="U49" s="31" t="n">
        <v>6.52</v>
      </c>
      <c r="V49" s="31" t="n">
        <v>-4.66</v>
      </c>
      <c r="W49" s="31" t="n">
        <v>13.92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IF(B50=0,"",RANK(B50,$B$2:$B$361,0))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MANORAMA</t>
        </is>
      </c>
      <c r="D50" s="30" t="inlineStr">
        <is>
          <t>Manorama Industries Ltd</t>
        </is>
      </c>
      <c r="E50" s="30" t="inlineStr">
        <is>
          <t>fmcg</t>
        </is>
      </c>
      <c r="F50" s="30" t="inlineStr">
        <is>
          <t>food - processing - indian</t>
        </is>
      </c>
      <c r="G50" s="30" t="inlineStr">
        <is>
          <t>midcap</t>
        </is>
      </c>
      <c r="H50" s="31" t="n">
        <v>8942.549999999999</v>
      </c>
      <c r="I50" s="31" t="n">
        <v>1527.2</v>
      </c>
      <c r="J50" s="31" t="n">
        <v>1.97</v>
      </c>
      <c r="K50" s="31" t="n">
        <v>65232</v>
      </c>
      <c r="L50" s="30" t="n">
        <v>24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57.21</v>
      </c>
      <c r="P50" s="31" t="n">
        <v>13.91</v>
      </c>
      <c r="Q50" s="31" t="n">
        <v>1182.97</v>
      </c>
      <c r="R50" s="30" t="inlineStr">
        <is>
          <t>Near 52W High Breakout</t>
        </is>
      </c>
      <c r="S50" s="30" t="inlineStr">
        <is>
          <t>Nifty FMCG</t>
        </is>
      </c>
      <c r="T50" s="31" t="n">
        <v>-9.289999999999999</v>
      </c>
      <c r="U50" s="31" t="n">
        <v>12.99</v>
      </c>
      <c r="V50" s="31" t="n">
        <v>24.56</v>
      </c>
      <c r="W50" s="31" t="n">
        <v>6.91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B2C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Annuity, Lower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0 to 20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IF(B51=0,"",RANK(B51,$B$2:$B$361,0))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SPARC</t>
        </is>
      </c>
      <c r="D51" s="30" t="inlineStr">
        <is>
          <t>Sun Pharma Advanced Research Company Limited</t>
        </is>
      </c>
      <c r="E51" s="30" t="inlineStr">
        <is>
          <t>healthcare</t>
        </is>
      </c>
      <c r="F51" s="30" t="inlineStr">
        <is>
          <t>miscellaneous</t>
        </is>
      </c>
      <c r="G51" s="30" t="inlineStr">
        <is>
          <t>midcap</t>
        </is>
      </c>
      <c r="H51" s="31" t="n">
        <v>7736.92</v>
      </c>
      <c r="I51" s="31" t="n">
        <v>239.61</v>
      </c>
      <c r="J51" s="31" t="n">
        <v>0.5</v>
      </c>
      <c r="K51" s="31" t="n">
        <v>3113456</v>
      </c>
      <c r="L51" s="30" t="n">
        <v>91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79.02</v>
      </c>
      <c r="P51" s="31" t="n">
        <v>50.02</v>
      </c>
      <c r="Q51" s="31" t="n">
        <v>171.7</v>
      </c>
      <c r="R51" s="30" t="inlineStr">
        <is>
          <t>Near 52W High Breakout</t>
        </is>
      </c>
      <c r="S51" s="30" t="inlineStr">
        <is>
          <t>Nifty Pharma</t>
        </is>
      </c>
      <c r="T51" s="31" t="n">
        <v>11.72</v>
      </c>
      <c r="U51" s="31" t="n">
        <v>52.94</v>
      </c>
      <c r="V51" s="31" t="n">
        <v>36.89</v>
      </c>
      <c r="W51" s="31" t="n">
        <v>37.46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Annuity, Lower One Time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Negative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IF(B52=0,"",RANK(B52,$B$2:$B$361,0))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TINNARUBR</t>
        </is>
      </c>
      <c r="D52" s="30" t="inlineStr">
        <is>
          <t>Tinna Rubber &amp; Infrastructure Ltd</t>
        </is>
      </c>
      <c r="E52" s="30" t="inlineStr">
        <is>
          <t>fmcg</t>
        </is>
      </c>
      <c r="F52" s="30" t="inlineStr">
        <is>
          <t>miscellaneous</t>
        </is>
      </c>
      <c r="G52" s="30" t="inlineStr">
        <is>
          <t>smallcap</t>
        </is>
      </c>
      <c r="H52" s="31" t="n">
        <v>1597.19</v>
      </c>
      <c r="I52" s="31" t="n">
        <v>890.5</v>
      </c>
      <c r="J52" s="31" t="n">
        <v>0.45</v>
      </c>
      <c r="K52" s="31" t="n">
        <v>33041</v>
      </c>
      <c r="L52" s="30" t="n">
        <v>37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59.8</v>
      </c>
      <c r="P52" s="31" t="n">
        <v>22.33</v>
      </c>
      <c r="Q52" s="31" t="n">
        <v>639.0700000000001</v>
      </c>
      <c r="R52" s="30" t="inlineStr">
        <is>
          <t>Earnings / Momentum Support</t>
        </is>
      </c>
      <c r="S52" s="30" t="inlineStr">
        <is>
          <t>Nifty FMCG</t>
        </is>
      </c>
      <c r="T52" s="31" t="n">
        <v>-9.289999999999999</v>
      </c>
      <c r="U52" s="31" t="n">
        <v>-3.4</v>
      </c>
      <c r="V52" s="31" t="n">
        <v>6.5</v>
      </c>
      <c r="W52" s="31" t="n">
        <v>9.75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B2C</t>
        </is>
      </c>
      <c r="AO52" s="30">
        <f>IF(AN52="B2C",10,IF(AN52="B2B",5,0))</f>
        <v/>
      </c>
      <c r="AP52" s="30" t="inlineStr">
        <is>
          <t>No</t>
        </is>
      </c>
      <c r="AQ52" s="30">
        <f>IF(AP52="Yes",10,0)</f>
        <v/>
      </c>
      <c r="AR52" s="30" t="inlineStr">
        <is>
          <t>Higher Annuity, Lower One Time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Less than 1.5</t>
        </is>
      </c>
      <c r="BU52" s="30">
        <f>IF(BT52="Above 2",0,IF(BT52="Between 1.5 to 2",5,IF(BT52="Less than 1.5",10,0)))</f>
        <v/>
      </c>
      <c r="BV52" s="30" t="inlineStr">
        <is>
          <t>Between 50% to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IF(B53=0,"",RANK(B53,$B$2:$B$361,0))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PANACEABIO</t>
        </is>
      </c>
      <c r="D53" s="30" t="inlineStr">
        <is>
          <t>Panacea Biotec Limited</t>
        </is>
      </c>
      <c r="E53" s="30" t="inlineStr">
        <is>
          <t>healthcare</t>
        </is>
      </c>
      <c r="F53" s="30" t="inlineStr">
        <is>
          <t>pharmaceuticals - indian - bulk drugs &amp; formln</t>
        </is>
      </c>
      <c r="G53" s="30" t="inlineStr">
        <is>
          <t>smallcap</t>
        </is>
      </c>
      <c r="H53" s="31" t="n">
        <v>3337.86</v>
      </c>
      <c r="I53" s="31" t="n">
        <v>532.2</v>
      </c>
      <c r="J53" s="31" t="n">
        <v>-2.34</v>
      </c>
      <c r="K53" s="31" t="n">
        <v>282726</v>
      </c>
      <c r="L53" s="30" t="n">
        <v>71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74.31</v>
      </c>
      <c r="P53" s="31" t="n">
        <v>28.02</v>
      </c>
      <c r="Q53" s="31" t="n">
        <v>370.1</v>
      </c>
      <c r="R53" s="30" t="inlineStr">
        <is>
          <t>Near 52W High Breakout</t>
        </is>
      </c>
      <c r="S53" s="30" t="inlineStr">
        <is>
          <t>Nifty Pharma</t>
        </is>
      </c>
      <c r="T53" s="31" t="n">
        <v>11.72</v>
      </c>
      <c r="U53" s="31" t="n">
        <v>24.91</v>
      </c>
      <c r="V53" s="31" t="n">
        <v>11.81</v>
      </c>
      <c r="W53" s="31" t="n">
        <v>19.82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Annuity, Lower One Time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Less than 12%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IF(B54=0,"",RANK(B54,$B$2:$B$361,0))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PARAS</t>
        </is>
      </c>
      <c r="D54" s="30" t="inlineStr">
        <is>
          <t>Paras Defence and Space Technologies Ltd</t>
        </is>
      </c>
      <c r="E54" s="30" t="inlineStr">
        <is>
          <t>aerospace &amp; defence</t>
        </is>
      </c>
      <c r="F54" s="30" t="inlineStr">
        <is>
          <t>engineering</t>
        </is>
      </c>
      <c r="G54" s="30" t="inlineStr">
        <is>
          <t>midcap</t>
        </is>
      </c>
      <c r="H54" s="31" t="n">
        <v>8778.780000000001</v>
      </c>
      <c r="I54" s="31" t="n">
        <v>1285.65</v>
      </c>
      <c r="J54" s="31" t="n">
        <v>18.02</v>
      </c>
      <c r="K54" s="31" t="n">
        <v>14160494</v>
      </c>
      <c r="L54" s="30" t="n">
        <v>91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78.62</v>
      </c>
      <c r="P54" s="31" t="n">
        <v>41.17</v>
      </c>
      <c r="Q54" s="31" t="n">
        <v>967.22</v>
      </c>
      <c r="R54" s="30" t="inlineStr">
        <is>
          <t>Volume Spike &amp; Near 52W High Breakout</t>
        </is>
      </c>
      <c r="S54" s="30" t="inlineStr">
        <is>
          <t>Nifty 50</t>
        </is>
      </c>
      <c r="T54" s="31" t="n">
        <v>-4.09</v>
      </c>
      <c r="U54" s="31" t="n">
        <v>55.56</v>
      </c>
      <c r="V54" s="31" t="n">
        <v>62.19</v>
      </c>
      <c r="W54" s="31" t="n">
        <v>36.81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Yes</t>
        </is>
      </c>
      <c r="BS54" s="30">
        <f>IF(BR54="NO",5,0)</f>
        <v/>
      </c>
      <c r="BT54" s="30" t="inlineStr">
        <is>
          <t>Between 1.5 to 2</t>
        </is>
      </c>
      <c r="BU54" s="30">
        <f>IF(BT54="Above 2",0,IF(BT54="Between 1.5 to 2",5,IF(BT54="Less than 1.5",10,0)))</f>
        <v/>
      </c>
      <c r="BV54" s="30" t="inlineStr">
        <is>
          <t>Less than 50%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IF(B55=0,"",RANK(B55,$B$2:$B$361,0))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HAPPYFORGE</t>
        </is>
      </c>
      <c r="D55" s="30" t="inlineStr">
        <is>
          <t>Happy Forgings Ltd</t>
        </is>
      </c>
      <c r="E55" s="30" t="inlineStr">
        <is>
          <t>industrials</t>
        </is>
      </c>
      <c r="F55" s="30" t="inlineStr">
        <is>
          <t>castings &amp; forgings</t>
        </is>
      </c>
      <c r="G55" s="30" t="inlineStr">
        <is>
          <t>midcap</t>
        </is>
      </c>
      <c r="H55" s="31" t="n">
        <v>12611.83</v>
      </c>
      <c r="I55" s="31" t="n">
        <v>1431.2</v>
      </c>
      <c r="J55" s="31" t="n">
        <v>7.07</v>
      </c>
      <c r="K55" s="31" t="n">
        <v>200655</v>
      </c>
      <c r="L55" s="30" t="n">
        <v>43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64.01000000000001</v>
      </c>
      <c r="P55" s="31" t="n">
        <v>33.07</v>
      </c>
      <c r="Q55" s="31" t="n">
        <v>1134.15</v>
      </c>
      <c r="R55" s="30" t="inlineStr">
        <is>
          <t>Near 52W High Breakout</t>
        </is>
      </c>
      <c r="S55" s="30" t="inlineStr">
        <is>
          <t>Nifty 50</t>
        </is>
      </c>
      <c r="T55" s="31" t="n">
        <v>-4.09</v>
      </c>
      <c r="U55" s="31" t="n">
        <v>49.41</v>
      </c>
      <c r="V55" s="31" t="n">
        <v>55.78</v>
      </c>
      <c r="W55" s="31" t="n">
        <v>11.21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Between 1.5 to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IF(B56=0,"",RANK(B56,$B$2:$B$361,0))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MODISONLTD</t>
        </is>
      </c>
      <c r="D56" s="30" t="inlineStr">
        <is>
          <t>Modison Ltd</t>
        </is>
      </c>
      <c r="E56" s="30" t="inlineStr">
        <is>
          <t>industrials</t>
        </is>
      </c>
      <c r="F56" s="30" t="inlineStr">
        <is>
          <t>electric equipment</t>
        </is>
      </c>
      <c r="G56" s="30" t="inlineStr">
        <is>
          <t>smallcap</t>
        </is>
      </c>
      <c r="H56" s="31" t="n">
        <v>946.08</v>
      </c>
      <c r="I56" s="31" t="n">
        <v>306.05</v>
      </c>
      <c r="J56" s="31" t="n">
        <v>4.97</v>
      </c>
      <c r="K56" s="31" t="n">
        <v>207932</v>
      </c>
      <c r="L56" s="30" t="n">
        <v>96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71.33</v>
      </c>
      <c r="P56" s="31" t="n">
        <v>38.28</v>
      </c>
      <c r="Q56" s="31" t="n">
        <v>272.09</v>
      </c>
      <c r="R56" s="30" t="inlineStr">
        <is>
          <t>Earnings / Momentum Support</t>
        </is>
      </c>
      <c r="S56" s="30" t="inlineStr">
        <is>
          <t>Nifty 50</t>
        </is>
      </c>
      <c r="T56" s="31" t="n">
        <v>-4.09</v>
      </c>
      <c r="U56" s="31" t="n">
        <v>98.3</v>
      </c>
      <c r="V56" s="31" t="n">
        <v>106.75</v>
      </c>
      <c r="W56" s="31" t="n">
        <v>53.42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IF(B57=0,"",RANK(B57,$B$2:$B$361,0))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HITECHCORP</t>
        </is>
      </c>
      <c r="D57" s="30" t="inlineStr">
        <is>
          <t>Hitech Corporation</t>
        </is>
      </c>
      <c r="E57" s="30" t="inlineStr">
        <is>
          <t>industrials</t>
        </is>
      </c>
      <c r="F57" s="30" t="inlineStr">
        <is>
          <t>packaging</t>
        </is>
      </c>
      <c r="G57" s="30" t="inlineStr">
        <is>
          <t>smallcap</t>
        </is>
      </c>
      <c r="H57" s="31" t="n">
        <v>525.58</v>
      </c>
      <c r="I57" s="31" t="n">
        <v>318.84</v>
      </c>
      <c r="J57" s="31" t="n">
        <v>4.2</v>
      </c>
      <c r="K57" s="31" t="n">
        <v>84793</v>
      </c>
      <c r="L57" s="30" t="n">
        <v>95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81.23999999999999</v>
      </c>
      <c r="P57" s="31" t="n">
        <v>36.53</v>
      </c>
      <c r="Q57" s="31" t="n">
        <v>238.3</v>
      </c>
      <c r="R57" s="30" t="inlineStr">
        <is>
          <t>Near 52W High Breakout</t>
        </is>
      </c>
      <c r="S57" s="30" t="inlineStr">
        <is>
          <t>Nifty 50</t>
        </is>
      </c>
      <c r="T57" s="31" t="n">
        <v>-4.09</v>
      </c>
      <c r="U57" s="31" t="n">
        <v>77.56</v>
      </c>
      <c r="V57" s="31" t="n">
        <v>85.13</v>
      </c>
      <c r="W57" s="31" t="n">
        <v>46.38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IF(B58=0,"",RANK(B58,$B$2:$B$361,0))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ABB</t>
        </is>
      </c>
      <c r="D58" s="30" t="inlineStr">
        <is>
          <t>Abb India Limited</t>
        </is>
      </c>
      <c r="E58" s="30" t="inlineStr">
        <is>
          <t>industrials</t>
        </is>
      </c>
      <c r="F58" s="30" t="inlineStr">
        <is>
          <t>electric equipment</t>
        </is>
      </c>
      <c r="G58" s="30" t="inlineStr">
        <is>
          <t>largecap</t>
        </is>
      </c>
      <c r="H58" s="31" t="n">
        <v>148780.87</v>
      </c>
      <c r="I58" s="31" t="n">
        <v>7164</v>
      </c>
      <c r="J58" s="31" t="n">
        <v>2.04</v>
      </c>
      <c r="K58" s="31" t="n">
        <v>298071</v>
      </c>
      <c r="L58" s="30" t="n">
        <v>25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61.51</v>
      </c>
      <c r="P58" s="31" t="n">
        <v>42.35</v>
      </c>
      <c r="Q58" s="31" t="n">
        <v>5942.33</v>
      </c>
      <c r="R58" s="30" t="inlineStr">
        <is>
          <t>Near 52W High Breakout</t>
        </is>
      </c>
      <c r="S58" s="30" t="inlineStr">
        <is>
          <t>Nifty 50</t>
        </is>
      </c>
      <c r="T58" s="31" t="n">
        <v>-4.09</v>
      </c>
      <c r="U58" s="31" t="n">
        <v>20.75</v>
      </c>
      <c r="V58" s="31" t="n">
        <v>25.9</v>
      </c>
      <c r="W58" s="31" t="n">
        <v>7.32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Above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IF(B59=0,"",RANK(B59,$B$2:$B$361,0))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CUMMINSIND</t>
        </is>
      </c>
      <c r="D59" s="30" t="inlineStr">
        <is>
          <t>Cummins India Limited</t>
        </is>
      </c>
      <c r="E59" s="30" t="inlineStr">
        <is>
          <t>industrials</t>
        </is>
      </c>
      <c r="F59" s="30" t="inlineStr">
        <is>
          <t>engines</t>
        </is>
      </c>
      <c r="G59" s="30" t="inlineStr">
        <is>
          <t>largecap</t>
        </is>
      </c>
      <c r="H59" s="31" t="n">
        <v>158655.42</v>
      </c>
      <c r="I59" s="31" t="n">
        <v>5833</v>
      </c>
      <c r="J59" s="31" t="n">
        <v>1.91</v>
      </c>
      <c r="K59" s="31" t="n">
        <v>338488</v>
      </c>
      <c r="L59" s="30" t="n">
        <v>67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72.7</v>
      </c>
      <c r="P59" s="31" t="n">
        <v>42.73</v>
      </c>
      <c r="Q59" s="31" t="n">
        <v>4975.52</v>
      </c>
      <c r="R59" s="30" t="inlineStr">
        <is>
          <t>Near 52W High Breakout</t>
        </is>
      </c>
      <c r="S59" s="30" t="inlineStr">
        <is>
          <t>Nifty 500</t>
        </is>
      </c>
      <c r="T59" s="31" t="n">
        <v>0.3</v>
      </c>
      <c r="U59" s="31" t="n">
        <v>80.8</v>
      </c>
      <c r="V59" s="31" t="n">
        <v>80.26000000000001</v>
      </c>
      <c r="W59" s="31" t="n">
        <v>18.38</v>
      </c>
      <c r="X59" s="30" t="inlineStr">
        <is>
          <t>Cyclical in an Upturn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Between 50% to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IF(B60=0,"",RANK(B60,$B$2:$B$361,0))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RAIN</t>
        </is>
      </c>
      <c r="D60" s="30" t="inlineStr">
        <is>
          <t>Rain Industries Limited</t>
        </is>
      </c>
      <c r="E60" s="30" t="inlineStr">
        <is>
          <t>miscellaneous</t>
        </is>
      </c>
      <c r="F60" s="30" t="inlineStr">
        <is>
          <t>miscellaneous</t>
        </is>
      </c>
      <c r="G60" s="30" t="inlineStr">
        <is>
          <t>midcap</t>
        </is>
      </c>
      <c r="H60" s="31" t="n">
        <v>6532.51</v>
      </c>
      <c r="I60" s="31" t="n">
        <v>197.27</v>
      </c>
      <c r="J60" s="31" t="n">
        <v>1.57</v>
      </c>
      <c r="K60" s="31" t="n">
        <v>4814622</v>
      </c>
      <c r="L60" s="30" t="n">
        <v>83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72.44</v>
      </c>
      <c r="P60" s="31" t="n">
        <v>25.42</v>
      </c>
      <c r="Q60" s="31" t="n">
        <v>145.45</v>
      </c>
      <c r="R60" s="30" t="inlineStr">
        <is>
          <t>Near 52W High Breakout</t>
        </is>
      </c>
      <c r="S60" s="30" t="inlineStr">
        <is>
          <t>Nifty 50</t>
        </is>
      </c>
      <c r="T60" s="31" t="n">
        <v>-4.09</v>
      </c>
      <c r="U60" s="31" t="n">
        <v>40.31</v>
      </c>
      <c r="V60" s="31" t="n">
        <v>46.29</v>
      </c>
      <c r="W60" s="31" t="n">
        <v>27.62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No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More than 1.2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IF(B61=0,"",RANK(B61,$B$2:$B$361,0))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PRECWIRE</t>
        </is>
      </c>
      <c r="D61" s="30" t="inlineStr">
        <is>
          <t>Precision Wires India Limited</t>
        </is>
      </c>
      <c r="E61" s="30" t="inlineStr">
        <is>
          <t>metals &amp; mining</t>
        </is>
      </c>
      <c r="F61" s="30" t="inlineStr">
        <is>
          <t>mining / minerals / metals</t>
        </is>
      </c>
      <c r="G61" s="30" t="inlineStr">
        <is>
          <t>midcap</t>
        </is>
      </c>
      <c r="H61" s="31" t="n">
        <v>7737.35</v>
      </c>
      <c r="I61" s="31" t="n">
        <v>428.9</v>
      </c>
      <c r="J61" s="31" t="n">
        <v>1.33</v>
      </c>
      <c r="K61" s="31" t="n">
        <v>342428</v>
      </c>
      <c r="L61" s="30" t="n">
        <v>85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67.58</v>
      </c>
      <c r="P61" s="31" t="n">
        <v>67.02</v>
      </c>
      <c r="Q61" s="31" t="n">
        <v>309.79</v>
      </c>
      <c r="R61" s="30" t="inlineStr">
        <is>
          <t>Near 52W High Breakout</t>
        </is>
      </c>
      <c r="S61" s="30" t="inlineStr">
        <is>
          <t>Nifty Metal</t>
        </is>
      </c>
      <c r="T61" s="31" t="n">
        <v>42.38</v>
      </c>
      <c r="U61" s="31" t="n">
        <v>143.82</v>
      </c>
      <c r="V61" s="31" t="n">
        <v>71.25</v>
      </c>
      <c r="W61" s="31" t="n">
        <v>29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Cyclical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Volatile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IF(B62=0,"",RANK(B62,$B$2:$B$361,0))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SIS</t>
        </is>
      </c>
      <c r="D62" s="30" t="inlineStr">
        <is>
          <t>Security &amp; Intelligence Services India</t>
        </is>
      </c>
      <c r="E62" s="30" t="inlineStr">
        <is>
          <t>miscellaneous</t>
        </is>
      </c>
      <c r="F62" s="30" t="inlineStr">
        <is>
          <t>miscellaneous</t>
        </is>
      </c>
      <c r="G62" s="30" t="inlineStr">
        <is>
          <t>midcap</t>
        </is>
      </c>
      <c r="H62" s="31" t="n">
        <v>5981.46</v>
      </c>
      <c r="I62" s="31" t="n">
        <v>426.4</v>
      </c>
      <c r="J62" s="31" t="n">
        <v>0.71</v>
      </c>
      <c r="K62" s="31" t="n">
        <v>74781</v>
      </c>
      <c r="L62" s="30" t="n">
        <v>63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76.94</v>
      </c>
      <c r="P62" s="31" t="n">
        <v>41.22</v>
      </c>
      <c r="Q62" s="31" t="n">
        <v>340.97</v>
      </c>
      <c r="R62" s="30" t="inlineStr">
        <is>
          <t>Near 52W High Breakout</t>
        </is>
      </c>
      <c r="S62" s="30" t="inlineStr">
        <is>
          <t>Nifty 50</t>
        </is>
      </c>
      <c r="T62" s="31" t="n">
        <v>-4.09</v>
      </c>
      <c r="U62" s="31" t="n">
        <v>18.34</v>
      </c>
      <c r="V62" s="31" t="n">
        <v>23.39</v>
      </c>
      <c r="W62" s="31" t="n">
        <v>17.17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Less than 1.5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Between 0.7 to 1.2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IF(B63=0,"",RANK(B63,$B$2:$B$361,0))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KENNAMET</t>
        </is>
      </c>
      <c r="D63" s="30" t="inlineStr">
        <is>
          <t>Kennametal India Ltd</t>
        </is>
      </c>
      <c r="E63" s="30" t="inlineStr">
        <is>
          <t>industrials</t>
        </is>
      </c>
      <c r="F63" s="30" t="inlineStr">
        <is>
          <t>castings &amp; forgings</t>
        </is>
      </c>
      <c r="G63" s="30" t="inlineStr">
        <is>
          <t>midcap</t>
        </is>
      </c>
      <c r="H63" s="31" t="n">
        <v>6665.56</v>
      </c>
      <c r="I63" s="31" t="n">
        <v>3051.2</v>
      </c>
      <c r="J63" s="31" t="n">
        <v>0.61</v>
      </c>
      <c r="K63" s="31" t="n">
        <v>9170</v>
      </c>
      <c r="L63" s="30" t="n">
        <v>55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67.42</v>
      </c>
      <c r="P63" s="31" t="n">
        <v>41.86</v>
      </c>
      <c r="Q63" s="31" t="n">
        <v>2396.75</v>
      </c>
      <c r="R63" s="30" t="inlineStr">
        <is>
          <t>Near 52W High Breakout</t>
        </is>
      </c>
      <c r="S63" s="30" t="inlineStr">
        <is>
          <t>Nifty 50</t>
        </is>
      </c>
      <c r="T63" s="31" t="n">
        <v>-4.09</v>
      </c>
      <c r="U63" s="31" t="n">
        <v>28.83</v>
      </c>
      <c r="V63" s="31" t="n">
        <v>34.32</v>
      </c>
      <c r="W63" s="31" t="n">
        <v>14.26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IF(B64=0,"",RANK(B64,$B$2:$B$361,0))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CEIGALL</t>
        </is>
      </c>
      <c r="D64" s="30" t="inlineStr">
        <is>
          <t>Ceigall India Ltd</t>
        </is>
      </c>
      <c r="E64" s="30" t="inlineStr">
        <is>
          <t>realty</t>
        </is>
      </c>
      <c r="F64" s="30" t="inlineStr">
        <is>
          <t>construction</t>
        </is>
      </c>
      <c r="G64" s="30" t="inlineStr">
        <is>
          <t>midcap</t>
        </is>
      </c>
      <c r="H64" s="31" t="n">
        <v>6451.68</v>
      </c>
      <c r="I64" s="31" t="n">
        <v>372.5</v>
      </c>
      <c r="J64" s="31" t="n">
        <v>0.58</v>
      </c>
      <c r="K64" s="31" t="n">
        <v>376721</v>
      </c>
      <c r="L64" s="30" t="n">
        <v>64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70.81</v>
      </c>
      <c r="P64" s="31" t="n">
        <v>45.92</v>
      </c>
      <c r="Q64" s="31" t="n">
        <v>296.68</v>
      </c>
      <c r="R64" s="30" t="inlineStr">
        <is>
          <t>Near 52W High Breakout</t>
        </is>
      </c>
      <c r="S64" s="30" t="inlineStr">
        <is>
          <t>Nifty Realty</t>
        </is>
      </c>
      <c r="T64" s="31" t="n">
        <v>-19.64</v>
      </c>
      <c r="U64" s="31" t="n">
        <v>52.75</v>
      </c>
      <c r="V64" s="31" t="n">
        <v>90.08</v>
      </c>
      <c r="W64" s="31" t="n">
        <v>17.57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Negative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IF(B65=0,"",RANK(B65,$B$2:$B$361,0))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PTL</t>
        </is>
      </c>
      <c r="D65" s="30" t="inlineStr">
        <is>
          <t>Ptl Enterprises Limited</t>
        </is>
      </c>
      <c r="E65" s="30" t="inlineStr">
        <is>
          <t>miscellaneous</t>
        </is>
      </c>
      <c r="F65" s="30" t="inlineStr">
        <is>
          <t>miscellaneous</t>
        </is>
      </c>
      <c r="G65" s="30" t="inlineStr">
        <is>
          <t>smallcap</t>
        </is>
      </c>
      <c r="H65" s="31" t="n">
        <v>548.7</v>
      </c>
      <c r="I65" s="31" t="n">
        <v>41.68</v>
      </c>
      <c r="J65" s="31" t="n">
        <v>0.55</v>
      </c>
      <c r="K65" s="31" t="n">
        <v>74739</v>
      </c>
      <c r="L65" s="30" t="n">
        <v>9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62.71</v>
      </c>
      <c r="P65" s="31" t="n">
        <v>11.04</v>
      </c>
      <c r="Q65" s="31" t="n">
        <v>35.85</v>
      </c>
      <c r="R65" s="30" t="inlineStr">
        <is>
          <t>Near 52W High Breakout</t>
        </is>
      </c>
      <c r="S65" s="30" t="inlineStr">
        <is>
          <t>Nifty 50</t>
        </is>
      </c>
      <c r="T65" s="31" t="n">
        <v>-4.09</v>
      </c>
      <c r="U65" s="31" t="n">
        <v>9.09</v>
      </c>
      <c r="V65" s="31" t="n">
        <v>13.74</v>
      </c>
      <c r="W65" s="31" t="n">
        <v>3.97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0 to 20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IF(B66=0,"",RANK(B66,$B$2:$B$361,0))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PIDILITIND</t>
        </is>
      </c>
      <c r="D66" s="30" t="inlineStr">
        <is>
          <t>Pidilite Industries Limited</t>
        </is>
      </c>
      <c r="E66" s="30" t="inlineStr">
        <is>
          <t>chemicals</t>
        </is>
      </c>
      <c r="F66" s="30" t="inlineStr">
        <is>
          <t>chemicals</t>
        </is>
      </c>
      <c r="G66" s="30" t="inlineStr">
        <is>
          <t>largecap</t>
        </is>
      </c>
      <c r="H66" s="31" t="n">
        <v>159911.44</v>
      </c>
      <c r="I66" s="31" t="n">
        <v>1578.2</v>
      </c>
      <c r="J66" s="31" t="n">
        <v>0.45</v>
      </c>
      <c r="K66" s="31" t="n">
        <v>651610</v>
      </c>
      <c r="L66" s="30" t="n">
        <v>16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65.63</v>
      </c>
      <c r="P66" s="31" t="n">
        <v>20.88</v>
      </c>
      <c r="Q66" s="31" t="n">
        <v>1368.53</v>
      </c>
      <c r="R66" s="30" t="inlineStr">
        <is>
          <t>Near 52W High Breakout</t>
        </is>
      </c>
      <c r="S66" s="30" t="inlineStr">
        <is>
          <t>Nifty 50</t>
        </is>
      </c>
      <c r="T66" s="31" t="n">
        <v>-4.09</v>
      </c>
      <c r="U66" s="31" t="n">
        <v>7.51</v>
      </c>
      <c r="V66" s="31" t="n">
        <v>12.09</v>
      </c>
      <c r="W66" s="31" t="n">
        <v>5.36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Between 1.5 to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IF(B67=0,"",RANK(B67,$B$2:$B$361,0))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GOCLCORP</t>
        </is>
      </c>
      <c r="D67" s="30" t="inlineStr">
        <is>
          <t>Gocl Corporation Limited</t>
        </is>
      </c>
      <c r="E67" s="30" t="inlineStr">
        <is>
          <t>miscellaneous</t>
        </is>
      </c>
      <c r="F67" s="30" t="inlineStr">
        <is>
          <t>diversified - medium / small</t>
        </is>
      </c>
      <c r="G67" s="30" t="inlineStr">
        <is>
          <t>smallcap</t>
        </is>
      </c>
      <c r="H67" s="31" t="n">
        <v>1993.81</v>
      </c>
      <c r="I67" s="31" t="n">
        <v>403.3</v>
      </c>
      <c r="J67" s="31" t="n">
        <v>0.27</v>
      </c>
      <c r="K67" s="31" t="n">
        <v>61259</v>
      </c>
      <c r="L67" s="30" t="n">
        <v>72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69.19</v>
      </c>
      <c r="P67" s="31" t="n">
        <v>27.88</v>
      </c>
      <c r="Q67" s="31" t="n">
        <v>306.53</v>
      </c>
      <c r="R67" s="30" t="inlineStr">
        <is>
          <t>Near 52W High Breakout</t>
        </is>
      </c>
      <c r="S67" s="30" t="inlineStr">
        <is>
          <t>Nifty 50</t>
        </is>
      </c>
      <c r="T67" s="31" t="n">
        <v>-4.09</v>
      </c>
      <c r="U67" s="31" t="n">
        <v>12.98</v>
      </c>
      <c r="V67" s="31" t="n">
        <v>17.8</v>
      </c>
      <c r="W67" s="31" t="n">
        <v>20.91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IF(B68=0,"",RANK(B68,$B$2:$B$361,0))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SIGMAADV</t>
        </is>
      </c>
      <c r="D68" s="30" t="inlineStr">
        <is>
          <t>Sigma Advanced System Ltd</t>
        </is>
      </c>
      <c r="E68" s="30" t="inlineStr">
        <is>
          <t>aerospace &amp; defence</t>
        </is>
      </c>
      <c r="F68" s="30" t="inlineStr">
        <is>
          <t>electronics - components</t>
        </is>
      </c>
      <c r="G68" s="30" t="inlineStr">
        <is>
          <t>midcap</t>
        </is>
      </c>
      <c r="H68" s="31" t="n">
        <v>8373.15</v>
      </c>
      <c r="I68" s="31" t="n">
        <v>476.25</v>
      </c>
      <c r="J68" s="31" t="n">
        <v>0.24</v>
      </c>
      <c r="K68" s="31" t="n">
        <v>211451</v>
      </c>
      <c r="L68" s="30" t="n">
        <v>99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85.2</v>
      </c>
      <c r="P68" s="31" t="n">
        <v>43.45</v>
      </c>
      <c r="Q68" s="31" t="n">
        <v>357.89</v>
      </c>
      <c r="R68" s="30" t="inlineStr">
        <is>
          <t>Near 52W High Breakout</t>
        </is>
      </c>
      <c r="S68" s="30" t="inlineStr">
        <is>
          <t>Nifty 50</t>
        </is>
      </c>
      <c r="T68" s="31" t="n">
        <v>-4.09</v>
      </c>
      <c r="U68" s="31" t="n">
        <v>457.47</v>
      </c>
      <c r="V68" s="31" t="n">
        <v>481.24</v>
      </c>
      <c r="W68" s="31" t="n">
        <v>89.16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Between 0.7 to 1.2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IF(B69=0,"",RANK(B69,$B$2:$B$361,0))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AVALON</t>
        </is>
      </c>
      <c r="D69" s="30" t="inlineStr">
        <is>
          <t>Avalon Technologies Ltd</t>
        </is>
      </c>
      <c r="E69" s="30" t="inlineStr">
        <is>
          <t>consumer discretionary</t>
        </is>
      </c>
      <c r="F69" s="30" t="inlineStr">
        <is>
          <t>electronics - components</t>
        </is>
      </c>
      <c r="G69" s="30" t="inlineStr">
        <is>
          <t>midcap</t>
        </is>
      </c>
      <c r="H69" s="31" t="n">
        <v>11605.96</v>
      </c>
      <c r="I69" s="31" t="n">
        <v>1741.4</v>
      </c>
      <c r="J69" s="31" t="n">
        <v>0.18</v>
      </c>
      <c r="K69" s="31" t="n">
        <v>222226</v>
      </c>
      <c r="L69" s="30" t="n">
        <v>90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77.56999999999999</v>
      </c>
      <c r="P69" s="31" t="n">
        <v>37.54</v>
      </c>
      <c r="Q69" s="31" t="n">
        <v>1292.45</v>
      </c>
      <c r="R69" s="30" t="inlineStr">
        <is>
          <t>Near 52W High Breakout</t>
        </is>
      </c>
      <c r="S69" s="30" t="inlineStr">
        <is>
          <t>Nifty 50</t>
        </is>
      </c>
      <c r="T69" s="31" t="n">
        <v>-4.09</v>
      </c>
      <c r="U69" s="31" t="n">
        <v>108.41</v>
      </c>
      <c r="V69" s="31" t="n">
        <v>117.3</v>
      </c>
      <c r="W69" s="31" t="n">
        <v>36.21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Less than 50%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IF(B70=0,"",RANK(B70,$B$2:$B$361,0))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SYRMA</t>
        </is>
      </c>
      <c r="D70" s="30" t="inlineStr">
        <is>
          <t>Syrma SGS Technology Ltd</t>
        </is>
      </c>
      <c r="E70" s="30" t="inlineStr">
        <is>
          <t>consumer discretionary</t>
        </is>
      </c>
      <c r="F70" s="30" t="inlineStr">
        <is>
          <t>electronics - components</t>
        </is>
      </c>
      <c r="G70" s="30" t="inlineStr">
        <is>
          <t>largecap</t>
        </is>
      </c>
      <c r="H70" s="31" t="n">
        <v>25054.46</v>
      </c>
      <c r="I70" s="31" t="n">
        <v>1298.3</v>
      </c>
      <c r="J70" s="31" t="n">
        <v>-0.08</v>
      </c>
      <c r="K70" s="31" t="n">
        <v>786824</v>
      </c>
      <c r="L70" s="30" t="n">
        <v>92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75.56999999999999</v>
      </c>
      <c r="P70" s="31" t="n">
        <v>37.59</v>
      </c>
      <c r="Q70" s="31" t="n">
        <v>1016.5</v>
      </c>
      <c r="R70" s="30" t="inlineStr">
        <is>
          <t>Near 52W High Breakout</t>
        </is>
      </c>
      <c r="S70" s="30" t="inlineStr">
        <is>
          <t>Nifty 50</t>
        </is>
      </c>
      <c r="T70" s="31" t="n">
        <v>-4.09</v>
      </c>
      <c r="U70" s="31" t="n">
        <v>156.73</v>
      </c>
      <c r="V70" s="31" t="n">
        <v>167.67</v>
      </c>
      <c r="W70" s="31" t="n">
        <v>38.07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Above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Between 1.5 to 2</t>
        </is>
      </c>
      <c r="BU70" s="30">
        <f>IF(BT70="Above 2",0,IF(BT70="Between 1.5 to 2",5,IF(BT70="Less than 1.5",10,0)))</f>
        <v/>
      </c>
      <c r="BV70" s="30" t="inlineStr">
        <is>
          <t>Between 50% to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IF(B71=0,"",RANK(B71,$B$2:$B$361,0))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UNIPARTS</t>
        </is>
      </c>
      <c r="D71" s="30" t="inlineStr">
        <is>
          <t>Uniparts India Ltd</t>
        </is>
      </c>
      <c r="E71" s="30" t="inlineStr">
        <is>
          <t>industrials</t>
        </is>
      </c>
      <c r="F71" s="30" t="inlineStr">
        <is>
          <t>engineering</t>
        </is>
      </c>
      <c r="G71" s="30" t="inlineStr">
        <is>
          <t>smallcap</t>
        </is>
      </c>
      <c r="H71" s="31" t="n">
        <v>3025.94</v>
      </c>
      <c r="I71" s="31" t="n">
        <v>667.9</v>
      </c>
      <c r="J71" s="31" t="n">
        <v>-0.36</v>
      </c>
      <c r="K71" s="31" t="n">
        <v>131608</v>
      </c>
      <c r="L71" s="30" t="n">
        <v>79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74.54000000000001</v>
      </c>
      <c r="P71" s="31" t="n">
        <v>37.9</v>
      </c>
      <c r="Q71" s="31" t="n">
        <v>524.83</v>
      </c>
      <c r="R71" s="30" t="inlineStr">
        <is>
          <t>Near 52W High Breakout</t>
        </is>
      </c>
      <c r="S71" s="30" t="inlineStr">
        <is>
          <t>Nifty 50</t>
        </is>
      </c>
      <c r="T71" s="31" t="n">
        <v>-4.09</v>
      </c>
      <c r="U71" s="31" t="n">
        <v>93.97</v>
      </c>
      <c r="V71" s="31" t="n">
        <v>102.24</v>
      </c>
      <c r="W71" s="31" t="n">
        <v>24.84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IF(B72=0,"",RANK(B72,$B$2:$B$361,0))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STLTECH</t>
        </is>
      </c>
      <c r="D72" s="30" t="inlineStr">
        <is>
          <t>Sterlite Technologies Limited</t>
        </is>
      </c>
      <c r="E72" s="30" t="inlineStr">
        <is>
          <t>industrials</t>
        </is>
      </c>
      <c r="F72" s="30" t="inlineStr">
        <is>
          <t>cables - telephone</t>
        </is>
      </c>
      <c r="G72" s="30" t="inlineStr">
        <is>
          <t>largecap</t>
        </is>
      </c>
      <c r="H72" s="31" t="n">
        <v>30493.64</v>
      </c>
      <c r="I72" s="31" t="n">
        <v>616.6</v>
      </c>
      <c r="J72" s="31" t="n">
        <v>-1.3</v>
      </c>
      <c r="K72" s="31" t="n">
        <v>2932768</v>
      </c>
      <c r="L72" s="30" t="n">
        <v>99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88.79000000000001</v>
      </c>
      <c r="P72" s="31" t="n">
        <v>81.70999999999999</v>
      </c>
      <c r="Q72" s="31" t="n">
        <v>475.12</v>
      </c>
      <c r="R72" s="30" t="inlineStr">
        <is>
          <t>Near 52W High Breakout</t>
        </is>
      </c>
      <c r="S72" s="30" t="inlineStr">
        <is>
          <t>Nifty Infra</t>
        </is>
      </c>
      <c r="T72" s="31" t="n">
        <v>3.72</v>
      </c>
      <c r="U72" s="31" t="n">
        <v>481.97</v>
      </c>
      <c r="V72" s="31" t="n">
        <v>461.11</v>
      </c>
      <c r="W72" s="31" t="n">
        <v>108.1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Above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IF(B73=0,"",RANK(B73,$B$2:$B$361,0))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JAYBARMARU</t>
        </is>
      </c>
      <c r="D73" s="30" t="inlineStr">
        <is>
          <t>Jay Bharat Maruti Limited</t>
        </is>
      </c>
      <c r="E73" s="30" t="inlineStr">
        <is>
          <t>auto</t>
        </is>
      </c>
      <c r="F73" s="30" t="inlineStr">
        <is>
          <t>auto ancillaries</t>
        </is>
      </c>
      <c r="G73" s="30" t="inlineStr">
        <is>
          <t>smallcap</t>
        </is>
      </c>
      <c r="H73" s="31" t="n">
        <v>1815.14</v>
      </c>
      <c r="I73" s="31" t="n">
        <v>164.57</v>
      </c>
      <c r="J73" s="31" t="n">
        <v>-1.85</v>
      </c>
      <c r="K73" s="31" t="n">
        <v>1641348</v>
      </c>
      <c r="L73" s="30" t="n">
        <v>93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74.84</v>
      </c>
      <c r="P73" s="31" t="n">
        <v>20.71</v>
      </c>
      <c r="Q73" s="31" t="n">
        <v>121.87</v>
      </c>
      <c r="R73" s="30" t="inlineStr">
        <is>
          <t>Near 52W High Breakout</t>
        </is>
      </c>
      <c r="S73" s="30" t="inlineStr">
        <is>
          <t>Nifty Auto</t>
        </is>
      </c>
      <c r="T73" s="31" t="n">
        <v>12.86</v>
      </c>
      <c r="U73" s="31" t="n">
        <v>115.52</v>
      </c>
      <c r="V73" s="31" t="n">
        <v>90.95999999999999</v>
      </c>
      <c r="W73" s="31" t="n">
        <v>39.95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Between 0.7 to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IF(B74=0,"",RANK(B74,$B$2:$B$361,0))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NRL</t>
        </is>
      </c>
      <c r="D74" s="30" t="inlineStr">
        <is>
          <t>Nupur Recyclers Ltd</t>
        </is>
      </c>
      <c r="E74" s="30" t="inlineStr">
        <is>
          <t>services</t>
        </is>
      </c>
      <c r="F74" s="30" t="inlineStr">
        <is>
          <t>trading</t>
        </is>
      </c>
      <c r="G74" s="30" t="inlineStr">
        <is>
          <t>smallcap</t>
        </is>
      </c>
      <c r="H74" s="31" t="n">
        <v>541.22</v>
      </c>
      <c r="I74" s="31" t="n">
        <v>76.61</v>
      </c>
      <c r="J74" s="31" t="n">
        <v>-2.23</v>
      </c>
      <c r="K74" s="31" t="n">
        <v>105896</v>
      </c>
      <c r="L74" s="30" t="n">
        <v>53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71.84999999999999</v>
      </c>
      <c r="P74" s="31" t="n">
        <v>32.12</v>
      </c>
      <c r="Q74" s="31" t="n">
        <v>58.16</v>
      </c>
      <c r="R74" s="30" t="inlineStr">
        <is>
          <t>Earnings / Momentum Support</t>
        </is>
      </c>
      <c r="S74" s="30" t="inlineStr">
        <is>
          <t>Nifty 50</t>
        </is>
      </c>
      <c r="T74" s="31" t="n">
        <v>-4.09</v>
      </c>
      <c r="U74" s="31" t="n">
        <v>0.84</v>
      </c>
      <c r="V74" s="31" t="n">
        <v>5.14</v>
      </c>
      <c r="W74" s="31" t="n">
        <v>13.88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IF(B75=0,"",RANK(B75,$B$2:$B$361,0))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OCCLLTD</t>
        </is>
      </c>
      <c r="D75" s="30" t="inlineStr">
        <is>
          <t>OCCL Ltd</t>
        </is>
      </c>
      <c r="E75" s="30" t="inlineStr">
        <is>
          <t>chemicals</t>
        </is>
      </c>
      <c r="F75" s="30" t="inlineStr">
        <is>
          <t>chemicals</t>
        </is>
      </c>
      <c r="G75" s="30" t="inlineStr">
        <is>
          <t>smallcap</t>
        </is>
      </c>
      <c r="H75" s="31" t="n">
        <v>675.73</v>
      </c>
      <c r="I75" s="31" t="n">
        <v>130.02</v>
      </c>
      <c r="J75" s="31" t="n">
        <v>-3.89</v>
      </c>
      <c r="K75" s="31" t="n">
        <v>55887</v>
      </c>
      <c r="L75" s="30" t="n">
        <v>58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69.27</v>
      </c>
      <c r="P75" s="31" t="n">
        <v>23.33</v>
      </c>
      <c r="Q75" s="31" t="n">
        <v>92.67</v>
      </c>
      <c r="R75" s="30" t="inlineStr">
        <is>
          <t>Earnings / Momentum Support</t>
        </is>
      </c>
      <c r="S75" s="30" t="inlineStr">
        <is>
          <t>Nifty 50</t>
        </is>
      </c>
      <c r="T75" s="31" t="n">
        <v>-4.09</v>
      </c>
      <c r="U75" s="31" t="n">
        <v>9.99</v>
      </c>
      <c r="V75" s="31" t="n">
        <v>14.67</v>
      </c>
      <c r="W75" s="31" t="n">
        <v>14.74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No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IF(B76=0,"",RANK(B76,$B$2:$B$361,0))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KEI</t>
        </is>
      </c>
      <c r="D76" s="30" t="inlineStr">
        <is>
          <t>Kei Industries Limited</t>
        </is>
      </c>
      <c r="E76" s="30" t="inlineStr">
        <is>
          <t>industrials</t>
        </is>
      </c>
      <c r="F76" s="30" t="inlineStr">
        <is>
          <t>cables - power</t>
        </is>
      </c>
      <c r="G76" s="30" t="inlineStr">
        <is>
          <t>largecap</t>
        </is>
      </c>
      <c r="H76" s="31" t="n">
        <v>51495.26</v>
      </c>
      <c r="I76" s="31" t="n">
        <v>5643.5</v>
      </c>
      <c r="J76" s="31" t="n">
        <v>4.77</v>
      </c>
      <c r="K76" s="31" t="n">
        <v>440733</v>
      </c>
      <c r="L76" s="30" t="n">
        <v>64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71.25</v>
      </c>
      <c r="P76" s="31" t="n">
        <v>23.9</v>
      </c>
      <c r="Q76" s="31" t="n">
        <v>4580.82</v>
      </c>
      <c r="R76" s="30" t="inlineStr">
        <is>
          <t>Near 52W High Breakout</t>
        </is>
      </c>
      <c r="S76" s="30" t="inlineStr">
        <is>
          <t>Nifty Energy</t>
        </is>
      </c>
      <c r="T76" s="31" t="n">
        <v>13.03</v>
      </c>
      <c r="U76" s="31" t="n">
        <v>58.07</v>
      </c>
      <c r="V76" s="31" t="n">
        <v>39.85</v>
      </c>
      <c r="W76" s="31" t="n">
        <v>17.38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Fully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Above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Yes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Yes, More Than 10%</t>
        </is>
      </c>
      <c r="CE76" s="30">
        <f>IF(CD76="Yes, more than 10%",-10,IF(CD76="No",10,0))</f>
        <v/>
      </c>
    </row>
    <row r="77">
      <c r="A77" s="30">
        <f>IF(B77=0,"",RANK(B77,$B$2:$B$361,0))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NEULANDLAB</t>
        </is>
      </c>
      <c r="D77" s="30" t="inlineStr">
        <is>
          <t>Neuland Laboratories Limited</t>
        </is>
      </c>
      <c r="E77" s="30" t="inlineStr">
        <is>
          <t>healthcare</t>
        </is>
      </c>
      <c r="F77" s="30" t="inlineStr">
        <is>
          <t>pharmaceuticals - indian - bulk drugs</t>
        </is>
      </c>
      <c r="G77" s="30" t="inlineStr">
        <is>
          <t>largecap</t>
        </is>
      </c>
      <c r="H77" s="31" t="n">
        <v>21454.14</v>
      </c>
      <c r="I77" s="31" t="n">
        <v>17016</v>
      </c>
      <c r="J77" s="31" t="n">
        <v>1.76</v>
      </c>
      <c r="K77" s="31" t="n">
        <v>20633</v>
      </c>
      <c r="L77" s="30" t="n">
        <v>65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60.91</v>
      </c>
      <c r="P77" s="31" t="n">
        <v>32.41</v>
      </c>
      <c r="Q77" s="31" t="n">
        <v>13873.78</v>
      </c>
      <c r="R77" s="30" t="inlineStr">
        <is>
          <t>Near 52W High Breakout</t>
        </is>
      </c>
      <c r="S77" s="30" t="inlineStr">
        <is>
          <t>Nifty Pharma</t>
        </is>
      </c>
      <c r="T77" s="31" t="n">
        <v>11.72</v>
      </c>
      <c r="U77" s="31" t="n">
        <v>39.08</v>
      </c>
      <c r="V77" s="31" t="n">
        <v>24.49</v>
      </c>
      <c r="W77" s="31" t="n">
        <v>17.73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Annuity, Lower One Time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IF(B78=0,"",RANK(B78,$B$2:$B$361,0))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SENORES</t>
        </is>
      </c>
      <c r="D78" s="30" t="inlineStr">
        <is>
          <t>Senores Pharmaceuticals Ltd</t>
        </is>
      </c>
      <c r="E78" s="30" t="inlineStr">
        <is>
          <t>healthcare</t>
        </is>
      </c>
      <c r="F78" s="30" t="inlineStr">
        <is>
          <t>pharmaceuticals - indian - formulations</t>
        </is>
      </c>
      <c r="G78" s="30" t="inlineStr">
        <is>
          <t>midcap</t>
        </is>
      </c>
      <c r="H78" s="31" t="n">
        <v>5789.86</v>
      </c>
      <c r="I78" s="31" t="n">
        <v>1269.8</v>
      </c>
      <c r="J78" s="31" t="n">
        <v>1</v>
      </c>
      <c r="K78" s="31" t="n">
        <v>304435</v>
      </c>
      <c r="L78" s="30" t="n">
        <v>90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75.25</v>
      </c>
      <c r="P78" s="31" t="n">
        <v>44.65</v>
      </c>
      <c r="Q78" s="31" t="n">
        <v>1000.22</v>
      </c>
      <c r="R78" s="30" t="inlineStr">
        <is>
          <t>Near 52W High Breakout</t>
        </is>
      </c>
      <c r="S78" s="30" t="inlineStr">
        <is>
          <t>Nifty Pharma</t>
        </is>
      </c>
      <c r="T78" s="31" t="n">
        <v>11.72</v>
      </c>
      <c r="U78" s="31" t="n">
        <v>144.12</v>
      </c>
      <c r="V78" s="31" t="n">
        <v>118.51</v>
      </c>
      <c r="W78" s="31" t="n">
        <v>36.25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Yes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Annuity, Lower One Time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Less than 50%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IF(B79=0,"",RANK(B79,$B$2:$B$361,0))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THYROCARE</t>
        </is>
      </c>
      <c r="D79" s="30" t="inlineStr">
        <is>
          <t>Thyrocare Technologies Limited</t>
        </is>
      </c>
      <c r="E79" s="30" t="inlineStr">
        <is>
          <t>healthcare</t>
        </is>
      </c>
      <c r="F79" s="30" t="inlineStr">
        <is>
          <t>healthcare</t>
        </is>
      </c>
      <c r="G79" s="30" t="inlineStr">
        <is>
          <t>midcap</t>
        </is>
      </c>
      <c r="H79" s="31" t="n">
        <v>8493.059999999999</v>
      </c>
      <c r="I79" s="31" t="n">
        <v>533.5</v>
      </c>
      <c r="J79" s="31" t="n">
        <v>-0.02</v>
      </c>
      <c r="K79" s="31" t="n">
        <v>149817</v>
      </c>
      <c r="L79" s="30" t="n">
        <v>76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69.56</v>
      </c>
      <c r="P79" s="31" t="n">
        <v>29.47</v>
      </c>
      <c r="Q79" s="31" t="n">
        <v>404.34</v>
      </c>
      <c r="R79" s="30" t="inlineStr">
        <is>
          <t>Near 52W High Breakout</t>
        </is>
      </c>
      <c r="S79" s="30" t="inlineStr">
        <is>
          <t>Nifty Pharma</t>
        </is>
      </c>
      <c r="T79" s="31" t="n">
        <v>11.72</v>
      </c>
      <c r="U79" s="31" t="n">
        <v>61.92</v>
      </c>
      <c r="V79" s="31" t="n">
        <v>44.93</v>
      </c>
      <c r="W79" s="31" t="n">
        <v>22.94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Yes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Annuity, Lower One Time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IF(B80=0,"",RANK(B80,$B$2:$B$361,0))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CAPLIPOINT</t>
        </is>
      </c>
      <c r="D80" s="30" t="inlineStr">
        <is>
          <t>Caplin Point Laboratories Limited</t>
        </is>
      </c>
      <c r="E80" s="30" t="inlineStr">
        <is>
          <t>healthcare</t>
        </is>
      </c>
      <c r="F80" s="30" t="inlineStr">
        <is>
          <t>pharmaceuticals - indian - formulations</t>
        </is>
      </c>
      <c r="G80" s="30" t="inlineStr">
        <is>
          <t>midcap</t>
        </is>
      </c>
      <c r="H80" s="31" t="n">
        <v>18074.06</v>
      </c>
      <c r="I80" s="31" t="n">
        <v>2334.9</v>
      </c>
      <c r="J80" s="31" t="n">
        <v>-1.8</v>
      </c>
      <c r="K80" s="31" t="n">
        <v>66318</v>
      </c>
      <c r="L80" s="30" t="n">
        <v>56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71.25</v>
      </c>
      <c r="P80" s="31" t="n">
        <v>25.58</v>
      </c>
      <c r="Q80" s="31" t="n">
        <v>1981.13</v>
      </c>
      <c r="R80" s="30" t="inlineStr">
        <is>
          <t>Near 52W High Breakout</t>
        </is>
      </c>
      <c r="S80" s="30" t="inlineStr">
        <is>
          <t>Nifty Pharma</t>
        </is>
      </c>
      <c r="T80" s="31" t="n">
        <v>11.72</v>
      </c>
      <c r="U80" s="31" t="n">
        <v>14.52</v>
      </c>
      <c r="V80" s="31" t="n">
        <v>2.51</v>
      </c>
      <c r="W80" s="31" t="n">
        <v>14.37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Yes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Annuity, Lower One Time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Between 12 to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IF(B81=0,"",RANK(B81,$B$2:$B$361,0))</f>
        <v/>
      </c>
      <c r="B81" s="31">
        <f>SUM(N81,Y81,AA81,AC81,AE81,AG81,AI81,AK81,AM81,AO81,AQ81,AS81,AU81,AW81,AY81,BA81,BC81,BE81,BG81,BI81,BK81,BM81,BO81,BQ81,BS81,BU81,BW81,BY81,CA81,CC81,CE81)</f>
        <v/>
      </c>
      <c r="C81" s="32" t="inlineStr">
        <is>
          <t>INNOVACAP</t>
        </is>
      </c>
      <c r="D81" s="32" t="inlineStr">
        <is>
          <t>Innova Captab Ltd</t>
        </is>
      </c>
      <c r="E81" s="30" t="inlineStr">
        <is>
          <t>healthcare</t>
        </is>
      </c>
      <c r="F81" s="30" t="inlineStr">
        <is>
          <t>pharmaceuticals - indian - bulk drugs &amp; formln</t>
        </is>
      </c>
      <c r="G81" s="30" t="inlineStr">
        <is>
          <t>midcap</t>
        </is>
      </c>
      <c r="H81" s="31" t="n">
        <v>5517.63</v>
      </c>
      <c r="I81" s="31" t="n">
        <v>934.9</v>
      </c>
      <c r="J81" s="31" t="n">
        <v>-3.04</v>
      </c>
      <c r="K81" s="31" t="n">
        <v>71741</v>
      </c>
      <c r="L81" s="30" t="n">
        <v>42</v>
      </c>
      <c r="M81" s="30" t="inlineStr">
        <is>
          <t>Underperforming</t>
        </is>
      </c>
      <c r="N81" s="31">
        <f>IF(M81="Underperforming",-5,IF(L81&gt;=95,15,IF(L81&gt;=90,10,IF(L81&gt;=80,5,0))))</f>
        <v/>
      </c>
      <c r="O81" s="31" t="n">
        <v>70.06</v>
      </c>
      <c r="P81" s="31" t="n">
        <v>31.94</v>
      </c>
      <c r="Q81" s="31" t="n">
        <v>739.66</v>
      </c>
      <c r="R81" s="30" t="inlineStr">
        <is>
          <t>Near 52W High Breakout</t>
        </is>
      </c>
      <c r="S81" s="30" t="inlineStr">
        <is>
          <t>Nifty Pharma</t>
        </is>
      </c>
      <c r="T81" s="31" t="n">
        <v>11.72</v>
      </c>
      <c r="U81" s="31" t="n">
        <v>10.63</v>
      </c>
      <c r="V81" s="31" t="n">
        <v>-0.98</v>
      </c>
      <c r="W81" s="31" t="n">
        <v>11.13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Between 50% to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IF(B82=0,"",RANK(B82,$B$2:$B$361,0))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KIRLPNU</t>
        </is>
      </c>
      <c r="D82" s="30" t="inlineStr">
        <is>
          <t>Kirloskar Pneumatic Company Ltd</t>
        </is>
      </c>
      <c r="E82" s="30" t="inlineStr">
        <is>
          <t>industrials</t>
        </is>
      </c>
      <c r="F82" s="30" t="inlineStr">
        <is>
          <t>compressors / drilling equipment</t>
        </is>
      </c>
      <c r="G82" s="30" t="inlineStr">
        <is>
          <t>midcap</t>
        </is>
      </c>
      <c r="H82" s="31" t="n">
        <v>10693.42</v>
      </c>
      <c r="I82" s="31" t="n">
        <v>1832.4</v>
      </c>
      <c r="J82" s="31" t="n">
        <v>11.31</v>
      </c>
      <c r="K82" s="31" t="n">
        <v>1027172</v>
      </c>
      <c r="L82" s="30" t="n">
        <v>80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82.16</v>
      </c>
      <c r="P82" s="31" t="n">
        <v>39.68</v>
      </c>
      <c r="Q82" s="31" t="n">
        <v>1454.74</v>
      </c>
      <c r="R82" s="30" t="inlineStr">
        <is>
          <t>Near 52W High Breakout</t>
        </is>
      </c>
      <c r="S82" s="30" t="inlineStr">
        <is>
          <t>Nifty 50</t>
        </is>
      </c>
      <c r="T82" s="31" t="n">
        <v>-4.09</v>
      </c>
      <c r="U82" s="31" t="n">
        <v>37.29</v>
      </c>
      <c r="V82" s="31" t="n">
        <v>43.15</v>
      </c>
      <c r="W82" s="31" t="n">
        <v>25.37</v>
      </c>
      <c r="X82" s="30" t="inlineStr">
        <is>
          <t>Cyclical in an Upturn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Above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Between 50% to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IF(B83=0,"",RANK(B83,$B$2:$B$361,0))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ASTRAMICRO</t>
        </is>
      </c>
      <c r="D83" s="30" t="inlineStr">
        <is>
          <t>Astra Microwave Products Limited</t>
        </is>
      </c>
      <c r="E83" s="30" t="inlineStr">
        <is>
          <t>aerospace &amp; defence</t>
        </is>
      </c>
      <c r="F83" s="30" t="inlineStr">
        <is>
          <t>telecommunications - equipment</t>
        </is>
      </c>
      <c r="G83" s="30" t="inlineStr">
        <is>
          <t>midcap</t>
        </is>
      </c>
      <c r="H83" s="31" t="n">
        <v>14052.81</v>
      </c>
      <c r="I83" s="31" t="n">
        <v>1574.4</v>
      </c>
      <c r="J83" s="31" t="n">
        <v>6.37</v>
      </c>
      <c r="K83" s="31" t="n">
        <v>2695624</v>
      </c>
      <c r="L83" s="30" t="n">
        <v>82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80.20999999999999</v>
      </c>
      <c r="P83" s="31" t="n">
        <v>32.78</v>
      </c>
      <c r="Q83" s="31" t="n">
        <v>1243.53</v>
      </c>
      <c r="R83" s="30" t="inlineStr">
        <is>
          <t>Near 52W High Breakout</t>
        </is>
      </c>
      <c r="S83" s="30" t="inlineStr">
        <is>
          <t>Nifty 50</t>
        </is>
      </c>
      <c r="T83" s="31" t="n">
        <v>-4.09</v>
      </c>
      <c r="U83" s="31" t="n">
        <v>42.41</v>
      </c>
      <c r="V83" s="31" t="n">
        <v>48.48</v>
      </c>
      <c r="W83" s="31" t="n">
        <v>26.87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Oligopoly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Between 1.5 to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IF(B84=0,"",RANK(B84,$B$2:$B$361,0))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SWANDEF</t>
        </is>
      </c>
      <c r="D84" s="30" t="inlineStr">
        <is>
          <t>Swan Defence and Heavy Industries Ltd</t>
        </is>
      </c>
      <c r="E84" s="30" t="inlineStr">
        <is>
          <t>transportation</t>
        </is>
      </c>
      <c r="F84" s="30" t="inlineStr">
        <is>
          <t>miscellaneous</t>
        </is>
      </c>
      <c r="G84" s="30" t="inlineStr">
        <is>
          <t>midcap</t>
        </is>
      </c>
      <c r="H84" s="31" t="n">
        <v>10499.03</v>
      </c>
      <c r="I84" s="31" t="n">
        <v>2055.2</v>
      </c>
      <c r="J84" s="31" t="n">
        <v>3.13</v>
      </c>
      <c r="K84" s="31" t="n">
        <v>16039</v>
      </c>
      <c r="L84" s="30" t="n">
        <v>98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62.88</v>
      </c>
      <c r="P84" s="31" t="n">
        <v>42.28</v>
      </c>
      <c r="Q84" s="31" t="n">
        <v>1541.81</v>
      </c>
      <c r="R84" s="30" t="inlineStr">
        <is>
          <t>Volume Spike / Accumulation</t>
        </is>
      </c>
      <c r="S84" s="30" t="inlineStr">
        <is>
          <t>Nifty 50</t>
        </is>
      </c>
      <c r="T84" s="31" t="n">
        <v>-4.09</v>
      </c>
      <c r="U84" s="31" t="n">
        <v>992.84</v>
      </c>
      <c r="V84" s="31" t="n">
        <v>1039.43</v>
      </c>
      <c r="W84" s="31" t="n">
        <v>76.91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Negative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More than 1.2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IF(B85=0,"",RANK(B85,$B$2:$B$361,0))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POWERMECH</t>
        </is>
      </c>
      <c r="D85" s="30" t="inlineStr">
        <is>
          <t>Power Mech Projects Limited</t>
        </is>
      </c>
      <c r="E85" s="30" t="inlineStr">
        <is>
          <t>realty</t>
        </is>
      </c>
      <c r="F85" s="30" t="inlineStr">
        <is>
          <t>engineering - turnkey services</t>
        </is>
      </c>
      <c r="G85" s="30" t="inlineStr">
        <is>
          <t>midcap</t>
        </is>
      </c>
      <c r="H85" s="31" t="n">
        <v>8791.23</v>
      </c>
      <c r="I85" s="31" t="n">
        <v>2843</v>
      </c>
      <c r="J85" s="31" t="n">
        <v>2.24</v>
      </c>
      <c r="K85" s="31" t="n">
        <v>102810</v>
      </c>
      <c r="L85" s="30" t="n">
        <v>35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65.95</v>
      </c>
      <c r="P85" s="31" t="n">
        <v>20.26</v>
      </c>
      <c r="Q85" s="31" t="n">
        <v>2195.47</v>
      </c>
      <c r="R85" s="30" t="inlineStr">
        <is>
          <t>Earnings / Momentum Support</t>
        </is>
      </c>
      <c r="S85" s="30" t="inlineStr">
        <is>
          <t>Nifty Realty</t>
        </is>
      </c>
      <c r="T85" s="31" t="n">
        <v>-19.64</v>
      </c>
      <c r="U85" s="31" t="n">
        <v>-6.56</v>
      </c>
      <c r="V85" s="31" t="n">
        <v>16.27</v>
      </c>
      <c r="W85" s="31" t="n">
        <v>9.369999999999999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No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Between 50% to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IF(B86=0,"",RANK(B86,$B$2:$B$361,0))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CEMPRO</t>
        </is>
      </c>
      <c r="D86" s="30" t="inlineStr">
        <is>
          <t>Cemindia Projects Ltd</t>
        </is>
      </c>
      <c r="E86" s="30" t="inlineStr">
        <is>
          <t>realty</t>
        </is>
      </c>
      <c r="F86" s="30" t="inlineStr">
        <is>
          <t>construction</t>
        </is>
      </c>
      <c r="G86" s="30" t="inlineStr">
        <is>
          <t>midcap</t>
        </is>
      </c>
      <c r="H86" s="31" t="n">
        <v>19965.15</v>
      </c>
      <c r="I86" s="31" t="n">
        <v>1184</v>
      </c>
      <c r="J86" s="31" t="n">
        <v>1.88</v>
      </c>
      <c r="K86" s="31" t="n">
        <v>297334</v>
      </c>
      <c r="L86" s="30" t="n">
        <v>93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77.40000000000001</v>
      </c>
      <c r="P86" s="31" t="n">
        <v>39.36</v>
      </c>
      <c r="Q86" s="31" t="n">
        <v>895.8200000000001</v>
      </c>
      <c r="R86" s="30" t="inlineStr">
        <is>
          <t>Near 52W High Breakout</t>
        </is>
      </c>
      <c r="S86" s="30" t="inlineStr">
        <is>
          <t>Nifty Realty</t>
        </is>
      </c>
      <c r="T86" s="31" t="n">
        <v>-19.64</v>
      </c>
      <c r="U86" s="31" t="n">
        <v>47.66</v>
      </c>
      <c r="V86" s="31" t="n">
        <v>83.73999999999999</v>
      </c>
      <c r="W86" s="31" t="n">
        <v>41.42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Less than 50%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IF(B87=0,"",RANK(B87,$B$2:$B$361,0))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HSCL</t>
        </is>
      </c>
      <c r="D87" s="30" t="inlineStr">
        <is>
          <t>Himadri Speciality Chemical Limited</t>
        </is>
      </c>
      <c r="E87" s="30" t="inlineStr">
        <is>
          <t>chemicals</t>
        </is>
      </c>
      <c r="F87" s="30" t="inlineStr">
        <is>
          <t>chemicals</t>
        </is>
      </c>
      <c r="G87" s="30" t="inlineStr">
        <is>
          <t>largecap</t>
        </is>
      </c>
      <c r="H87" s="31" t="n">
        <v>34773.01</v>
      </c>
      <c r="I87" s="31" t="n">
        <v>701.1</v>
      </c>
      <c r="J87" s="31" t="n">
        <v>1.73</v>
      </c>
      <c r="K87" s="31" t="n">
        <v>12294889</v>
      </c>
      <c r="L87" s="30" t="n">
        <v>76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74.64</v>
      </c>
      <c r="P87" s="31" t="n">
        <v>32.5</v>
      </c>
      <c r="Q87" s="31" t="n">
        <v>538.71</v>
      </c>
      <c r="R87" s="30" t="inlineStr">
        <is>
          <t>Near 52W High Breakout</t>
        </is>
      </c>
      <c r="S87" s="30" t="inlineStr">
        <is>
          <t>Nifty 50</t>
        </is>
      </c>
      <c r="T87" s="31" t="n">
        <v>-4.09</v>
      </c>
      <c r="U87" s="31" t="n">
        <v>59.74</v>
      </c>
      <c r="V87" s="31" t="n">
        <v>66.55</v>
      </c>
      <c r="W87" s="31" t="n">
        <v>22.82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Between 1.5 to 2</t>
        </is>
      </c>
      <c r="BU87" s="30">
        <f>IF(BT87="Above 2",0,IF(BT87="Between 1.5 to 2",5,IF(BT87="Less than 1.5",10,0)))</f>
        <v/>
      </c>
      <c r="BV87" s="30" t="inlineStr">
        <is>
          <t>Less than 50%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IF(B88=0,"",RANK(B88,$B$2:$B$361,0))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GRWRHITECH</t>
        </is>
      </c>
      <c r="D88" s="30" t="inlineStr">
        <is>
          <t>Garware Hi Tech Films Ltd</t>
        </is>
      </c>
      <c r="E88" s="30" t="inlineStr">
        <is>
          <t>industrials</t>
        </is>
      </c>
      <c r="F88" s="30" t="inlineStr">
        <is>
          <t>packaging</t>
        </is>
      </c>
      <c r="G88" s="30" t="inlineStr">
        <is>
          <t>midcap</t>
        </is>
      </c>
      <c r="H88" s="31" t="n">
        <v>14823.43</v>
      </c>
      <c r="I88" s="31" t="n">
        <v>6485.5</v>
      </c>
      <c r="J88" s="31" t="n">
        <v>1.65</v>
      </c>
      <c r="K88" s="31" t="n">
        <v>79688</v>
      </c>
      <c r="L88" s="30" t="n">
        <v>87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76.29000000000001</v>
      </c>
      <c r="P88" s="31" t="n">
        <v>30.73</v>
      </c>
      <c r="Q88" s="31" t="n">
        <v>4872.44</v>
      </c>
      <c r="R88" s="30" t="inlineStr">
        <is>
          <t>Near 52W High Breakout</t>
        </is>
      </c>
      <c r="S88" s="30" t="inlineStr">
        <is>
          <t>Nifty 50</t>
        </is>
      </c>
      <c r="T88" s="31" t="n">
        <v>-4.09</v>
      </c>
      <c r="U88" s="31" t="n">
        <v>61.56</v>
      </c>
      <c r="V88" s="31" t="n">
        <v>68.44</v>
      </c>
      <c r="W88" s="31" t="n">
        <v>29.52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Blue sky scenario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IF(B89=0,"",RANK(B89,$B$2:$B$361,0))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WELCORP</t>
        </is>
      </c>
      <c r="D89" s="30" t="inlineStr">
        <is>
          <t>Welspun Corp Limited</t>
        </is>
      </c>
      <c r="E89" s="30" t="inlineStr">
        <is>
          <t>industrials</t>
        </is>
      </c>
      <c r="F89" s="30" t="inlineStr">
        <is>
          <t>steel - large</t>
        </is>
      </c>
      <c r="G89" s="30" t="inlineStr">
        <is>
          <t>largecap</t>
        </is>
      </c>
      <c r="H89" s="31" t="n">
        <v>36239.56</v>
      </c>
      <c r="I89" s="31" t="n">
        <v>1394.3</v>
      </c>
      <c r="J89" s="31" t="n">
        <v>1.49</v>
      </c>
      <c r="K89" s="31" t="n">
        <v>414081</v>
      </c>
      <c r="L89" s="30" t="n">
        <v>83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80.94</v>
      </c>
      <c r="P89" s="31" t="n">
        <v>52.9</v>
      </c>
      <c r="Q89" s="31" t="n">
        <v>1148.41</v>
      </c>
      <c r="R89" s="30" t="inlineStr">
        <is>
          <t>Near 52W High Breakout</t>
        </is>
      </c>
      <c r="S89" s="30" t="inlineStr">
        <is>
          <t>Nifty Metal</t>
        </is>
      </c>
      <c r="T89" s="31" t="n">
        <v>42.38</v>
      </c>
      <c r="U89" s="31" t="n">
        <v>53.19</v>
      </c>
      <c r="V89" s="31" t="n">
        <v>7.59</v>
      </c>
      <c r="W89" s="31" t="n">
        <v>27.12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Above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Less than 12%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IF(B90=0,"",RANK(B90,$B$2:$B$361,0))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RRKABEL</t>
        </is>
      </c>
      <c r="D90" s="30" t="inlineStr">
        <is>
          <t>R R Kabel Ltd</t>
        </is>
      </c>
      <c r="E90" s="30" t="inlineStr">
        <is>
          <t>industrials</t>
        </is>
      </c>
      <c r="F90" s="30" t="inlineStr">
        <is>
          <t>cables - power</t>
        </is>
      </c>
      <c r="G90" s="30" t="inlineStr">
        <is>
          <t>largecap</t>
        </is>
      </c>
      <c r="H90" s="31" t="n">
        <v>24895.65</v>
      </c>
      <c r="I90" s="31" t="n">
        <v>2209.8</v>
      </c>
      <c r="J90" s="31" t="n">
        <v>0.4</v>
      </c>
      <c r="K90" s="31" t="n">
        <v>753169</v>
      </c>
      <c r="L90" s="30" t="n">
        <v>80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75.84999999999999</v>
      </c>
      <c r="P90" s="31" t="n">
        <v>40.2</v>
      </c>
      <c r="Q90" s="31" t="n">
        <v>1760.41</v>
      </c>
      <c r="R90" s="30" t="inlineStr">
        <is>
          <t>Near 52W High Breakout</t>
        </is>
      </c>
      <c r="S90" s="30" t="inlineStr">
        <is>
          <t>Nifty Energy</t>
        </is>
      </c>
      <c r="T90" s="31" t="n">
        <v>13.03</v>
      </c>
      <c r="U90" s="31" t="n">
        <v>69.06</v>
      </c>
      <c r="V90" s="31" t="n">
        <v>49.58</v>
      </c>
      <c r="W90" s="31" t="n">
        <v>25.27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Between 1.5 to 2</t>
        </is>
      </c>
      <c r="BU90" s="30">
        <f>IF(BT90="Above 2",0,IF(BT90="Between 1.5 to 2",5,IF(BT90="Less than 1.5",10,0)))</f>
        <v/>
      </c>
      <c r="BV90" s="30" t="inlineStr">
        <is>
          <t>Less than 50%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IF(B91=0,"",RANK(B91,$B$2:$B$361,0))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GRINDWELL</t>
        </is>
      </c>
      <c r="D91" s="30" t="inlineStr">
        <is>
          <t>Grindwell Norton Limited</t>
        </is>
      </c>
      <c r="E91" s="30" t="inlineStr">
        <is>
          <t>industrials</t>
        </is>
      </c>
      <c r="F91" s="30" t="inlineStr">
        <is>
          <t>abrasives and grinding wheels</t>
        </is>
      </c>
      <c r="G91" s="30" t="inlineStr">
        <is>
          <t>largecap</t>
        </is>
      </c>
      <c r="H91" s="31" t="n">
        <v>22667.71</v>
      </c>
      <c r="I91" s="31" t="n">
        <v>2055.3</v>
      </c>
      <c r="J91" s="31" t="n">
        <v>0.39</v>
      </c>
      <c r="K91" s="31" t="n">
        <v>78932</v>
      </c>
      <c r="L91" s="30" t="n">
        <v>60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68.73</v>
      </c>
      <c r="P91" s="31" t="n">
        <v>30.51</v>
      </c>
      <c r="Q91" s="31" t="n">
        <v>1668.35</v>
      </c>
      <c r="R91" s="30" t="inlineStr">
        <is>
          <t>Near 52W High Breakout</t>
        </is>
      </c>
      <c r="S91" s="30" t="inlineStr">
        <is>
          <t>Nifty 50</t>
        </is>
      </c>
      <c r="T91" s="31" t="n">
        <v>-4.09</v>
      </c>
      <c r="U91" s="31" t="n">
        <v>25.42</v>
      </c>
      <c r="V91" s="31" t="n">
        <v>30.77</v>
      </c>
      <c r="W91" s="31" t="n">
        <v>15.65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Between 1.5 to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IF(B92=0,"",RANK(B92,$B$2:$B$361,0))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MMTC</t>
        </is>
      </c>
      <c r="D92" s="30" t="inlineStr">
        <is>
          <t>Mmtc Limited</t>
        </is>
      </c>
      <c r="E92" s="30" t="inlineStr">
        <is>
          <t>services</t>
        </is>
      </c>
      <c r="F92" s="30" t="inlineStr">
        <is>
          <t>trading</t>
        </is>
      </c>
      <c r="G92" s="30" t="inlineStr">
        <is>
          <t>midcap</t>
        </is>
      </c>
      <c r="H92" s="31" t="n">
        <v>11361</v>
      </c>
      <c r="I92" s="31" t="n">
        <v>76.03</v>
      </c>
      <c r="J92" s="31" t="n">
        <v>0.38</v>
      </c>
      <c r="K92" s="31" t="n">
        <v>31851770</v>
      </c>
      <c r="L92" s="30" t="n">
        <v>32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63.96</v>
      </c>
      <c r="P92" s="31" t="n">
        <v>15.8</v>
      </c>
      <c r="Q92" s="31" t="n">
        <v>55.69</v>
      </c>
      <c r="R92" s="30" t="inlineStr">
        <is>
          <t>Volume Spike &amp; Near 52W High Breakout</t>
        </is>
      </c>
      <c r="S92" s="30" t="inlineStr">
        <is>
          <t>Nifty 50</t>
        </is>
      </c>
      <c r="T92" s="31" t="n">
        <v>-4.09</v>
      </c>
      <c r="U92" s="31" t="n">
        <v>12.84</v>
      </c>
      <c r="V92" s="31" t="n">
        <v>17.65</v>
      </c>
      <c r="W92" s="31" t="n">
        <v>8.789999999999999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0 to 20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IF(B93=0,"",RANK(B93,$B$2:$B$361,0))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ADANIPORTS</t>
        </is>
      </c>
      <c r="D93" s="30" t="inlineStr">
        <is>
          <t>Adani Ports And Special Economic Zone Limited</t>
        </is>
      </c>
      <c r="E93" s="30" t="inlineStr">
        <is>
          <t>transportation</t>
        </is>
      </c>
      <c r="F93" s="30" t="inlineStr">
        <is>
          <t>miscellaneous</t>
        </is>
      </c>
      <c r="G93" s="30" t="inlineStr">
        <is>
          <t>largecap</t>
        </is>
      </c>
      <c r="H93" s="31" t="n">
        <v>419781.35</v>
      </c>
      <c r="I93" s="31" t="n">
        <v>1828.6</v>
      </c>
      <c r="J93" s="31" t="n">
        <v>0.36</v>
      </c>
      <c r="K93" s="31" t="n">
        <v>2697924</v>
      </c>
      <c r="L93" s="30" t="n">
        <v>55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72.04000000000001</v>
      </c>
      <c r="P93" s="31" t="n">
        <v>28.24</v>
      </c>
      <c r="Q93" s="31" t="n">
        <v>1560.22</v>
      </c>
      <c r="R93" s="30" t="inlineStr">
        <is>
          <t>Near 52W High Breakout</t>
        </is>
      </c>
      <c r="S93" s="30" t="inlineStr">
        <is>
          <t>Nifty 50</t>
        </is>
      </c>
      <c r="T93" s="31" t="n">
        <v>-4.09</v>
      </c>
      <c r="U93" s="31" t="n">
        <v>36.09</v>
      </c>
      <c r="V93" s="31" t="n">
        <v>41.89</v>
      </c>
      <c r="W93" s="31" t="n">
        <v>14.17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Less than 12%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IF(B94=0,"",RANK(B94,$B$2:$B$361,0))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ARVIND</t>
        </is>
      </c>
      <c r="D94" s="30" t="inlineStr">
        <is>
          <t>Arvind Limited</t>
        </is>
      </c>
      <c r="E94" s="30" t="inlineStr">
        <is>
          <t>textiles</t>
        </is>
      </c>
      <c r="F94" s="30" t="inlineStr">
        <is>
          <t>textiles - cotton/blended</t>
        </is>
      </c>
      <c r="G94" s="30" t="inlineStr">
        <is>
          <t>midcap</t>
        </is>
      </c>
      <c r="H94" s="31" t="n">
        <v>13011.37</v>
      </c>
      <c r="I94" s="31" t="n">
        <v>498</v>
      </c>
      <c r="J94" s="31" t="n">
        <v>0.32</v>
      </c>
      <c r="K94" s="31" t="n">
        <v>920934</v>
      </c>
      <c r="L94" s="30" t="n">
        <v>62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76.86</v>
      </c>
      <c r="P94" s="31" t="n">
        <v>41.88</v>
      </c>
      <c r="Q94" s="31" t="n">
        <v>398.18</v>
      </c>
      <c r="R94" s="30" t="inlineStr">
        <is>
          <t>Near 52W High Breakout</t>
        </is>
      </c>
      <c r="S94" s="30" t="inlineStr">
        <is>
          <t>Nifty 50</t>
        </is>
      </c>
      <c r="T94" s="31" t="n">
        <v>-4.09</v>
      </c>
      <c r="U94" s="31" t="n">
        <v>43.99</v>
      </c>
      <c r="V94" s="31" t="n">
        <v>50.13</v>
      </c>
      <c r="W94" s="31" t="n">
        <v>16.41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Blue sky scenario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Less than 12%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IF(B95=0,"",RANK(B95,$B$2:$B$361,0))</f>
        <v/>
      </c>
      <c r="B95" s="31">
        <f>SUM(N95,Y95,AA95,AC95,AE95,AG95,AI95,AK95,AM95,AO95,AQ95,AS95,AU95,AW95,AY95,BA95,BC95,BE95,BG95,BI95,BK95,BM95,BO95,BQ95,BS95,BU95,BW95,BY95,CA95,CC95,CE95)</f>
        <v/>
      </c>
      <c r="C95" s="30" t="inlineStr">
        <is>
          <t>HARSHA</t>
        </is>
      </c>
      <c r="D95" s="30" t="inlineStr">
        <is>
          <t>Harsha Engineers International Ltd</t>
        </is>
      </c>
      <c r="E95" s="30" t="inlineStr">
        <is>
          <t>industrials</t>
        </is>
      </c>
      <c r="F95" s="30" t="inlineStr">
        <is>
          <t>engineering</t>
        </is>
      </c>
      <c r="G95" s="30" t="inlineStr">
        <is>
          <t>smallcap</t>
        </is>
      </c>
      <c r="H95" s="31" t="n">
        <v>3975.9</v>
      </c>
      <c r="I95" s="31" t="n">
        <v>437.85</v>
      </c>
      <c r="J95" s="31" t="n">
        <v>0.26</v>
      </c>
      <c r="K95" s="31" t="n">
        <v>164145</v>
      </c>
      <c r="L95" s="30" t="n">
        <v>35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62.7</v>
      </c>
      <c r="P95" s="31" t="n">
        <v>31.64</v>
      </c>
      <c r="Q95" s="31" t="n">
        <v>340.53</v>
      </c>
      <c r="R95" s="30" t="inlineStr">
        <is>
          <t>Near 52W High Breakout</t>
        </is>
      </c>
      <c r="S95" s="30" t="inlineStr">
        <is>
          <t>Nifty 50</t>
        </is>
      </c>
      <c r="T95" s="31" t="n">
        <v>-4.09</v>
      </c>
      <c r="U95" s="31" t="n">
        <v>14.06</v>
      </c>
      <c r="V95" s="31" t="n">
        <v>18.92</v>
      </c>
      <c r="W95" s="31" t="n">
        <v>9.369999999999999</v>
      </c>
      <c r="X95" s="30" t="inlineStr">
        <is>
          <t>Cyclical in an Upturn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Yes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Less than 50%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IF(B96=0,"",RANK(B96,$B$2:$B$361,0))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SHRIPISTON</t>
        </is>
      </c>
      <c r="D96" s="30" t="inlineStr">
        <is>
          <t>Shriram Pistons &amp; Rings Limited</t>
        </is>
      </c>
      <c r="E96" s="30" t="inlineStr">
        <is>
          <t>auto</t>
        </is>
      </c>
      <c r="F96" s="30" t="inlineStr">
        <is>
          <t>auto ancillaries</t>
        </is>
      </c>
      <c r="G96" s="30" t="inlineStr">
        <is>
          <t>midcap</t>
        </is>
      </c>
      <c r="H96" s="31" t="n">
        <v>16279.93</v>
      </c>
      <c r="I96" s="31" t="n">
        <v>3704</v>
      </c>
      <c r="J96" s="31" t="n">
        <v>0.22</v>
      </c>
      <c r="K96" s="31" t="n">
        <v>36366</v>
      </c>
      <c r="L96" s="30" t="n">
        <v>51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62.59</v>
      </c>
      <c r="P96" s="31" t="n">
        <v>28.85</v>
      </c>
      <c r="Q96" s="31" t="n">
        <v>2907.4</v>
      </c>
      <c r="R96" s="30" t="inlineStr">
        <is>
          <t>Near 52W High Breakout</t>
        </is>
      </c>
      <c r="S96" s="30" t="inlineStr">
        <is>
          <t>Nifty Auto</t>
        </is>
      </c>
      <c r="T96" s="31" t="n">
        <v>12.86</v>
      </c>
      <c r="U96" s="31" t="n">
        <v>57.58</v>
      </c>
      <c r="V96" s="31" t="n">
        <v>39.62</v>
      </c>
      <c r="W96" s="31" t="n">
        <v>13.53</v>
      </c>
      <c r="X96" s="30" t="inlineStr">
        <is>
          <t>Growing Industry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Less than 12%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No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IF(B97=0,"",RANK(B97,$B$2:$B$361,0))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SANDHAR</t>
        </is>
      </c>
      <c r="D97" s="30" t="inlineStr">
        <is>
          <t>Sandhar Technologies Limited</t>
        </is>
      </c>
      <c r="E97" s="30" t="inlineStr">
        <is>
          <t>auto</t>
        </is>
      </c>
      <c r="F97" s="30" t="inlineStr">
        <is>
          <t>auto ancillaries</t>
        </is>
      </c>
      <c r="G97" s="30" t="inlineStr">
        <is>
          <t>smallcap</t>
        </is>
      </c>
      <c r="H97" s="31" t="n">
        <v>4146.84</v>
      </c>
      <c r="I97" s="31" t="n">
        <v>686.45</v>
      </c>
      <c r="J97" s="31" t="n">
        <v>-0.36</v>
      </c>
      <c r="K97" s="31" t="n">
        <v>157158</v>
      </c>
      <c r="L97" s="30" t="n">
        <v>60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67.36</v>
      </c>
      <c r="P97" s="31" t="n">
        <v>23.42</v>
      </c>
      <c r="Q97" s="31" t="n">
        <v>530.48</v>
      </c>
      <c r="R97" s="30" t="inlineStr">
        <is>
          <t>Near 52W High Breakout</t>
        </is>
      </c>
      <c r="S97" s="30" t="inlineStr">
        <is>
          <t>Nifty Auto</t>
        </is>
      </c>
      <c r="T97" s="31" t="n">
        <v>12.86</v>
      </c>
      <c r="U97" s="31" t="n">
        <v>24.93</v>
      </c>
      <c r="V97" s="31" t="n">
        <v>10.7</v>
      </c>
      <c r="W97" s="31" t="n">
        <v>15.62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No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Less than 50%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Between 0.7 to 1.2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IF(B98=0,"",RANK(B98,$B$2:$B$361,0))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ICIL</t>
        </is>
      </c>
      <c r="D98" s="30" t="inlineStr">
        <is>
          <t>Indo Count Industries Limited</t>
        </is>
      </c>
      <c r="E98" s="30" t="inlineStr">
        <is>
          <t>textiles</t>
        </is>
      </c>
      <c r="F98" s="30" t="inlineStr">
        <is>
          <t>textiles - cotton/blended</t>
        </is>
      </c>
      <c r="G98" s="30" t="inlineStr">
        <is>
          <t>midcap</t>
        </is>
      </c>
      <c r="H98" s="31" t="n">
        <v>6810.1</v>
      </c>
      <c r="I98" s="31" t="n">
        <v>342.1</v>
      </c>
      <c r="J98" s="31" t="n">
        <v>-0.51</v>
      </c>
      <c r="K98" s="31" t="n">
        <v>130016</v>
      </c>
      <c r="L98" s="30" t="n">
        <v>61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63.78</v>
      </c>
      <c r="P98" s="31" t="n">
        <v>27.93</v>
      </c>
      <c r="Q98" s="31" t="n">
        <v>251.25</v>
      </c>
      <c r="R98" s="30" t="inlineStr">
        <is>
          <t>Near 52W High Breakout</t>
        </is>
      </c>
      <c r="S98" s="30" t="inlineStr">
        <is>
          <t>Nifty 50</t>
        </is>
      </c>
      <c r="T98" s="31" t="n">
        <v>-4.09</v>
      </c>
      <c r="U98" s="31" t="n">
        <v>26.84</v>
      </c>
      <c r="V98" s="31" t="n">
        <v>32.24</v>
      </c>
      <c r="W98" s="31" t="n">
        <v>16.13</v>
      </c>
      <c r="X98" s="30" t="inlineStr">
        <is>
          <t>Growing Industry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20 to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IF(B99=0,"",RANK(B99,$B$2:$B$361,0))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SKIPPER</t>
        </is>
      </c>
      <c r="D99" s="30" t="inlineStr">
        <is>
          <t>Skipper Limited</t>
        </is>
      </c>
      <c r="E99" s="30" t="inlineStr">
        <is>
          <t>industrials</t>
        </is>
      </c>
      <c r="F99" s="30" t="inlineStr">
        <is>
          <t>engineering</t>
        </is>
      </c>
      <c r="G99" s="30" t="inlineStr">
        <is>
          <t>midcap</t>
        </is>
      </c>
      <c r="H99" s="31" t="n">
        <v>6257.14</v>
      </c>
      <c r="I99" s="31" t="n">
        <v>549</v>
      </c>
      <c r="J99" s="31" t="n">
        <v>-0.9399999999999999</v>
      </c>
      <c r="K99" s="31" t="n">
        <v>1095620</v>
      </c>
      <c r="L99" s="30" t="n">
        <v>63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68.44</v>
      </c>
      <c r="P99" s="31" t="n">
        <v>33.2</v>
      </c>
      <c r="Q99" s="31" t="n">
        <v>420.51</v>
      </c>
      <c r="R99" s="30" t="inlineStr">
        <is>
          <t>Near 52W High Breakout</t>
        </is>
      </c>
      <c r="S99" s="30" t="inlineStr">
        <is>
          <t>Nifty 50</t>
        </is>
      </c>
      <c r="T99" s="31" t="n">
        <v>-4.09</v>
      </c>
      <c r="U99" s="31" t="n">
        <v>13.82</v>
      </c>
      <c r="V99" s="31" t="n">
        <v>18.67</v>
      </c>
      <c r="W99" s="31" t="n">
        <v>17.27</v>
      </c>
      <c r="X99" s="30" t="inlineStr">
        <is>
          <t>Cyclical in an Upturn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Close to 52 week high or retracement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No</t>
        </is>
      </c>
      <c r="BS99" s="30">
        <f>IF(BR99="NO",5,0)</f>
        <v/>
      </c>
      <c r="BT99" s="30" t="inlineStr">
        <is>
          <t>Less than 1.5</t>
        </is>
      </c>
      <c r="BU99" s="30">
        <f>IF(BT99="Above 2",0,IF(BT99="Between 1.5 to 2",5,IF(BT99="Less than 1.5",10,0)))</f>
        <v/>
      </c>
      <c r="BV99" s="30" t="inlineStr">
        <is>
          <t>Less than 50%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IF(B100=0,"",RANK(B100,$B$2:$B$361,0))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NRBBEARING</t>
        </is>
      </c>
      <c r="D100" s="30" t="inlineStr">
        <is>
          <t>Nrb Bearing Limited</t>
        </is>
      </c>
      <c r="E100" s="30" t="inlineStr">
        <is>
          <t>industrials</t>
        </is>
      </c>
      <c r="F100" s="30" t="inlineStr">
        <is>
          <t>bearings</t>
        </is>
      </c>
      <c r="G100" s="30" t="inlineStr">
        <is>
          <t>smallcap</t>
        </is>
      </c>
      <c r="H100" s="31" t="n">
        <v>4127.45</v>
      </c>
      <c r="I100" s="31" t="n">
        <v>420.6</v>
      </c>
      <c r="J100" s="31" t="n">
        <v>-1.23</v>
      </c>
      <c r="K100" s="31" t="n">
        <v>300512</v>
      </c>
      <c r="L100" s="30" t="n">
        <v>82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77.08</v>
      </c>
      <c r="P100" s="31" t="n">
        <v>33.01</v>
      </c>
      <c r="Q100" s="31" t="n">
        <v>332.18</v>
      </c>
      <c r="R100" s="30" t="inlineStr">
        <is>
          <t>Near 52W High Breakout</t>
        </is>
      </c>
      <c r="S100" s="30" t="inlineStr">
        <is>
          <t>Nifty 50</t>
        </is>
      </c>
      <c r="T100" s="31" t="n">
        <v>-4.09</v>
      </c>
      <c r="U100" s="31" t="n">
        <v>51.14</v>
      </c>
      <c r="V100" s="31" t="n">
        <v>57.58</v>
      </c>
      <c r="W100" s="31" t="n">
        <v>27.11</v>
      </c>
      <c r="X100" s="30" t="inlineStr">
        <is>
          <t>Cyclical in an Upturn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20 to 40</t>
        </is>
      </c>
      <c r="AY100" s="30">
        <f>IF(AX100="Above 40",20,IF(AX100="20 to 40",10,IF(AX100="0 to 20",-5,0)))</f>
        <v/>
      </c>
      <c r="AZ100" s="30" t="inlineStr">
        <is>
          <t>Above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Blue sky scenario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Above 2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IF(B101=0,"",RANK(B101,$B$2:$B$361,0))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SPORTKING</t>
        </is>
      </c>
      <c r="D101" s="30" t="inlineStr">
        <is>
          <t>Sportking India Ltd</t>
        </is>
      </c>
      <c r="E101" s="30" t="inlineStr">
        <is>
          <t>textiles</t>
        </is>
      </c>
      <c r="F101" s="30" t="inlineStr">
        <is>
          <t>textiles - spinning - synthetic / blended</t>
        </is>
      </c>
      <c r="G101" s="30" t="inlineStr">
        <is>
          <t>smallcap</t>
        </is>
      </c>
      <c r="H101" s="31" t="n">
        <v>2296.45</v>
      </c>
      <c r="I101" s="31" t="n">
        <v>177.67</v>
      </c>
      <c r="J101" s="31" t="n">
        <v>-1.69</v>
      </c>
      <c r="K101" s="31" t="n">
        <v>189333</v>
      </c>
      <c r="L101" s="30" t="n">
        <v>77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76.20999999999999</v>
      </c>
      <c r="P101" s="31" t="n">
        <v>57.62</v>
      </c>
      <c r="Q101" s="31" t="n">
        <v>136.1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-4.09</v>
      </c>
      <c r="U101" s="31" t="n">
        <v>67.63</v>
      </c>
      <c r="V101" s="31" t="n">
        <v>74.78</v>
      </c>
      <c r="W101" s="31" t="n">
        <v>23.56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Above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Less than 12%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Above 70%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IF(B102=0,"",RANK(B102,$B$2:$B$361,0))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DIVGIITTS</t>
        </is>
      </c>
      <c r="D102" s="30" t="inlineStr">
        <is>
          <t>Divgi Torqtransfer Systems Ltd</t>
        </is>
      </c>
      <c r="E102" s="30" t="inlineStr">
        <is>
          <t>auto</t>
        </is>
      </c>
      <c r="F102" s="30" t="inlineStr">
        <is>
          <t>auto ancillaries</t>
        </is>
      </c>
      <c r="G102" s="30" t="inlineStr">
        <is>
          <t>smallcap</t>
        </is>
      </c>
      <c r="H102" s="31" t="n">
        <v>2636.4</v>
      </c>
      <c r="I102" s="31" t="n">
        <v>844.85</v>
      </c>
      <c r="J102" s="31" t="n">
        <v>-2</v>
      </c>
      <c r="K102" s="31" t="n">
        <v>36831</v>
      </c>
      <c r="L102" s="30" t="n">
        <v>46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63</v>
      </c>
      <c r="P102" s="31" t="n">
        <v>28.55</v>
      </c>
      <c r="Q102" s="31" t="n">
        <v>618.84</v>
      </c>
      <c r="R102" s="30" t="inlineStr">
        <is>
          <t>Near 52W High Breakout</t>
        </is>
      </c>
      <c r="S102" s="30" t="inlineStr">
        <is>
          <t>Nifty Auto</t>
        </is>
      </c>
      <c r="T102" s="31" t="n">
        <v>12.86</v>
      </c>
      <c r="U102" s="31" t="n">
        <v>42.47</v>
      </c>
      <c r="V102" s="31" t="n">
        <v>26.24</v>
      </c>
      <c r="W102" s="31" t="n">
        <v>12.02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20 to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Between 50% to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IF(B103=0,"",RANK(B103,$B$2:$B$361,0))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WOCKPHARMA</t>
        </is>
      </c>
      <c r="D103" s="30" t="inlineStr">
        <is>
          <t>Wockhardt Limited</t>
        </is>
      </c>
      <c r="E103" s="30" t="inlineStr">
        <is>
          <t>healthcare</t>
        </is>
      </c>
      <c r="F103" s="30" t="inlineStr">
        <is>
          <t>pharmaceuticals - indian - bulk drugs &amp; formln</t>
        </is>
      </c>
      <c r="G103" s="30" t="inlineStr">
        <is>
          <t>largecap</t>
        </is>
      </c>
      <c r="H103" s="31" t="n">
        <v>31185.5</v>
      </c>
      <c r="I103" s="31" t="n">
        <v>2022.8</v>
      </c>
      <c r="J103" s="31" t="n">
        <v>5.4</v>
      </c>
      <c r="K103" s="31" t="n">
        <v>2894160</v>
      </c>
      <c r="L103" s="30" t="n">
        <v>74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72.83</v>
      </c>
      <c r="P103" s="31" t="n">
        <v>34.53</v>
      </c>
      <c r="Q103" s="31" t="n">
        <v>1473.06</v>
      </c>
      <c r="R103" s="30" t="inlineStr">
        <is>
          <t>Near 52W High Breakout</t>
        </is>
      </c>
      <c r="S103" s="30" t="inlineStr">
        <is>
          <t>Nifty Pharma</t>
        </is>
      </c>
      <c r="T103" s="31" t="n">
        <v>11.72</v>
      </c>
      <c r="U103" s="31" t="n">
        <v>16.87</v>
      </c>
      <c r="V103" s="31" t="n">
        <v>4.61</v>
      </c>
      <c r="W103" s="31" t="n">
        <v>21.6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Yes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Annuity, Lower One Time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Blue sky scenario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Yes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Between 50% to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IF(B104=0,"",RANK(B104,$B$2:$B$361,0))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AURUM</t>
        </is>
      </c>
      <c r="D104" s="30" t="inlineStr">
        <is>
          <t>Aurum Proptech Ltd</t>
        </is>
      </c>
      <c r="E104" s="30" t="inlineStr">
        <is>
          <t>i.t</t>
        </is>
      </c>
      <c r="F104" s="30" t="inlineStr">
        <is>
          <t>computers - software - medium / small</t>
        </is>
      </c>
      <c r="G104" s="30" t="inlineStr">
        <is>
          <t>smallcap</t>
        </is>
      </c>
      <c r="H104" s="31" t="n">
        <v>1513.32</v>
      </c>
      <c r="I104" s="31" t="n">
        <v>201.49</v>
      </c>
      <c r="J104" s="31" t="n">
        <v>2.07</v>
      </c>
      <c r="K104" s="31" t="n">
        <v>201592</v>
      </c>
      <c r="L104" s="30" t="n">
        <v>14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63.16</v>
      </c>
      <c r="P104" s="31" t="n">
        <v>20.24</v>
      </c>
      <c r="Q104" s="31" t="n">
        <v>156.38</v>
      </c>
      <c r="R104" s="30" t="inlineStr">
        <is>
          <t>Near 52W High Breakout</t>
        </is>
      </c>
      <c r="S104" s="30" t="inlineStr">
        <is>
          <t>Nifty IT</t>
        </is>
      </c>
      <c r="T104" s="31" t="n">
        <v>-26.11</v>
      </c>
      <c r="U104" s="31" t="n">
        <v>3.9</v>
      </c>
      <c r="V104" s="31" t="n">
        <v>40.63</v>
      </c>
      <c r="W104" s="31" t="n">
        <v>4.93</v>
      </c>
      <c r="X104" s="30" t="inlineStr">
        <is>
          <t>Growing Industry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Annuity, Lower One Time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20 to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Close to 52 week high or retracement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Between 50% to 70%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IF(B105=0,"",RANK(B105,$B$2:$B$361,0))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APOLLO</t>
        </is>
      </c>
      <c r="D105" s="30" t="inlineStr">
        <is>
          <t>Apollo Micro Systems Ltd</t>
        </is>
      </c>
      <c r="E105" s="30" t="inlineStr">
        <is>
          <t>aerospace &amp; defence</t>
        </is>
      </c>
      <c r="F105" s="30" t="inlineStr">
        <is>
          <t>electronics - components</t>
        </is>
      </c>
      <c r="G105" s="30" t="inlineStr">
        <is>
          <t>midcap</t>
        </is>
      </c>
      <c r="H105" s="31" t="n">
        <v>15558.3</v>
      </c>
      <c r="I105" s="31" t="n">
        <v>438.75</v>
      </c>
      <c r="J105" s="31" t="n">
        <v>0.76</v>
      </c>
      <c r="K105" s="31" t="n">
        <v>18335886</v>
      </c>
      <c r="L105" s="30" t="n">
        <v>96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74.51000000000001</v>
      </c>
      <c r="P105" s="31" t="n">
        <v>37.26</v>
      </c>
      <c r="Q105" s="31" t="n">
        <v>317.17</v>
      </c>
      <c r="R105" s="30" t="inlineStr">
        <is>
          <t>Near 52W High Breakout</t>
        </is>
      </c>
      <c r="S105" s="30" t="inlineStr">
        <is>
          <t>Nifty 50</t>
        </is>
      </c>
      <c r="T105" s="31" t="n">
        <v>-4.09</v>
      </c>
      <c r="U105" s="31" t="n">
        <v>125.71</v>
      </c>
      <c r="V105" s="31" t="n">
        <v>135.33</v>
      </c>
      <c r="W105" s="31" t="n">
        <v>54.27</v>
      </c>
      <c r="X105" s="30" t="inlineStr">
        <is>
          <t>Cyclical in an Upturn</t>
        </is>
      </c>
      <c r="Y105" s="30">
        <f>IF(X105="Growing Industry",10,IF(X105="Cyclical in an Upturn",5,0))</f>
        <v/>
      </c>
      <c r="Z105" s="30" t="inlineStr">
        <is>
          <t>Oligopoly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Cyclical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B2C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Fully One Time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Above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Yes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Between 1.5 to 2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IF(B106=0,"",RANK(B106,$B$2:$B$361,0))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SAILIFE</t>
        </is>
      </c>
      <c r="D106" s="30" t="inlineStr">
        <is>
          <t>Sai Life Sciences Ltd</t>
        </is>
      </c>
      <c r="E106" s="30" t="inlineStr">
        <is>
          <t>healthcare</t>
        </is>
      </c>
      <c r="F106" s="30" t="inlineStr">
        <is>
          <t>pharmaceuticals - indian - bulk drugs &amp; formln</t>
        </is>
      </c>
      <c r="G106" s="30" t="inlineStr">
        <is>
          <t>largecap</t>
        </is>
      </c>
      <c r="H106" s="31" t="n">
        <v>25546.93</v>
      </c>
      <c r="I106" s="31" t="n">
        <v>1213.5</v>
      </c>
      <c r="J106" s="31" t="n">
        <v>0.6</v>
      </c>
      <c r="K106" s="31" t="n">
        <v>369154</v>
      </c>
      <c r="L106" s="30" t="n">
        <v>56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71.3</v>
      </c>
      <c r="P106" s="31" t="n">
        <v>28.89</v>
      </c>
      <c r="Q106" s="31" t="n">
        <v>976.67</v>
      </c>
      <c r="R106" s="30" t="inlineStr">
        <is>
          <t>Near 52W High Breakout</t>
        </is>
      </c>
      <c r="S106" s="30" t="inlineStr">
        <is>
          <t>Nifty Pharma</t>
        </is>
      </c>
      <c r="T106" s="31" t="n">
        <v>11.72</v>
      </c>
      <c r="U106" s="31" t="n">
        <v>58.58</v>
      </c>
      <c r="V106" s="31" t="n">
        <v>41.94</v>
      </c>
      <c r="W106" s="31" t="n">
        <v>14.3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Yes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Annuity, Lower One Time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Between 12 to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Yes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IF(B107=0,"",RANK(B107,$B$2:$B$361,0))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VBL</t>
        </is>
      </c>
      <c r="D107" s="30" t="inlineStr">
        <is>
          <t>Varun Beverages Limited</t>
        </is>
      </c>
      <c r="E107" s="30" t="inlineStr">
        <is>
          <t>fmcg</t>
        </is>
      </c>
      <c r="F107" s="30" t="inlineStr">
        <is>
          <t>food - processing - indian</t>
        </is>
      </c>
      <c r="G107" s="30" t="inlineStr">
        <is>
          <t>largecap</t>
        </is>
      </c>
      <c r="H107" s="31" t="n">
        <v>182988.22</v>
      </c>
      <c r="I107" s="31" t="n">
        <v>544.05</v>
      </c>
      <c r="J107" s="31" t="n">
        <v>0.55</v>
      </c>
      <c r="K107" s="31" t="n">
        <v>7532315</v>
      </c>
      <c r="L107" s="30" t="n">
        <v>46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65.40000000000001</v>
      </c>
      <c r="P107" s="31" t="n">
        <v>27.95</v>
      </c>
      <c r="Q107" s="31" t="n">
        <v>451.59</v>
      </c>
      <c r="R107" s="30" t="inlineStr">
        <is>
          <t>Near 52W High Breakout</t>
        </is>
      </c>
      <c r="S107" s="30" t="inlineStr">
        <is>
          <t>Nifty FMCG</t>
        </is>
      </c>
      <c r="T107" s="31" t="n">
        <v>-9.289999999999999</v>
      </c>
      <c r="U107" s="31" t="n">
        <v>18.75</v>
      </c>
      <c r="V107" s="31" t="n">
        <v>30.91</v>
      </c>
      <c r="W107" s="31" t="n">
        <v>11.89</v>
      </c>
      <c r="X107" s="30" t="inlineStr">
        <is>
          <t>Growing Industry</t>
        </is>
      </c>
      <c r="Y107" s="30">
        <f>IF(X107="Growing Industry",10,IF(X107="Cyclical in an Upturn",5,0))</f>
        <v/>
      </c>
      <c r="Z107" s="30" t="inlineStr">
        <is>
          <t>Duopoly That Cooperate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Shallow Cyclical (2 to 3 Years Growth)</t>
        </is>
      </c>
      <c r="AG107" s="30">
        <f>IF(AF107="Structural (10 Years Consistency)",10,IF(AF107="Shallow Cyclical (2 to 3 years growth)",5,0))</f>
        <v/>
      </c>
      <c r="AH107" s="30" t="inlineStr">
        <is>
          <t>Yes due to Product Mix change or Operating Leverage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B2C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Fully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only for next 1 to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Close to 52 week high or retracement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Between 50% to 70%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Between 0.7 to 1.2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IF(B108=0,"",RANK(B108,$B$2:$B$361,0))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ABDL</t>
        </is>
      </c>
      <c r="D108" s="30" t="inlineStr">
        <is>
          <t>Allied Blenders &amp; Distillers Ltd</t>
        </is>
      </c>
      <c r="E108" s="30" t="inlineStr">
        <is>
          <t>fmcg</t>
        </is>
      </c>
      <c r="F108" s="30" t="inlineStr">
        <is>
          <t>breweries &amp; distilleries</t>
        </is>
      </c>
      <c r="G108" s="30" t="inlineStr">
        <is>
          <t>midcap</t>
        </is>
      </c>
      <c r="H108" s="31" t="n">
        <v>17614.75</v>
      </c>
      <c r="I108" s="31" t="n">
        <v>630.25</v>
      </c>
      <c r="J108" s="31" t="n">
        <v>0.08</v>
      </c>
      <c r="K108" s="31" t="n">
        <v>161710</v>
      </c>
      <c r="L108" s="30" t="n">
        <v>77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61.11</v>
      </c>
      <c r="P108" s="31" t="n">
        <v>20.57</v>
      </c>
      <c r="Q108" s="31" t="n">
        <v>489.7</v>
      </c>
      <c r="R108" s="30" t="inlineStr">
        <is>
          <t>Near 52W High Breakout</t>
        </is>
      </c>
      <c r="S108" s="30" t="inlineStr">
        <is>
          <t>Nifty FMCG</t>
        </is>
      </c>
      <c r="T108" s="31" t="n">
        <v>-9.289999999999999</v>
      </c>
      <c r="U108" s="31" t="n">
        <v>50.36</v>
      </c>
      <c r="V108" s="31" t="n">
        <v>65.76000000000001</v>
      </c>
      <c r="W108" s="31" t="n">
        <v>23.73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B2C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Annuity, Lower One Time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Less than 12%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Yes</t>
        </is>
      </c>
      <c r="BS108" s="30">
        <f>IF(BR108="NO",5,0)</f>
        <v/>
      </c>
      <c r="BT108" s="30" t="inlineStr">
        <is>
          <t>Above 2</t>
        </is>
      </c>
      <c r="BU108" s="30">
        <f>IF(BT108="Above 2",0,IF(BT108="Between 1.5 to 2",5,IF(BT108="Less than 1.5",10,0)))</f>
        <v/>
      </c>
      <c r="BV108" s="30" t="inlineStr">
        <is>
          <t>Between 50% to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IF(B109=0,"",RANK(B109,$B$2:$B$361,0))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HNDFDS</t>
        </is>
      </c>
      <c r="D109" s="30" t="inlineStr">
        <is>
          <t>Hindustan Foods Ltd</t>
        </is>
      </c>
      <c r="E109" s="30" t="inlineStr">
        <is>
          <t>fmcg</t>
        </is>
      </c>
      <c r="F109" s="30" t="inlineStr">
        <is>
          <t>diversified - large</t>
        </is>
      </c>
      <c r="G109" s="30" t="inlineStr">
        <is>
          <t>midcap</t>
        </is>
      </c>
      <c r="H109" s="31" t="n">
        <v>6613.91</v>
      </c>
      <c r="I109" s="31" t="n">
        <v>546.6</v>
      </c>
      <c r="J109" s="31" t="n">
        <v>-1.26</v>
      </c>
      <c r="K109" s="31" t="n">
        <v>35525</v>
      </c>
      <c r="L109" s="30" t="n">
        <v>7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59.06</v>
      </c>
      <c r="P109" s="31" t="n">
        <v>21.64</v>
      </c>
      <c r="Q109" s="31" t="n">
        <v>450.36</v>
      </c>
      <c r="R109" s="30" t="inlineStr">
        <is>
          <t>Near 52W High Breakout</t>
        </is>
      </c>
      <c r="S109" s="30" t="inlineStr">
        <is>
          <t>Nifty FMCG</t>
        </is>
      </c>
      <c r="T109" s="31" t="n">
        <v>-9.289999999999999</v>
      </c>
      <c r="U109" s="31" t="n">
        <v>2.65</v>
      </c>
      <c r="V109" s="31" t="n">
        <v>13.16</v>
      </c>
      <c r="W109" s="31" t="n">
        <v>3.46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B2C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Annuity, Lower One Time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Less than 1.5</t>
        </is>
      </c>
      <c r="BU109" s="30">
        <f>IF(BT109="Above 2",0,IF(BT109="Between 1.5 to 2",5,IF(BT109="Less than 1.5",10,0)))</f>
        <v/>
      </c>
      <c r="BV109" s="30" t="inlineStr">
        <is>
          <t>Less than 50%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Between 0.7 to 1.2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IF(B110=0,"",RANK(B110,$B$2:$B$361,0))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SBCL</t>
        </is>
      </c>
      <c r="D110" s="30" t="inlineStr">
        <is>
          <t>Shivalik Bimetal Controls Ltd</t>
        </is>
      </c>
      <c r="E110" s="30" t="inlineStr">
        <is>
          <t>metals &amp; mining</t>
        </is>
      </c>
      <c r="F110" s="30" t="inlineStr">
        <is>
          <t>mining / minerals / metals</t>
        </is>
      </c>
      <c r="G110" s="30" t="inlineStr">
        <is>
          <t>smallcap</t>
        </is>
      </c>
      <c r="H110" s="31" t="n">
        <v>4266.17</v>
      </c>
      <c r="I110" s="31" t="n">
        <v>729.1</v>
      </c>
      <c r="J110" s="31" t="n">
        <v>-1.55</v>
      </c>
      <c r="K110" s="31" t="n">
        <v>445466</v>
      </c>
      <c r="L110" s="30" t="n">
        <v>86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69.70999999999999</v>
      </c>
      <c r="P110" s="31" t="n">
        <v>36.42</v>
      </c>
      <c r="Q110" s="31" t="n">
        <v>545.71</v>
      </c>
      <c r="R110" s="30" t="inlineStr">
        <is>
          <t>Near 52W High Breakout</t>
        </is>
      </c>
      <c r="S110" s="30" t="inlineStr">
        <is>
          <t>Nifty Metal</t>
        </is>
      </c>
      <c r="T110" s="31" t="n">
        <v>42.38</v>
      </c>
      <c r="U110" s="31" t="n">
        <v>50.72</v>
      </c>
      <c r="V110" s="31" t="n">
        <v>5.86</v>
      </c>
      <c r="W110" s="31" t="n">
        <v>29.04</v>
      </c>
      <c r="X110" s="30" t="inlineStr">
        <is>
          <t>Growing Industry</t>
        </is>
      </c>
      <c r="Y110" s="30">
        <f>IF(X110="Growing Industry",10,IF(X110="Cyclical in an Upturn",5,0))</f>
        <v/>
      </c>
      <c r="Z110" s="30" t="inlineStr">
        <is>
          <t>Monopoly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Shallow Cyclical (2 to 3 Years Growth)</t>
        </is>
      </c>
      <c r="AG110" s="30">
        <f>IF(AF110="Structural (10 Years Consistency)",10,IF(AF110="Shallow Cyclical (2 to 3 years growth)",5,0))</f>
        <v/>
      </c>
      <c r="AH110" s="30" t="inlineStr">
        <is>
          <t>Yes due to Product Mix change or Operating Leverage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Stable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Fully One Time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Close to 52 week high or retracement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Yes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Between 1.5 to 2</t>
        </is>
      </c>
      <c r="BU110" s="30">
        <f>IF(BT110="Above 2",0,IF(BT110="Between 1.5 to 2",5,IF(BT110="Less than 1.5",10,0)))</f>
        <v/>
      </c>
      <c r="BV110" s="30" t="inlineStr">
        <is>
          <t>Less than 50%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IF(B111=0,"",RANK(B111,$B$2:$B$361,0))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0" t="inlineStr">
        <is>
          <t>SUPRIYA</t>
        </is>
      </c>
      <c r="D111" s="30" t="inlineStr">
        <is>
          <t>Supriya Lifescience Ltd</t>
        </is>
      </c>
      <c r="E111" s="30" t="inlineStr">
        <is>
          <t>healthcare</t>
        </is>
      </c>
      <c r="F111" s="30" t="inlineStr">
        <is>
          <t>pharmaceuticals - indian - bulk drugs &amp; formln</t>
        </is>
      </c>
      <c r="G111" s="30" t="inlineStr">
        <is>
          <t>midcap</t>
        </is>
      </c>
      <c r="H111" s="31" t="n">
        <v>7620.92</v>
      </c>
      <c r="I111" s="31" t="n">
        <v>914.35</v>
      </c>
      <c r="J111" s="31" t="n">
        <v>-3.44</v>
      </c>
      <c r="K111" s="31" t="n">
        <v>298800</v>
      </c>
      <c r="L111" s="30" t="n">
        <v>71</v>
      </c>
      <c r="M111" s="30" t="inlineStr">
        <is>
          <t>Outperforming</t>
        </is>
      </c>
      <c r="N111" s="31">
        <f>IF(M111="Underperforming",-5,IF(L111&gt;=95,15,IF(L111&gt;=90,10,IF(L111&gt;=80,5,0))))</f>
        <v/>
      </c>
      <c r="O111" s="31" t="n">
        <v>67.52</v>
      </c>
      <c r="P111" s="31" t="n">
        <v>35.54</v>
      </c>
      <c r="Q111" s="31" t="n">
        <v>736.14</v>
      </c>
      <c r="R111" s="30" t="inlineStr">
        <is>
          <t>Earnings / Momentum Support</t>
        </is>
      </c>
      <c r="S111" s="30" t="inlineStr">
        <is>
          <t>Nifty Pharma</t>
        </is>
      </c>
      <c r="T111" s="31" t="n">
        <v>11.72</v>
      </c>
      <c r="U111" s="31" t="n">
        <v>34.31</v>
      </c>
      <c r="V111" s="31" t="n">
        <v>20.22</v>
      </c>
      <c r="W111" s="31" t="n">
        <v>20.1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Yes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No</t>
        </is>
      </c>
      <c r="AQ111" s="30">
        <f>IF(AP111="Yes",10,0)</f>
        <v/>
      </c>
      <c r="AR111" s="30" t="inlineStr">
        <is>
          <t>Higher Annuity, Lower One Time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Between 50% to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IF(B112=0,"",RANK(B112,$B$2:$B$361,0))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FINCABLES</t>
        </is>
      </c>
      <c r="D112" s="30" t="inlineStr">
        <is>
          <t>Finolex Cables Limited</t>
        </is>
      </c>
      <c r="E112" s="30" t="inlineStr">
        <is>
          <t>industrials</t>
        </is>
      </c>
      <c r="F112" s="30" t="inlineStr">
        <is>
          <t>cables - power</t>
        </is>
      </c>
      <c r="G112" s="30" t="inlineStr">
        <is>
          <t>midcap</t>
        </is>
      </c>
      <c r="H112" s="31" t="n">
        <v>16142.75</v>
      </c>
      <c r="I112" s="31" t="n">
        <v>1120</v>
      </c>
      <c r="J112" s="31" t="n">
        <v>6.11</v>
      </c>
      <c r="K112" s="31" t="n">
        <v>897747</v>
      </c>
      <c r="L112" s="30" t="n">
        <v>40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62.38</v>
      </c>
      <c r="P112" s="31" t="n">
        <v>32.84</v>
      </c>
      <c r="Q112" s="31" t="n">
        <v>850.78</v>
      </c>
      <c r="R112" s="30" t="inlineStr">
        <is>
          <t>Near 52W High Breakout</t>
        </is>
      </c>
      <c r="S112" s="30" t="inlineStr">
        <is>
          <t>Nifty Energy</t>
        </is>
      </c>
      <c r="T112" s="31" t="n">
        <v>13.03</v>
      </c>
      <c r="U112" s="31" t="n">
        <v>23.48</v>
      </c>
      <c r="V112" s="31" t="n">
        <v>9.24</v>
      </c>
      <c r="W112" s="31" t="n">
        <v>10.6</v>
      </c>
      <c r="X112" s="30" t="inlineStr">
        <is>
          <t>Cyclical in an Upturn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Close to 52 week high or retracement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Between 12 to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Less than 50%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IF(B113=0,"",RANK(B113,$B$2:$B$361,0))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WALCHANNAG</t>
        </is>
      </c>
      <c r="D113" s="30" t="inlineStr">
        <is>
          <t>Walchandnagar Industries Limited</t>
        </is>
      </c>
      <c r="E113" s="30" t="inlineStr">
        <is>
          <t>industrials</t>
        </is>
      </c>
      <c r="F113" s="30" t="inlineStr">
        <is>
          <t>engineering</t>
        </is>
      </c>
      <c r="G113" s="30" t="inlineStr">
        <is>
          <t>smallcap</t>
        </is>
      </c>
      <c r="H113" s="31" t="n">
        <v>1797.48</v>
      </c>
      <c r="I113" s="31" t="n">
        <v>280.05</v>
      </c>
      <c r="J113" s="31" t="n">
        <v>5.7</v>
      </c>
      <c r="K113" s="31" t="n">
        <v>7207703</v>
      </c>
      <c r="L113" s="30" t="n">
        <v>84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68.78</v>
      </c>
      <c r="P113" s="31" t="n">
        <v>28.84</v>
      </c>
      <c r="Q113" s="31" t="n">
        <v>196.33</v>
      </c>
      <c r="R113" s="30" t="inlineStr">
        <is>
          <t>Near 52W High Breakout</t>
        </is>
      </c>
      <c r="S113" s="30" t="inlineStr">
        <is>
          <t>Nifty Infra</t>
        </is>
      </c>
      <c r="T113" s="31" t="n">
        <v>3.72</v>
      </c>
      <c r="U113" s="31" t="n">
        <v>24.2</v>
      </c>
      <c r="V113" s="31" t="n">
        <v>19.75</v>
      </c>
      <c r="W113" s="31" t="n">
        <v>28.03</v>
      </c>
      <c r="X113" s="30" t="inlineStr">
        <is>
          <t>Cyclical in an Upturn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Close to 52 week high or retracement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Negative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IF(B114=0,"",RANK(B114,$B$2:$B$361,0))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POWERINDIA</t>
        </is>
      </c>
      <c r="D114" s="30" t="inlineStr">
        <is>
          <t>Hitachi Energy India Ltd</t>
        </is>
      </c>
      <c r="E114" s="30" t="inlineStr">
        <is>
          <t>industrials</t>
        </is>
      </c>
      <c r="F114" s="30" t="inlineStr">
        <is>
          <t>electric equipment</t>
        </is>
      </c>
      <c r="G114" s="30" t="inlineStr">
        <is>
          <t>largecap</t>
        </is>
      </c>
      <c r="H114" s="31" t="n">
        <v>154844.39</v>
      </c>
      <c r="I114" s="31" t="n">
        <v>35950</v>
      </c>
      <c r="J114" s="31" t="n">
        <v>3.48</v>
      </c>
      <c r="K114" s="31" t="n">
        <v>126662</v>
      </c>
      <c r="L114" s="30" t="n">
        <v>78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68.34999999999999</v>
      </c>
      <c r="P114" s="31" t="n">
        <v>58.73</v>
      </c>
      <c r="Q114" s="31" t="n">
        <v>30590.08</v>
      </c>
      <c r="R114" s="30" t="inlineStr">
        <is>
          <t>Earnings / Momentum Support</t>
        </is>
      </c>
      <c r="S114" s="30" t="inlineStr">
        <is>
          <t>Nifty 500</t>
        </is>
      </c>
      <c r="T114" s="31" t="n">
        <v>0.3</v>
      </c>
      <c r="U114" s="31" t="n">
        <v>92.47</v>
      </c>
      <c r="V114" s="31" t="n">
        <v>91.90000000000001</v>
      </c>
      <c r="W114" s="31" t="n">
        <v>24.31</v>
      </c>
      <c r="X114" s="30" t="inlineStr">
        <is>
          <t>Cyclical in an Upturn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No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Between 50 to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Close to 52 week high or retracement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Above 70%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IF(B115=0,"",RANK(B115,$B$2:$B$361,0))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STEELCAS</t>
        </is>
      </c>
      <c r="D115" s="30" t="inlineStr">
        <is>
          <t>Steelcast Ltd</t>
        </is>
      </c>
      <c r="E115" s="30" t="inlineStr">
        <is>
          <t>industrials</t>
        </is>
      </c>
      <c r="F115" s="30" t="inlineStr">
        <is>
          <t>castings &amp; forgings</t>
        </is>
      </c>
      <c r="G115" s="30" t="inlineStr">
        <is>
          <t>smallcap</t>
        </is>
      </c>
      <c r="H115" s="31" t="n">
        <v>2922.66</v>
      </c>
      <c r="I115" s="31" t="n">
        <v>295.75</v>
      </c>
      <c r="J115" s="31" t="n">
        <v>2.41</v>
      </c>
      <c r="K115" s="31" t="n">
        <v>55899</v>
      </c>
      <c r="L115" s="30" t="n">
        <v>50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69.79000000000001</v>
      </c>
      <c r="P115" s="31" t="n">
        <v>30.05</v>
      </c>
      <c r="Q115" s="31" t="n">
        <v>219.12</v>
      </c>
      <c r="R115" s="30" t="inlineStr">
        <is>
          <t>Near 52W High Breakout</t>
        </is>
      </c>
      <c r="S115" s="30" t="inlineStr">
        <is>
          <t>Nifty 50</t>
        </is>
      </c>
      <c r="T115" s="31" t="n">
        <v>-4.09</v>
      </c>
      <c r="U115" s="31" t="n">
        <v>37.34</v>
      </c>
      <c r="V115" s="31" t="n">
        <v>43.2</v>
      </c>
      <c r="W115" s="31" t="n">
        <v>13.18</v>
      </c>
      <c r="X115" s="30" t="inlineStr">
        <is>
          <t>Cyclical in an Upturn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Less than 12%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No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IF(B116=0,"",RANK(B116,$B$2:$B$361,0))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2" t="inlineStr">
        <is>
          <t>MIDHANI</t>
        </is>
      </c>
      <c r="D116" s="32" t="inlineStr">
        <is>
          <t>Mishra Dhatu Nigam Ltd</t>
        </is>
      </c>
      <c r="E116" s="30" t="inlineStr">
        <is>
          <t>aerospace &amp; defence</t>
        </is>
      </c>
      <c r="F116" s="30" t="inlineStr">
        <is>
          <t>steel - medium / small</t>
        </is>
      </c>
      <c r="G116" s="30" t="inlineStr">
        <is>
          <t>midcap</t>
        </is>
      </c>
      <c r="H116" s="31" t="n">
        <v>8225.16</v>
      </c>
      <c r="I116" s="31" t="n">
        <v>448.85</v>
      </c>
      <c r="J116" s="31" t="n">
        <v>2.23</v>
      </c>
      <c r="K116" s="31" t="n">
        <v>1519448</v>
      </c>
      <c r="L116" s="30" t="n">
        <v>43</v>
      </c>
      <c r="M116" s="30" t="inlineStr">
        <is>
          <t>Underperforming</t>
        </is>
      </c>
      <c r="N116" s="31">
        <f>IF(M116="Underperforming",-5,IF(L116&gt;=95,15,IF(L116&gt;=90,10,IF(L116&gt;=80,5,0))))</f>
        <v/>
      </c>
      <c r="O116" s="31" t="n">
        <v>68.31999999999999</v>
      </c>
      <c r="P116" s="31" t="n">
        <v>26.83</v>
      </c>
      <c r="Q116" s="31" t="n">
        <v>341.11</v>
      </c>
      <c r="R116" s="30" t="inlineStr">
        <is>
          <t>Near 52W High Breakout</t>
        </is>
      </c>
      <c r="S116" s="30" t="inlineStr">
        <is>
          <t>Nifty Metal</t>
        </is>
      </c>
      <c r="T116" s="31" t="n">
        <v>42.38</v>
      </c>
      <c r="U116" s="31" t="n">
        <v>1.52</v>
      </c>
      <c r="V116" s="31" t="n">
        <v>-28.7</v>
      </c>
      <c r="W116" s="31" t="n">
        <v>11.28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One Time, Lower Annuity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Between 1.5 to 2</t>
        </is>
      </c>
      <c r="BU116" s="30">
        <f>IF(BT116="Above 2",0,IF(BT116="Between 1.5 to 2",5,IF(BT116="Less than 1.5",10,0)))</f>
        <v/>
      </c>
      <c r="BV116" s="30" t="inlineStr">
        <is>
          <t>Between 50% to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IF(B117=0,"",RANK(B117,$B$2:$B$361,0))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THERMAX</t>
        </is>
      </c>
      <c r="D117" s="30" t="inlineStr">
        <is>
          <t>Thermax Limited</t>
        </is>
      </c>
      <c r="E117" s="30" t="inlineStr">
        <is>
          <t>industrials</t>
        </is>
      </c>
      <c r="F117" s="30" t="inlineStr">
        <is>
          <t>electric equipment</t>
        </is>
      </c>
      <c r="G117" s="30" t="inlineStr">
        <is>
          <t>largecap</t>
        </is>
      </c>
      <c r="H117" s="31" t="n">
        <v>56177.43</v>
      </c>
      <c r="I117" s="31" t="n">
        <v>4774.4</v>
      </c>
      <c r="J117" s="31" t="n">
        <v>1.27</v>
      </c>
      <c r="K117" s="31" t="n">
        <v>110973</v>
      </c>
      <c r="L117" s="30" t="n">
        <v>67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71.36</v>
      </c>
      <c r="P117" s="31" t="n">
        <v>41.06</v>
      </c>
      <c r="Q117" s="31" t="n">
        <v>4026.81</v>
      </c>
      <c r="R117" s="30" t="inlineStr">
        <is>
          <t>Near 52W High Breakout</t>
        </is>
      </c>
      <c r="S117" s="30" t="inlineStr">
        <is>
          <t>Nifty 50</t>
        </is>
      </c>
      <c r="T117" s="31" t="n">
        <v>-4.09</v>
      </c>
      <c r="U117" s="31" t="n">
        <v>40.04</v>
      </c>
      <c r="V117" s="31" t="n">
        <v>46.01</v>
      </c>
      <c r="W117" s="31" t="n">
        <v>18.42</v>
      </c>
      <c r="X117" s="30" t="inlineStr">
        <is>
          <t>Cyclical in an Upturn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No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One Time, Lower Annuity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Above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Close to 52 week high or retracement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Between 12 to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Between 50% to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IF(B118=0,"",RANK(B118,$B$2:$B$361,0))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2" t="inlineStr">
        <is>
          <t>SFL</t>
        </is>
      </c>
      <c r="D118" s="32" t="inlineStr">
        <is>
          <t>Sheela Foam Limited</t>
        </is>
      </c>
      <c r="E118" s="30" t="inlineStr">
        <is>
          <t>consumer discretionary</t>
        </is>
      </c>
      <c r="F118" s="30" t="inlineStr">
        <is>
          <t>miscellaneous</t>
        </is>
      </c>
      <c r="G118" s="30" t="inlineStr">
        <is>
          <t>midcap</t>
        </is>
      </c>
      <c r="H118" s="31" t="n">
        <v>7647.26</v>
      </c>
      <c r="I118" s="31" t="n">
        <v>709.75</v>
      </c>
      <c r="J118" s="31" t="n">
        <v>0.9</v>
      </c>
      <c r="K118" s="31" t="n">
        <v>101851</v>
      </c>
      <c r="L118" s="30" t="n">
        <v>29</v>
      </c>
      <c r="M118" s="30" t="inlineStr">
        <is>
          <t>Underperforming</t>
        </is>
      </c>
      <c r="N118" s="31">
        <f>IF(M118="Underperforming",-5,IF(L118&gt;=95,15,IF(L118&gt;=90,10,IF(L118&gt;=80,5,0))))</f>
        <v/>
      </c>
      <c r="O118" s="31" t="n">
        <v>66.59999999999999</v>
      </c>
      <c r="P118" s="31" t="n">
        <v>21.06</v>
      </c>
      <c r="Q118" s="31" t="n">
        <v>548.33</v>
      </c>
      <c r="R118" s="30" t="inlineStr">
        <is>
          <t>Near 52W High Breakout</t>
        </is>
      </c>
      <c r="S118" s="30" t="inlineStr">
        <is>
          <t>Nifty 50</t>
        </is>
      </c>
      <c r="T118" s="31" t="n">
        <v>-4.09</v>
      </c>
      <c r="U118" s="31" t="n">
        <v>-4.35</v>
      </c>
      <c r="V118" s="31" t="n">
        <v>-0.27</v>
      </c>
      <c r="W118" s="31" t="n">
        <v>8.210000000000001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One Time, Lower Annuity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IF(B119=0,"",RANK(B119,$B$2:$B$361,0))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HFCL</t>
        </is>
      </c>
      <c r="D119" s="30" t="inlineStr">
        <is>
          <t>HFCL Ltd</t>
        </is>
      </c>
      <c r="E119" s="30" t="inlineStr">
        <is>
          <t>telecom</t>
        </is>
      </c>
      <c r="F119" s="30" t="inlineStr">
        <is>
          <t>cables - telephone</t>
        </is>
      </c>
      <c r="G119" s="30" t="inlineStr">
        <is>
          <t>largecap</t>
        </is>
      </c>
      <c r="H119" s="31" t="n">
        <v>28925.33</v>
      </c>
      <c r="I119" s="31" t="n">
        <v>190.13</v>
      </c>
      <c r="J119" s="31" t="n">
        <v>0.61</v>
      </c>
      <c r="K119" s="31" t="n">
        <v>30846259</v>
      </c>
      <c r="L119" s="30" t="n">
        <v>97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82.36</v>
      </c>
      <c r="P119" s="31" t="n">
        <v>51.62</v>
      </c>
      <c r="Q119" s="31" t="n">
        <v>142.47</v>
      </c>
      <c r="R119" s="30" t="inlineStr">
        <is>
          <t>Near 52W High Breakout</t>
        </is>
      </c>
      <c r="S119" s="30" t="inlineStr">
        <is>
          <t>Nifty Infra</t>
        </is>
      </c>
      <c r="T119" s="31" t="n">
        <v>3.72</v>
      </c>
      <c r="U119" s="31" t="n">
        <v>132.99</v>
      </c>
      <c r="V119" s="31" t="n">
        <v>124.64</v>
      </c>
      <c r="W119" s="31" t="n">
        <v>64.58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Oligopoly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Yes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One Time, Lower Annuity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Above 40</t>
        </is>
      </c>
      <c r="AY119" s="30">
        <f>IF(AX119="Above 40",20,IF(AX119="20 to 40",10,IF(AX119="0 to 20",-5,0)))</f>
        <v/>
      </c>
      <c r="AZ119" s="30" t="inlineStr">
        <is>
          <t>Above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More than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Negative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IF(B120=0,"",RANK(B120,$B$2:$B$361,0))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BOSCHLTD</t>
        </is>
      </c>
      <c r="D120" s="30" t="inlineStr">
        <is>
          <t>Bosch Limited</t>
        </is>
      </c>
      <c r="E120" s="30" t="inlineStr">
        <is>
          <t>auto</t>
        </is>
      </c>
      <c r="F120" s="30" t="inlineStr">
        <is>
          <t>auto ancillaries</t>
        </is>
      </c>
      <c r="G120" s="30" t="inlineStr">
        <is>
          <t>largecap</t>
        </is>
      </c>
      <c r="H120" s="31" t="n">
        <v>115157.92</v>
      </c>
      <c r="I120" s="31" t="n">
        <v>39230</v>
      </c>
      <c r="J120" s="31" t="n">
        <v>0.47</v>
      </c>
      <c r="K120" s="31" t="n">
        <v>26887</v>
      </c>
      <c r="L120" s="30" t="n">
        <v>44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59.5</v>
      </c>
      <c r="P120" s="31" t="n">
        <v>20.59</v>
      </c>
      <c r="Q120" s="31" t="n">
        <v>32294.53</v>
      </c>
      <c r="R120" s="30" t="inlineStr">
        <is>
          <t>Near 52W High Breakout</t>
        </is>
      </c>
      <c r="S120" s="30" t="inlineStr">
        <is>
          <t>Nifty Auto</t>
        </is>
      </c>
      <c r="T120" s="31" t="n">
        <v>12.86</v>
      </c>
      <c r="U120" s="31" t="n">
        <v>23.14</v>
      </c>
      <c r="V120" s="31" t="n">
        <v>9.109999999999999</v>
      </c>
      <c r="W120" s="31" t="n">
        <v>11.59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One Time, Lower Annuity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Less than 12%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IF(B121=0,"",RANK(B121,$B$2:$B$361,0))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2" t="inlineStr">
        <is>
          <t>NIBE</t>
        </is>
      </c>
      <c r="D121" s="32" t="inlineStr">
        <is>
          <t>NIBE Ltd</t>
        </is>
      </c>
      <c r="E121" s="30" t="inlineStr">
        <is>
          <t>aerospace &amp; defence</t>
        </is>
      </c>
      <c r="F121" s="30" t="inlineStr">
        <is>
          <t>engineering</t>
        </is>
      </c>
      <c r="G121" s="30" t="inlineStr">
        <is>
          <t>smallcap</t>
        </is>
      </c>
      <c r="H121" s="31" t="n">
        <v>2470.8</v>
      </c>
      <c r="I121" s="31" t="n">
        <v>1625.3</v>
      </c>
      <c r="J121" s="31" t="n">
        <v>0.39</v>
      </c>
      <c r="K121" s="31" t="n">
        <v>157228</v>
      </c>
      <c r="L121" s="30" t="n">
        <v>64</v>
      </c>
      <c r="M121" s="30" t="inlineStr">
        <is>
          <t>Underperforming</t>
        </is>
      </c>
      <c r="N121" s="31">
        <f>IF(M121="Underperforming",-5,IF(L121&gt;=95,15,IF(L121&gt;=90,10,IF(L121&gt;=80,5,0))))</f>
        <v/>
      </c>
      <c r="O121" s="31" t="n">
        <v>69.94</v>
      </c>
      <c r="P121" s="31" t="n">
        <v>21.6</v>
      </c>
      <c r="Q121" s="31" t="n">
        <v>1161.68</v>
      </c>
      <c r="R121" s="30" t="inlineStr">
        <is>
          <t>Near 52W High Breakout</t>
        </is>
      </c>
      <c r="S121" s="30" t="inlineStr">
        <is>
          <t>Nifty Infra</t>
        </is>
      </c>
      <c r="T121" s="31" t="n">
        <v>3.72</v>
      </c>
      <c r="U121" s="31" t="n">
        <v>-4.47</v>
      </c>
      <c r="V121" s="31" t="n">
        <v>-7.9</v>
      </c>
      <c r="W121" s="31" t="n">
        <v>17.52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One Time, Lower Annuity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IF(B122=0,"",RANK(B122,$B$2:$B$361,0))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RPEL</t>
        </is>
      </c>
      <c r="D122" s="30" t="inlineStr">
        <is>
          <t>Raghav Productivity Enhancers Ltd</t>
        </is>
      </c>
      <c r="E122" s="30" t="inlineStr">
        <is>
          <t>building materials</t>
        </is>
      </c>
      <c r="F122" s="30" t="inlineStr">
        <is>
          <t>refractories / intermediates</t>
        </is>
      </c>
      <c r="G122" s="30" t="inlineStr">
        <is>
          <t>midcap</t>
        </is>
      </c>
      <c r="H122" s="31" t="n">
        <v>5525.05</v>
      </c>
      <c r="I122" s="31" t="n">
        <v>1206.65</v>
      </c>
      <c r="J122" s="31" t="n">
        <v>0.27</v>
      </c>
      <c r="K122" s="31" t="n">
        <v>72591</v>
      </c>
      <c r="L122" s="30" t="n">
        <v>90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77.65000000000001</v>
      </c>
      <c r="P122" s="31" t="n">
        <v>32.05</v>
      </c>
      <c r="Q122" s="31" t="n">
        <v>937.6</v>
      </c>
      <c r="R122" s="30" t="inlineStr">
        <is>
          <t>Near 52W High Breakout</t>
        </is>
      </c>
      <c r="S122" s="30" t="inlineStr">
        <is>
          <t>Nifty Infra</t>
        </is>
      </c>
      <c r="T122" s="31" t="n">
        <v>3.72</v>
      </c>
      <c r="U122" s="31" t="n">
        <v>71.89</v>
      </c>
      <c r="V122" s="31" t="n">
        <v>65.73</v>
      </c>
      <c r="W122" s="31" t="n">
        <v>35.54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Higher One Time, Lower Annuity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Above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Blue sky scenario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Above 2</t>
        </is>
      </c>
      <c r="BU122" s="30">
        <f>IF(BT122="Above 2",0,IF(BT122="Between 1.5 to 2",5,IF(BT122="Less than 1.5",10,0)))</f>
        <v/>
      </c>
      <c r="BV122" s="30" t="inlineStr">
        <is>
          <t>Less than 50%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IF(B123=0,"",RANK(B123,$B$2:$B$361,0))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HONASA</t>
        </is>
      </c>
      <c r="D123" s="30" t="inlineStr">
        <is>
          <t>Honasa Consumer Ltd</t>
        </is>
      </c>
      <c r="E123" s="30" t="inlineStr">
        <is>
          <t>services</t>
        </is>
      </c>
      <c r="F123" s="30" t="inlineStr">
        <is>
          <t>trading</t>
        </is>
      </c>
      <c r="G123" s="30" t="inlineStr">
        <is>
          <t>midcap</t>
        </is>
      </c>
      <c r="H123" s="31" t="n">
        <v>13027.81</v>
      </c>
      <c r="I123" s="31" t="n">
        <v>401.45</v>
      </c>
      <c r="J123" s="31" t="n">
        <v>0.26</v>
      </c>
      <c r="K123" s="31" t="n">
        <v>667351</v>
      </c>
      <c r="L123" s="30" t="n">
        <v>59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69.81</v>
      </c>
      <c r="P123" s="31" t="n">
        <v>34.55</v>
      </c>
      <c r="Q123" s="31" t="n">
        <v>334.4</v>
      </c>
      <c r="R123" s="30" t="inlineStr">
        <is>
          <t>Near 52W High Breakout</t>
        </is>
      </c>
      <c r="S123" s="30" t="inlineStr">
        <is>
          <t>Nifty 50</t>
        </is>
      </c>
      <c r="T123" s="31" t="n">
        <v>-4.09</v>
      </c>
      <c r="U123" s="31" t="n">
        <v>33.53</v>
      </c>
      <c r="V123" s="31" t="n">
        <v>39.22</v>
      </c>
      <c r="W123" s="31" t="n">
        <v>14.91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One Time, Lower Annuity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Between 50% to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IF(B124=0,"",RANK(B124,$B$2:$B$361,0))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2" t="inlineStr">
        <is>
          <t>WSTCSTPAPR</t>
        </is>
      </c>
      <c r="D124" s="32" t="inlineStr">
        <is>
          <t>West Coast Paper Mills Limited</t>
        </is>
      </c>
      <c r="E124" s="30" t="inlineStr">
        <is>
          <t>building materials</t>
        </is>
      </c>
      <c r="F124" s="30" t="inlineStr">
        <is>
          <t>paper</t>
        </is>
      </c>
      <c r="G124" s="30" t="inlineStr">
        <is>
          <t>smallcap</t>
        </is>
      </c>
      <c r="H124" s="31" t="n">
        <v>3398.55</v>
      </c>
      <c r="I124" s="31" t="n">
        <v>515.6</v>
      </c>
      <c r="J124" s="31" t="n">
        <v>0.2</v>
      </c>
      <c r="K124" s="31" t="n">
        <v>119377</v>
      </c>
      <c r="L124" s="30" t="n">
        <v>15</v>
      </c>
      <c r="M124" s="30" t="inlineStr">
        <is>
          <t>Underperforming</t>
        </is>
      </c>
      <c r="N124" s="31">
        <f>IF(M124="Underperforming",-5,IF(L124&gt;=95,15,IF(L124&gt;=90,10,IF(L124&gt;=80,5,0))))</f>
        <v/>
      </c>
      <c r="O124" s="31" t="n">
        <v>59.73</v>
      </c>
      <c r="P124" s="31" t="n">
        <v>29.24</v>
      </c>
      <c r="Q124" s="31" t="n">
        <v>406.91</v>
      </c>
      <c r="R124" s="30" t="inlineStr">
        <is>
          <t>Earnings / Momentum Support</t>
        </is>
      </c>
      <c r="S124" s="30" t="inlineStr">
        <is>
          <t>Nifty Infra</t>
        </is>
      </c>
      <c r="T124" s="31" t="n">
        <v>3.72</v>
      </c>
      <c r="U124" s="31" t="n">
        <v>3.46</v>
      </c>
      <c r="V124" s="31" t="n">
        <v>-0.25</v>
      </c>
      <c r="W124" s="31" t="n">
        <v>5.04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No</t>
        </is>
      </c>
      <c r="AQ124" s="30">
        <f>IF(AP124="Yes",10,0)</f>
        <v/>
      </c>
      <c r="AR124" s="30" t="inlineStr">
        <is>
          <t>Higher One Time, Lower Annuity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Between 12 to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Less than 1.5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IF(B125=0,"",RANK(B125,$B$2:$B$361,0))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AETHER</t>
        </is>
      </c>
      <c r="D125" s="30" t="inlineStr">
        <is>
          <t>Aether Industries Ltd</t>
        </is>
      </c>
      <c r="E125" s="30" t="inlineStr">
        <is>
          <t>chemicals</t>
        </is>
      </c>
      <c r="F125" s="30" t="inlineStr">
        <is>
          <t>chemicals</t>
        </is>
      </c>
      <c r="G125" s="30" t="inlineStr">
        <is>
          <t>midcap</t>
        </is>
      </c>
      <c r="H125" s="31" t="n">
        <v>15625.7</v>
      </c>
      <c r="I125" s="31" t="n">
        <v>1179.3</v>
      </c>
      <c r="J125" s="31" t="n">
        <v>0.14</v>
      </c>
      <c r="K125" s="31" t="n">
        <v>205767</v>
      </c>
      <c r="L125" s="30" t="n">
        <v>38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60.97</v>
      </c>
      <c r="P125" s="31" t="n">
        <v>49.87</v>
      </c>
      <c r="Q125" s="31" t="n">
        <v>936.13</v>
      </c>
      <c r="R125" s="30" t="inlineStr">
        <is>
          <t>Near 52W High Breakout</t>
        </is>
      </c>
      <c r="S125" s="30" t="inlineStr">
        <is>
          <t>Nifty 50</t>
        </is>
      </c>
      <c r="T125" s="31" t="n">
        <v>-4.09</v>
      </c>
      <c r="U125" s="31" t="n">
        <v>52.03</v>
      </c>
      <c r="V125" s="31" t="n">
        <v>58.51</v>
      </c>
      <c r="W125" s="31" t="n">
        <v>10.15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Above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Blue sky scenario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Less than 12%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Less than 50%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IF(B126=0,"",RANK(B126,$B$2:$B$361,0))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PHOENIXLTD</t>
        </is>
      </c>
      <c r="D126" s="30" t="inlineStr">
        <is>
          <t>The Phoenix Mills Limited</t>
        </is>
      </c>
      <c r="E126" s="30" t="inlineStr">
        <is>
          <t>realty</t>
        </is>
      </c>
      <c r="F126" s="30" t="inlineStr">
        <is>
          <t>construction</t>
        </is>
      </c>
      <c r="G126" s="30" t="inlineStr">
        <is>
          <t>largecap</t>
        </is>
      </c>
      <c r="H126" s="31" t="n">
        <v>66813.3</v>
      </c>
      <c r="I126" s="31" t="n">
        <v>1869.1</v>
      </c>
      <c r="J126" s="31" t="n">
        <v>0.05</v>
      </c>
      <c r="K126" s="31" t="n">
        <v>670639</v>
      </c>
      <c r="L126" s="30" t="n">
        <v>27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60.6</v>
      </c>
      <c r="P126" s="31" t="n">
        <v>12.93</v>
      </c>
      <c r="Q126" s="31" t="n">
        <v>1538.79</v>
      </c>
      <c r="R126" s="30" t="inlineStr">
        <is>
          <t>Near 52W High Breakout</t>
        </is>
      </c>
      <c r="S126" s="30" t="inlineStr">
        <is>
          <t>Nifty Realty</t>
        </is>
      </c>
      <c r="T126" s="31" t="n">
        <v>-19.64</v>
      </c>
      <c r="U126" s="31" t="n">
        <v>15.84</v>
      </c>
      <c r="V126" s="31" t="n">
        <v>44.15</v>
      </c>
      <c r="W126" s="31" t="n">
        <v>7.98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0 to 20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Less than 1.5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IF(B127=0,"",RANK(B127,$B$2:$B$361,0))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CENTUM</t>
        </is>
      </c>
      <c r="D127" s="30" t="inlineStr">
        <is>
          <t>Centum Electronics Limited</t>
        </is>
      </c>
      <c r="E127" s="30" t="inlineStr">
        <is>
          <t>consumer discretionary</t>
        </is>
      </c>
      <c r="F127" s="30" t="inlineStr">
        <is>
          <t>electronics - components</t>
        </is>
      </c>
      <c r="G127" s="30" t="inlineStr">
        <is>
          <t>midcap</t>
        </is>
      </c>
      <c r="H127" s="31" t="n">
        <v>5347.73</v>
      </c>
      <c r="I127" s="31" t="n">
        <v>3614.7</v>
      </c>
      <c r="J127" s="31" t="n">
        <v>-0.36</v>
      </c>
      <c r="K127" s="31" t="n">
        <v>41391</v>
      </c>
      <c r="L127" s="30" t="n">
        <v>61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68.92</v>
      </c>
      <c r="P127" s="31" t="n">
        <v>57.85</v>
      </c>
      <c r="Q127" s="31" t="n">
        <v>2644.84</v>
      </c>
      <c r="R127" s="30" t="inlineStr">
        <is>
          <t>Near 52W High Breakout</t>
        </is>
      </c>
      <c r="S127" s="30" t="inlineStr">
        <is>
          <t>Nifty 50</t>
        </is>
      </c>
      <c r="T127" s="31" t="n">
        <v>-4.09</v>
      </c>
      <c r="U127" s="31" t="n">
        <v>59.65</v>
      </c>
      <c r="V127" s="31" t="n">
        <v>66.45999999999999</v>
      </c>
      <c r="W127" s="31" t="n">
        <v>16.23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Above 40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Less than 12%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Yes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Less than 50%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IF(B128=0,"",RANK(B128,$B$2:$B$361,0))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USHAMART</t>
        </is>
      </c>
      <c r="D128" s="30" t="inlineStr">
        <is>
          <t>Usha Martin Limited</t>
        </is>
      </c>
      <c r="E128" s="30" t="inlineStr">
        <is>
          <t>metals &amp; mining</t>
        </is>
      </c>
      <c r="F128" s="30" t="inlineStr">
        <is>
          <t>steel - medium / small</t>
        </is>
      </c>
      <c r="G128" s="30" t="inlineStr">
        <is>
          <t>midcap</t>
        </is>
      </c>
      <c r="H128" s="31" t="n">
        <v>15212.72</v>
      </c>
      <c r="I128" s="31" t="n">
        <v>494.9</v>
      </c>
      <c r="J128" s="31" t="n">
        <v>-0.86</v>
      </c>
      <c r="K128" s="31" t="n">
        <v>184999</v>
      </c>
      <c r="L128" s="30" t="n">
        <v>59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63.84</v>
      </c>
      <c r="P128" s="31" t="n">
        <v>33.91</v>
      </c>
      <c r="Q128" s="31" t="n">
        <v>416.23</v>
      </c>
      <c r="R128" s="30" t="inlineStr">
        <is>
          <t>Near 52W High Breakout</t>
        </is>
      </c>
      <c r="S128" s="30" t="inlineStr">
        <is>
          <t>Nifty Metal</t>
        </is>
      </c>
      <c r="T128" s="31" t="n">
        <v>42.38</v>
      </c>
      <c r="U128" s="31" t="n">
        <v>58.37</v>
      </c>
      <c r="V128" s="31" t="n">
        <v>11.23</v>
      </c>
      <c r="W128" s="31" t="n">
        <v>15.61</v>
      </c>
      <c r="X128" s="30" t="inlineStr">
        <is>
          <t>Cyclical in an Upturn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Cyclical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Volatile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20 to 40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Blue sky scenario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Less than 1.5</t>
        </is>
      </c>
      <c r="BU128" s="30">
        <f>IF(BT128="Above 2",0,IF(BT128="Between 1.5 to 2",5,IF(BT128="Less than 1.5",10,0)))</f>
        <v/>
      </c>
      <c r="BV128" s="30" t="inlineStr">
        <is>
          <t>Above 70%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IF(B129=0,"",RANK(B129,$B$2:$B$361,0))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ASHIANA</t>
        </is>
      </c>
      <c r="D129" s="30" t="inlineStr">
        <is>
          <t>Ashiana Housing Limited</t>
        </is>
      </c>
      <c r="E129" s="30" t="inlineStr">
        <is>
          <t>realty</t>
        </is>
      </c>
      <c r="F129" s="30" t="inlineStr">
        <is>
          <t>construction</t>
        </is>
      </c>
      <c r="G129" s="30" t="inlineStr">
        <is>
          <t>smallcap</t>
        </is>
      </c>
      <c r="H129" s="31" t="n">
        <v>3911.42</v>
      </c>
      <c r="I129" s="31" t="n">
        <v>385.5</v>
      </c>
      <c r="J129" s="31" t="n">
        <v>-0.93</v>
      </c>
      <c r="K129" s="31" t="n">
        <v>184366</v>
      </c>
      <c r="L129" s="30" t="n">
        <v>31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65.43000000000001</v>
      </c>
      <c r="P129" s="31" t="n">
        <v>28.5</v>
      </c>
      <c r="Q129" s="31" t="n">
        <v>296.67</v>
      </c>
      <c r="R129" s="30" t="inlineStr">
        <is>
          <t>Near 52W High Breakout</t>
        </is>
      </c>
      <c r="S129" s="30" t="inlineStr">
        <is>
          <t>Nifty Realty</t>
        </is>
      </c>
      <c r="T129" s="31" t="n">
        <v>-19.64</v>
      </c>
      <c r="U129" s="31" t="n">
        <v>12.82</v>
      </c>
      <c r="V129" s="31" t="n">
        <v>40.38</v>
      </c>
      <c r="W129" s="31" t="n">
        <v>8.57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20 to 40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Less than 12%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Above 2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IF(B130=0,"",RANK(B130,$B$2:$B$361,0))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PARACABLES</t>
        </is>
      </c>
      <c r="D130" s="30" t="inlineStr">
        <is>
          <t>Paramount Communications Limited</t>
        </is>
      </c>
      <c r="E130" s="30" t="inlineStr">
        <is>
          <t>industrials</t>
        </is>
      </c>
      <c r="F130" s="30" t="inlineStr">
        <is>
          <t>cables - power</t>
        </is>
      </c>
      <c r="G130" s="30" t="inlineStr">
        <is>
          <t>smallcap</t>
        </is>
      </c>
      <c r="H130" s="31" t="n">
        <v>2036.67</v>
      </c>
      <c r="I130" s="31" t="n">
        <v>66.06999999999999</v>
      </c>
      <c r="J130" s="31" t="n">
        <v>-0.99</v>
      </c>
      <c r="K130" s="31" t="n">
        <v>1496944</v>
      </c>
      <c r="L130" s="30" t="n">
        <v>84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71.34999999999999</v>
      </c>
      <c r="P130" s="31" t="n">
        <v>35.02</v>
      </c>
      <c r="Q130" s="31" t="n">
        <v>47.21</v>
      </c>
      <c r="R130" s="30" t="inlineStr">
        <is>
          <t>Near 52W High Breakout</t>
        </is>
      </c>
      <c r="S130" s="30" t="inlineStr">
        <is>
          <t>Nifty Energy</t>
        </is>
      </c>
      <c r="T130" s="31" t="n">
        <v>13.03</v>
      </c>
      <c r="U130" s="31" t="n">
        <v>21.79</v>
      </c>
      <c r="V130" s="31" t="n">
        <v>7.75</v>
      </c>
      <c r="W130" s="31" t="n">
        <v>28.16</v>
      </c>
      <c r="X130" s="30" t="inlineStr">
        <is>
          <t>Cyclical in an Upturn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Yes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Less than 12%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No</t>
        </is>
      </c>
      <c r="BS130" s="30">
        <f>IF(BR130="NO",5,0)</f>
        <v/>
      </c>
      <c r="BT130" s="30" t="inlineStr">
        <is>
          <t>Above 2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IF(B131=0,"",RANK(B131,$B$2:$B$361,0))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2" t="inlineStr">
        <is>
          <t>GREENPLY</t>
        </is>
      </c>
      <c r="D131" s="32" t="inlineStr">
        <is>
          <t>Greenply Industries Limited</t>
        </is>
      </c>
      <c r="E131" s="30" t="inlineStr">
        <is>
          <t>building materials</t>
        </is>
      </c>
      <c r="F131" s="30" t="inlineStr">
        <is>
          <t>miscellaneous</t>
        </is>
      </c>
      <c r="G131" s="30" t="inlineStr">
        <is>
          <t>smallcap</t>
        </is>
      </c>
      <c r="H131" s="31" t="n">
        <v>3705.59</v>
      </c>
      <c r="I131" s="31" t="n">
        <v>293.67</v>
      </c>
      <c r="J131" s="31" t="n">
        <v>-1.01</v>
      </c>
      <c r="K131" s="31" t="n">
        <v>358100</v>
      </c>
      <c r="L131" s="30" t="n">
        <v>47</v>
      </c>
      <c r="M131" s="30" t="inlineStr">
        <is>
          <t>Underperforming</t>
        </is>
      </c>
      <c r="N131" s="31">
        <f>IF(M131="Underperforming",-5,IF(L131&gt;=95,15,IF(L131&gt;=90,10,IF(L131&gt;=80,5,0))))</f>
        <v/>
      </c>
      <c r="O131" s="31" t="n">
        <v>62.89</v>
      </c>
      <c r="P131" s="31" t="n">
        <v>28.16</v>
      </c>
      <c r="Q131" s="31" t="n">
        <v>217.57</v>
      </c>
      <c r="R131" s="30" t="inlineStr">
        <is>
          <t>Earnings / Momentum Support</t>
        </is>
      </c>
      <c r="S131" s="30" t="inlineStr">
        <is>
          <t>Nifty Infra</t>
        </is>
      </c>
      <c r="T131" s="31" t="n">
        <v>3.72</v>
      </c>
      <c r="U131" s="31" t="n">
        <v>-7.1</v>
      </c>
      <c r="V131" s="31" t="n">
        <v>-10.43</v>
      </c>
      <c r="W131" s="31" t="n">
        <v>12.26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No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Yes</t>
        </is>
      </c>
      <c r="BS131" s="30">
        <f>IF(BR131="NO",5,0)</f>
        <v/>
      </c>
      <c r="BT131" s="30" t="inlineStr">
        <is>
          <t>Less than 1.5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IF(B132=0,"",RANK(B132,$B$2:$B$361,0))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ADANIGREEN</t>
        </is>
      </c>
      <c r="D132" s="30" t="inlineStr">
        <is>
          <t>Adani Green Energy Ltd</t>
        </is>
      </c>
      <c r="E132" s="30" t="inlineStr">
        <is>
          <t>power &amp; utilities</t>
        </is>
      </c>
      <c r="F132" s="30" t="inlineStr">
        <is>
          <t>power generation and supply</t>
        </is>
      </c>
      <c r="G132" s="30" t="inlineStr">
        <is>
          <t>largecap</t>
        </is>
      </c>
      <c r="H132" s="31" t="n">
        <v>244193.87</v>
      </c>
      <c r="I132" s="31" t="n">
        <v>1465.8</v>
      </c>
      <c r="J132" s="31" t="n">
        <v>-1.13</v>
      </c>
      <c r="K132" s="31" t="n">
        <v>2163196</v>
      </c>
      <c r="L132" s="30" t="n">
        <v>82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70.72</v>
      </c>
      <c r="P132" s="31" t="n">
        <v>40.67</v>
      </c>
      <c r="Q132" s="31" t="n">
        <v>1214.03</v>
      </c>
      <c r="R132" s="30" t="inlineStr">
        <is>
          <t>Near 52W High Breakout</t>
        </is>
      </c>
      <c r="S132" s="30" t="inlineStr">
        <is>
          <t>Nifty IT</t>
        </is>
      </c>
      <c r="T132" s="31" t="n">
        <v>-26.11</v>
      </c>
      <c r="U132" s="31" t="n">
        <v>54.67</v>
      </c>
      <c r="V132" s="31" t="n">
        <v>109.33</v>
      </c>
      <c r="W132" s="31" t="n">
        <v>26.4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Above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Above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More than 1.2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IF(B133=0,"",RANK(B133,$B$2:$B$361,0))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RUBYMILLS</t>
        </is>
      </c>
      <c r="D133" s="30" t="inlineStr">
        <is>
          <t>The Ruby Mills Limited</t>
        </is>
      </c>
      <c r="E133" s="30" t="inlineStr">
        <is>
          <t>textiles</t>
        </is>
      </c>
      <c r="F133" s="30" t="inlineStr">
        <is>
          <t>textiles - composite</t>
        </is>
      </c>
      <c r="G133" s="30" t="inlineStr">
        <is>
          <t>smallcap</t>
        </is>
      </c>
      <c r="H133" s="31" t="n">
        <v>1076.1</v>
      </c>
      <c r="I133" s="31" t="n">
        <v>318.05</v>
      </c>
      <c r="J133" s="31" t="n">
        <v>-1.17</v>
      </c>
      <c r="K133" s="31" t="n">
        <v>21464</v>
      </c>
      <c r="L133" s="30" t="n">
        <v>72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69.52</v>
      </c>
      <c r="P133" s="31" t="n">
        <v>41.48</v>
      </c>
      <c r="Q133" s="31" t="n">
        <v>250.89</v>
      </c>
      <c r="R133" s="30" t="inlineStr">
        <is>
          <t>Earnings / Momentum Support</t>
        </is>
      </c>
      <c r="S133" s="30" t="inlineStr">
        <is>
          <t>Nifty 50</t>
        </is>
      </c>
      <c r="T133" s="31" t="n">
        <v>-4.09</v>
      </c>
      <c r="U133" s="31" t="n">
        <v>39.12</v>
      </c>
      <c r="V133" s="31" t="n">
        <v>45.05</v>
      </c>
      <c r="W133" s="31" t="n">
        <v>20.84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No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Above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Less than 12%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Above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IF(B134=0,"",RANK(B134,$B$2:$B$361,0))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SPAL</t>
        </is>
      </c>
      <c r="D134" s="30" t="inlineStr">
        <is>
          <t>S. P. Apparels Limited</t>
        </is>
      </c>
      <c r="E134" s="30" t="inlineStr">
        <is>
          <t>consumer discretionary</t>
        </is>
      </c>
      <c r="F134" s="30" t="inlineStr">
        <is>
          <t>textiles - products</t>
        </is>
      </c>
      <c r="G134" s="30" t="inlineStr">
        <is>
          <t>smallcap</t>
        </is>
      </c>
      <c r="H134" s="31" t="n">
        <v>2132.41</v>
      </c>
      <c r="I134" s="31" t="n">
        <v>830.95</v>
      </c>
      <c r="J134" s="31" t="n">
        <v>-2.04</v>
      </c>
      <c r="K134" s="31" t="n">
        <v>76382</v>
      </c>
      <c r="L134" s="30" t="n">
        <v>9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61.92</v>
      </c>
      <c r="P134" s="31" t="n">
        <v>22.65</v>
      </c>
      <c r="Q134" s="31" t="n">
        <v>623.54</v>
      </c>
      <c r="R134" s="30" t="inlineStr">
        <is>
          <t>Volume Spike &amp; Near 52W High Breakout</t>
        </is>
      </c>
      <c r="S134" s="30" t="inlineStr">
        <is>
          <t>Nifty 50</t>
        </is>
      </c>
      <c r="T134" s="31" t="n">
        <v>-4.09</v>
      </c>
      <c r="U134" s="31" t="n">
        <v>1.42</v>
      </c>
      <c r="V134" s="31" t="n">
        <v>5.74</v>
      </c>
      <c r="W134" s="31" t="n">
        <v>3.86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Less than 12%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Above 70%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IF(B135=0,"",RANK(B135,$B$2:$B$361,0))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ORBTEXP</t>
        </is>
      </c>
      <c r="D135" s="30" t="inlineStr">
        <is>
          <t>Orbit Exports Limited</t>
        </is>
      </c>
      <c r="E135" s="30" t="inlineStr">
        <is>
          <t>textiles</t>
        </is>
      </c>
      <c r="F135" s="30" t="inlineStr">
        <is>
          <t>textiles - processing</t>
        </is>
      </c>
      <c r="G135" s="30" t="inlineStr">
        <is>
          <t>smallcap</t>
        </is>
      </c>
      <c r="H135" s="31" t="n">
        <v>607.53</v>
      </c>
      <c r="I135" s="31" t="n">
        <v>212.36</v>
      </c>
      <c r="J135" s="31" t="n">
        <v>-7.33</v>
      </c>
      <c r="K135" s="31" t="n">
        <v>318400</v>
      </c>
      <c r="L135" s="30" t="n">
        <v>57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66.61</v>
      </c>
      <c r="P135" s="31" t="n">
        <v>20.4</v>
      </c>
      <c r="Q135" s="31" t="n">
        <v>151.27</v>
      </c>
      <c r="R135" s="30" t="inlineStr">
        <is>
          <t>Volume Spike / Accumulation</t>
        </is>
      </c>
      <c r="S135" s="30" t="inlineStr">
        <is>
          <t>Nifty 50</t>
        </is>
      </c>
      <c r="T135" s="31" t="n">
        <v>-4.09</v>
      </c>
      <c r="U135" s="31" t="n">
        <v>20.94</v>
      </c>
      <c r="V135" s="31" t="n">
        <v>26.1</v>
      </c>
      <c r="W135" s="31" t="n">
        <v>14.38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Less than 12%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Above 70%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IF(B136=0,"",RANK(B136,$B$2:$B$361,0))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2" t="inlineStr">
        <is>
          <t>RAINBOW</t>
        </is>
      </c>
      <c r="D136" s="32" t="inlineStr">
        <is>
          <t>Rainbow Childrens Medicare Ltd</t>
        </is>
      </c>
      <c r="E136" s="30" t="inlineStr">
        <is>
          <t>healthcare</t>
        </is>
      </c>
      <c r="F136" s="30" t="inlineStr">
        <is>
          <t>healthcare</t>
        </is>
      </c>
      <c r="G136" s="30" t="inlineStr">
        <is>
          <t>midcap</t>
        </is>
      </c>
      <c r="H136" s="31" t="n">
        <v>14448.82</v>
      </c>
      <c r="I136" s="31" t="n">
        <v>1444.5</v>
      </c>
      <c r="J136" s="31" t="n">
        <v>1.53</v>
      </c>
      <c r="K136" s="31" t="n">
        <v>86400</v>
      </c>
      <c r="L136" s="30" t="n">
        <v>24</v>
      </c>
      <c r="M136" s="30" t="inlineStr">
        <is>
          <t>Underperforming</t>
        </is>
      </c>
      <c r="N136" s="31">
        <f>IF(M136="Underperforming",-5,IF(L136&gt;=95,15,IF(L136&gt;=90,10,IF(L136&gt;=80,5,0))))</f>
        <v/>
      </c>
      <c r="O136" s="31" t="n">
        <v>66.59999999999999</v>
      </c>
      <c r="P136" s="31" t="n">
        <v>25.91</v>
      </c>
      <c r="Q136" s="31" t="n">
        <v>1213.25</v>
      </c>
      <c r="R136" s="30" t="inlineStr">
        <is>
          <t>Earnings / Momentum Support</t>
        </is>
      </c>
      <c r="S136" s="30" t="inlineStr">
        <is>
          <t>Nifty Pharma</t>
        </is>
      </c>
      <c r="T136" s="31" t="n">
        <v>11.72</v>
      </c>
      <c r="U136" s="31" t="n">
        <v>-0.33</v>
      </c>
      <c r="V136" s="31" t="n">
        <v>-10.79</v>
      </c>
      <c r="W136" s="31" t="n">
        <v>6.92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Yes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No</t>
        </is>
      </c>
      <c r="AQ136" s="30">
        <f>IF(AP136="Yes",10,0)</f>
        <v/>
      </c>
      <c r="AR136" s="30" t="inlineStr">
        <is>
          <t>Higher Annuity, Lower One Time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Less than 1.5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IF(B137=0,"",RANK(B137,$B$2:$B$361,0))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LALPATHLAB</t>
        </is>
      </c>
      <c r="D137" s="30" t="inlineStr">
        <is>
          <t>Dr. Lal Path Labs Ltd.</t>
        </is>
      </c>
      <c r="E137" s="30" t="inlineStr">
        <is>
          <t>healthcare</t>
        </is>
      </c>
      <c r="F137" s="30" t="inlineStr">
        <is>
          <t>healthcare</t>
        </is>
      </c>
      <c r="G137" s="30" t="inlineStr">
        <is>
          <t>largecap</t>
        </is>
      </c>
      <c r="H137" s="31" t="n">
        <v>27512.53</v>
      </c>
      <c r="I137" s="31" t="n">
        <v>1651.8</v>
      </c>
      <c r="J137" s="31" t="n">
        <v>0.6</v>
      </c>
      <c r="K137" s="31" t="n">
        <v>642575</v>
      </c>
      <c r="L137" s="30" t="n">
        <v>35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62.7</v>
      </c>
      <c r="P137" s="31" t="n">
        <v>25.07</v>
      </c>
      <c r="Q137" s="31" t="n">
        <v>1316.85</v>
      </c>
      <c r="R137" s="30" t="inlineStr">
        <is>
          <t>Volume Spike &amp; Near 52W High Breakout</t>
        </is>
      </c>
      <c r="S137" s="30" t="inlineStr">
        <is>
          <t>Nifty Pharma</t>
        </is>
      </c>
      <c r="T137" s="31" t="n">
        <v>11.72</v>
      </c>
      <c r="U137" s="31" t="n">
        <v>14.19</v>
      </c>
      <c r="V137" s="31" t="n">
        <v>2.21</v>
      </c>
      <c r="W137" s="31" t="n">
        <v>9.31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Yes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Annuity, Lower One Time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Blue sky scenario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Less than 12%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IF(B138=0,"",RANK(B138,$B$2:$B$361,0))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TATATECH</t>
        </is>
      </c>
      <c r="D138" s="30" t="inlineStr">
        <is>
          <t>Tata Technologies Ltd</t>
        </is>
      </c>
      <c r="E138" s="30" t="inlineStr">
        <is>
          <t>i.t</t>
        </is>
      </c>
      <c r="F138" s="30" t="inlineStr">
        <is>
          <t>computers - software - medium / small</t>
        </is>
      </c>
      <c r="G138" s="30" t="inlineStr">
        <is>
          <t>largecap</t>
        </is>
      </c>
      <c r="H138" s="31" t="n">
        <v>31258.38</v>
      </c>
      <c r="I138" s="31" t="n">
        <v>773.55</v>
      </c>
      <c r="J138" s="31" t="n">
        <v>0.47</v>
      </c>
      <c r="K138" s="31" t="n">
        <v>1275758</v>
      </c>
      <c r="L138" s="30" t="n">
        <v>49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71.63</v>
      </c>
      <c r="P138" s="31" t="n">
        <v>35.05</v>
      </c>
      <c r="Q138" s="31" t="n">
        <v>640.8099999999999</v>
      </c>
      <c r="R138" s="30" t="inlineStr">
        <is>
          <t>Near 52W High Breakout</t>
        </is>
      </c>
      <c r="S138" s="30" t="inlineStr">
        <is>
          <t>Nifty IT</t>
        </is>
      </c>
      <c r="T138" s="31" t="n">
        <v>-26.11</v>
      </c>
      <c r="U138" s="31" t="n">
        <v>11.19</v>
      </c>
      <c r="V138" s="31" t="n">
        <v>50.49</v>
      </c>
      <c r="W138" s="31" t="n">
        <v>12.72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Annuity, Lower One Time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Close to 52 week high or retracement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Less than 12%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IF(B139=0,"",RANK(B139,$B$2:$B$361,0))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BLSE</t>
        </is>
      </c>
      <c r="D139" s="30" t="inlineStr">
        <is>
          <t>BLS E-Services Ltd</t>
        </is>
      </c>
      <c r="E139" s="30" t="inlineStr">
        <is>
          <t>i.t</t>
        </is>
      </c>
      <c r="F139" s="30" t="inlineStr">
        <is>
          <t>computers - software - medium / small</t>
        </is>
      </c>
      <c r="G139" s="30" t="inlineStr">
        <is>
          <t>smallcap</t>
        </is>
      </c>
      <c r="H139" s="31" t="n">
        <v>2071.8</v>
      </c>
      <c r="I139" s="31" t="n">
        <v>229.01</v>
      </c>
      <c r="J139" s="31" t="n">
        <v>0.43</v>
      </c>
      <c r="K139" s="31" t="n">
        <v>195931</v>
      </c>
      <c r="L139" s="30" t="n">
        <v>69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68.56</v>
      </c>
      <c r="P139" s="31" t="n">
        <v>21.54</v>
      </c>
      <c r="Q139" s="31" t="n">
        <v>178</v>
      </c>
      <c r="R139" s="30" t="inlineStr">
        <is>
          <t>Near 52W High Breakout</t>
        </is>
      </c>
      <c r="S139" s="30" t="inlineStr">
        <is>
          <t>Nifty IT</t>
        </is>
      </c>
      <c r="T139" s="31" t="n">
        <v>-26.11</v>
      </c>
      <c r="U139" s="31" t="n">
        <v>21.84</v>
      </c>
      <c r="V139" s="31" t="n">
        <v>64.89</v>
      </c>
      <c r="W139" s="31" t="n">
        <v>19.36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Annuity, Lower One Time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No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Between 50% to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IF(B140=0,"",RANK(B140,$B$2:$B$361,0))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VSTIND</t>
        </is>
      </c>
      <c r="D140" s="30" t="inlineStr">
        <is>
          <t>Vst Industries Limited</t>
        </is>
      </c>
      <c r="E140" s="30" t="inlineStr">
        <is>
          <t>fmcg</t>
        </is>
      </c>
      <c r="F140" s="30" t="inlineStr">
        <is>
          <t>cigarettes</t>
        </is>
      </c>
      <c r="G140" s="30" t="inlineStr">
        <is>
          <t>smallcap</t>
        </is>
      </c>
      <c r="H140" s="31" t="n">
        <v>4398.55</v>
      </c>
      <c r="I140" s="31" t="n">
        <v>259.75</v>
      </c>
      <c r="J140" s="31" t="n">
        <v>0.31</v>
      </c>
      <c r="K140" s="31" t="n">
        <v>166212</v>
      </c>
      <c r="L140" s="30" t="n">
        <v>9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56.77</v>
      </c>
      <c r="P140" s="31" t="n">
        <v>27.8</v>
      </c>
      <c r="Q140" s="31" t="n">
        <v>222.38</v>
      </c>
      <c r="R140" s="30" t="inlineStr">
        <is>
          <t>Earnings / Momentum Support</t>
        </is>
      </c>
      <c r="S140" s="30" t="inlineStr">
        <is>
          <t>Nifty FMCG</t>
        </is>
      </c>
      <c r="T140" s="31" t="n">
        <v>-9.289999999999999</v>
      </c>
      <c r="U140" s="31" t="n">
        <v>-5.11</v>
      </c>
      <c r="V140" s="31" t="n">
        <v>4.6</v>
      </c>
      <c r="W140" s="31" t="n">
        <v>3.94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B2C</t>
        </is>
      </c>
      <c r="AO140" s="30">
        <f>IF(AN140="B2C",10,IF(AN140="B2B",5,0))</f>
        <v/>
      </c>
      <c r="AP140" s="30" t="inlineStr">
        <is>
          <t>No</t>
        </is>
      </c>
      <c r="AQ140" s="30">
        <f>IF(AP140="Yes",10,0)</f>
        <v/>
      </c>
      <c r="AR140" s="30" t="inlineStr">
        <is>
          <t>Higher Annuity, Lower One Time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More than 20%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Less than 50%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IF(B141=0,"",RANK(B141,$B$2:$B$361,0))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HESTERBIO</t>
        </is>
      </c>
      <c r="D141" s="30" t="inlineStr">
        <is>
          <t>Hester Biosciences Limited</t>
        </is>
      </c>
      <c r="E141" s="30" t="inlineStr">
        <is>
          <t>healthcare</t>
        </is>
      </c>
      <c r="F141" s="30" t="inlineStr">
        <is>
          <t>pharmaceuticals - indian - formulations</t>
        </is>
      </c>
      <c r="G141" s="30" t="inlineStr">
        <is>
          <t>smallcap</t>
        </is>
      </c>
      <c r="H141" s="31" t="n">
        <v>1747.65</v>
      </c>
      <c r="I141" s="31" t="n">
        <v>2052.6</v>
      </c>
      <c r="J141" s="31" t="n">
        <v>-0.09</v>
      </c>
      <c r="K141" s="31" t="n">
        <v>4012</v>
      </c>
      <c r="L141" s="30" t="n">
        <v>59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70.52</v>
      </c>
      <c r="P141" s="31" t="n">
        <v>37.44</v>
      </c>
      <c r="Q141" s="31" t="n">
        <v>1591.52</v>
      </c>
      <c r="R141" s="30" t="inlineStr">
        <is>
          <t>Earnings / Momentum Support</t>
        </is>
      </c>
      <c r="S141" s="30" t="inlineStr">
        <is>
          <t>Nifty Pharma</t>
        </is>
      </c>
      <c r="T141" s="31" t="n">
        <v>11.72</v>
      </c>
      <c r="U141" s="31" t="n">
        <v>17.77</v>
      </c>
      <c r="V141" s="31" t="n">
        <v>5.42</v>
      </c>
      <c r="W141" s="31" t="n">
        <v>15.34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Yes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No</t>
        </is>
      </c>
      <c r="AQ141" s="30">
        <f>IF(AP141="Yes",10,0)</f>
        <v/>
      </c>
      <c r="AR141" s="30" t="inlineStr">
        <is>
          <t>Higher Annuity, Lower One Time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Between 50 to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IF(B142=0,"",RANK(B142,$B$2:$B$361,0))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VADILALIND</t>
        </is>
      </c>
      <c r="D142" s="30" t="inlineStr">
        <is>
          <t>Vadilal Industries Limited</t>
        </is>
      </c>
      <c r="E142" s="30" t="inlineStr">
        <is>
          <t>fmcg</t>
        </is>
      </c>
      <c r="F142" s="30" t="inlineStr">
        <is>
          <t>food - processing - indian</t>
        </is>
      </c>
      <c r="G142" s="30" t="inlineStr">
        <is>
          <t>smallcap</t>
        </is>
      </c>
      <c r="H142" s="31" t="n">
        <v>4440.64</v>
      </c>
      <c r="I142" s="31" t="n">
        <v>6168.9</v>
      </c>
      <c r="J142" s="31" t="n">
        <v>-0.15</v>
      </c>
      <c r="K142" s="31" t="n">
        <v>31707</v>
      </c>
      <c r="L142" s="30" t="n">
        <v>41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67.77</v>
      </c>
      <c r="P142" s="31" t="n">
        <v>15.37</v>
      </c>
      <c r="Q142" s="31" t="n">
        <v>4759.31</v>
      </c>
      <c r="R142" s="30" t="inlineStr">
        <is>
          <t>Near 52W High Breakout</t>
        </is>
      </c>
      <c r="S142" s="30" t="inlineStr">
        <is>
          <t>Nifty FMCG</t>
        </is>
      </c>
      <c r="T142" s="31" t="n">
        <v>-9.289999999999999</v>
      </c>
      <c r="U142" s="31" t="n">
        <v>11.85</v>
      </c>
      <c r="V142" s="31" t="n">
        <v>23.31</v>
      </c>
      <c r="W142" s="31" t="n">
        <v>10.75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B2C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Annuity, Lower One Time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0 to 20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No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Between 50% to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IF(B143=0,"",RANK(B143,$B$2:$B$361,0))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ORCHPHARMA</t>
        </is>
      </c>
      <c r="D143" s="30" t="inlineStr">
        <is>
          <t>Orchid Pharma Ltd</t>
        </is>
      </c>
      <c r="E143" s="30" t="inlineStr">
        <is>
          <t>healthcare</t>
        </is>
      </c>
      <c r="F143" s="30" t="inlineStr">
        <is>
          <t>pharmaceuticals - indian - bulk drugs &amp; formln</t>
        </is>
      </c>
      <c r="G143" s="30" t="inlineStr">
        <is>
          <t>midcap</t>
        </is>
      </c>
      <c r="H143" s="31" t="n">
        <v>5316.12</v>
      </c>
      <c r="I143" s="31" t="n">
        <v>1036.85</v>
      </c>
      <c r="J143" s="31" t="n">
        <v>-1.08</v>
      </c>
      <c r="K143" s="31" t="n">
        <v>271306</v>
      </c>
      <c r="L143" s="30" t="n">
        <v>89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77</v>
      </c>
      <c r="P143" s="31" t="n">
        <v>36.27</v>
      </c>
      <c r="Q143" s="31" t="n">
        <v>793.7</v>
      </c>
      <c r="R143" s="30" t="inlineStr">
        <is>
          <t>Volume Spike &amp; Near 52W High Breakout</t>
        </is>
      </c>
      <c r="S143" s="30" t="inlineStr">
        <is>
          <t>Nifty Pharma</t>
        </is>
      </c>
      <c r="T143" s="31" t="n">
        <v>11.72</v>
      </c>
      <c r="U143" s="31" t="n">
        <v>50.31</v>
      </c>
      <c r="V143" s="31" t="n">
        <v>34.54</v>
      </c>
      <c r="W143" s="31" t="n">
        <v>34.24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Yes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Annuity, Lower One Time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Above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IF(B144=0,"",RANK(B144,$B$2:$B$361,0))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AEROFLEX</t>
        </is>
      </c>
      <c r="D144" s="30" t="inlineStr">
        <is>
          <t>Aeroflex Industries Ltd</t>
        </is>
      </c>
      <c r="E144" s="30" t="inlineStr">
        <is>
          <t>metals &amp; mining</t>
        </is>
      </c>
      <c r="F144" s="30" t="inlineStr">
        <is>
          <t>steel - medium / small</t>
        </is>
      </c>
      <c r="G144" s="30" t="inlineStr">
        <is>
          <t>midcap</t>
        </is>
      </c>
      <c r="H144" s="31" t="n">
        <v>6242.04</v>
      </c>
      <c r="I144" s="31" t="n">
        <v>510.9</v>
      </c>
      <c r="J144" s="31" t="n">
        <v>8.31</v>
      </c>
      <c r="K144" s="31" t="n">
        <v>4507751</v>
      </c>
      <c r="L144" s="30" t="n">
        <v>95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77.59999999999999</v>
      </c>
      <c r="P144" s="31" t="n">
        <v>61.09</v>
      </c>
      <c r="Q144" s="31" t="n">
        <v>368.36</v>
      </c>
      <c r="R144" s="30" t="inlineStr">
        <is>
          <t>Near 52W High Breakout</t>
        </is>
      </c>
      <c r="S144" s="30" t="inlineStr">
        <is>
          <t>Nifty Metal</t>
        </is>
      </c>
      <c r="T144" s="31" t="n">
        <v>42.38</v>
      </c>
      <c r="U144" s="31" t="n">
        <v>150.23</v>
      </c>
      <c r="V144" s="31" t="n">
        <v>75.75</v>
      </c>
      <c r="W144" s="31" t="n">
        <v>50.57</v>
      </c>
      <c r="X144" s="30" t="inlineStr">
        <is>
          <t>Cyclical in an Upturn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Cyclical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Volatile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Above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Yes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Between 50% to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IF(B145=0,"",RANK(B145,$B$2:$B$361,0))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CARBORUNIV</t>
        </is>
      </c>
      <c r="D145" s="30" t="inlineStr">
        <is>
          <t>Carborundum Universal Limited</t>
        </is>
      </c>
      <c r="E145" s="30" t="inlineStr">
        <is>
          <t>industrials</t>
        </is>
      </c>
      <c r="F145" s="30" t="inlineStr">
        <is>
          <t>abrasives and grinding wheels</t>
        </is>
      </c>
      <c r="G145" s="30" t="inlineStr">
        <is>
          <t>largecap</t>
        </is>
      </c>
      <c r="H145" s="31" t="n">
        <v>20296.98</v>
      </c>
      <c r="I145" s="31" t="n">
        <v>1130.3</v>
      </c>
      <c r="J145" s="31" t="n">
        <v>6.08</v>
      </c>
      <c r="K145" s="31" t="n">
        <v>543328</v>
      </c>
      <c r="L145" s="30" t="n">
        <v>60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70.01000000000001</v>
      </c>
      <c r="P145" s="31" t="n">
        <v>33.85</v>
      </c>
      <c r="Q145" s="31" t="n">
        <v>910.14</v>
      </c>
      <c r="R145" s="30" t="inlineStr">
        <is>
          <t>Near 52W High Breakout</t>
        </is>
      </c>
      <c r="S145" s="30" t="inlineStr">
        <is>
          <t>Nifty 50</t>
        </is>
      </c>
      <c r="T145" s="31" t="n">
        <v>-4.09</v>
      </c>
      <c r="U145" s="31" t="n">
        <v>21.07</v>
      </c>
      <c r="V145" s="31" t="n">
        <v>26.23</v>
      </c>
      <c r="W145" s="31" t="n">
        <v>15.81</v>
      </c>
      <c r="X145" s="30" t="inlineStr">
        <is>
          <t>Cyclical in an Upturn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No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One Time, Lower Annuity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Between 50% to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IF(B146=0,"",RANK(B146,$B$2:$B$361,0))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BORORENEW</t>
        </is>
      </c>
      <c r="D146" s="30" t="inlineStr">
        <is>
          <t>Borosil Renewables Ltd</t>
        </is>
      </c>
      <c r="E146" s="30" t="inlineStr">
        <is>
          <t>building materials</t>
        </is>
      </c>
      <c r="F146" s="30" t="inlineStr">
        <is>
          <t>glass &amp; glass products</t>
        </is>
      </c>
      <c r="G146" s="30" t="inlineStr">
        <is>
          <t>midcap</t>
        </is>
      </c>
      <c r="H146" s="31" t="n">
        <v>7908.75</v>
      </c>
      <c r="I146" s="31" t="n">
        <v>593.9</v>
      </c>
      <c r="J146" s="31" t="n">
        <v>5.27</v>
      </c>
      <c r="K146" s="31" t="n">
        <v>1479891</v>
      </c>
      <c r="L146" s="30" t="n">
        <v>48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61.68</v>
      </c>
      <c r="P146" s="31" t="n">
        <v>22.86</v>
      </c>
      <c r="Q146" s="31" t="n">
        <v>451.29</v>
      </c>
      <c r="R146" s="30" t="inlineStr">
        <is>
          <t>Earnings / Momentum Support</t>
        </is>
      </c>
      <c r="S146" s="30" t="inlineStr">
        <is>
          <t>Nifty Infra</t>
        </is>
      </c>
      <c r="T146" s="31" t="n">
        <v>3.72</v>
      </c>
      <c r="U146" s="31" t="n">
        <v>11.13</v>
      </c>
      <c r="V146" s="31" t="n">
        <v>7.15</v>
      </c>
      <c r="W146" s="31" t="n">
        <v>12.42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No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One Time, Lower Annuity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IF(B147=0,"",RANK(B147,$B$2:$B$361,0))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KMEW</t>
        </is>
      </c>
      <c r="D147" s="30" t="inlineStr">
        <is>
          <t>Knowledge Marine &amp; Engineering Works Ltd</t>
        </is>
      </c>
      <c r="E147" s="30" t="inlineStr">
        <is>
          <t>transportation</t>
        </is>
      </c>
      <c r="F147" s="30" t="inlineStr">
        <is>
          <t>miscellaneous</t>
        </is>
      </c>
      <c r="G147" s="30" t="inlineStr">
        <is>
          <t>smallcap</t>
        </is>
      </c>
      <c r="H147" s="31" t="n">
        <v>4860.71</v>
      </c>
      <c r="I147" s="31" t="n">
        <v>2075.9</v>
      </c>
      <c r="J147" s="31" t="n">
        <v>4.4</v>
      </c>
      <c r="K147" s="31" t="n">
        <v>198914</v>
      </c>
      <c r="L147" s="30" t="n">
        <v>85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62.8</v>
      </c>
      <c r="P147" s="31" t="n">
        <v>32.99</v>
      </c>
      <c r="Q147" s="31" t="n">
        <v>1458.66</v>
      </c>
      <c r="R147" s="30" t="inlineStr">
        <is>
          <t>Near 52W High Breakout</t>
        </is>
      </c>
      <c r="S147" s="30" t="inlineStr">
        <is>
          <t>Nifty 50</t>
        </is>
      </c>
      <c r="T147" s="31" t="n">
        <v>-4.09</v>
      </c>
      <c r="U147" s="31" t="n">
        <v>146.78</v>
      </c>
      <c r="V147" s="31" t="n">
        <v>157.3</v>
      </c>
      <c r="W147" s="31" t="n">
        <v>28.52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One Time, Lower Annuity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Blue sky scenario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More than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Yes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Negative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IF(B148=0,"",RANK(B148,$B$2:$B$361,0))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UFBL</t>
        </is>
      </c>
      <c r="D148" s="30" t="inlineStr">
        <is>
          <t>United Foodbrands Ltd</t>
        </is>
      </c>
      <c r="E148" s="30" t="inlineStr">
        <is>
          <t>consumer discretionary</t>
        </is>
      </c>
      <c r="F148" s="30" t="inlineStr">
        <is>
          <t>hotels</t>
        </is>
      </c>
      <c r="G148" s="30" t="inlineStr">
        <is>
          <t>smallcap</t>
        </is>
      </c>
      <c r="H148" s="31" t="n">
        <v>2318.6</v>
      </c>
      <c r="I148" s="31" t="n">
        <v>619.1</v>
      </c>
      <c r="J148" s="31" t="n">
        <v>4.37</v>
      </c>
      <c r="K148" s="31" t="n">
        <v>232885</v>
      </c>
      <c r="L148" s="30" t="n">
        <v>97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82.70999999999999</v>
      </c>
      <c r="P148" s="31" t="n">
        <v>39.58</v>
      </c>
      <c r="Q148" s="31" t="n">
        <v>458.1</v>
      </c>
      <c r="R148" s="30" t="inlineStr">
        <is>
          <t>Near 52W High Breakout</t>
        </is>
      </c>
      <c r="S148" s="30" t="inlineStr">
        <is>
          <t>Nifty 50</t>
        </is>
      </c>
      <c r="T148" s="31" t="n">
        <v>-4.09</v>
      </c>
      <c r="U148" s="31" t="n">
        <v>95.52</v>
      </c>
      <c r="V148" s="31" t="n">
        <v>103.85</v>
      </c>
      <c r="W148" s="31" t="n">
        <v>61.82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B2B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One Time, Lower Annuity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20 to 40</t>
        </is>
      </c>
      <c r="AY148" s="30">
        <f>IF(AX148="Above 40",20,IF(AX148="20 to 40",10,IF(AX148="0 to 20",-5,0)))</f>
        <v/>
      </c>
      <c r="AZ148" s="30" t="inlineStr">
        <is>
          <t>Above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More than 1.2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IF(B149=0,"",RANK(B149,$B$2:$B$361,0))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UNIVCABLES</t>
        </is>
      </c>
      <c r="D149" s="30" t="inlineStr">
        <is>
          <t>Universal Cables Limited</t>
        </is>
      </c>
      <c r="E149" s="30" t="inlineStr">
        <is>
          <t>industrials</t>
        </is>
      </c>
      <c r="F149" s="30" t="inlineStr">
        <is>
          <t>cables - power</t>
        </is>
      </c>
      <c r="G149" s="30" t="inlineStr">
        <is>
          <t>smallcap</t>
        </is>
      </c>
      <c r="H149" s="31" t="n">
        <v>4134.65</v>
      </c>
      <c r="I149" s="31" t="n">
        <v>1240.4</v>
      </c>
      <c r="J149" s="31" t="n">
        <v>4.09</v>
      </c>
      <c r="K149" s="31" t="n">
        <v>205871</v>
      </c>
      <c r="L149" s="30" t="n">
        <v>89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68.44</v>
      </c>
      <c r="P149" s="31" t="n">
        <v>39.33</v>
      </c>
      <c r="Q149" s="31" t="n">
        <v>854.6900000000001</v>
      </c>
      <c r="R149" s="30" t="inlineStr">
        <is>
          <t>Near 52W High Breakout</t>
        </is>
      </c>
      <c r="S149" s="30" t="inlineStr">
        <is>
          <t>Nifty Energy</t>
        </is>
      </c>
      <c r="T149" s="31" t="n">
        <v>13.03</v>
      </c>
      <c r="U149" s="31" t="n">
        <v>82.01000000000001</v>
      </c>
      <c r="V149" s="31" t="n">
        <v>61.03</v>
      </c>
      <c r="W149" s="31" t="n">
        <v>34.08</v>
      </c>
      <c r="X149" s="30" t="inlineStr">
        <is>
          <t>Cyclical in an Upturn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Blue sky scenario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Less than 12%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Less than 50%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IF(B150=0,"",RANK(B150,$B$2:$B$361,0))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PREMEXPLN</t>
        </is>
      </c>
      <c r="D150" s="30" t="inlineStr">
        <is>
          <t>Premier Explosives Limited</t>
        </is>
      </c>
      <c r="E150" s="30" t="inlineStr">
        <is>
          <t>aerospace &amp; defence</t>
        </is>
      </c>
      <c r="F150" s="30" t="inlineStr">
        <is>
          <t>chemicals</t>
        </is>
      </c>
      <c r="G150" s="30" t="inlineStr">
        <is>
          <t>smallcap</t>
        </is>
      </c>
      <c r="H150" s="31" t="n">
        <v>3966.5</v>
      </c>
      <c r="I150" s="31" t="n">
        <v>765.95</v>
      </c>
      <c r="J150" s="31" t="n">
        <v>3.82</v>
      </c>
      <c r="K150" s="31" t="n">
        <v>2399261</v>
      </c>
      <c r="L150" s="30" t="n">
        <v>79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72.67</v>
      </c>
      <c r="P150" s="31" t="n">
        <v>21.66</v>
      </c>
      <c r="Q150" s="31" t="n">
        <v>549.36</v>
      </c>
      <c r="R150" s="30" t="inlineStr">
        <is>
          <t>Near 52W High Breakout</t>
        </is>
      </c>
      <c r="S150" s="30" t="inlineStr">
        <is>
          <t>Nifty 50</t>
        </is>
      </c>
      <c r="T150" s="31" t="n">
        <v>-4.09</v>
      </c>
      <c r="U150" s="31" t="n">
        <v>29.32</v>
      </c>
      <c r="V150" s="31" t="n">
        <v>34.83</v>
      </c>
      <c r="W150" s="31" t="n">
        <v>24.58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Less than 1.5</t>
        </is>
      </c>
      <c r="BU150" s="30">
        <f>IF(BT150="Above 2",0,IF(BT150="Between 1.5 to 2",5,IF(BT150="Less than 1.5",10,0)))</f>
        <v/>
      </c>
      <c r="BV150" s="30" t="inlineStr">
        <is>
          <t>Negative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IF(B151=0,"",RANK(B151,$B$2:$B$361,0))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POLYCAB</t>
        </is>
      </c>
      <c r="D151" s="30" t="inlineStr">
        <is>
          <t>Polycab India Ltd</t>
        </is>
      </c>
      <c r="E151" s="30" t="inlineStr">
        <is>
          <t>industrials</t>
        </is>
      </c>
      <c r="F151" s="30" t="inlineStr">
        <is>
          <t>cables - power</t>
        </is>
      </c>
      <c r="G151" s="30" t="inlineStr">
        <is>
          <t>largecap</t>
        </is>
      </c>
      <c r="H151" s="31" t="n">
        <v>144400.52</v>
      </c>
      <c r="I151" s="31" t="n">
        <v>9926.5</v>
      </c>
      <c r="J151" s="31" t="n">
        <v>3.49</v>
      </c>
      <c r="K151" s="31" t="n">
        <v>591839</v>
      </c>
      <c r="L151" s="30" t="n">
        <v>70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70.81</v>
      </c>
      <c r="P151" s="31" t="n">
        <v>26.48</v>
      </c>
      <c r="Q151" s="31" t="n">
        <v>8338.110000000001</v>
      </c>
      <c r="R151" s="30" t="inlineStr">
        <is>
          <t>Near 52W High Breakout</t>
        </is>
      </c>
      <c r="S151" s="30" t="inlineStr">
        <is>
          <t>Nifty Energy</t>
        </is>
      </c>
      <c r="T151" s="31" t="n">
        <v>13.03</v>
      </c>
      <c r="U151" s="31" t="n">
        <v>66.34999999999999</v>
      </c>
      <c r="V151" s="31" t="n">
        <v>47.18</v>
      </c>
      <c r="W151" s="31" t="n">
        <v>19.66</v>
      </c>
      <c r="X151" s="30" t="inlineStr">
        <is>
          <t>Cyclical in an Upturn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Blue sky scenario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Less than 12%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IF(B152=0,"",RANK(B152,$B$2:$B$361,0))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DIFFNKG</t>
        </is>
      </c>
      <c r="D152" s="30" t="inlineStr">
        <is>
          <t>Diffusion Engineers Ltd</t>
        </is>
      </c>
      <c r="E152" s="30" t="inlineStr">
        <is>
          <t>industrials</t>
        </is>
      </c>
      <c r="F152" s="30" t="inlineStr">
        <is>
          <t>electrodes - welding equipment</t>
        </is>
      </c>
      <c r="G152" s="30" t="inlineStr">
        <is>
          <t>smallcap</t>
        </is>
      </c>
      <c r="H152" s="31" t="n">
        <v>1394.5</v>
      </c>
      <c r="I152" s="31" t="n">
        <v>383.85</v>
      </c>
      <c r="J152" s="31" t="n">
        <v>3.02</v>
      </c>
      <c r="K152" s="31" t="n">
        <v>298852</v>
      </c>
      <c r="L152" s="30" t="n">
        <v>67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68.75</v>
      </c>
      <c r="P152" s="31" t="n">
        <v>16.24</v>
      </c>
      <c r="Q152" s="31" t="n">
        <v>287.35</v>
      </c>
      <c r="R152" s="30" t="inlineStr">
        <is>
          <t>Near 52W High Breakout</t>
        </is>
      </c>
      <c r="S152" s="30" t="inlineStr">
        <is>
          <t>Nifty Infra</t>
        </is>
      </c>
      <c r="T152" s="31" t="n">
        <v>3.72</v>
      </c>
      <c r="U152" s="31" t="n">
        <v>26.6</v>
      </c>
      <c r="V152" s="31" t="n">
        <v>22.06</v>
      </c>
      <c r="W152" s="31" t="n">
        <v>18.46</v>
      </c>
      <c r="X152" s="30" t="inlineStr">
        <is>
          <t>Cyclical in an Upturn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Yes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0 to 20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Blue sky scenario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Less than 50%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IF(B153=0,"",RANK(B153,$B$2:$B$361,0))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AVL</t>
        </is>
      </c>
      <c r="D153" s="30" t="inlineStr">
        <is>
          <t>Aditya Vision Ltd</t>
        </is>
      </c>
      <c r="E153" s="30" t="inlineStr">
        <is>
          <t>consumer discretionary</t>
        </is>
      </c>
      <c r="F153" s="30" t="inlineStr">
        <is>
          <t>trading</t>
        </is>
      </c>
      <c r="G153" s="30" t="inlineStr">
        <is>
          <t>midcap</t>
        </is>
      </c>
      <c r="H153" s="31" t="n">
        <v>7630.77</v>
      </c>
      <c r="I153" s="31" t="n">
        <v>607.5</v>
      </c>
      <c r="J153" s="31" t="n">
        <v>2.81</v>
      </c>
      <c r="K153" s="31" t="n">
        <v>868817</v>
      </c>
      <c r="L153" s="30" t="n">
        <v>73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66.34999999999999</v>
      </c>
      <c r="P153" s="31" t="n">
        <v>23.5</v>
      </c>
      <c r="Q153" s="31" t="n">
        <v>477.29</v>
      </c>
      <c r="R153" s="30" t="inlineStr">
        <is>
          <t>Volume Spike &amp; Near 52W High Breakout</t>
        </is>
      </c>
      <c r="S153" s="30" t="inlineStr">
        <is>
          <t>Nifty 50</t>
        </is>
      </c>
      <c r="T153" s="31" t="n">
        <v>-4.09</v>
      </c>
      <c r="U153" s="31" t="n">
        <v>71.36</v>
      </c>
      <c r="V153" s="31" t="n">
        <v>78.67</v>
      </c>
      <c r="W153" s="31" t="n">
        <v>21.22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Yes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20 to 40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Blue sky scenario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Yes</t>
        </is>
      </c>
      <c r="BS153" s="30">
        <f>IF(BR153="NO",5,0)</f>
        <v/>
      </c>
      <c r="BT153" s="30" t="inlineStr">
        <is>
          <t>Between 1.5 to 2</t>
        </is>
      </c>
      <c r="BU153" s="30">
        <f>IF(BT153="Above 2",0,IF(BT153="Between 1.5 to 2",5,IF(BT153="Less than 1.5",10,0)))</f>
        <v/>
      </c>
      <c r="BV153" s="30" t="inlineStr">
        <is>
          <t>Less than 50%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Between 0.7 to 1.2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IF(B154=0,"",RANK(B154,$B$2:$B$361,0))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CGPOWER</t>
        </is>
      </c>
      <c r="D154" s="30" t="inlineStr">
        <is>
          <t>CG Power and Industrial Solutions Ltd</t>
        </is>
      </c>
      <c r="E154" s="30" t="inlineStr">
        <is>
          <t>industrials</t>
        </is>
      </c>
      <c r="F154" s="30" t="inlineStr">
        <is>
          <t>electric equipment</t>
        </is>
      </c>
      <c r="G154" s="30" t="inlineStr">
        <is>
          <t>largecap</t>
        </is>
      </c>
      <c r="H154" s="31" t="n">
        <v>148152.84</v>
      </c>
      <c r="I154" s="31" t="n">
        <v>963.75</v>
      </c>
      <c r="J154" s="31" t="n">
        <v>2.45</v>
      </c>
      <c r="K154" s="31" t="n">
        <v>3996950</v>
      </c>
      <c r="L154" s="30" t="n">
        <v>62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72.58</v>
      </c>
      <c r="P154" s="31" t="n">
        <v>28.06</v>
      </c>
      <c r="Q154" s="31" t="n">
        <v>797.53</v>
      </c>
      <c r="R154" s="30" t="inlineStr">
        <is>
          <t>Near 52W High Breakout</t>
        </is>
      </c>
      <c r="S154" s="30" t="inlineStr">
        <is>
          <t>Nifty 50</t>
        </is>
      </c>
      <c r="T154" s="31" t="n">
        <v>-4.09</v>
      </c>
      <c r="U154" s="31" t="n">
        <v>40.34</v>
      </c>
      <c r="V154" s="31" t="n">
        <v>46.32</v>
      </c>
      <c r="W154" s="31" t="n">
        <v>16.78</v>
      </c>
      <c r="X154" s="30" t="inlineStr">
        <is>
          <t>Cyclical in an Upturn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Less than 50%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IF(B155=0,"",RANK(B155,$B$2:$B$361,0))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KERNEX</t>
        </is>
      </c>
      <c r="D155" s="30" t="inlineStr">
        <is>
          <t>Kernex Microsystems (india) Limited</t>
        </is>
      </c>
      <c r="E155" s="30" t="inlineStr">
        <is>
          <t>consumer discretionary</t>
        </is>
      </c>
      <c r="F155" s="30" t="inlineStr">
        <is>
          <t>electronics - components</t>
        </is>
      </c>
      <c r="G155" s="30" t="inlineStr">
        <is>
          <t>smallcap</t>
        </is>
      </c>
      <c r="H155" s="31" t="n">
        <v>3452.9</v>
      </c>
      <c r="I155" s="31" t="n">
        <v>2103.5</v>
      </c>
      <c r="J155" s="31" t="n">
        <v>2.36</v>
      </c>
      <c r="K155" s="31" t="n">
        <v>340990</v>
      </c>
      <c r="L155" s="30" t="n">
        <v>94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75.19</v>
      </c>
      <c r="P155" s="31" t="n">
        <v>34.4</v>
      </c>
      <c r="Q155" s="31" t="n">
        <v>1579.97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-4.09</v>
      </c>
      <c r="U155" s="31" t="n">
        <v>75.56</v>
      </c>
      <c r="V155" s="31" t="n">
        <v>83.04000000000001</v>
      </c>
      <c r="W155" s="31" t="n">
        <v>43.41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Above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Negative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IF(B156=0,"",RANK(B156,$B$2:$B$361,0))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CRAFTSMAN</t>
        </is>
      </c>
      <c r="D156" s="30" t="inlineStr">
        <is>
          <t>Craftsman Automation Ltd</t>
        </is>
      </c>
      <c r="E156" s="30" t="inlineStr">
        <is>
          <t>auto</t>
        </is>
      </c>
      <c r="F156" s="30" t="inlineStr">
        <is>
          <t>auto ancillaries</t>
        </is>
      </c>
      <c r="G156" s="30" t="inlineStr">
        <is>
          <t>largecap</t>
        </is>
      </c>
      <c r="H156" s="31" t="n">
        <v>22247.72</v>
      </c>
      <c r="I156" s="31" t="n">
        <v>9498.5</v>
      </c>
      <c r="J156" s="31" t="n">
        <v>1.85</v>
      </c>
      <c r="K156" s="31" t="n">
        <v>140241</v>
      </c>
      <c r="L156" s="30" t="n">
        <v>74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68.83</v>
      </c>
      <c r="P156" s="31" t="n">
        <v>36.96</v>
      </c>
      <c r="Q156" s="31" t="n">
        <v>7467.27</v>
      </c>
      <c r="R156" s="30" t="inlineStr">
        <is>
          <t>Near 52W High Breakout</t>
        </is>
      </c>
      <c r="S156" s="30" t="inlineStr">
        <is>
          <t>Nifty Auto</t>
        </is>
      </c>
      <c r="T156" s="31" t="n">
        <v>12.86</v>
      </c>
      <c r="U156" s="31" t="n">
        <v>84.23</v>
      </c>
      <c r="V156" s="31" t="n">
        <v>63.24</v>
      </c>
      <c r="W156" s="31" t="n">
        <v>21.67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20 to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Yes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Less than 50% and Borrowings are increasing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Between 0.7 to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IF(B157=0,"",RANK(B157,$B$2:$B$361,0))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ZENTEC</t>
        </is>
      </c>
      <c r="D157" s="30" t="inlineStr">
        <is>
          <t>Zen Technologies Limited</t>
        </is>
      </c>
      <c r="E157" s="30" t="inlineStr">
        <is>
          <t>aerospace &amp; defence</t>
        </is>
      </c>
      <c r="F157" s="30" t="inlineStr">
        <is>
          <t>miscellaneous</t>
        </is>
      </c>
      <c r="G157" s="30" t="inlineStr">
        <is>
          <t>midcap</t>
        </is>
      </c>
      <c r="H157" s="31" t="n">
        <v>16746.15</v>
      </c>
      <c r="I157" s="31" t="n">
        <v>1887.4</v>
      </c>
      <c r="J157" s="31" t="n">
        <v>1.76</v>
      </c>
      <c r="K157" s="31" t="n">
        <v>1436389</v>
      </c>
      <c r="L157" s="30" t="n">
        <v>27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71.2</v>
      </c>
      <c r="P157" s="31" t="n">
        <v>24.75</v>
      </c>
      <c r="Q157" s="31" t="n">
        <v>1451.42</v>
      </c>
      <c r="R157" s="30" t="inlineStr">
        <is>
          <t>Near 52W High Breakout</t>
        </is>
      </c>
      <c r="S157" s="30" t="inlineStr">
        <is>
          <t>Nifty 50</t>
        </is>
      </c>
      <c r="T157" s="31" t="n">
        <v>-4.09</v>
      </c>
      <c r="U157" s="31" t="n">
        <v>-0.51</v>
      </c>
      <c r="V157" s="31" t="n">
        <v>3.73</v>
      </c>
      <c r="W157" s="31" t="n">
        <v>8.039999999999999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Less than 12%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Yes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IF(B158=0,"",RANK(B158,$B$2:$B$361,0))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GMRAIRPORT</t>
        </is>
      </c>
      <c r="D158" s="30" t="inlineStr">
        <is>
          <t>GMR Airports Ltd</t>
        </is>
      </c>
      <c r="E158" s="30" t="inlineStr">
        <is>
          <t>miscellaneous</t>
        </is>
      </c>
      <c r="F158" s="30" t="inlineStr">
        <is>
          <t>miscellaneous</t>
        </is>
      </c>
      <c r="G158" s="30" t="inlineStr">
        <is>
          <t>largecap</t>
        </is>
      </c>
      <c r="H158" s="31" t="n">
        <v>113519.55</v>
      </c>
      <c r="I158" s="31" t="n">
        <v>109.32</v>
      </c>
      <c r="J158" s="31" t="n">
        <v>1.68</v>
      </c>
      <c r="K158" s="31" t="n">
        <v>13734304</v>
      </c>
      <c r="L158" s="30" t="n">
        <v>41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64.20999999999999</v>
      </c>
      <c r="P158" s="31" t="n">
        <v>13.83</v>
      </c>
      <c r="Q158" s="31" t="n">
        <v>89.58</v>
      </c>
      <c r="R158" s="30" t="inlineStr">
        <is>
          <t>Near 52W High Breakout</t>
        </is>
      </c>
      <c r="S158" s="30" t="inlineStr">
        <is>
          <t>Nifty 50</t>
        </is>
      </c>
      <c r="T158" s="31" t="n">
        <v>-4.09</v>
      </c>
      <c r="U158" s="31" t="n">
        <v>35.01</v>
      </c>
      <c r="V158" s="31" t="n">
        <v>40.77</v>
      </c>
      <c r="W158" s="31" t="n">
        <v>10.93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0 to 20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Blue sky scenario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Yes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Above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IF(B159=0,"",RANK(B159,$B$2:$B$361,0))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0" t="inlineStr">
        <is>
          <t>INGERRAND</t>
        </is>
      </c>
      <c r="D159" s="30" t="inlineStr">
        <is>
          <t>Ingersoll Rand (india) Limited</t>
        </is>
      </c>
      <c r="E159" s="30" t="inlineStr">
        <is>
          <t>industrials</t>
        </is>
      </c>
      <c r="F159" s="30" t="inlineStr">
        <is>
          <t>compressors / drilling equipment</t>
        </is>
      </c>
      <c r="G159" s="30" t="inlineStr">
        <is>
          <t>midcap</t>
        </is>
      </c>
      <c r="H159" s="31" t="n">
        <v>14004.2</v>
      </c>
      <c r="I159" s="31" t="n">
        <v>4498.8</v>
      </c>
      <c r="J159" s="31" t="n">
        <v>1.41</v>
      </c>
      <c r="K159" s="31" t="n">
        <v>12750</v>
      </c>
      <c r="L159" s="30" t="n">
        <v>36</v>
      </c>
      <c r="M159" s="30" t="inlineStr">
        <is>
          <t>Outperforming</t>
        </is>
      </c>
      <c r="N159" s="31">
        <f>IF(M159="Underperforming",-5,IF(L159&gt;=95,15,IF(L159&gt;=90,10,IF(L159&gt;=80,5,0))))</f>
        <v/>
      </c>
      <c r="O159" s="31" t="n">
        <v>60.97</v>
      </c>
      <c r="P159" s="31" t="n">
        <v>23.74</v>
      </c>
      <c r="Q159" s="31" t="n">
        <v>3689.44</v>
      </c>
      <c r="R159" s="30" t="inlineStr">
        <is>
          <t>Near 52W High Breakout</t>
        </is>
      </c>
      <c r="S159" s="30" t="inlineStr">
        <is>
          <t>Nifty Infra</t>
        </is>
      </c>
      <c r="T159" s="31" t="n">
        <v>3.72</v>
      </c>
      <c r="U159" s="31" t="n">
        <v>22.36</v>
      </c>
      <c r="V159" s="31" t="n">
        <v>17.97</v>
      </c>
      <c r="W159" s="31" t="n">
        <v>9.44</v>
      </c>
      <c r="X159" s="30" t="inlineStr">
        <is>
          <t>Cyclical in an Upturn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Blue sky scenario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IF(B160=0,"",RANK(B160,$B$2:$B$361,0))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JAMNAAUTO</t>
        </is>
      </c>
      <c r="D160" s="30" t="inlineStr">
        <is>
          <t>Jamna Auto Industries Limited</t>
        </is>
      </c>
      <c r="E160" s="30" t="inlineStr">
        <is>
          <t>auto</t>
        </is>
      </c>
      <c r="F160" s="30" t="inlineStr">
        <is>
          <t>auto ancillaries</t>
        </is>
      </c>
      <c r="G160" s="30" t="inlineStr">
        <is>
          <t>midcap</t>
        </is>
      </c>
      <c r="H160" s="31" t="n">
        <v>5136.29</v>
      </c>
      <c r="I160" s="31" t="n">
        <v>130.22</v>
      </c>
      <c r="J160" s="31" t="n">
        <v>1.34</v>
      </c>
      <c r="K160" s="31" t="n">
        <v>3104891</v>
      </c>
      <c r="L160" s="30" t="n">
        <v>40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55.45</v>
      </c>
      <c r="P160" s="31" t="n">
        <v>13.85</v>
      </c>
      <c r="Q160" s="31" t="n">
        <v>96.61</v>
      </c>
      <c r="R160" s="30" t="inlineStr">
        <is>
          <t>Earnings / Momentum Support</t>
        </is>
      </c>
      <c r="S160" s="30" t="inlineStr">
        <is>
          <t>Nifty Auto</t>
        </is>
      </c>
      <c r="T160" s="31" t="n">
        <v>12.86</v>
      </c>
      <c r="U160" s="31" t="n">
        <v>48.69</v>
      </c>
      <c r="V160" s="31" t="n">
        <v>31.74</v>
      </c>
      <c r="W160" s="31" t="n">
        <v>10.49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No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0 to 20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Above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Less than 0.7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IF(B161=0,"",RANK(B161,$B$2:$B$361,0))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STOVEKRAFT</t>
        </is>
      </c>
      <c r="D161" s="30" t="inlineStr">
        <is>
          <t>Stove Kraft Ltd</t>
        </is>
      </c>
      <c r="E161" s="30" t="inlineStr">
        <is>
          <t>consumer discretionary</t>
        </is>
      </c>
      <c r="F161" s="30" t="inlineStr">
        <is>
          <t>domestic appliances</t>
        </is>
      </c>
      <c r="G161" s="30" t="inlineStr">
        <is>
          <t>smallcap</t>
        </is>
      </c>
      <c r="H161" s="31" t="n">
        <v>2189.22</v>
      </c>
      <c r="I161" s="31" t="n">
        <v>669.9</v>
      </c>
      <c r="J161" s="31" t="n">
        <v>1.31</v>
      </c>
      <c r="K161" s="31" t="n">
        <v>165026</v>
      </c>
      <c r="L161" s="30" t="n">
        <v>48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66.89</v>
      </c>
      <c r="P161" s="31" t="n">
        <v>24.94</v>
      </c>
      <c r="Q161" s="31" t="n">
        <v>508.44</v>
      </c>
      <c r="R161" s="30" t="inlineStr">
        <is>
          <t>Earnings / Momentum Support</t>
        </is>
      </c>
      <c r="S161" s="30" t="inlineStr">
        <is>
          <t>Nifty 50</t>
        </is>
      </c>
      <c r="T161" s="31" t="n">
        <v>-4.09</v>
      </c>
      <c r="U161" s="31" t="n">
        <v>19.44</v>
      </c>
      <c r="V161" s="31" t="n">
        <v>24.53</v>
      </c>
      <c r="W161" s="31" t="n">
        <v>12.56</v>
      </c>
      <c r="X161" s="30" t="inlineStr">
        <is>
          <t>Growing Industry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No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Between 50 to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Close to 52 week high or retracement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Above 2</t>
        </is>
      </c>
      <c r="BU161" s="30">
        <f>IF(BT161="Above 2",0,IF(BT161="Between 1.5 to 2",5,IF(BT161="Less than 1.5",10,0)))</f>
        <v/>
      </c>
      <c r="BV161" s="30" t="inlineStr">
        <is>
          <t>Above 70%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IF(B162=0,"",RANK(B162,$B$2:$B$361,0))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JSWDULUX</t>
        </is>
      </c>
      <c r="D162" s="30" t="inlineStr">
        <is>
          <t>JSW Dulux Ltd</t>
        </is>
      </c>
      <c r="E162" s="30" t="inlineStr">
        <is>
          <t>building materials</t>
        </is>
      </c>
      <c r="F162" s="30" t="inlineStr">
        <is>
          <t>paints / varnishes</t>
        </is>
      </c>
      <c r="G162" s="30" t="inlineStr">
        <is>
          <t>midcap</t>
        </is>
      </c>
      <c r="H162" s="31" t="n">
        <v>14580.64</v>
      </c>
      <c r="I162" s="31" t="n">
        <v>3231.6</v>
      </c>
      <c r="J162" s="31" t="n">
        <v>0.93</v>
      </c>
      <c r="K162" s="31" t="n">
        <v>27130</v>
      </c>
      <c r="L162" s="30" t="n">
        <v>13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58.83</v>
      </c>
      <c r="P162" s="31" t="n">
        <v>17.76</v>
      </c>
      <c r="Q162" s="31" t="n">
        <v>2681.22</v>
      </c>
      <c r="R162" s="30" t="inlineStr">
        <is>
          <t>Earnings / Momentum Support</t>
        </is>
      </c>
      <c r="S162" s="30" t="inlineStr">
        <is>
          <t>Nifty Infra</t>
        </is>
      </c>
      <c r="T162" s="31" t="n">
        <v>3.72</v>
      </c>
      <c r="U162" s="31" t="n">
        <v>9.77</v>
      </c>
      <c r="V162" s="31" t="n">
        <v>5.84</v>
      </c>
      <c r="W162" s="31" t="n">
        <v>4.72</v>
      </c>
      <c r="X162" s="30" t="inlineStr">
        <is>
          <t>Growing Industry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No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0 to 20</t>
        </is>
      </c>
      <c r="AY162" s="30">
        <f>IF(AX162="Above 40",20,IF(AX162="20 to 40",10,IF(AX162="0 to 20",-5,0)))</f>
        <v/>
      </c>
      <c r="AZ162" s="30" t="inlineStr">
        <is>
          <t>Between 50 to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Close to 52 week high or retracement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No</t>
        </is>
      </c>
      <c r="BS162" s="30">
        <f>IF(BR162="NO",5,0)</f>
        <v/>
      </c>
      <c r="BT162" s="30" t="inlineStr">
        <is>
          <t>Less than 1.5</t>
        </is>
      </c>
      <c r="BU162" s="30">
        <f>IF(BT162="Above 2",0,IF(BT162="Between 1.5 to 2",5,IF(BT162="Less than 1.5",10,0)))</f>
        <v/>
      </c>
      <c r="BV162" s="30" t="inlineStr">
        <is>
          <t>Above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IF(B163=0,"",RANK(B163,$B$2:$B$361,0))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PRIVISCL</t>
        </is>
      </c>
      <c r="D163" s="30" t="inlineStr">
        <is>
          <t>Privi Speciality Chemicals Ltd</t>
        </is>
      </c>
      <c r="E163" s="30" t="inlineStr">
        <is>
          <t>chemicals</t>
        </is>
      </c>
      <c r="F163" s="30" t="inlineStr">
        <is>
          <t>chemicals</t>
        </is>
      </c>
      <c r="G163" s="30" t="inlineStr">
        <is>
          <t>midcap</t>
        </is>
      </c>
      <c r="H163" s="31" t="n">
        <v>13491.09</v>
      </c>
      <c r="I163" s="31" t="n">
        <v>3481.5</v>
      </c>
      <c r="J163" s="31" t="n">
        <v>0.8</v>
      </c>
      <c r="K163" s="31" t="n">
        <v>81894</v>
      </c>
      <c r="L163" s="30" t="n">
        <v>48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62.82</v>
      </c>
      <c r="P163" s="31" t="n">
        <v>19.14</v>
      </c>
      <c r="Q163" s="31" t="n">
        <v>2812.78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-4.09</v>
      </c>
      <c r="U163" s="31" t="n">
        <v>48.9</v>
      </c>
      <c r="V163" s="31" t="n">
        <v>55.25</v>
      </c>
      <c r="W163" s="31" t="n">
        <v>12.7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0 to 20</t>
        </is>
      </c>
      <c r="AY163" s="30">
        <f>IF(AX163="Above 40",20,IF(AX163="20 to 40",10,IF(AX163="0 to 20",-5,0)))</f>
        <v/>
      </c>
      <c r="AZ163" s="30" t="inlineStr">
        <is>
          <t>Between 50 to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Blue sky scenario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Less than 1.5</t>
        </is>
      </c>
      <c r="BU163" s="30">
        <f>IF(BT163="Above 2",0,IF(BT163="Between 1.5 to 2",5,IF(BT163="Less than 1.5",10,0)))</f>
        <v/>
      </c>
      <c r="BV163" s="30" t="inlineStr">
        <is>
          <t>Above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Between 0.7 to 1.2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IF(B164=0,"",RANK(B164,$B$2:$B$361,0))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WABAG</t>
        </is>
      </c>
      <c r="D164" s="30" t="inlineStr">
        <is>
          <t>Va Tech Wabag Limited</t>
        </is>
      </c>
      <c r="E164" s="30" t="inlineStr">
        <is>
          <t>realty</t>
        </is>
      </c>
      <c r="F164" s="30" t="inlineStr">
        <is>
          <t>engineering - turnkey services</t>
        </is>
      </c>
      <c r="G164" s="30" t="inlineStr">
        <is>
          <t>midcap</t>
        </is>
      </c>
      <c r="H164" s="31" t="n">
        <v>10930.97</v>
      </c>
      <c r="I164" s="31" t="n">
        <v>1766.5</v>
      </c>
      <c r="J164" s="31" t="n">
        <v>0.7</v>
      </c>
      <c r="K164" s="31" t="n">
        <v>701834</v>
      </c>
      <c r="L164" s="30" t="n">
        <v>54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71.8</v>
      </c>
      <c r="P164" s="31" t="n">
        <v>15.27</v>
      </c>
      <c r="Q164" s="31" t="n">
        <v>1408.04</v>
      </c>
      <c r="R164" s="30" t="inlineStr">
        <is>
          <t>Volume Spike &amp; Near 52W High Breakout</t>
        </is>
      </c>
      <c r="S164" s="30" t="inlineStr">
        <is>
          <t>Nifty Realty</t>
        </is>
      </c>
      <c r="T164" s="31" t="n">
        <v>-19.64</v>
      </c>
      <c r="U164" s="31" t="n">
        <v>20.14</v>
      </c>
      <c r="V164" s="31" t="n">
        <v>49.5</v>
      </c>
      <c r="W164" s="31" t="n">
        <v>14.07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0 to 20</t>
        </is>
      </c>
      <c r="AY164" s="30">
        <f>IF(AX164="Above 40",20,IF(AX164="20 to 40",10,IF(AX164="0 to 20",-5,0)))</f>
        <v/>
      </c>
      <c r="AZ164" s="30" t="inlineStr">
        <is>
          <t>Between 50 to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Close to 52 week high or retracement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Less than 1.5</t>
        </is>
      </c>
      <c r="BU164" s="30">
        <f>IF(BT164="Above 2",0,IF(BT164="Between 1.5 to 2",5,IF(BT164="Less than 1.5",10,0)))</f>
        <v/>
      </c>
      <c r="BV164" s="30" t="inlineStr">
        <is>
          <t>Less than 50%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IF(B165=0,"",RANK(B165,$B$2:$B$361,0))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AIAENG</t>
        </is>
      </c>
      <c r="D165" s="30" t="inlineStr">
        <is>
          <t>Aia Engineering Limited</t>
        </is>
      </c>
      <c r="E165" s="30" t="inlineStr">
        <is>
          <t>industrials</t>
        </is>
      </c>
      <c r="F165" s="30" t="inlineStr">
        <is>
          <t>castings &amp; forgings</t>
        </is>
      </c>
      <c r="G165" s="30" t="inlineStr">
        <is>
          <t>largecap</t>
        </is>
      </c>
      <c r="H165" s="31" t="n">
        <v>41913.91</v>
      </c>
      <c r="I165" s="31" t="n">
        <v>4501.6</v>
      </c>
      <c r="J165" s="31" t="n">
        <v>0.23</v>
      </c>
      <c r="K165" s="31" t="n">
        <v>75880</v>
      </c>
      <c r="L165" s="30" t="n">
        <v>57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64.31</v>
      </c>
      <c r="P165" s="31" t="n">
        <v>19.08</v>
      </c>
      <c r="Q165" s="31" t="n">
        <v>3759.45</v>
      </c>
      <c r="R165" s="30" t="inlineStr">
        <is>
          <t>Near 52W High Breakout</t>
        </is>
      </c>
      <c r="S165" s="30" t="inlineStr">
        <is>
          <t>Nifty 50</t>
        </is>
      </c>
      <c r="T165" s="31" t="n">
        <v>-4.09</v>
      </c>
      <c r="U165" s="31" t="n">
        <v>38.4</v>
      </c>
      <c r="V165" s="31" t="n">
        <v>44.3</v>
      </c>
      <c r="W165" s="31" t="n">
        <v>14.39</v>
      </c>
      <c r="X165" s="30" t="inlineStr">
        <is>
          <t>Cyclical in an Upturn</t>
        </is>
      </c>
      <c r="Y165" s="30">
        <f>IF(X165="Growing Industry",10,IF(X165="Cyclical in an Upturn",5,0))</f>
        <v/>
      </c>
      <c r="Z165" s="30" t="inlineStr">
        <is>
          <t>Too Many Players with High ROCE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No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Structural (10 Years Consistency)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Stable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0 to 20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Less than 1.5</t>
        </is>
      </c>
      <c r="BU165" s="30">
        <f>IF(BT165="Above 2",0,IF(BT165="Between 1.5 to 2",5,IF(BT165="Less than 1.5",10,0)))</f>
        <v/>
      </c>
      <c r="BV165" s="30" t="inlineStr">
        <is>
          <t>Less than 50%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IF(B166=0,"",RANK(B166,$B$2:$B$361,0))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QPOWER</t>
        </is>
      </c>
      <c r="D166" s="30" t="inlineStr">
        <is>
          <t>Quality Power Electrical Equipments Ltd</t>
        </is>
      </c>
      <c r="E166" s="30" t="inlineStr">
        <is>
          <t>industrials</t>
        </is>
      </c>
      <c r="F166" s="30" t="inlineStr">
        <is>
          <t>electric equipment</t>
        </is>
      </c>
      <c r="G166" s="30" t="inlineStr">
        <is>
          <t>midcap</t>
        </is>
      </c>
      <c r="H166" s="31" t="n">
        <v>9664.25</v>
      </c>
      <c r="I166" s="31" t="n">
        <v>1247.6</v>
      </c>
      <c r="J166" s="31" t="n">
        <v>-0.02</v>
      </c>
      <c r="K166" s="31" t="n">
        <v>236449</v>
      </c>
      <c r="L166" s="30" t="n">
        <v>88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62.48</v>
      </c>
      <c r="P166" s="31" t="n">
        <v>26.57</v>
      </c>
      <c r="Q166" s="31" t="n">
        <v>985.6</v>
      </c>
      <c r="R166" s="30" t="inlineStr">
        <is>
          <t>Earnings / Momentum Support</t>
        </is>
      </c>
      <c r="S166" s="30" t="inlineStr">
        <is>
          <t>Nifty 50</t>
        </is>
      </c>
      <c r="T166" s="31" t="n">
        <v>-4.09</v>
      </c>
      <c r="U166" s="31" t="n">
        <v>118.2</v>
      </c>
      <c r="V166" s="31" t="n">
        <v>127.5</v>
      </c>
      <c r="W166" s="31" t="n">
        <v>32.71</v>
      </c>
      <c r="X166" s="30" t="inlineStr">
        <is>
          <t>Cyclical in an Upturn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No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More than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Less than 1.5</t>
        </is>
      </c>
      <c r="BU166" s="30">
        <f>IF(BT166="Above 2",0,IF(BT166="Between 1.5 to 2",5,IF(BT166="Less than 1.5",10,0)))</f>
        <v/>
      </c>
      <c r="BV166" s="30" t="inlineStr">
        <is>
          <t>Less than 50%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IF(B167=0,"",RANK(B167,$B$2:$B$361,0))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IGPL</t>
        </is>
      </c>
      <c r="D167" s="30" t="inlineStr">
        <is>
          <t>Ig Petrochemicals Limited</t>
        </is>
      </c>
      <c r="E167" s="30" t="inlineStr">
        <is>
          <t>chemicals</t>
        </is>
      </c>
      <c r="F167" s="30" t="inlineStr">
        <is>
          <t>chemicals</t>
        </is>
      </c>
      <c r="G167" s="30" t="inlineStr">
        <is>
          <t>smallcap</t>
        </is>
      </c>
      <c r="H167" s="31" t="n">
        <v>1376.84</v>
      </c>
      <c r="I167" s="31" t="n">
        <v>446.9</v>
      </c>
      <c r="J167" s="31" t="n">
        <v>-0.04</v>
      </c>
      <c r="K167" s="31" t="n">
        <v>16680</v>
      </c>
      <c r="L167" s="30" t="n">
        <v>6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58.13</v>
      </c>
      <c r="P167" s="31" t="n">
        <v>20.97</v>
      </c>
      <c r="Q167" s="31" t="n">
        <v>359.96</v>
      </c>
      <c r="R167" s="30" t="inlineStr">
        <is>
          <t>Earnings / Momentum Support</t>
        </is>
      </c>
      <c r="S167" s="30" t="inlineStr">
        <is>
          <t>Nifty 50</t>
        </is>
      </c>
      <c r="T167" s="31" t="n">
        <v>-4.09</v>
      </c>
      <c r="U167" s="31" t="n">
        <v>-1.31</v>
      </c>
      <c r="V167" s="31" t="n">
        <v>2.9</v>
      </c>
      <c r="W167" s="31" t="n">
        <v>3.31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No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20 to 40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Close to 52 week high or retracement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Yes</t>
        </is>
      </c>
      <c r="BS167" s="30">
        <f>IF(BR167="NO",5,0)</f>
        <v/>
      </c>
      <c r="BT167" s="30" t="inlineStr">
        <is>
          <t>Above 2</t>
        </is>
      </c>
      <c r="BU167" s="30">
        <f>IF(BT167="Above 2",0,IF(BT167="Between 1.5 to 2",5,IF(BT167="Less than 1.5",10,0)))</f>
        <v/>
      </c>
      <c r="BV167" s="30" t="inlineStr">
        <is>
          <t>Above 70%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Less than 0.7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IF(B168=0,"",RANK(B168,$B$2:$B$361,0))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PSPPROJECT</t>
        </is>
      </c>
      <c r="D168" s="30" t="inlineStr">
        <is>
          <t>PSP Projects Ltd</t>
        </is>
      </c>
      <c r="E168" s="30" t="inlineStr">
        <is>
          <t>realty</t>
        </is>
      </c>
      <c r="F168" s="30" t="inlineStr">
        <is>
          <t>construction</t>
        </is>
      </c>
      <c r="G168" s="30" t="inlineStr">
        <is>
          <t>smallcap</t>
        </is>
      </c>
      <c r="H168" s="31" t="n">
        <v>3598.68</v>
      </c>
      <c r="I168" s="31" t="n">
        <v>907.45</v>
      </c>
      <c r="J168" s="31" t="n">
        <v>-0.04</v>
      </c>
      <c r="K168" s="31" t="n">
        <v>62976</v>
      </c>
      <c r="L168" s="30" t="n">
        <v>55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62.38</v>
      </c>
      <c r="P168" s="31" t="n">
        <v>23.51</v>
      </c>
      <c r="Q168" s="31" t="n">
        <v>680.92</v>
      </c>
      <c r="R168" s="30" t="inlineStr">
        <is>
          <t>Earnings / Momentum Support</t>
        </is>
      </c>
      <c r="S168" s="30" t="inlineStr">
        <is>
          <t>Nifty Realty</t>
        </is>
      </c>
      <c r="T168" s="31" t="n">
        <v>-19.64</v>
      </c>
      <c r="U168" s="31" t="n">
        <v>23.6</v>
      </c>
      <c r="V168" s="31" t="n">
        <v>53.8</v>
      </c>
      <c r="W168" s="31" t="n">
        <v>14.19</v>
      </c>
      <c r="X168" s="30" t="inlineStr">
        <is>
          <t>Growing Industry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No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20 to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Close to 52 week high or retracement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Above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Less than 0.7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IF(B169=0,"",RANK(B169,$B$2:$B$361,0))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ASIANPAINT</t>
        </is>
      </c>
      <c r="D169" s="30" t="inlineStr">
        <is>
          <t>Asian Paints Limited</t>
        </is>
      </c>
      <c r="E169" s="30" t="inlineStr">
        <is>
          <t>building materials</t>
        </is>
      </c>
      <c r="F169" s="30" t="inlineStr">
        <is>
          <t>paints / varnishes</t>
        </is>
      </c>
      <c r="G169" s="30" t="inlineStr">
        <is>
          <t>largecap</t>
        </is>
      </c>
      <c r="H169" s="31" t="n">
        <v>263597.14</v>
      </c>
      <c r="I169" s="31" t="n">
        <v>2738</v>
      </c>
      <c r="J169" s="31" t="n">
        <v>-0.37</v>
      </c>
      <c r="K169" s="31" t="n">
        <v>557209</v>
      </c>
      <c r="L169" s="30" t="n">
        <v>37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62.76</v>
      </c>
      <c r="P169" s="31" t="n">
        <v>20.43</v>
      </c>
      <c r="Q169" s="31" t="n">
        <v>2330.08</v>
      </c>
      <c r="R169" s="30" t="inlineStr">
        <is>
          <t>Earnings / Momentum Support</t>
        </is>
      </c>
      <c r="S169" s="30" t="inlineStr">
        <is>
          <t>Nifty Infra</t>
        </is>
      </c>
      <c r="T169" s="31" t="n">
        <v>3.72</v>
      </c>
      <c r="U169" s="31" t="n">
        <v>19.98</v>
      </c>
      <c r="V169" s="31" t="n">
        <v>15.68</v>
      </c>
      <c r="W169" s="31" t="n">
        <v>9.880000000000001</v>
      </c>
      <c r="X169" s="30" t="inlineStr">
        <is>
          <t>Growing Industry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Headwind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No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20 to 40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Less than 1.5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IF(B170=0,"",RANK(B170,$B$2:$B$361,0))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APARINDS</t>
        </is>
      </c>
      <c r="D170" s="30" t="inlineStr">
        <is>
          <t>Apar Industries Limited</t>
        </is>
      </c>
      <c r="E170" s="30" t="inlineStr">
        <is>
          <t>industrials</t>
        </is>
      </c>
      <c r="F170" s="30" t="inlineStr">
        <is>
          <t>electric equipment</t>
        </is>
      </c>
      <c r="G170" s="30" t="inlineStr">
        <is>
          <t>largecap</t>
        </is>
      </c>
      <c r="H170" s="31" t="n">
        <v>64944.13</v>
      </c>
      <c r="I170" s="31" t="n">
        <v>16103</v>
      </c>
      <c r="J170" s="31" t="n">
        <v>-0.4</v>
      </c>
      <c r="K170" s="31" t="n">
        <v>210837</v>
      </c>
      <c r="L170" s="30" t="n">
        <v>87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79.09</v>
      </c>
      <c r="P170" s="31" t="n">
        <v>42</v>
      </c>
      <c r="Q170" s="31" t="n">
        <v>12654.27</v>
      </c>
      <c r="R170" s="30" t="inlineStr">
        <is>
          <t>Near 52W High Breakout</t>
        </is>
      </c>
      <c r="S170" s="30" t="inlineStr">
        <is>
          <t>Nifty 50</t>
        </is>
      </c>
      <c r="T170" s="31" t="n">
        <v>-4.09</v>
      </c>
      <c r="U170" s="31" t="n">
        <v>104.55</v>
      </c>
      <c r="V170" s="31" t="n">
        <v>113.27</v>
      </c>
      <c r="W170" s="31" t="n">
        <v>30.95</v>
      </c>
      <c r="X170" s="30" t="inlineStr">
        <is>
          <t>Cyclical in an Upturn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Above 40</t>
        </is>
      </c>
      <c r="AY170" s="30">
        <f>IF(AX170="Above 40",20,IF(AX170="20 to 40",10,IF(AX170="0 to 20",-5,0)))</f>
        <v/>
      </c>
      <c r="AZ170" s="30" t="inlineStr">
        <is>
          <t>Above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Blue sky scenario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Less than 12%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Between 50% to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Less than 0.7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IF(B171=0,"",RANK(B171,$B$2:$B$361,0))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WELENT</t>
        </is>
      </c>
      <c r="D171" s="30" t="inlineStr">
        <is>
          <t>Welspun Enterprises Limited</t>
        </is>
      </c>
      <c r="E171" s="30" t="inlineStr">
        <is>
          <t>realty</t>
        </is>
      </c>
      <c r="F171" s="30" t="inlineStr">
        <is>
          <t>construction</t>
        </is>
      </c>
      <c r="G171" s="30" t="inlineStr">
        <is>
          <t>midcap</t>
        </is>
      </c>
      <c r="H171" s="31" t="n">
        <v>7653.59</v>
      </c>
      <c r="I171" s="31" t="n">
        <v>549.7</v>
      </c>
      <c r="J171" s="31" t="n">
        <v>-0.59</v>
      </c>
      <c r="K171" s="31" t="n">
        <v>108587</v>
      </c>
      <c r="L171" s="30" t="n">
        <v>22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61.9</v>
      </c>
      <c r="P171" s="31" t="n">
        <v>13.55</v>
      </c>
      <c r="Q171" s="31" t="n">
        <v>436.28</v>
      </c>
      <c r="R171" s="30" t="inlineStr">
        <is>
          <t>Near 52W High Breakout</t>
        </is>
      </c>
      <c r="S171" s="30" t="inlineStr">
        <is>
          <t>Nifty Realty</t>
        </is>
      </c>
      <c r="T171" s="31" t="n">
        <v>-19.64</v>
      </c>
      <c r="U171" s="31" t="n">
        <v>10.82</v>
      </c>
      <c r="V171" s="31" t="n">
        <v>37.89</v>
      </c>
      <c r="W171" s="31" t="n">
        <v>6.47</v>
      </c>
      <c r="X171" s="30" t="inlineStr">
        <is>
          <t>Growing Industry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0 to 20</t>
        </is>
      </c>
      <c r="AY171" s="30">
        <f>IF(AX171="Above 40",20,IF(AX171="20 to 40",10,IF(AX171="0 to 20",-5,0)))</f>
        <v/>
      </c>
      <c r="AZ171" s="30" t="inlineStr">
        <is>
          <t>Between 50 to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More than 20%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Less than 1.5</t>
        </is>
      </c>
      <c r="BU171" s="30">
        <f>IF(BT171="Above 2",0,IF(BT171="Between 1.5 to 2",5,IF(BT171="Less than 1.5",10,0)))</f>
        <v/>
      </c>
      <c r="BV171" s="30" t="inlineStr">
        <is>
          <t>Less than 50%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IF(B172=0,"",RANK(B172,$B$2:$B$361,0))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MINDACORP</t>
        </is>
      </c>
      <c r="D172" s="30" t="inlineStr">
        <is>
          <t>Minda Corporation Limited</t>
        </is>
      </c>
      <c r="E172" s="30" t="inlineStr">
        <is>
          <t>auto</t>
        </is>
      </c>
      <c r="F172" s="30" t="inlineStr">
        <is>
          <t>auto ancillaries</t>
        </is>
      </c>
      <c r="G172" s="30" t="inlineStr">
        <is>
          <t>midcap</t>
        </is>
      </c>
      <c r="H172" s="31" t="n">
        <v>15709.91</v>
      </c>
      <c r="I172" s="31" t="n">
        <v>644</v>
      </c>
      <c r="J172" s="31" t="n">
        <v>-1.99</v>
      </c>
      <c r="K172" s="31" t="n">
        <v>381631</v>
      </c>
      <c r="L172" s="30" t="n">
        <v>45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65.06</v>
      </c>
      <c r="P172" s="31" t="n">
        <v>19.66</v>
      </c>
      <c r="Q172" s="31" t="n">
        <v>514.11</v>
      </c>
      <c r="R172" s="30" t="inlineStr">
        <is>
          <t>Near 52W High Breakout</t>
        </is>
      </c>
      <c r="S172" s="30" t="inlineStr">
        <is>
          <t>Nifty Auto</t>
        </is>
      </c>
      <c r="T172" s="31" t="n">
        <v>12.86</v>
      </c>
      <c r="U172" s="31" t="n">
        <v>27.86</v>
      </c>
      <c r="V172" s="31" t="n">
        <v>13.29</v>
      </c>
      <c r="W172" s="31" t="n">
        <v>11.64</v>
      </c>
      <c r="X172" s="30" t="inlineStr">
        <is>
          <t>Growing Industry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Structural (10 Years Consistency)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Stable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0 to 20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Yes</t>
        </is>
      </c>
      <c r="BS172" s="30">
        <f>IF(BR172="NO",5,0)</f>
        <v/>
      </c>
      <c r="BT172" s="30" t="inlineStr">
        <is>
          <t>Above 2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Less than 0.7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IF(B173=0,"",RANK(B173,$B$2:$B$361,0))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0" t="inlineStr">
        <is>
          <t>XPROINDIA</t>
        </is>
      </c>
      <c r="D173" s="30" t="inlineStr">
        <is>
          <t>Xpro India Limited</t>
        </is>
      </c>
      <c r="E173" s="30" t="inlineStr">
        <is>
          <t>industrials</t>
        </is>
      </c>
      <c r="F173" s="30" t="inlineStr">
        <is>
          <t>packaging</t>
        </is>
      </c>
      <c r="G173" s="30" t="inlineStr">
        <is>
          <t>smallcap</t>
        </is>
      </c>
      <c r="H173" s="31" t="n">
        <v>3271.3</v>
      </c>
      <c r="I173" s="31" t="n">
        <v>1364</v>
      </c>
      <c r="J173" s="31" t="n">
        <v>-2.14</v>
      </c>
      <c r="K173" s="31" t="n">
        <v>641584</v>
      </c>
      <c r="L173" s="30" t="n">
        <v>42</v>
      </c>
      <c r="M173" s="30" t="inlineStr">
        <is>
          <t>Outperforming</t>
        </is>
      </c>
      <c r="N173" s="31">
        <f>IF(M173="Underperforming",-5,IF(L173&gt;=95,15,IF(L173&gt;=90,10,IF(L173&gt;=80,5,0))))</f>
        <v/>
      </c>
      <c r="O173" s="31" t="n">
        <v>67.26000000000001</v>
      </c>
      <c r="P173" s="31" t="n">
        <v>21.78</v>
      </c>
      <c r="Q173" s="31" t="n">
        <v>1006.66</v>
      </c>
      <c r="R173" s="30" t="inlineStr">
        <is>
          <t>Volume Spike &amp; Near 52W High Breakout</t>
        </is>
      </c>
      <c r="S173" s="30" t="inlineStr">
        <is>
          <t>Nifty 50</t>
        </is>
      </c>
      <c r="T173" s="31" t="n">
        <v>-4.09</v>
      </c>
      <c r="U173" s="31" t="n">
        <v>13.73</v>
      </c>
      <c r="V173" s="31" t="n">
        <v>18.58</v>
      </c>
      <c r="W173" s="31" t="n">
        <v>11.01</v>
      </c>
      <c r="X173" s="30" t="inlineStr">
        <is>
          <t>Cyclical in an Upturn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More than 20%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Yes</t>
        </is>
      </c>
      <c r="BS173" s="30">
        <f>IF(BR173="NO",5,0)</f>
        <v/>
      </c>
      <c r="BT173" s="30" t="inlineStr">
        <is>
          <t>Between 1.5 to 2</t>
        </is>
      </c>
      <c r="BU173" s="30">
        <f>IF(BT173="Above 2",0,IF(BT173="Between 1.5 to 2",5,IF(BT173="Less than 1.5",10,0)))</f>
        <v/>
      </c>
      <c r="BV173" s="30" t="inlineStr">
        <is>
          <t>Less than 50%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IF(B174=0,"",RANK(B174,$B$2:$B$361,0))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0" t="inlineStr">
        <is>
          <t>EIFFL</t>
        </is>
      </c>
      <c r="D174" s="30" t="inlineStr">
        <is>
          <t>Euro India Fresh Foods Ltd</t>
        </is>
      </c>
      <c r="E174" s="30" t="inlineStr">
        <is>
          <t>fmcg</t>
        </is>
      </c>
      <c r="F174" s="30" t="inlineStr">
        <is>
          <t>food - processing - indian</t>
        </is>
      </c>
      <c r="G174" s="30" t="inlineStr">
        <is>
          <t>smallcap</t>
        </is>
      </c>
      <c r="H174" s="31" t="n">
        <v>617.05</v>
      </c>
      <c r="I174" s="31" t="n">
        <v>298.57</v>
      </c>
      <c r="J174" s="31" t="n">
        <v>20</v>
      </c>
      <c r="K174" s="31" t="n">
        <v>329317</v>
      </c>
      <c r="L174" s="30" t="n">
        <v>50</v>
      </c>
      <c r="M174" s="30" t="inlineStr">
        <is>
          <t>Outperforming</t>
        </is>
      </c>
      <c r="N174" s="31">
        <f>IF(M174="Underperforming",-5,IF(L174&gt;=95,15,IF(L174&gt;=90,10,IF(L174&gt;=80,5,0))))</f>
        <v/>
      </c>
      <c r="O174" s="31" t="n">
        <v>69.87</v>
      </c>
      <c r="P174" s="31" t="n">
        <v>12</v>
      </c>
      <c r="Q174" s="31" t="n">
        <v>225.15</v>
      </c>
      <c r="R174" s="30" t="inlineStr">
        <is>
          <t>Volume Spike &amp; Near 52W High Breakout</t>
        </is>
      </c>
      <c r="S174" s="30" t="inlineStr">
        <is>
          <t>Nifty FMCG</t>
        </is>
      </c>
      <c r="T174" s="31" t="n">
        <v>-9.289999999999999</v>
      </c>
      <c r="U174" s="31" t="n">
        <v>39.49</v>
      </c>
      <c r="V174" s="31" t="n">
        <v>53.77</v>
      </c>
      <c r="W174" s="31" t="n">
        <v>13.18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No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B2C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Annuity, Lower One Time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0 to 20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Blue sky scenario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Between 1.5 to 2</t>
        </is>
      </c>
      <c r="BU174" s="30">
        <f>IF(BT174="Above 2",0,IF(BT174="Between 1.5 to 2",5,IF(BT174="Less than 1.5",10,0)))</f>
        <v/>
      </c>
      <c r="BV174" s="30" t="inlineStr">
        <is>
          <t>Between 50% to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Between 0.7 to 1.2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IF(B175=0,"",RANK(B175,$B$2:$B$361,0))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SASKEN</t>
        </is>
      </c>
      <c r="D175" s="30" t="inlineStr">
        <is>
          <t>Sasken Communication Technologies Limited</t>
        </is>
      </c>
      <c r="E175" s="30" t="inlineStr">
        <is>
          <t>i.t</t>
        </is>
      </c>
      <c r="F175" s="30" t="inlineStr">
        <is>
          <t>computers - software - medium / small</t>
        </is>
      </c>
      <c r="G175" s="30" t="inlineStr">
        <is>
          <t>smallcap</t>
        </is>
      </c>
      <c r="H175" s="31" t="n">
        <v>3323.41</v>
      </c>
      <c r="I175" s="31" t="n">
        <v>2407.2</v>
      </c>
      <c r="J175" s="31" t="n">
        <v>10</v>
      </c>
      <c r="K175" s="31" t="n">
        <v>63741</v>
      </c>
      <c r="L175" s="30" t="n">
        <v>92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76.47</v>
      </c>
      <c r="P175" s="31" t="n">
        <v>34.11</v>
      </c>
      <c r="Q175" s="31" t="n">
        <v>1773.44</v>
      </c>
      <c r="R175" s="30" t="inlineStr">
        <is>
          <t>Near 52W High Breakout</t>
        </is>
      </c>
      <c r="S175" s="30" t="inlineStr">
        <is>
          <t>Nifty IT</t>
        </is>
      </c>
      <c r="T175" s="31" t="n">
        <v>-26.11</v>
      </c>
      <c r="U175" s="31" t="n">
        <v>75.51000000000001</v>
      </c>
      <c r="V175" s="31" t="n">
        <v>137.54</v>
      </c>
      <c r="W175" s="31" t="n">
        <v>39.44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No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Yes</t>
        </is>
      </c>
      <c r="AQ175" s="30">
        <f>IF(AP175="Yes",10,0)</f>
        <v/>
      </c>
      <c r="AR175" s="30" t="inlineStr">
        <is>
          <t>Higher Annuity, Lower One Time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20 to 40</t>
        </is>
      </c>
      <c r="AY175" s="30">
        <f>IF(AX175="Above 40",20,IF(AX175="20 to 40",10,IF(AX175="0 to 20",-5,0)))</f>
        <v/>
      </c>
      <c r="AZ175" s="30" t="inlineStr">
        <is>
          <t>Above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Blue sky scenario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More than 20%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Yes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Negative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IF(B176=0,"",RANK(B176,$B$2:$B$361,0))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VIJAYA</t>
        </is>
      </c>
      <c r="D176" s="30" t="inlineStr">
        <is>
          <t>Vijaya Diagnostic Centre Ltd</t>
        </is>
      </c>
      <c r="E176" s="30" t="inlineStr">
        <is>
          <t>healthcare</t>
        </is>
      </c>
      <c r="F176" s="30" t="inlineStr">
        <is>
          <t>healthcare</t>
        </is>
      </c>
      <c r="G176" s="30" t="inlineStr">
        <is>
          <t>midcap</t>
        </is>
      </c>
      <c r="H176" s="31" t="n">
        <v>13362.17</v>
      </c>
      <c r="I176" s="31" t="n">
        <v>1299.5</v>
      </c>
      <c r="J176" s="31" t="n">
        <v>0.07000000000000001</v>
      </c>
      <c r="K176" s="31" t="n">
        <v>122820</v>
      </c>
      <c r="L176" s="30" t="n">
        <v>63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63.74</v>
      </c>
      <c r="P176" s="31" t="n">
        <v>34.88</v>
      </c>
      <c r="Q176" s="31" t="n">
        <v>1088.25</v>
      </c>
      <c r="R176" s="30" t="inlineStr">
        <is>
          <t>Earnings / Momentum Support</t>
        </is>
      </c>
      <c r="S176" s="30" t="inlineStr">
        <is>
          <t>Nifty Pharma</t>
        </is>
      </c>
      <c r="T176" s="31" t="n">
        <v>11.72</v>
      </c>
      <c r="U176" s="31" t="n">
        <v>39.97</v>
      </c>
      <c r="V176" s="31" t="n">
        <v>25.29</v>
      </c>
      <c r="W176" s="31" t="n">
        <v>17.25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Yes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No</t>
        </is>
      </c>
      <c r="AQ176" s="30">
        <f>IF(AP176="Yes",10,0)</f>
        <v/>
      </c>
      <c r="AR176" s="30" t="inlineStr">
        <is>
          <t>Higher Annuity, Lower One Time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20 to 40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IF(B177=0,"",RANK(B177,$B$2:$B$361,0))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LAURUSLABS</t>
        </is>
      </c>
      <c r="D177" s="30" t="inlineStr">
        <is>
          <t>Laurus Labs Limited</t>
        </is>
      </c>
      <c r="E177" s="30" t="inlineStr">
        <is>
          <t>healthcare</t>
        </is>
      </c>
      <c r="F177" s="30" t="inlineStr">
        <is>
          <t>pharmaceuticals - indian - bulk drugs &amp; formln</t>
        </is>
      </c>
      <c r="G177" s="30" t="inlineStr">
        <is>
          <t>largecap</t>
        </is>
      </c>
      <c r="H177" s="31" t="n">
        <v>74305.86</v>
      </c>
      <c r="I177" s="31" t="n">
        <v>1369.8</v>
      </c>
      <c r="J177" s="31" t="n">
        <v>-0.48</v>
      </c>
      <c r="K177" s="31" t="n">
        <v>1070660</v>
      </c>
      <c r="L177" s="30" t="n">
        <v>81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69.92</v>
      </c>
      <c r="P177" s="31" t="n">
        <v>36.07</v>
      </c>
      <c r="Q177" s="31" t="n">
        <v>1223.39</v>
      </c>
      <c r="R177" s="30" t="inlineStr">
        <is>
          <t>Earnings / Momentum Support</t>
        </is>
      </c>
      <c r="S177" s="30" t="inlineStr">
        <is>
          <t>Nifty Pharma</t>
        </is>
      </c>
      <c r="T177" s="31" t="n">
        <v>11.72</v>
      </c>
      <c r="U177" s="31" t="n">
        <v>110.8</v>
      </c>
      <c r="V177" s="31" t="n">
        <v>88.68000000000001</v>
      </c>
      <c r="W177" s="31" t="n">
        <v>25.53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Yes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Annuity, Lower One Time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Between 12 to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Above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IF(B178=0,"",RANK(B178,$B$2:$B$361,0))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SAREGAMA</t>
        </is>
      </c>
      <c r="D178" s="30" t="inlineStr">
        <is>
          <t>Saregama India Limited</t>
        </is>
      </c>
      <c r="E178" s="30" t="inlineStr">
        <is>
          <t>media</t>
        </is>
      </c>
      <c r="F178" s="30" t="inlineStr">
        <is>
          <t>entertainment / electronic media software</t>
        </is>
      </c>
      <c r="G178" s="30" t="inlineStr">
        <is>
          <t>midcap</t>
        </is>
      </c>
      <c r="H178" s="31" t="n">
        <v>8956.959999999999</v>
      </c>
      <c r="I178" s="31" t="n">
        <v>453.4</v>
      </c>
      <c r="J178" s="31" t="n">
        <v>-2.4</v>
      </c>
      <c r="K178" s="31" t="n">
        <v>478075</v>
      </c>
      <c r="L178" s="30" t="n">
        <v>22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64.66</v>
      </c>
      <c r="P178" s="31" t="n">
        <v>24.83</v>
      </c>
      <c r="Q178" s="31" t="n">
        <v>368.39</v>
      </c>
      <c r="R178" s="30" t="inlineStr">
        <is>
          <t>Earnings / Momentum Support</t>
        </is>
      </c>
      <c r="S178" s="30" t="inlineStr">
        <is>
          <t>Nifty IT</t>
        </is>
      </c>
      <c r="T178" s="31" t="n">
        <v>-26.11</v>
      </c>
      <c r="U178" s="31" t="n">
        <v>-8.279999999999999</v>
      </c>
      <c r="V178" s="31" t="n">
        <v>24.14</v>
      </c>
      <c r="W178" s="31" t="n">
        <v>6.45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Annuity, Lower One Time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Between 1.5 to 2</t>
        </is>
      </c>
      <c r="BU178" s="30">
        <f>IF(BT178="Above 2",0,IF(BT178="Between 1.5 to 2",5,IF(BT178="Less than 1.5",10,0)))</f>
        <v/>
      </c>
      <c r="BV178" s="30" t="inlineStr">
        <is>
          <t>Less than 50%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IF(B179=0,"",RANK(B179,$B$2:$B$361,0))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DATAPATTNS</t>
        </is>
      </c>
      <c r="D179" s="30" t="inlineStr">
        <is>
          <t>Data Patterns (India) Ltd</t>
        </is>
      </c>
      <c r="E179" s="30" t="inlineStr">
        <is>
          <t>aerospace &amp; defence</t>
        </is>
      </c>
      <c r="F179" s="30" t="inlineStr">
        <is>
          <t>electronics - components</t>
        </is>
      </c>
      <c r="G179" s="30" t="inlineStr">
        <is>
          <t>largecap</t>
        </is>
      </c>
      <c r="H179" s="31" t="n">
        <v>25065.7</v>
      </c>
      <c r="I179" s="31" t="n">
        <v>4769.6</v>
      </c>
      <c r="J179" s="31" t="n">
        <v>6.53</v>
      </c>
      <c r="K179" s="31" t="n">
        <v>2233651</v>
      </c>
      <c r="L179" s="30" t="n">
        <v>74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76.44</v>
      </c>
      <c r="P179" s="31" t="n">
        <v>29.87</v>
      </c>
      <c r="Q179" s="31" t="n">
        <v>3518.7</v>
      </c>
      <c r="R179" s="30" t="inlineStr">
        <is>
          <t>Near 52W High Breakout</t>
        </is>
      </c>
      <c r="S179" s="30" t="inlineStr">
        <is>
          <t>Nifty 50</t>
        </is>
      </c>
      <c r="T179" s="31" t="n">
        <v>-4.09</v>
      </c>
      <c r="U179" s="31" t="n">
        <v>61.74</v>
      </c>
      <c r="V179" s="31" t="n">
        <v>68.63</v>
      </c>
      <c r="W179" s="31" t="n">
        <v>21.6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20 to 40</t>
        </is>
      </c>
      <c r="AY179" s="30">
        <f>IF(AX179="Above 40",20,IF(AX179="20 to 40",10,IF(AX179="0 to 20",-5,0)))</f>
        <v/>
      </c>
      <c r="AZ179" s="30" t="inlineStr">
        <is>
          <t>Above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Blue sky scenario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Yes</t>
        </is>
      </c>
      <c r="BS179" s="30">
        <f>IF(BR179="NO",5,0)</f>
        <v/>
      </c>
      <c r="BT179" s="30" t="inlineStr">
        <is>
          <t>Above 2</t>
        </is>
      </c>
      <c r="BU179" s="30">
        <f>IF(BT179="Above 2",0,IF(BT179="Between 1.5 to 2",5,IF(BT179="Less than 1.5",10,0)))</f>
        <v/>
      </c>
      <c r="BV179" s="30" t="inlineStr">
        <is>
          <t>Less than 50%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Less than 0.7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IF(B180=0,"",RANK(B180,$B$2:$B$361,0))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PANSARI</t>
        </is>
      </c>
      <c r="D180" s="30" t="inlineStr">
        <is>
          <t>Pansari Developers Ltd</t>
        </is>
      </c>
      <c r="E180" s="30" t="inlineStr">
        <is>
          <t>realty</t>
        </is>
      </c>
      <c r="F180" s="30" t="inlineStr">
        <is>
          <t>construction</t>
        </is>
      </c>
      <c r="G180" s="30" t="inlineStr">
        <is>
          <t>smallcap</t>
        </is>
      </c>
      <c r="H180" s="31" t="n">
        <v>511.28</v>
      </c>
      <c r="I180" s="31" t="n">
        <v>309.7</v>
      </c>
      <c r="J180" s="31" t="n">
        <v>5.68</v>
      </c>
      <c r="K180" s="31" t="n">
        <v>199435</v>
      </c>
      <c r="L180" s="30" t="n">
        <v>32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55.31</v>
      </c>
      <c r="P180" s="31" t="n">
        <v>19.33</v>
      </c>
      <c r="Q180" s="31" t="n">
        <v>211.19</v>
      </c>
      <c r="R180" s="30" t="inlineStr">
        <is>
          <t>Volume Spike &amp; Near 52W High Breakout</t>
        </is>
      </c>
      <c r="S180" s="30" t="inlineStr">
        <is>
          <t>Nifty Realty</t>
        </is>
      </c>
      <c r="T180" s="31" t="n">
        <v>-19.64</v>
      </c>
      <c r="U180" s="31" t="n">
        <v>32.95</v>
      </c>
      <c r="V180" s="31" t="n">
        <v>65.43000000000001</v>
      </c>
      <c r="W180" s="31" t="n">
        <v>8.69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0 to 20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Blue sky scenario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Negative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IF(B181=0,"",RANK(B181,$B$2:$B$361,0))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SPECTRUM</t>
        </is>
      </c>
      <c r="D181" s="30" t="inlineStr">
        <is>
          <t>Spectrum Electrical Industries Ltd</t>
        </is>
      </c>
      <c r="E181" s="30" t="inlineStr">
        <is>
          <t>industrials</t>
        </is>
      </c>
      <c r="F181" s="30" t="inlineStr">
        <is>
          <t>electric equipment</t>
        </is>
      </c>
      <c r="G181" s="30" t="inlineStr">
        <is>
          <t>smallcap</t>
        </is>
      </c>
      <c r="H181" s="31" t="n">
        <v>2457.96</v>
      </c>
      <c r="I181" s="31" t="n">
        <v>1644.6</v>
      </c>
      <c r="J181" s="31" t="n">
        <v>5.14</v>
      </c>
      <c r="K181" s="31" t="n">
        <v>32463</v>
      </c>
      <c r="L181" s="30" t="n">
        <v>20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59.76</v>
      </c>
      <c r="P181" s="31" t="n">
        <v>28.24</v>
      </c>
      <c r="Q181" s="31" t="n">
        <v>1208.84</v>
      </c>
      <c r="R181" s="30" t="inlineStr">
        <is>
          <t>Earnings / Momentum Support</t>
        </is>
      </c>
      <c r="S181" s="30" t="inlineStr">
        <is>
          <t>Nifty Infra</t>
        </is>
      </c>
      <c r="T181" s="31" t="n">
        <v>3.72</v>
      </c>
      <c r="U181" s="31" t="n">
        <v>12.7</v>
      </c>
      <c r="V181" s="31" t="n">
        <v>8.66</v>
      </c>
      <c r="W181" s="31" t="n">
        <v>5.96</v>
      </c>
      <c r="X181" s="30" t="inlineStr">
        <is>
          <t>Cyclical in an Upturn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Above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Between 0.7 to 1.2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IF(B182=0,"",RANK(B182,$B$2:$B$361,0))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2" t="inlineStr">
        <is>
          <t>JINDALSAW</t>
        </is>
      </c>
      <c r="D182" s="32" t="inlineStr">
        <is>
          <t>Jindal Saw Limited</t>
        </is>
      </c>
      <c r="E182" s="30" t="inlineStr">
        <is>
          <t>industrials</t>
        </is>
      </c>
      <c r="F182" s="30" t="inlineStr">
        <is>
          <t>steel - large</t>
        </is>
      </c>
      <c r="G182" s="30" t="inlineStr">
        <is>
          <t>midcap</t>
        </is>
      </c>
      <c r="H182" s="31" t="n">
        <v>15854.05</v>
      </c>
      <c r="I182" s="31" t="n">
        <v>258.48</v>
      </c>
      <c r="J182" s="31" t="n">
        <v>4.26</v>
      </c>
      <c r="K182" s="31" t="n">
        <v>2835731</v>
      </c>
      <c r="L182" s="30" t="n">
        <v>41</v>
      </c>
      <c r="M182" s="30" t="inlineStr">
        <is>
          <t>Underperforming</t>
        </is>
      </c>
      <c r="N182" s="31">
        <f>IF(M182="Underperforming",-5,IF(L182&gt;=95,15,IF(L182&gt;=90,10,IF(L182&gt;=80,5,0))))</f>
        <v/>
      </c>
      <c r="O182" s="31" t="n">
        <v>63.99</v>
      </c>
      <c r="P182" s="31" t="n">
        <v>30.72</v>
      </c>
      <c r="Q182" s="31" t="n">
        <v>192.06</v>
      </c>
      <c r="R182" s="30" t="inlineStr">
        <is>
          <t>Near 52W High Breakout</t>
        </is>
      </c>
      <c r="S182" s="30" t="inlineStr">
        <is>
          <t>Nifty Metal</t>
        </is>
      </c>
      <c r="T182" s="31" t="n">
        <v>42.38</v>
      </c>
      <c r="U182" s="31" t="n">
        <v>8.91</v>
      </c>
      <c r="V182" s="31" t="n">
        <v>-23.51</v>
      </c>
      <c r="W182" s="31" t="n">
        <v>10.77</v>
      </c>
      <c r="X182" s="30" t="inlineStr">
        <is>
          <t>Cyclical in an Upturn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Less than 12%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Above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IF(B183=0,"",RANK(B183,$B$2:$B$361,0))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INOXINDIA</t>
        </is>
      </c>
      <c r="D183" s="30" t="inlineStr">
        <is>
          <t>Inox India Ltd</t>
        </is>
      </c>
      <c r="E183" s="30" t="inlineStr">
        <is>
          <t>industrials</t>
        </is>
      </c>
      <c r="F183" s="30" t="inlineStr">
        <is>
          <t>packaging</t>
        </is>
      </c>
      <c r="G183" s="30" t="inlineStr">
        <is>
          <t>midcap</t>
        </is>
      </c>
      <c r="H183" s="31" t="n">
        <v>16696.85</v>
      </c>
      <c r="I183" s="31" t="n">
        <v>1915.1</v>
      </c>
      <c r="J183" s="31" t="n">
        <v>4.1</v>
      </c>
      <c r="K183" s="31" t="n">
        <v>415966</v>
      </c>
      <c r="L183" s="30" t="n">
        <v>79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83.94</v>
      </c>
      <c r="P183" s="31" t="n">
        <v>56.99</v>
      </c>
      <c r="Q183" s="31" t="n">
        <v>1498.37</v>
      </c>
      <c r="R183" s="30" t="inlineStr">
        <is>
          <t>Near 52W High Breakout</t>
        </is>
      </c>
      <c r="S183" s="30" t="inlineStr">
        <is>
          <t>Nifty 50</t>
        </is>
      </c>
      <c r="T183" s="31" t="n">
        <v>-4.09</v>
      </c>
      <c r="U183" s="31" t="n">
        <v>62.07</v>
      </c>
      <c r="V183" s="31" t="n">
        <v>68.97</v>
      </c>
      <c r="W183" s="31" t="n">
        <v>25.02</v>
      </c>
      <c r="X183" s="30" t="inlineStr">
        <is>
          <t>Cyclical in an Upturn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Above 40</t>
        </is>
      </c>
      <c r="AY183" s="30">
        <f>IF(AX183="Above 40",20,IF(AX183="20 to 40",10,IF(AX183="0 to 20",-5,0)))</f>
        <v/>
      </c>
      <c r="AZ183" s="30" t="inlineStr">
        <is>
          <t>Above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Blue sky scenario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Between 12 to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Less than 50%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IF(B184=0,"",RANK(B184,$B$2:$B$361,0))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FCL</t>
        </is>
      </c>
      <c r="D184" s="30" t="inlineStr">
        <is>
          <t>Fineotex Chemical Limited</t>
        </is>
      </c>
      <c r="E184" s="30" t="inlineStr">
        <is>
          <t>chemicals</t>
        </is>
      </c>
      <c r="F184" s="30" t="inlineStr">
        <is>
          <t>chemicals</t>
        </is>
      </c>
      <c r="G184" s="30" t="inlineStr">
        <is>
          <t>midcap</t>
        </is>
      </c>
      <c r="H184" s="31" t="n">
        <v>5042.29</v>
      </c>
      <c r="I184" s="31" t="n">
        <v>44.83</v>
      </c>
      <c r="J184" s="31" t="n">
        <v>3.53</v>
      </c>
      <c r="K184" s="31" t="n">
        <v>23869214</v>
      </c>
      <c r="L184" s="30" t="n">
        <v>91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77.34</v>
      </c>
      <c r="P184" s="31" t="n">
        <v>34.11</v>
      </c>
      <c r="Q184" s="31" t="n">
        <v>33.24</v>
      </c>
      <c r="R184" s="30" t="inlineStr">
        <is>
          <t>Near 52W High Breakout</t>
        </is>
      </c>
      <c r="S184" s="30" t="inlineStr">
        <is>
          <t>Nifty 50</t>
        </is>
      </c>
      <c r="T184" s="31" t="n">
        <v>-4.09</v>
      </c>
      <c r="U184" s="31" t="n">
        <v>62.22</v>
      </c>
      <c r="V184" s="31" t="n">
        <v>69.13</v>
      </c>
      <c r="W184" s="31" t="n">
        <v>37.95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Above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Blue sky scenario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More than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Negative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IF(B185=0,"",RANK(B185,$B$2:$B$361,0))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TITAGARH</t>
        </is>
      </c>
      <c r="D185" s="30" t="inlineStr">
        <is>
          <t>Titagarh Rail Systems Ltd</t>
        </is>
      </c>
      <c r="E185" s="30" t="inlineStr">
        <is>
          <t>industrials</t>
        </is>
      </c>
      <c r="F185" s="30" t="inlineStr">
        <is>
          <t>engineering</t>
        </is>
      </c>
      <c r="G185" s="30" t="inlineStr">
        <is>
          <t>midcap</t>
        </is>
      </c>
      <c r="H185" s="31" t="n">
        <v>12045.9</v>
      </c>
      <c r="I185" s="31" t="n">
        <v>920.4</v>
      </c>
      <c r="J185" s="31" t="n">
        <v>2.9</v>
      </c>
      <c r="K185" s="31" t="n">
        <v>2177474</v>
      </c>
      <c r="L185" s="30" t="n">
        <v>51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64.39</v>
      </c>
      <c r="P185" s="31" t="n">
        <v>21.93</v>
      </c>
      <c r="Q185" s="31" t="n">
        <v>718.04</v>
      </c>
      <c r="R185" s="30" t="inlineStr">
        <is>
          <t>Near 52W High Breakout</t>
        </is>
      </c>
      <c r="S185" s="30" t="inlineStr">
        <is>
          <t>Nifty 50</t>
        </is>
      </c>
      <c r="T185" s="31" t="n">
        <v>-4.09</v>
      </c>
      <c r="U185" s="31" t="n">
        <v>6.41</v>
      </c>
      <c r="V185" s="31" t="n">
        <v>10.95</v>
      </c>
      <c r="W185" s="31" t="n">
        <v>13.26</v>
      </c>
      <c r="X185" s="30" t="inlineStr">
        <is>
          <t>Cyclical in an Upturn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Less than 12%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Above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IF(B186=0,"",RANK(B186,$B$2:$B$361,0))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VINDHYATEL</t>
        </is>
      </c>
      <c r="D186" s="30" t="inlineStr">
        <is>
          <t>Vindhya Telelinks Limited</t>
        </is>
      </c>
      <c r="E186" s="30" t="inlineStr">
        <is>
          <t>realty</t>
        </is>
      </c>
      <c r="F186" s="30" t="inlineStr">
        <is>
          <t>construction</t>
        </is>
      </c>
      <c r="G186" s="30" t="inlineStr">
        <is>
          <t>smallcap</t>
        </is>
      </c>
      <c r="H186" s="31" t="n">
        <v>2559.79</v>
      </c>
      <c r="I186" s="31" t="n">
        <v>2204.5</v>
      </c>
      <c r="J186" s="31" t="n">
        <v>2.06</v>
      </c>
      <c r="K186" s="31" t="n">
        <v>81054</v>
      </c>
      <c r="L186" s="30" t="n">
        <v>90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68.45</v>
      </c>
      <c r="P186" s="31" t="n">
        <v>37.58</v>
      </c>
      <c r="Q186" s="31" t="n">
        <v>1542.98</v>
      </c>
      <c r="R186" s="30" t="inlineStr">
        <is>
          <t>Near 52W High Breakout</t>
        </is>
      </c>
      <c r="S186" s="30" t="inlineStr">
        <is>
          <t>Nifty Realty</t>
        </is>
      </c>
      <c r="T186" s="31" t="n">
        <v>-19.64</v>
      </c>
      <c r="U186" s="31" t="n">
        <v>30.93</v>
      </c>
      <c r="V186" s="31" t="n">
        <v>62.92</v>
      </c>
      <c r="W186" s="31" t="n">
        <v>34.88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Less than 12%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No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Negative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IF(B187=0,"",RANK(B187,$B$2:$B$361,0))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BOROSCI</t>
        </is>
      </c>
      <c r="D187" s="30" t="inlineStr">
        <is>
          <t>Borosil Scientific Ltd</t>
        </is>
      </c>
      <c r="E187" s="30" t="inlineStr">
        <is>
          <t>building materials</t>
        </is>
      </c>
      <c r="F187" s="30" t="inlineStr">
        <is>
          <t>glass &amp; glass products</t>
        </is>
      </c>
      <c r="G187" s="30" t="inlineStr">
        <is>
          <t>smallcap</t>
        </is>
      </c>
      <c r="H187" s="31" t="n">
        <v>1378.95</v>
      </c>
      <c r="I187" s="31" t="n">
        <v>156.45</v>
      </c>
      <c r="J187" s="31" t="n">
        <v>0.92</v>
      </c>
      <c r="K187" s="31" t="n">
        <v>117785</v>
      </c>
      <c r="L187" s="30" t="n">
        <v>58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71.23</v>
      </c>
      <c r="P187" s="31" t="n">
        <v>23.95</v>
      </c>
      <c r="Q187" s="31" t="n">
        <v>119.85</v>
      </c>
      <c r="R187" s="30" t="inlineStr">
        <is>
          <t>Earnings / Momentum Support</t>
        </is>
      </c>
      <c r="S187" s="30" t="inlineStr">
        <is>
          <t>Nifty Infra</t>
        </is>
      </c>
      <c r="T187" s="31" t="n">
        <v>3.72</v>
      </c>
      <c r="U187" s="31" t="n">
        <v>13.03</v>
      </c>
      <c r="V187" s="31" t="n">
        <v>8.970000000000001</v>
      </c>
      <c r="W187" s="31" t="n">
        <v>14.61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No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20 to 40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Above 2</t>
        </is>
      </c>
      <c r="BU187" s="30">
        <f>IF(BT187="Above 2",0,IF(BT187="Between 1.5 to 2",5,IF(BT187="Less than 1.5",10,0)))</f>
        <v/>
      </c>
      <c r="BV187" s="30" t="inlineStr">
        <is>
          <t>Between 50% to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IF(B188=0,"",RANK(B188,$B$2:$B$361,0))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MGEL</t>
        </is>
      </c>
      <c r="D188" s="30" t="inlineStr">
        <is>
          <t>Mangalam Global Enterprise Ltd</t>
        </is>
      </c>
      <c r="E188" s="30" t="inlineStr">
        <is>
          <t>services</t>
        </is>
      </c>
      <c r="F188" s="30" t="inlineStr">
        <is>
          <t>trading</t>
        </is>
      </c>
      <c r="G188" s="30" t="inlineStr">
        <is>
          <t>smallcap</t>
        </is>
      </c>
      <c r="H188" s="31" t="n">
        <v>540.14</v>
      </c>
      <c r="I188" s="31" t="n">
        <v>16.43</v>
      </c>
      <c r="J188" s="31" t="n">
        <v>0.24</v>
      </c>
      <c r="K188" s="31" t="n">
        <v>258229</v>
      </c>
      <c r="L188" s="30" t="n">
        <v>62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66.36</v>
      </c>
      <c r="P188" s="31" t="n">
        <v>29.41</v>
      </c>
      <c r="Q188" s="31" t="n">
        <v>11.65</v>
      </c>
      <c r="R188" s="30" t="inlineStr">
        <is>
          <t>Earnings / Momentum Support</t>
        </is>
      </c>
      <c r="S188" s="30" t="inlineStr">
        <is>
          <t>Nifty 50</t>
        </is>
      </c>
      <c r="T188" s="31" t="n">
        <v>-4.09</v>
      </c>
      <c r="U188" s="31" t="n">
        <v>12.14</v>
      </c>
      <c r="V188" s="31" t="n">
        <v>16.92</v>
      </c>
      <c r="W188" s="31" t="n">
        <v>17.04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No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Above 2</t>
        </is>
      </c>
      <c r="BU188" s="30">
        <f>IF(BT188="Above 2",0,IF(BT188="Between 1.5 to 2",5,IF(BT188="Less than 1.5",10,0)))</f>
        <v/>
      </c>
      <c r="BV188" s="30" t="inlineStr">
        <is>
          <t>Above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Between 0.7 to 1.2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IF(B189=0,"",RANK(B189,$B$2:$B$361,0))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TIRUPATIFL</t>
        </is>
      </c>
      <c r="D189" s="30" t="inlineStr">
        <is>
          <t>Tirupati Forge Ltd</t>
        </is>
      </c>
      <c r="E189" s="30" t="inlineStr">
        <is>
          <t>industrials</t>
        </is>
      </c>
      <c r="F189" s="30" t="inlineStr">
        <is>
          <t>castings &amp; forgings</t>
        </is>
      </c>
      <c r="G189" s="30" t="inlineStr">
        <is>
          <t>smallcap</t>
        </is>
      </c>
      <c r="H189" s="31" t="n">
        <v>616.88</v>
      </c>
      <c r="I189" s="31" t="n">
        <v>47.83</v>
      </c>
      <c r="J189" s="31" t="n">
        <v>0.17</v>
      </c>
      <c r="K189" s="31" t="n">
        <v>141977</v>
      </c>
      <c r="L189" s="30" t="n">
        <v>14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60.96</v>
      </c>
      <c r="P189" s="31" t="n">
        <v>30.61</v>
      </c>
      <c r="Q189" s="31" t="n">
        <v>32.74</v>
      </c>
      <c r="R189" s="30" t="inlineStr">
        <is>
          <t>Near 52W High Breakout</t>
        </is>
      </c>
      <c r="S189" s="30" t="inlineStr">
        <is>
          <t>Nifty 50</t>
        </is>
      </c>
      <c r="T189" s="31" t="n">
        <v>-4.09</v>
      </c>
      <c r="U189" s="31" t="n">
        <v>12.86</v>
      </c>
      <c r="V189" s="31" t="n">
        <v>17.67</v>
      </c>
      <c r="W189" s="31" t="n">
        <v>4.9</v>
      </c>
      <c r="X189" s="30" t="inlineStr">
        <is>
          <t>Cyclical in an Upturn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IF(B190=0,"",RANK(B190,$B$2:$B$361,0))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PREMIERENE</t>
        </is>
      </c>
      <c r="D190" s="30" t="inlineStr">
        <is>
          <t>Premier Energies Ltd</t>
        </is>
      </c>
      <c r="E190" s="30" t="inlineStr">
        <is>
          <t>services</t>
        </is>
      </c>
      <c r="F190" s="30" t="inlineStr">
        <is>
          <t>trading</t>
        </is>
      </c>
      <c r="G190" s="30" t="inlineStr">
        <is>
          <t>largecap</t>
        </is>
      </c>
      <c r="H190" s="31" t="n">
        <v>47804.5</v>
      </c>
      <c r="I190" s="31" t="n">
        <v>1055.8</v>
      </c>
      <c r="J190" s="31" t="n">
        <v>0.05</v>
      </c>
      <c r="K190" s="31" t="n">
        <v>741569</v>
      </c>
      <c r="L190" s="30" t="n">
        <v>19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61.25</v>
      </c>
      <c r="P190" s="31" t="n">
        <v>17.37</v>
      </c>
      <c r="Q190" s="31" t="n">
        <v>853.8</v>
      </c>
      <c r="R190" s="30" t="inlineStr">
        <is>
          <t>Near 52W High Breakout</t>
        </is>
      </c>
      <c r="S190" s="30" t="inlineStr">
        <is>
          <t>Nifty 50</t>
        </is>
      </c>
      <c r="T190" s="31" t="n">
        <v>-4.09</v>
      </c>
      <c r="U190" s="31" t="n">
        <v>2.82</v>
      </c>
      <c r="V190" s="31" t="n">
        <v>7.2</v>
      </c>
      <c r="W190" s="31" t="n">
        <v>5.71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0 to 20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Between 50% to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Between 0.7 to 1.2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IF(B191=0,"",RANK(B191,$B$2:$B$361,0))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2" t="inlineStr">
        <is>
          <t>EXIDEIND</t>
        </is>
      </c>
      <c r="D191" s="32" t="inlineStr">
        <is>
          <t>Exide Industries Limited</t>
        </is>
      </c>
      <c r="E191" s="30" t="inlineStr">
        <is>
          <t>auto</t>
        </is>
      </c>
      <c r="F191" s="30" t="inlineStr">
        <is>
          <t>auto ancillaries</t>
        </is>
      </c>
      <c r="G191" s="30" t="inlineStr">
        <is>
          <t>largecap</t>
        </is>
      </c>
      <c r="H191" s="31" t="n">
        <v>33026.75</v>
      </c>
      <c r="I191" s="31" t="n">
        <v>388.4</v>
      </c>
      <c r="J191" s="31" t="n">
        <v>-0.04</v>
      </c>
      <c r="K191" s="31" t="n">
        <v>1037390</v>
      </c>
      <c r="L191" s="30" t="n">
        <v>25</v>
      </c>
      <c r="M191" s="30" t="inlineStr">
        <is>
          <t>Underperforming</t>
        </is>
      </c>
      <c r="N191" s="31">
        <f>IF(M191="Underperforming",-5,IF(L191&gt;=95,15,IF(L191&gt;=90,10,IF(L191&gt;=80,5,0))))</f>
        <v/>
      </c>
      <c r="O191" s="31" t="n">
        <v>61.1</v>
      </c>
      <c r="P191" s="31" t="n">
        <v>29.5</v>
      </c>
      <c r="Q191" s="31" t="n">
        <v>330.17</v>
      </c>
      <c r="R191" s="30" t="inlineStr">
        <is>
          <t>Earnings / Momentum Support</t>
        </is>
      </c>
      <c r="S191" s="30" t="inlineStr">
        <is>
          <t>Nifty Auto</t>
        </is>
      </c>
      <c r="T191" s="31" t="n">
        <v>12.86</v>
      </c>
      <c r="U191" s="31" t="n">
        <v>2.68</v>
      </c>
      <c r="V191" s="31" t="n">
        <v>-9.02</v>
      </c>
      <c r="W191" s="31" t="n">
        <v>7.44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No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Between 12 to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Above 2</t>
        </is>
      </c>
      <c r="BU191" s="30">
        <f>IF(BT191="Above 2",0,IF(BT191="Between 1.5 to 2",5,IF(BT191="Less than 1.5",10,0)))</f>
        <v/>
      </c>
      <c r="BV191" s="30" t="inlineStr">
        <is>
          <t>Above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IF(B192=0,"",RANK(B192,$B$2:$B$361,0))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FILATEX</t>
        </is>
      </c>
      <c r="D192" s="30" t="inlineStr">
        <is>
          <t>Filatex India Limited</t>
        </is>
      </c>
      <c r="E192" s="30" t="inlineStr">
        <is>
          <t>textiles</t>
        </is>
      </c>
      <c r="F192" s="30" t="inlineStr">
        <is>
          <t>textiles - manmade</t>
        </is>
      </c>
      <c r="G192" s="30" t="inlineStr">
        <is>
          <t>smallcap</t>
        </is>
      </c>
      <c r="H192" s="31" t="n">
        <v>2361.06</v>
      </c>
      <c r="I192" s="31" t="n">
        <v>53.1</v>
      </c>
      <c r="J192" s="31" t="n">
        <v>-0.13</v>
      </c>
      <c r="K192" s="31" t="n">
        <v>718482</v>
      </c>
      <c r="L192" s="30" t="n">
        <v>27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60.78</v>
      </c>
      <c r="P192" s="31" t="n">
        <v>17.84</v>
      </c>
      <c r="Q192" s="31" t="n">
        <v>39.14</v>
      </c>
      <c r="R192" s="30" t="inlineStr">
        <is>
          <t>Earnings / Momentum Support</t>
        </is>
      </c>
      <c r="S192" s="30" t="inlineStr">
        <is>
          <t>Nifty 50</t>
        </is>
      </c>
      <c r="T192" s="31" t="n">
        <v>-4.09</v>
      </c>
      <c r="U192" s="31" t="n">
        <v>1.2</v>
      </c>
      <c r="V192" s="31" t="n">
        <v>5.52</v>
      </c>
      <c r="W192" s="31" t="n">
        <v>7.76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0 to 20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Between 12 to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Less than 1.5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IF(B193=0,"",RANK(B193,$B$2:$B$361,0))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ELGIEQUIP</t>
        </is>
      </c>
      <c r="D193" s="30" t="inlineStr">
        <is>
          <t>Elgi Equipments Limited</t>
        </is>
      </c>
      <c r="E193" s="30" t="inlineStr">
        <is>
          <t>industrials</t>
        </is>
      </c>
      <c r="F193" s="30" t="inlineStr">
        <is>
          <t>compressors / drilling equipment</t>
        </is>
      </c>
      <c r="G193" s="30" t="inlineStr">
        <is>
          <t>midcap</t>
        </is>
      </c>
      <c r="H193" s="31" t="n">
        <v>19055.74</v>
      </c>
      <c r="I193" s="31" t="n">
        <v>600.1</v>
      </c>
      <c r="J193" s="31" t="n">
        <v>-0.2</v>
      </c>
      <c r="K193" s="31" t="n">
        <v>270122</v>
      </c>
      <c r="L193" s="30" t="n">
        <v>34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64.05</v>
      </c>
      <c r="P193" s="31" t="n">
        <v>16.95</v>
      </c>
      <c r="Q193" s="31" t="n">
        <v>486.43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-4.09</v>
      </c>
      <c r="U193" s="31" t="n">
        <v>18.08</v>
      </c>
      <c r="V193" s="31" t="n">
        <v>23.11</v>
      </c>
      <c r="W193" s="31" t="n">
        <v>8.91</v>
      </c>
      <c r="X193" s="30" t="inlineStr">
        <is>
          <t>Cyclical in an Upturn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0 to 20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Between 1.5 to 2</t>
        </is>
      </c>
      <c r="BU193" s="30">
        <f>IF(BT193="Above 2",0,IF(BT193="Between 1.5 to 2",5,IF(BT193="Less than 1.5",10,0)))</f>
        <v/>
      </c>
      <c r="BV193" s="30" t="inlineStr">
        <is>
          <t>Above 70%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IF(B194=0,"",RANK(B194,$B$2:$B$361,0))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HONAUT</t>
        </is>
      </c>
      <c r="D194" s="30" t="inlineStr">
        <is>
          <t>Honeywell Automation India Limited</t>
        </is>
      </c>
      <c r="E194" s="30" t="inlineStr">
        <is>
          <t>consumer discretionary</t>
        </is>
      </c>
      <c r="F194" s="30" t="inlineStr">
        <is>
          <t>electronics - components</t>
        </is>
      </c>
      <c r="G194" s="30" t="inlineStr">
        <is>
          <t>largecap</t>
        </is>
      </c>
      <c r="H194" s="31" t="n">
        <v>32377.66</v>
      </c>
      <c r="I194" s="31" t="n">
        <v>36380</v>
      </c>
      <c r="J194" s="31" t="n">
        <v>-0.66</v>
      </c>
      <c r="K194" s="31" t="n">
        <v>5052</v>
      </c>
      <c r="L194" s="30" t="n">
        <v>21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60.63</v>
      </c>
      <c r="P194" s="31" t="n">
        <v>23.05</v>
      </c>
      <c r="Q194" s="31" t="n">
        <v>29477.29</v>
      </c>
      <c r="R194" s="30" t="inlineStr">
        <is>
          <t>Earnings / Momentum Support</t>
        </is>
      </c>
      <c r="S194" s="30" t="inlineStr">
        <is>
          <t>Nifty 50</t>
        </is>
      </c>
      <c r="T194" s="31" t="n">
        <v>-4.09</v>
      </c>
      <c r="U194" s="31" t="n">
        <v>-2.74</v>
      </c>
      <c r="V194" s="31" t="n">
        <v>1.4</v>
      </c>
      <c r="W194" s="31" t="n">
        <v>6.19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Between 12 to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IF(B195=0,"",RANK(B195,$B$2:$B$361,0))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FINEORG</t>
        </is>
      </c>
      <c r="D195" s="30" t="inlineStr">
        <is>
          <t>Fine Organic Industries Ltd</t>
        </is>
      </c>
      <c r="E195" s="30" t="inlineStr">
        <is>
          <t>chemicals</t>
        </is>
      </c>
      <c r="F195" s="30" t="inlineStr">
        <is>
          <t>chemicals</t>
        </is>
      </c>
      <c r="G195" s="30" t="inlineStr">
        <is>
          <t>midcap</t>
        </is>
      </c>
      <c r="H195" s="31" t="n">
        <v>15445.88</v>
      </c>
      <c r="I195" s="31" t="n">
        <v>4990.6</v>
      </c>
      <c r="J195" s="31" t="n">
        <v>-0.9399999999999999</v>
      </c>
      <c r="K195" s="31" t="n">
        <v>12732</v>
      </c>
      <c r="L195" s="30" t="n">
        <v>19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62.06</v>
      </c>
      <c r="P195" s="31" t="n">
        <v>11.38</v>
      </c>
      <c r="Q195" s="31" t="n">
        <v>4043.14</v>
      </c>
      <c r="R195" s="30" t="inlineStr">
        <is>
          <t>Earnings / Momentum Support</t>
        </is>
      </c>
      <c r="S195" s="30" t="inlineStr">
        <is>
          <t>Nifty 50</t>
        </is>
      </c>
      <c r="T195" s="31" t="n">
        <v>-4.09</v>
      </c>
      <c r="U195" s="31" t="n">
        <v>10.07</v>
      </c>
      <c r="V195" s="31" t="n">
        <v>14.77</v>
      </c>
      <c r="W195" s="31" t="n">
        <v>5.89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No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0 to 20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Between 1.5 to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IF(B196=0,"",RANK(B196,$B$2:$B$361,0))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CHENNPETRO</t>
        </is>
      </c>
      <c r="D196" s="30" t="inlineStr">
        <is>
          <t>Chennai Petroleum Corporation Limited</t>
        </is>
      </c>
      <c r="E196" s="30" t="inlineStr">
        <is>
          <t>energy</t>
        </is>
      </c>
      <c r="F196" s="30" t="inlineStr">
        <is>
          <t>refineries</t>
        </is>
      </c>
      <c r="G196" s="30" t="inlineStr">
        <is>
          <t>midcap</t>
        </is>
      </c>
      <c r="H196" s="31" t="n">
        <v>17622.18</v>
      </c>
      <c r="I196" s="31" t="n">
        <v>1165.1</v>
      </c>
      <c r="J196" s="31" t="n">
        <v>-1.55</v>
      </c>
      <c r="K196" s="31" t="n">
        <v>598555</v>
      </c>
      <c r="L196" s="30" t="n">
        <v>60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62.01</v>
      </c>
      <c r="P196" s="31" t="n">
        <v>45.67</v>
      </c>
      <c r="Q196" s="31" t="n">
        <v>875.34</v>
      </c>
      <c r="R196" s="30" t="inlineStr">
        <is>
          <t>Near 52W High Breakout</t>
        </is>
      </c>
      <c r="S196" s="30" t="inlineStr">
        <is>
          <t>Nifty Energy</t>
        </is>
      </c>
      <c r="T196" s="31" t="n">
        <v>13.03</v>
      </c>
      <c r="U196" s="31" t="n">
        <v>86.90000000000001</v>
      </c>
      <c r="V196" s="31" t="n">
        <v>65.36</v>
      </c>
      <c r="W196" s="31" t="n">
        <v>15.65</v>
      </c>
      <c r="X196" s="30" t="inlineStr">
        <is>
          <t>Cyclical in an Upturn</t>
        </is>
      </c>
      <c r="Y196" s="30">
        <f>IF(X196="Growing Industry",10,IF(X196="Cyclical in an Upturn",5,0))</f>
        <v/>
      </c>
      <c r="Z196" s="30" t="inlineStr">
        <is>
          <t>Oligopoly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Yes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Cyclical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Volatile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Above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Blue sky scenario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Between 50% to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IF(B197=0,"",RANK(B197,$B$2:$B$361,0))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MUNJALAU</t>
        </is>
      </c>
      <c r="D197" s="30" t="inlineStr">
        <is>
          <t>Munjal Auto Industries Limited</t>
        </is>
      </c>
      <c r="E197" s="30" t="inlineStr">
        <is>
          <t>auto</t>
        </is>
      </c>
      <c r="F197" s="30" t="inlineStr">
        <is>
          <t>auto ancillaries</t>
        </is>
      </c>
      <c r="G197" s="30" t="inlineStr">
        <is>
          <t>smallcap</t>
        </is>
      </c>
      <c r="H197" s="31" t="n">
        <v>987.9</v>
      </c>
      <c r="I197" s="31" t="n">
        <v>96.67</v>
      </c>
      <c r="J197" s="31" t="n">
        <v>-2.15</v>
      </c>
      <c r="K197" s="31" t="n">
        <v>226378</v>
      </c>
      <c r="L197" s="30" t="n">
        <v>50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65.41</v>
      </c>
      <c r="P197" s="31" t="n">
        <v>24.3</v>
      </c>
      <c r="Q197" s="31" t="n">
        <v>73.93000000000001</v>
      </c>
      <c r="R197" s="30" t="inlineStr">
        <is>
          <t>Earnings / Momentum Support</t>
        </is>
      </c>
      <c r="S197" s="30" t="inlineStr">
        <is>
          <t>Nifty Auto</t>
        </is>
      </c>
      <c r="T197" s="31" t="n">
        <v>12.86</v>
      </c>
      <c r="U197" s="31" t="n">
        <v>31.11</v>
      </c>
      <c r="V197" s="31" t="n">
        <v>16.17</v>
      </c>
      <c r="W197" s="31" t="n">
        <v>12.92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No</t>
        </is>
      </c>
      <c r="AQ197" s="30">
        <f>IF(AP197="Yes",10,0)</f>
        <v/>
      </c>
      <c r="AR197" s="30" t="inlineStr">
        <is>
          <t>Higher One Time, Lower Annuity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Less than 1.5</t>
        </is>
      </c>
      <c r="BU197" s="30">
        <f>IF(BT197="Above 2",0,IF(BT197="Between 1.5 to 2",5,IF(BT197="Less than 1.5",10,0)))</f>
        <v/>
      </c>
      <c r="BV197" s="30" t="inlineStr">
        <is>
          <t>Less than 50%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Between 0.7 to 1.2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IF(B198=0,"",RANK(B198,$B$2:$B$361,0))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RSWM</t>
        </is>
      </c>
      <c r="D198" s="30" t="inlineStr">
        <is>
          <t>Rswm Limited</t>
        </is>
      </c>
      <c r="E198" s="30" t="inlineStr">
        <is>
          <t>textiles</t>
        </is>
      </c>
      <c r="F198" s="30" t="inlineStr">
        <is>
          <t>textiles - cotton/blended</t>
        </is>
      </c>
      <c r="G198" s="30" t="inlineStr">
        <is>
          <t>smallcap</t>
        </is>
      </c>
      <c r="H198" s="31" t="n">
        <v>957.72</v>
      </c>
      <c r="I198" s="31" t="n">
        <v>193.12</v>
      </c>
      <c r="J198" s="31" t="n">
        <v>-5.02</v>
      </c>
      <c r="K198" s="31" t="n">
        <v>293211</v>
      </c>
      <c r="L198" s="30" t="n">
        <v>52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62.24</v>
      </c>
      <c r="P198" s="31" t="n">
        <v>25.52</v>
      </c>
      <c r="Q198" s="31" t="n">
        <v>153.97</v>
      </c>
      <c r="R198" s="30" t="inlineStr">
        <is>
          <t>Earnings / Momentum Support</t>
        </is>
      </c>
      <c r="S198" s="30" t="inlineStr">
        <is>
          <t>Nifty 50</t>
        </is>
      </c>
      <c r="T198" s="31" t="n">
        <v>-4.09</v>
      </c>
      <c r="U198" s="31" t="n">
        <v>14.65</v>
      </c>
      <c r="V198" s="31" t="n">
        <v>19.54</v>
      </c>
      <c r="W198" s="31" t="n">
        <v>13.76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One Time, Lower Annuity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No</t>
        </is>
      </c>
      <c r="BS198" s="30">
        <f>IF(BR198="NO",5,0)</f>
        <v/>
      </c>
      <c r="BT198" s="30" t="inlineStr">
        <is>
          <t>Less than 1.5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More than 1.2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IF(B199=0,"",RANK(B199,$B$2:$B$361,0))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NOVARTIND</t>
        </is>
      </c>
      <c r="D199" s="30" t="inlineStr">
        <is>
          <t>Novartis India Ltd</t>
        </is>
      </c>
      <c r="E199" s="30" t="inlineStr">
        <is>
          <t>healthcare</t>
        </is>
      </c>
      <c r="F199" s="30" t="inlineStr">
        <is>
          <t>pharmaceuticals - multinational</t>
        </is>
      </c>
      <c r="G199" s="30" t="inlineStr">
        <is>
          <t>smallcap</t>
        </is>
      </c>
      <c r="H199" s="31" t="n">
        <v>3267.83</v>
      </c>
      <c r="I199" s="31" t="n">
        <v>1365.6</v>
      </c>
      <c r="J199" s="31" t="n">
        <v>3.18</v>
      </c>
      <c r="K199" s="31" t="n">
        <v>13589</v>
      </c>
      <c r="L199" s="30" t="n">
        <v>65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65.48999999999999</v>
      </c>
      <c r="P199" s="31" t="n">
        <v>63.47</v>
      </c>
      <c r="Q199" s="31" t="n">
        <v>1204.79</v>
      </c>
      <c r="R199" s="30" t="inlineStr">
        <is>
          <t>Earnings / Momentum Support</t>
        </is>
      </c>
      <c r="S199" s="30" t="inlineStr">
        <is>
          <t>Nifty Pharma</t>
        </is>
      </c>
      <c r="T199" s="31" t="n">
        <v>11.72</v>
      </c>
      <c r="U199" s="31" t="n">
        <v>37.44</v>
      </c>
      <c r="V199" s="31" t="n">
        <v>23.02</v>
      </c>
      <c r="W199" s="31" t="n">
        <v>17.7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Yes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No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Above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Less than 12%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Less than 50%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IF(B200=0,"",RANK(B200,$B$2:$B$361,0))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HMVL</t>
        </is>
      </c>
      <c r="D200" s="30" t="inlineStr">
        <is>
          <t>Hindustan Media Ventures Limited</t>
        </is>
      </c>
      <c r="E200" s="30" t="inlineStr">
        <is>
          <t>media</t>
        </is>
      </c>
      <c r="F200" s="30" t="inlineStr">
        <is>
          <t>entertainment / electronic media software</t>
        </is>
      </c>
      <c r="G200" s="30" t="inlineStr">
        <is>
          <t>smallcap</t>
        </is>
      </c>
      <c r="H200" s="31" t="n">
        <v>620.76</v>
      </c>
      <c r="I200" s="31" t="n">
        <v>85.03</v>
      </c>
      <c r="J200" s="31" t="n">
        <v>0.91</v>
      </c>
      <c r="K200" s="31" t="n">
        <v>34873</v>
      </c>
      <c r="L200" s="30" t="n">
        <v>30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66.68000000000001</v>
      </c>
      <c r="P200" s="31" t="n">
        <v>28.46</v>
      </c>
      <c r="Q200" s="31" t="n">
        <v>63.76</v>
      </c>
      <c r="R200" s="30" t="inlineStr">
        <is>
          <t>Earnings / Momentum Support</t>
        </is>
      </c>
      <c r="S200" s="30" t="inlineStr">
        <is>
          <t>Nifty IT</t>
        </is>
      </c>
      <c r="T200" s="31" t="n">
        <v>-26.11</v>
      </c>
      <c r="U200" s="31" t="n">
        <v>0.14</v>
      </c>
      <c r="V200" s="31" t="n">
        <v>35.53</v>
      </c>
      <c r="W200" s="31" t="n">
        <v>8.34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No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Between 50 to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Close to 52 week high or retracement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No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Between 50% to 70%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IF(B201=0,"",RANK(B201,$B$2:$B$361,0))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APOLLOHOSP</t>
        </is>
      </c>
      <c r="D201" s="30" t="inlineStr">
        <is>
          <t>Apollo Hospitals Enterprise Limited</t>
        </is>
      </c>
      <c r="E201" s="30" t="inlineStr">
        <is>
          <t>healthcare</t>
        </is>
      </c>
      <c r="F201" s="30" t="inlineStr">
        <is>
          <t>healthcare</t>
        </is>
      </c>
      <c r="G201" s="30" t="inlineStr">
        <is>
          <t>largecap</t>
        </is>
      </c>
      <c r="H201" s="31" t="n">
        <v>120642.52</v>
      </c>
      <c r="I201" s="31" t="n">
        <v>8427.5</v>
      </c>
      <c r="J201" s="31" t="n">
        <v>0.44</v>
      </c>
      <c r="K201" s="31" t="n">
        <v>185437</v>
      </c>
      <c r="L201" s="30" t="n">
        <v>23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64.59999999999999</v>
      </c>
      <c r="P201" s="31" t="n">
        <v>14.28</v>
      </c>
      <c r="Q201" s="31" t="n">
        <v>7429.19</v>
      </c>
      <c r="R201" s="30" t="inlineStr">
        <is>
          <t>Near 52W High Breakout</t>
        </is>
      </c>
      <c r="S201" s="30" t="inlineStr">
        <is>
          <t>Nifty Pharma</t>
        </is>
      </c>
      <c r="T201" s="31" t="n">
        <v>11.72</v>
      </c>
      <c r="U201" s="31" t="n">
        <v>19.62</v>
      </c>
      <c r="V201" s="31" t="n">
        <v>7.07</v>
      </c>
      <c r="W201" s="31" t="n">
        <v>6.9</v>
      </c>
      <c r="X201" s="30" t="inlineStr">
        <is>
          <t>Cyclical in an Upturn</t>
        </is>
      </c>
      <c r="Y201" s="30">
        <f>IF(X201="Growing Industry",10,IF(X201="Cyclical in an Upturn",5,0))</f>
        <v/>
      </c>
      <c r="Z201" s="30" t="inlineStr">
        <is>
          <t>Oligopoly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Cyclical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B2C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Fully One Time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Above 40</t>
        </is>
      </c>
      <c r="AY201" s="30">
        <f>IF(AX201="Above 40",20,IF(AX201="20 to 40",10,IF(AX201="0 to 20",-5,0)))</f>
        <v/>
      </c>
      <c r="AZ201" s="30" t="inlineStr">
        <is>
          <t>Above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Yes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Between 1.5 to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Less than 0.7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IF(B202=0,"",RANK(B202,$B$2:$B$361,0))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STAR</t>
        </is>
      </c>
      <c r="D202" s="30" t="inlineStr">
        <is>
          <t>Strides Shasun Limited</t>
        </is>
      </c>
      <c r="E202" s="30" t="inlineStr">
        <is>
          <t>healthcare</t>
        </is>
      </c>
      <c r="F202" s="30" t="inlineStr">
        <is>
          <t>pharmaceuticals - indian - bulk drugs &amp; formln</t>
        </is>
      </c>
      <c r="G202" s="30" t="inlineStr">
        <is>
          <t>midcap</t>
        </is>
      </c>
      <c r="H202" s="31" t="n">
        <v>10163.89</v>
      </c>
      <c r="I202" s="31" t="n">
        <v>1106.9</v>
      </c>
      <c r="J202" s="31" t="n">
        <v>0.38</v>
      </c>
      <c r="K202" s="31" t="n">
        <v>117182</v>
      </c>
      <c r="L202" s="30" t="n">
        <v>42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61.88</v>
      </c>
      <c r="P202" s="31" t="n">
        <v>30.19</v>
      </c>
      <c r="Q202" s="31" t="n">
        <v>881.87</v>
      </c>
      <c r="R202" s="30" t="inlineStr">
        <is>
          <t>Near 52W High Breakout</t>
        </is>
      </c>
      <c r="S202" s="30" t="inlineStr">
        <is>
          <t>Nifty Pharma</t>
        </is>
      </c>
      <c r="T202" s="31" t="n">
        <v>11.72</v>
      </c>
      <c r="U202" s="31" t="n">
        <v>34.48</v>
      </c>
      <c r="V202" s="31" t="n">
        <v>20.37</v>
      </c>
      <c r="W202" s="31" t="n">
        <v>10.95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Yes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Annuity, Lower One Time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Negative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No</t>
        </is>
      </c>
      <c r="BS202" s="30">
        <f>IF(BR202="NO",5,0)</f>
        <v/>
      </c>
      <c r="BT202" s="30" t="inlineStr">
        <is>
          <t>Less than 1.5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IF(B203=0,"",RANK(B203,$B$2:$B$361,0))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DIAMONDYD</t>
        </is>
      </c>
      <c r="D203" s="30" t="inlineStr">
        <is>
          <t>Prataap Snacks Ltd</t>
        </is>
      </c>
      <c r="E203" s="30" t="inlineStr">
        <is>
          <t>fmcg</t>
        </is>
      </c>
      <c r="F203" s="30" t="inlineStr">
        <is>
          <t>food - processing - indian</t>
        </is>
      </c>
      <c r="G203" s="30" t="inlineStr">
        <is>
          <t>smallcap</t>
        </is>
      </c>
      <c r="H203" s="31" t="n">
        <v>2697.75</v>
      </c>
      <c r="I203" s="31" t="n">
        <v>1116.6</v>
      </c>
      <c r="J203" s="31" t="n">
        <v>-1.06</v>
      </c>
      <c r="K203" s="31" t="n">
        <v>15094</v>
      </c>
      <c r="L203" s="30" t="n">
        <v>26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57.91</v>
      </c>
      <c r="P203" s="31" t="n">
        <v>20.25</v>
      </c>
      <c r="Q203" s="31" t="n">
        <v>926.1799999999999</v>
      </c>
      <c r="R203" s="30" t="inlineStr">
        <is>
          <t>Earnings / Momentum Support</t>
        </is>
      </c>
      <c r="S203" s="30" t="inlineStr">
        <is>
          <t>Nifty FMCG</t>
        </is>
      </c>
      <c r="T203" s="31" t="n">
        <v>-9.289999999999999</v>
      </c>
      <c r="U203" s="31" t="n">
        <v>10.18</v>
      </c>
      <c r="V203" s="31" t="n">
        <v>21.47</v>
      </c>
      <c r="W203" s="31" t="n">
        <v>7.54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Headwind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B2C</t>
        </is>
      </c>
      <c r="AO203" s="30">
        <f>IF(AN203="B2C",10,IF(AN203="B2B",5,0))</f>
        <v/>
      </c>
      <c r="AP203" s="30" t="inlineStr">
        <is>
          <t>No</t>
        </is>
      </c>
      <c r="AQ203" s="30">
        <f>IF(AP203="Yes",10,0)</f>
        <v/>
      </c>
      <c r="AR203" s="30" t="inlineStr">
        <is>
          <t>Higher Annuity, Lower One Time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20 to 40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Yes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Between 50% to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IF(B204=0,"",RANK(B204,$B$2:$B$361,0))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BALRAMCHIN</t>
        </is>
      </c>
      <c r="D204" s="30" t="inlineStr">
        <is>
          <t>Balrampur Chini Mills Limited</t>
        </is>
      </c>
      <c r="E204" s="30" t="inlineStr">
        <is>
          <t>fmcg</t>
        </is>
      </c>
      <c r="F204" s="30" t="inlineStr">
        <is>
          <t>sugar</t>
        </is>
      </c>
      <c r="G204" s="30" t="inlineStr">
        <is>
          <t>midcap</t>
        </is>
      </c>
      <c r="H204" s="31" t="n">
        <v>11810.89</v>
      </c>
      <c r="I204" s="31" t="n">
        <v>546.9</v>
      </c>
      <c r="J204" s="31" t="n">
        <v>-2.17</v>
      </c>
      <c r="K204" s="31" t="n">
        <v>350514</v>
      </c>
      <c r="L204" s="30" t="n">
        <v>2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64.84999999999999</v>
      </c>
      <c r="P204" s="31" t="n">
        <v>20.38</v>
      </c>
      <c r="Q204" s="31" t="n">
        <v>440.26</v>
      </c>
      <c r="R204" s="30" t="inlineStr">
        <is>
          <t>Earnings / Momentum Support</t>
        </is>
      </c>
      <c r="S204" s="30" t="inlineStr">
        <is>
          <t>Nifty FMCG</t>
        </is>
      </c>
      <c r="T204" s="31" t="n">
        <v>-9.289999999999999</v>
      </c>
      <c r="U204" s="31" t="n">
        <v>-7.33</v>
      </c>
      <c r="V204" s="31" t="n">
        <v>2.16</v>
      </c>
      <c r="W204" s="31" t="n">
        <v>1.67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B2C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Annuity, Lower One Time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20 to 40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Less than 12%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No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Between 0.7 to 1.2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IF(B205=0,"",RANK(B205,$B$2:$B$361,0))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2" t="inlineStr">
        <is>
          <t>ZIMLAB</t>
        </is>
      </c>
      <c r="D205" s="32" t="inlineStr">
        <is>
          <t>Zim Laboratories Ltd</t>
        </is>
      </c>
      <c r="E205" s="30" t="inlineStr">
        <is>
          <t>healthcare</t>
        </is>
      </c>
      <c r="F205" s="30" t="inlineStr">
        <is>
          <t>pharmaceuticals - indian - bulk drugs &amp; formln</t>
        </is>
      </c>
      <c r="G205" s="30" t="inlineStr">
        <is>
          <t>smallcap</t>
        </is>
      </c>
      <c r="H205" s="31" t="n">
        <v>595.08</v>
      </c>
      <c r="I205" s="31" t="n">
        <v>108.59</v>
      </c>
      <c r="J205" s="31" t="n">
        <v>-2.37</v>
      </c>
      <c r="K205" s="31" t="n">
        <v>46229</v>
      </c>
      <c r="L205" s="30" t="n">
        <v>61</v>
      </c>
      <c r="M205" s="30" t="inlineStr">
        <is>
          <t>Underperforming</t>
        </is>
      </c>
      <c r="N205" s="31">
        <f>IF(M205="Underperforming",-5,IF(L205&gt;=95,15,IF(L205&gt;=90,10,IF(L205&gt;=80,5,0))))</f>
        <v/>
      </c>
      <c r="O205" s="31" t="n">
        <v>69.01000000000001</v>
      </c>
      <c r="P205" s="31" t="n">
        <v>46.63</v>
      </c>
      <c r="Q205" s="31" t="n">
        <v>82.44</v>
      </c>
      <c r="R205" s="30" t="inlineStr">
        <is>
          <t>Earnings / Momentum Support</t>
        </is>
      </c>
      <c r="S205" s="30" t="inlineStr">
        <is>
          <t>Nifty Pharma</t>
        </is>
      </c>
      <c r="T205" s="31" t="n">
        <v>11.72</v>
      </c>
      <c r="U205" s="31" t="n">
        <v>2.24</v>
      </c>
      <c r="V205" s="31" t="n">
        <v>-8.49</v>
      </c>
      <c r="W205" s="31" t="n">
        <v>16.29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Yes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No</t>
        </is>
      </c>
      <c r="AQ205" s="30">
        <f>IF(AP205="Yes",10,0)</f>
        <v/>
      </c>
      <c r="AR205" s="30" t="inlineStr">
        <is>
          <t>Higher Annuity, Lower One Time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Above 40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Less than 12%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Yes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IF(B206=0,"",RANK(B206,$B$2:$B$361,0))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LLOYDSENGG</t>
        </is>
      </c>
      <c r="D206" s="30" t="inlineStr">
        <is>
          <t>Lloyds Engineering Works Ltd</t>
        </is>
      </c>
      <c r="E206" s="30" t="inlineStr">
        <is>
          <t>industrials</t>
        </is>
      </c>
      <c r="F206" s="30" t="inlineStr">
        <is>
          <t>engineering</t>
        </is>
      </c>
      <c r="G206" s="30" t="inlineStr">
        <is>
          <t>midcap</t>
        </is>
      </c>
      <c r="H206" s="31" t="n">
        <v>11831.78</v>
      </c>
      <c r="I206" s="31" t="n">
        <v>87.69</v>
      </c>
      <c r="J206" s="31" t="n">
        <v>9.69</v>
      </c>
      <c r="K206" s="31" t="n">
        <v>169981181</v>
      </c>
      <c r="L206" s="30" t="n">
        <v>92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76.08</v>
      </c>
      <c r="P206" s="31" t="n">
        <v>30.38</v>
      </c>
      <c r="Q206" s="31" t="n">
        <v>66.2</v>
      </c>
      <c r="R206" s="30" t="inlineStr">
        <is>
          <t>Volume Spike &amp; Near 52W High Breakout</t>
        </is>
      </c>
      <c r="S206" s="30" t="inlineStr">
        <is>
          <t>Nifty 50</t>
        </is>
      </c>
      <c r="T206" s="31" t="n">
        <v>-4.09</v>
      </c>
      <c r="U206" s="31" t="n">
        <v>53.6</v>
      </c>
      <c r="V206" s="31" t="n">
        <v>60.15</v>
      </c>
      <c r="W206" s="31" t="n">
        <v>39.58</v>
      </c>
      <c r="X206" s="30" t="inlineStr">
        <is>
          <t>Cyclical in an Upturn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20 to 40</t>
        </is>
      </c>
      <c r="AY206" s="30">
        <f>IF(AX206="Above 40",20,IF(AX206="20 to 40",10,IF(AX206="0 to 20",-5,0)))</f>
        <v/>
      </c>
      <c r="AZ206" s="30" t="inlineStr">
        <is>
          <t>Above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Blue sky scenario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Negative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IF(B207=0,"",RANK(B207,$B$2:$B$361,0))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2" t="inlineStr">
        <is>
          <t>HMT</t>
        </is>
      </c>
      <c r="D207" s="32" t="inlineStr">
        <is>
          <t>Hmt Limited</t>
        </is>
      </c>
      <c r="E207" s="30" t="inlineStr">
        <is>
          <t>consumer discretionary</t>
        </is>
      </c>
      <c r="F207" s="30" t="inlineStr">
        <is>
          <t>miscellaneous</t>
        </is>
      </c>
      <c r="G207" s="30" t="inlineStr">
        <is>
          <t>midcap</t>
        </is>
      </c>
      <c r="H207" s="31" t="n">
        <v>6735.69</v>
      </c>
      <c r="I207" s="31" t="n">
        <v>58.73</v>
      </c>
      <c r="J207" s="31" t="n">
        <v>4.99</v>
      </c>
      <c r="K207" s="31" t="n">
        <v>17569</v>
      </c>
      <c r="L207" s="30" t="n">
        <v>1</v>
      </c>
      <c r="M207" s="30" t="inlineStr">
        <is>
          <t>Underperforming</t>
        </is>
      </c>
      <c r="N207" s="31">
        <f>IF(M207="Underperforming",-5,IF(L207&gt;=95,15,IF(L207&gt;=90,10,IF(L207&gt;=80,5,0))))</f>
        <v/>
      </c>
      <c r="O207" s="31" t="n">
        <v>53.36</v>
      </c>
      <c r="P207" s="31" t="n">
        <v>25.54</v>
      </c>
      <c r="Q207" s="31" t="n">
        <v>49</v>
      </c>
      <c r="R207" s="30" t="inlineStr">
        <is>
          <t>Earnings / Momentum Support</t>
        </is>
      </c>
      <c r="S207" s="30" t="inlineStr">
        <is>
          <t>Nifty 50</t>
        </is>
      </c>
      <c r="T207" s="31" t="n">
        <v>-4.09</v>
      </c>
      <c r="U207" s="31" t="n">
        <v>-11.46</v>
      </c>
      <c r="V207" s="31" t="n">
        <v>-7.68</v>
      </c>
      <c r="W207" s="31" t="n">
        <v>-0.76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No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20 to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1</t>
        </is>
      </c>
      <c r="BC207" s="30">
        <f>IF(BB207="Stage 2",20,IF(BB207="Stage 1",0,IF(BB207="Stage 3",5,IF(BB207="Stage 4",-5,0))))</f>
        <v/>
      </c>
      <c r="BD207" s="30" t="inlineStr">
        <is>
          <t>Positive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IF(B208=0,"",RANK(B208,$B$2:$B$361,0))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2" t="inlineStr">
        <is>
          <t>QUADFUTURE</t>
        </is>
      </c>
      <c r="D208" s="32" t="inlineStr">
        <is>
          <t>Quadrant Future Tek Ltd</t>
        </is>
      </c>
      <c r="E208" s="30" t="inlineStr">
        <is>
          <t>industrials</t>
        </is>
      </c>
      <c r="F208" s="30" t="inlineStr">
        <is>
          <t>cables - power</t>
        </is>
      </c>
      <c r="G208" s="30" t="inlineStr">
        <is>
          <t>smallcap</t>
        </is>
      </c>
      <c r="H208" s="31" t="n">
        <v>1646</v>
      </c>
      <c r="I208" s="31" t="n">
        <v>430.4</v>
      </c>
      <c r="J208" s="31" t="n">
        <v>4.59</v>
      </c>
      <c r="K208" s="31" t="n">
        <v>3400738</v>
      </c>
      <c r="L208" s="30" t="n">
        <v>39</v>
      </c>
      <c r="M208" s="30" t="inlineStr">
        <is>
          <t>Underperforming</t>
        </is>
      </c>
      <c r="N208" s="31">
        <f>IF(M208="Underperforming",-5,IF(L208&gt;=95,15,IF(L208&gt;=90,10,IF(L208&gt;=80,5,0))))</f>
        <v/>
      </c>
      <c r="O208" s="31" t="n">
        <v>68.43000000000001</v>
      </c>
      <c r="P208" s="31" t="n">
        <v>16.26</v>
      </c>
      <c r="Q208" s="31" t="n">
        <v>307.83</v>
      </c>
      <c r="R208" s="30" t="inlineStr">
        <is>
          <t>Volume Spike / Accumulation</t>
        </is>
      </c>
      <c r="S208" s="30" t="inlineStr">
        <is>
          <t>Nifty Energy</t>
        </is>
      </c>
      <c r="T208" s="31" t="n">
        <v>13.03</v>
      </c>
      <c r="U208" s="31" t="n">
        <v>-6.78</v>
      </c>
      <c r="V208" s="31" t="n">
        <v>-17.52</v>
      </c>
      <c r="W208" s="31" t="n">
        <v>10.43</v>
      </c>
      <c r="X208" s="30" t="inlineStr">
        <is>
          <t>Cyclical in an Upturn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Less than 12%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IF(B209=0,"",RANK(B209,$B$2:$B$361,0))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HIRECT</t>
        </is>
      </c>
      <c r="D209" s="30" t="inlineStr">
        <is>
          <t>Hind Rectifiers Limited</t>
        </is>
      </c>
      <c r="E209" s="30" t="inlineStr">
        <is>
          <t>consumer discretionary</t>
        </is>
      </c>
      <c r="F209" s="30" t="inlineStr">
        <is>
          <t>electronics - components</t>
        </is>
      </c>
      <c r="G209" s="30" t="inlineStr">
        <is>
          <t>smallcap</t>
        </is>
      </c>
      <c r="H209" s="31" t="n">
        <v>3935.09</v>
      </c>
      <c r="I209" s="31" t="n">
        <v>1192.2</v>
      </c>
      <c r="J209" s="31" t="n">
        <v>4.12</v>
      </c>
      <c r="K209" s="31" t="n">
        <v>229916</v>
      </c>
      <c r="L209" s="30" t="n">
        <v>85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79.31</v>
      </c>
      <c r="P209" s="31" t="n">
        <v>27.3</v>
      </c>
      <c r="Q209" s="31" t="n">
        <v>858.42</v>
      </c>
      <c r="R209" s="30" t="inlineStr">
        <is>
          <t>Near 52W High Breakout</t>
        </is>
      </c>
      <c r="S209" s="30" t="inlineStr">
        <is>
          <t>Nifty Infra</t>
        </is>
      </c>
      <c r="T209" s="31" t="n">
        <v>3.72</v>
      </c>
      <c r="U209" s="31" t="n">
        <v>88.56</v>
      </c>
      <c r="V209" s="31" t="n">
        <v>81.81</v>
      </c>
      <c r="W209" s="31" t="n">
        <v>28.84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20 to 40</t>
        </is>
      </c>
      <c r="AY209" s="30">
        <f>IF(AX209="Above 40",20,IF(AX209="20 to 40",10,IF(AX209="0 to 20",-5,0)))</f>
        <v/>
      </c>
      <c r="AZ209" s="30" t="inlineStr">
        <is>
          <t>Above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Blue sky scenario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Less than 12%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Between 0.7 to 1.2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IF(B210=0,"",RANK(B210,$B$2:$B$361,0))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LMW</t>
        </is>
      </c>
      <c r="D210" s="30" t="inlineStr">
        <is>
          <t>LMW Ltd</t>
        </is>
      </c>
      <c r="E210" s="30" t="inlineStr">
        <is>
          <t>industrials</t>
        </is>
      </c>
      <c r="F210" s="30" t="inlineStr">
        <is>
          <t>textile machinery</t>
        </is>
      </c>
      <c r="G210" s="30" t="inlineStr">
        <is>
          <t>midcap</t>
        </is>
      </c>
      <c r="H210" s="31" t="n">
        <v>16875.94</v>
      </c>
      <c r="I210" s="31" t="n">
        <v>16410</v>
      </c>
      <c r="J210" s="31" t="n">
        <v>3.88</v>
      </c>
      <c r="K210" s="31" t="n">
        <v>14875</v>
      </c>
      <c r="L210" s="30" t="n">
        <v>15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62.64</v>
      </c>
      <c r="P210" s="31" t="n">
        <v>19.35</v>
      </c>
      <c r="Q210" s="31" t="n">
        <v>13369.44</v>
      </c>
      <c r="R210" s="30" t="inlineStr">
        <is>
          <t>Volume Spike &amp; Near 52W High Breakout</t>
        </is>
      </c>
      <c r="S210" s="30" t="inlineStr">
        <is>
          <t>Nifty 50</t>
        </is>
      </c>
      <c r="T210" s="31" t="n">
        <v>-4.09</v>
      </c>
      <c r="U210" s="31" t="n">
        <v>3.63</v>
      </c>
      <c r="V210" s="31" t="n">
        <v>8.050000000000001</v>
      </c>
      <c r="W210" s="31" t="n">
        <v>5.11</v>
      </c>
      <c r="X210" s="30" t="inlineStr">
        <is>
          <t>Cyclical in an Upturn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0 to 20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Yes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Above 70%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IF(B211=0,"",RANK(B211,$B$2:$B$361,0))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NBCC</t>
        </is>
      </c>
      <c r="D211" s="30" t="inlineStr">
        <is>
          <t>Nbcc (india) Limited</t>
        </is>
      </c>
      <c r="E211" s="30" t="inlineStr">
        <is>
          <t>miscellaneous</t>
        </is>
      </c>
      <c r="F211" s="30" t="inlineStr">
        <is>
          <t>miscellaneous</t>
        </is>
      </c>
      <c r="G211" s="30" t="inlineStr">
        <is>
          <t>largecap</t>
        </is>
      </c>
      <c r="H211" s="31" t="n">
        <v>29467.8</v>
      </c>
      <c r="I211" s="31" t="n">
        <v>112.83</v>
      </c>
      <c r="J211" s="31" t="n">
        <v>3.38</v>
      </c>
      <c r="K211" s="31" t="n">
        <v>27859510</v>
      </c>
      <c r="L211" s="30" t="n">
        <v>28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62.37</v>
      </c>
      <c r="P211" s="31" t="n">
        <v>21.31</v>
      </c>
      <c r="Q211" s="31" t="n">
        <v>89.79000000000001</v>
      </c>
      <c r="R211" s="30" t="inlineStr">
        <is>
          <t>Earnings / Momentum Support</t>
        </is>
      </c>
      <c r="S211" s="30" t="inlineStr">
        <is>
          <t>Nifty 50</t>
        </is>
      </c>
      <c r="T211" s="31" t="n">
        <v>-4.09</v>
      </c>
      <c r="U211" s="31" t="n">
        <v>-3</v>
      </c>
      <c r="V211" s="31" t="n">
        <v>1.13</v>
      </c>
      <c r="W211" s="31" t="n">
        <v>8.119999999999999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Headwind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No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Close to 52 week high or retracement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Less than 50%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IF(B212=0,"",RANK(B212,$B$2:$B$361,0))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NYKAA</t>
        </is>
      </c>
      <c r="D212" s="30" t="inlineStr">
        <is>
          <t>FSN E-Commerce Ventures Ltd</t>
        </is>
      </c>
      <c r="E212" s="30" t="inlineStr">
        <is>
          <t>i.t</t>
        </is>
      </c>
      <c r="F212" s="30" t="inlineStr">
        <is>
          <t>trading</t>
        </is>
      </c>
      <c r="G212" s="30" t="inlineStr">
        <is>
          <t>largecap</t>
        </is>
      </c>
      <c r="H212" s="31" t="n">
        <v>77922.73</v>
      </c>
      <c r="I212" s="31" t="n">
        <v>280.95</v>
      </c>
      <c r="J212" s="31" t="n">
        <v>3.23</v>
      </c>
      <c r="K212" s="31" t="n">
        <v>9414746</v>
      </c>
      <c r="L212" s="30" t="n">
        <v>43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60.83</v>
      </c>
      <c r="P212" s="31" t="n">
        <v>18.35</v>
      </c>
      <c r="Q212" s="31" t="n">
        <v>232.56</v>
      </c>
      <c r="R212" s="30" t="inlineStr">
        <is>
          <t>Near 52W High Breakout</t>
        </is>
      </c>
      <c r="S212" s="30" t="inlineStr">
        <is>
          <t>Nifty IT</t>
        </is>
      </c>
      <c r="T212" s="31" t="n">
        <v>-26.11</v>
      </c>
      <c r="U212" s="31" t="n">
        <v>42.56</v>
      </c>
      <c r="V212" s="31" t="n">
        <v>92.95</v>
      </c>
      <c r="W212" s="31" t="n">
        <v>11.2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0 to 20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Blue sky scenario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More than 20%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Between 0.7 to 1.2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IF(B213=0,"",RANK(B213,$B$2:$B$361,0))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KDDL</t>
        </is>
      </c>
      <c r="D213" s="30" t="inlineStr">
        <is>
          <t>Kddl Limited</t>
        </is>
      </c>
      <c r="E213" s="30" t="inlineStr">
        <is>
          <t>consumer discretionary</t>
        </is>
      </c>
      <c r="F213" s="30" t="inlineStr">
        <is>
          <t>miscellaneous</t>
        </is>
      </c>
      <c r="G213" s="30" t="inlineStr">
        <is>
          <t>smallcap</t>
        </is>
      </c>
      <c r="H213" s="31" t="n">
        <v>3475.16</v>
      </c>
      <c r="I213" s="31" t="n">
        <v>2903.3</v>
      </c>
      <c r="J213" s="31" t="n">
        <v>2.75</v>
      </c>
      <c r="K213" s="31" t="n">
        <v>18098</v>
      </c>
      <c r="L213" s="30" t="n">
        <v>33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62.15</v>
      </c>
      <c r="P213" s="31" t="n">
        <v>17.14</v>
      </c>
      <c r="Q213" s="31" t="n">
        <v>2128.65</v>
      </c>
      <c r="R213" s="30" t="inlineStr">
        <is>
          <t>Near 52W High Breakout</t>
        </is>
      </c>
      <c r="S213" s="30" t="inlineStr">
        <is>
          <t>Nifty 50</t>
        </is>
      </c>
      <c r="T213" s="31" t="n">
        <v>-4.09</v>
      </c>
      <c r="U213" s="31" t="n">
        <v>6.95</v>
      </c>
      <c r="V213" s="31" t="n">
        <v>11.5</v>
      </c>
      <c r="W213" s="31" t="n">
        <v>8.84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0 to 20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Between 1.5 to 2</t>
        </is>
      </c>
      <c r="BU213" s="30">
        <f>IF(BT213="Above 2",0,IF(BT213="Between 1.5 to 2",5,IF(BT213="Less than 1.5",10,0)))</f>
        <v/>
      </c>
      <c r="BV213" s="30" t="inlineStr">
        <is>
          <t>Less than 50%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IF(B214=0,"",RANK(B214,$B$2:$B$361,0))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VAIBHAVGBL</t>
        </is>
      </c>
      <c r="D214" s="30" t="inlineStr">
        <is>
          <t>Vaibhav Global Limited</t>
        </is>
      </c>
      <c r="E214" s="30" t="inlineStr">
        <is>
          <t>consumer discretionary</t>
        </is>
      </c>
      <c r="F214" s="30" t="inlineStr">
        <is>
          <t>diamond cutting / jewellery</t>
        </is>
      </c>
      <c r="G214" s="30" t="inlineStr">
        <is>
          <t>smallcap</t>
        </is>
      </c>
      <c r="H214" s="31" t="n">
        <v>4054.23</v>
      </c>
      <c r="I214" s="31" t="n">
        <v>247.99</v>
      </c>
      <c r="J214" s="31" t="n">
        <v>2.19</v>
      </c>
      <c r="K214" s="31" t="n">
        <v>498981</v>
      </c>
      <c r="L214" s="30" t="n">
        <v>23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59.14</v>
      </c>
      <c r="P214" s="31" t="n">
        <v>11.88</v>
      </c>
      <c r="Q214" s="31" t="n">
        <v>185.03</v>
      </c>
      <c r="R214" s="30" t="inlineStr">
        <is>
          <t>Earnings / Momentum Support</t>
        </is>
      </c>
      <c r="S214" s="30" t="inlineStr">
        <is>
          <t>Nifty 50</t>
        </is>
      </c>
      <c r="T214" s="31" t="n">
        <v>-4.09</v>
      </c>
      <c r="U214" s="31" t="n">
        <v>9.029999999999999</v>
      </c>
      <c r="V214" s="31" t="n">
        <v>13.68</v>
      </c>
      <c r="W214" s="31" t="n">
        <v>6.6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No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0 to 20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IF(B215=0,"",RANK(B215,$B$2:$B$361,0))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BHAGERIA</t>
        </is>
      </c>
      <c r="D215" s="30" t="inlineStr">
        <is>
          <t>Bhageria Industries Limited</t>
        </is>
      </c>
      <c r="E215" s="30" t="inlineStr">
        <is>
          <t>chemicals</t>
        </is>
      </c>
      <c r="F215" s="30" t="inlineStr">
        <is>
          <t>dyes and pigments</t>
        </is>
      </c>
      <c r="G215" s="30" t="inlineStr">
        <is>
          <t>smallcap</t>
        </is>
      </c>
      <c r="H215" s="31" t="n">
        <v>973.5700000000001</v>
      </c>
      <c r="I215" s="31" t="n">
        <v>227.52</v>
      </c>
      <c r="J215" s="31" t="n">
        <v>1.99</v>
      </c>
      <c r="K215" s="31" t="n">
        <v>200256</v>
      </c>
      <c r="L215" s="30" t="n">
        <v>72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68.93000000000001</v>
      </c>
      <c r="P215" s="31" t="n">
        <v>17.29</v>
      </c>
      <c r="Q215" s="31" t="n">
        <v>171.24</v>
      </c>
      <c r="R215" s="30" t="inlineStr">
        <is>
          <t>Near 52W High Breakout</t>
        </is>
      </c>
      <c r="S215" s="30" t="inlineStr">
        <is>
          <t>Nifty IT</t>
        </is>
      </c>
      <c r="T215" s="31" t="n">
        <v>-26.11</v>
      </c>
      <c r="U215" s="31" t="n">
        <v>27.01</v>
      </c>
      <c r="V215" s="31" t="n">
        <v>71.90000000000001</v>
      </c>
      <c r="W215" s="31" t="n">
        <v>20.22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0 to 20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Close to 52 week high or retracement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Less than 12%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No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Less than 0.7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IF(B216=0,"",RANK(B216,$B$2:$B$361,0))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YASHO</t>
        </is>
      </c>
      <c r="D216" s="30" t="inlineStr">
        <is>
          <t>Yasho Industries Ltd</t>
        </is>
      </c>
      <c r="E216" s="30" t="inlineStr">
        <is>
          <t>chemicals</t>
        </is>
      </c>
      <c r="F216" s="30" t="inlineStr">
        <is>
          <t>chemicals</t>
        </is>
      </c>
      <c r="G216" s="30" t="inlineStr">
        <is>
          <t>smallcap</t>
        </is>
      </c>
      <c r="H216" s="31" t="n">
        <v>3284.23</v>
      </c>
      <c r="I216" s="31" t="n">
        <v>2775.1</v>
      </c>
      <c r="J216" s="31" t="n">
        <v>1.88</v>
      </c>
      <c r="K216" s="31" t="n">
        <v>24421</v>
      </c>
      <c r="L216" s="30" t="n">
        <v>88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79.12</v>
      </c>
      <c r="P216" s="31" t="n">
        <v>26.77</v>
      </c>
      <c r="Q216" s="31" t="n">
        <v>2146.3</v>
      </c>
      <c r="R216" s="30" t="inlineStr">
        <is>
          <t>Near 52W High Breakout</t>
        </is>
      </c>
      <c r="S216" s="30" t="inlineStr">
        <is>
          <t>Nifty 50</t>
        </is>
      </c>
      <c r="T216" s="31" t="n">
        <v>-4.09</v>
      </c>
      <c r="U216" s="31" t="n">
        <v>43.3</v>
      </c>
      <c r="V216" s="31" t="n">
        <v>49.41</v>
      </c>
      <c r="W216" s="31" t="n">
        <v>32.7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Above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Blue sky scenario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Yes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More than 1.2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IF(B217=0,"",RANK(B217,$B$2:$B$361,0))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JSWINFRA</t>
        </is>
      </c>
      <c r="D217" s="30" t="inlineStr">
        <is>
          <t>JSW Infrastructure Ltd</t>
        </is>
      </c>
      <c r="E217" s="30" t="inlineStr">
        <is>
          <t>transportation</t>
        </is>
      </c>
      <c r="F217" s="30" t="inlineStr">
        <is>
          <t>miscellaneous</t>
        </is>
      </c>
      <c r="G217" s="30" t="inlineStr">
        <is>
          <t>largecap</t>
        </is>
      </c>
      <c r="H217" s="31" t="n">
        <v>61698.05</v>
      </c>
      <c r="I217" s="31" t="n">
        <v>299.3</v>
      </c>
      <c r="J217" s="31" t="n">
        <v>1.87</v>
      </c>
      <c r="K217" s="31" t="n">
        <v>3599798</v>
      </c>
      <c r="L217" s="30" t="n">
        <v>12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61.98</v>
      </c>
      <c r="P217" s="31" t="n">
        <v>20.81</v>
      </c>
      <c r="Q217" s="31" t="n">
        <v>243.81</v>
      </c>
      <c r="R217" s="30" t="inlineStr">
        <is>
          <t>Earnings / Momentum Support</t>
        </is>
      </c>
      <c r="S217" s="30" t="inlineStr">
        <is>
          <t>Nifty 50</t>
        </is>
      </c>
      <c r="T217" s="31" t="n">
        <v>-4.09</v>
      </c>
      <c r="U217" s="31" t="n">
        <v>-0.43</v>
      </c>
      <c r="V217" s="31" t="n">
        <v>3.82</v>
      </c>
      <c r="W217" s="31" t="n">
        <v>4.64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No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Less than 12%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Yes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Above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IF(B218=0,"",RANK(B218,$B$2:$B$361,0))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2" t="inlineStr">
        <is>
          <t>VSSL</t>
        </is>
      </c>
      <c r="D218" s="32" t="inlineStr">
        <is>
          <t>Vardhman Special Steels Limited</t>
        </is>
      </c>
      <c r="E218" s="30" t="inlineStr">
        <is>
          <t>metals &amp; mining</t>
        </is>
      </c>
      <c r="F218" s="30" t="inlineStr">
        <is>
          <t>steel - medium / small</t>
        </is>
      </c>
      <c r="G218" s="30" t="inlineStr">
        <is>
          <t>smallcap</t>
        </is>
      </c>
      <c r="H218" s="31" t="n">
        <v>2744.91</v>
      </c>
      <c r="I218" s="31" t="n">
        <v>288.7</v>
      </c>
      <c r="J218" s="31" t="n">
        <v>1.69</v>
      </c>
      <c r="K218" s="31" t="n">
        <v>116119</v>
      </c>
      <c r="L218" s="30" t="n">
        <v>34</v>
      </c>
      <c r="M218" s="30" t="inlineStr">
        <is>
          <t>Underperforming</t>
        </is>
      </c>
      <c r="N218" s="31">
        <f>IF(M218="Underperforming",-5,IF(L218&gt;=95,15,IF(L218&gt;=90,10,IF(L218&gt;=80,5,0))))</f>
        <v/>
      </c>
      <c r="O218" s="31" t="n">
        <v>60.78</v>
      </c>
      <c r="P218" s="31" t="n">
        <v>21.41</v>
      </c>
      <c r="Q218" s="31" t="n">
        <v>227.56</v>
      </c>
      <c r="R218" s="30" t="inlineStr">
        <is>
          <t>Near 52W High Breakout</t>
        </is>
      </c>
      <c r="S218" s="30" t="inlineStr">
        <is>
          <t>Nifty Metal</t>
        </is>
      </c>
      <c r="T218" s="31" t="n">
        <v>42.38</v>
      </c>
      <c r="U218" s="31" t="n">
        <v>16.11</v>
      </c>
      <c r="V218" s="31" t="n">
        <v>-18.45</v>
      </c>
      <c r="W218" s="31" t="n">
        <v>8.98</v>
      </c>
      <c r="X218" s="30" t="inlineStr">
        <is>
          <t>Cyclical in an Upturn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Cyclical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Volatile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No</t>
        </is>
      </c>
      <c r="BS218" s="30">
        <f>IF(BR218="NO",5,0)</f>
        <v/>
      </c>
      <c r="BT218" s="30" t="inlineStr">
        <is>
          <t>Less than 1.5</t>
        </is>
      </c>
      <c r="BU218" s="30">
        <f>IF(BT218="Above 2",0,IF(BT218="Between 1.5 to 2",5,IF(BT218="Less than 1.5",10,0)))</f>
        <v/>
      </c>
      <c r="BV218" s="30" t="inlineStr">
        <is>
          <t>Between 50% to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IF(B219=0,"",RANK(B219,$B$2:$B$361,0))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KAJARIACER</t>
        </is>
      </c>
      <c r="D219" s="30" t="inlineStr">
        <is>
          <t>Kajaria Ceramics Limited</t>
        </is>
      </c>
      <c r="E219" s="30" t="inlineStr">
        <is>
          <t>building materials</t>
        </is>
      </c>
      <c r="F219" s="30" t="inlineStr">
        <is>
          <t>ceramics - tiles / sanitaryware</t>
        </is>
      </c>
      <c r="G219" s="30" t="inlineStr">
        <is>
          <t>midcap</t>
        </is>
      </c>
      <c r="H219" s="31" t="n">
        <v>18142.71</v>
      </c>
      <c r="I219" s="31" t="n">
        <v>1155.9</v>
      </c>
      <c r="J219" s="31" t="n">
        <v>1.47</v>
      </c>
      <c r="K219" s="31" t="n">
        <v>518921</v>
      </c>
      <c r="L219" s="30" t="n">
        <v>27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59.79</v>
      </c>
      <c r="P219" s="31" t="n">
        <v>18.05</v>
      </c>
      <c r="Q219" s="31" t="n">
        <v>991.5599999999999</v>
      </c>
      <c r="R219" s="30" t="inlineStr">
        <is>
          <t>Earnings / Momentum Support</t>
        </is>
      </c>
      <c r="S219" s="30" t="inlineStr">
        <is>
          <t>Nifty Infra</t>
        </is>
      </c>
      <c r="T219" s="31" t="n">
        <v>3.72</v>
      </c>
      <c r="U219" s="31" t="n">
        <v>14.17</v>
      </c>
      <c r="V219" s="31" t="n">
        <v>10.08</v>
      </c>
      <c r="W219" s="31" t="n">
        <v>7.91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No</t>
        </is>
      </c>
      <c r="AQ219" s="30">
        <f>IF(AP219="Yes",10,0)</f>
        <v/>
      </c>
      <c r="AR219" s="30" t="inlineStr">
        <is>
          <t>Higher One Time, Lower Annuity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0 to 20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Above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IF(B220=0,"",RANK(B220,$B$2:$B$361,0))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BHAGCHEM</t>
        </is>
      </c>
      <c r="D220" s="30" t="inlineStr">
        <is>
          <t>Bhagiradha Chemicals &amp; Industries Ltd</t>
        </is>
      </c>
      <c r="E220" s="30" t="inlineStr">
        <is>
          <t>chemicals</t>
        </is>
      </c>
      <c r="F220" s="30" t="inlineStr">
        <is>
          <t>pesticides / agrochemicals - indian</t>
        </is>
      </c>
      <c r="G220" s="30" t="inlineStr">
        <is>
          <t>smallcap</t>
        </is>
      </c>
      <c r="H220" s="31" t="n">
        <v>3366.86</v>
      </c>
      <c r="I220" s="31" t="n">
        <v>263.08</v>
      </c>
      <c r="J220" s="31" t="n">
        <v>1.32</v>
      </c>
      <c r="K220" s="31" t="n">
        <v>54112</v>
      </c>
      <c r="L220" s="30" t="n">
        <v>35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59.44</v>
      </c>
      <c r="P220" s="31" t="n">
        <v>22.71</v>
      </c>
      <c r="Q220" s="31" t="n">
        <v>202.67</v>
      </c>
      <c r="R220" s="30" t="inlineStr">
        <is>
          <t>Earnings / Momentum Support</t>
        </is>
      </c>
      <c r="S220" s="30" t="inlineStr">
        <is>
          <t>Nifty IT</t>
        </is>
      </c>
      <c r="T220" s="31" t="n">
        <v>-26.11</v>
      </c>
      <c r="U220" s="31" t="n">
        <v>-12.07</v>
      </c>
      <c r="V220" s="31" t="n">
        <v>19.01</v>
      </c>
      <c r="W220" s="31" t="n">
        <v>9.09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One Time, Lower Annuity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Less than 50%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IF(B221=0,"",RANK(B221,$B$2:$B$361,0))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MARINE</t>
        </is>
      </c>
      <c r="D221" s="30" t="inlineStr">
        <is>
          <t>Marine Electricals (India) Ltd</t>
        </is>
      </c>
      <c r="E221" s="30" t="inlineStr">
        <is>
          <t>industrials</t>
        </is>
      </c>
      <c r="F221" s="30" t="inlineStr">
        <is>
          <t>electric equipment</t>
        </is>
      </c>
      <c r="G221" s="30" t="inlineStr">
        <is>
          <t>smallcap</t>
        </is>
      </c>
      <c r="H221" s="31" t="n">
        <v>641.66</v>
      </c>
      <c r="I221" s="31" t="n">
        <v>264.65</v>
      </c>
      <c r="J221" s="31" t="n">
        <v>1.19</v>
      </c>
      <c r="K221" s="31" t="n">
        <v>759890</v>
      </c>
      <c r="L221" s="30" t="n">
        <v>66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62.72</v>
      </c>
      <c r="P221" s="31" t="n">
        <v>25.2</v>
      </c>
      <c r="Q221" s="31" t="n">
        <v>193.5</v>
      </c>
      <c r="R221" s="30" t="inlineStr">
        <is>
          <t>Near 52W High Breakout</t>
        </is>
      </c>
      <c r="S221" s="30" t="inlineStr">
        <is>
          <t>Nifty 50</t>
        </is>
      </c>
      <c r="T221" s="31" t="n">
        <v>-4.09</v>
      </c>
      <c r="U221" s="31" t="n">
        <v>26.72</v>
      </c>
      <c r="V221" s="31" t="n">
        <v>32.12</v>
      </c>
      <c r="W221" s="31" t="n">
        <v>18.36</v>
      </c>
      <c r="X221" s="30" t="inlineStr">
        <is>
          <t>Cyclical in an Upturn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Higher One Time, Lower Annuity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2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Between 1.5 to 2</t>
        </is>
      </c>
      <c r="BU221" s="30">
        <f>IF(BT221="Above 2",0,IF(BT221="Between 1.5 to 2",5,IF(BT221="Less than 1.5",10,0)))</f>
        <v/>
      </c>
      <c r="BV221" s="30" t="inlineStr">
        <is>
          <t>Negative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IF(B222=0,"",RANK(B222,$B$2:$B$361,0))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KKCL</t>
        </is>
      </c>
      <c r="D222" s="30" t="inlineStr">
        <is>
          <t>Kewal Kiran Clothing Limited</t>
        </is>
      </c>
      <c r="E222" s="30" t="inlineStr">
        <is>
          <t>consumer discretionary</t>
        </is>
      </c>
      <c r="F222" s="30" t="inlineStr">
        <is>
          <t>textiles - products</t>
        </is>
      </c>
      <c r="G222" s="30" t="inlineStr">
        <is>
          <t>smallcap</t>
        </is>
      </c>
      <c r="H222" s="31" t="n">
        <v>2974.03</v>
      </c>
      <c r="I222" s="31" t="n">
        <v>487.3</v>
      </c>
      <c r="J222" s="31" t="n">
        <v>0.97</v>
      </c>
      <c r="K222" s="31" t="n">
        <v>28203</v>
      </c>
      <c r="L222" s="30" t="n">
        <v>8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54.14</v>
      </c>
      <c r="P222" s="31" t="n">
        <v>11.89</v>
      </c>
      <c r="Q222" s="31" t="n">
        <v>382.76</v>
      </c>
      <c r="R222" s="30" t="inlineStr">
        <is>
          <t>Volume Spike / Accumulation</t>
        </is>
      </c>
      <c r="S222" s="30" t="inlineStr">
        <is>
          <t>Nifty 50</t>
        </is>
      </c>
      <c r="T222" s="31" t="n">
        <v>-4.09</v>
      </c>
      <c r="U222" s="31" t="n">
        <v>-1.09</v>
      </c>
      <c r="V222" s="31" t="n">
        <v>3.13</v>
      </c>
      <c r="W222" s="31" t="n">
        <v>3.5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No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One Time, Lower Annuity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0 to 20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1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More than 20%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Less than 1.5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IF(B223=0,"",RANK(B223,$B$2:$B$361,0))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SETL</t>
        </is>
      </c>
      <c r="D223" s="30" t="inlineStr">
        <is>
          <t>Standard Enginnering Technology Ltd</t>
        </is>
      </c>
      <c r="E223" s="30" t="inlineStr">
        <is>
          <t>industrials</t>
        </is>
      </c>
      <c r="F223" s="30" t="inlineStr">
        <is>
          <t>engineering</t>
        </is>
      </c>
      <c r="G223" s="30" t="inlineStr">
        <is>
          <t>smallcap</t>
        </is>
      </c>
      <c r="H223" s="31" t="n">
        <v>3431.06</v>
      </c>
      <c r="I223" s="31" t="n">
        <v>173.45</v>
      </c>
      <c r="J223" s="31" t="n">
        <v>0.85</v>
      </c>
      <c r="K223" s="31" t="n">
        <v>520664</v>
      </c>
      <c r="L223" s="30" t="n">
        <v>51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67.31999999999999</v>
      </c>
      <c r="P223" s="31" t="n">
        <v>14.82</v>
      </c>
      <c r="Q223" s="31" t="n">
        <v>130.56</v>
      </c>
      <c r="R223" s="30" t="inlineStr">
        <is>
          <t>Volume Spike / Accumulation</t>
        </is>
      </c>
      <c r="S223" s="30" t="inlineStr">
        <is>
          <t>Nifty 50</t>
        </is>
      </c>
      <c r="T223" s="31" t="n">
        <v>-4.09</v>
      </c>
      <c r="U223" s="31" t="n">
        <v>2.3</v>
      </c>
      <c r="V223" s="31" t="n">
        <v>6.66</v>
      </c>
      <c r="W223" s="31" t="n">
        <v>13.34</v>
      </c>
      <c r="X223" s="30" t="inlineStr">
        <is>
          <t>Cyclical in an Upturn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0 to 20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Close to 52 week high or retracement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Less than 1.5</t>
        </is>
      </c>
      <c r="BU223" s="30">
        <f>IF(BT223="Above 2",0,IF(BT223="Between 1.5 to 2",5,IF(BT223="Less than 1.5",10,0)))</f>
        <v/>
      </c>
      <c r="BV223" s="30" t="inlineStr">
        <is>
          <t>Less than 50%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IF(B224=0,"",RANK(B224,$B$2:$B$361,0))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0" t="inlineStr">
        <is>
          <t>SOTL</t>
        </is>
      </c>
      <c r="D224" s="30" t="inlineStr">
        <is>
          <t>Savita Oil Technologies Limited</t>
        </is>
      </c>
      <c r="E224" s="30" t="inlineStr">
        <is>
          <t>energy</t>
        </is>
      </c>
      <c r="F224" s="30" t="inlineStr">
        <is>
          <t>petrochemicals</t>
        </is>
      </c>
      <c r="G224" s="30" t="inlineStr">
        <is>
          <t>smallcap</t>
        </is>
      </c>
      <c r="H224" s="31" t="n">
        <v>4153.05</v>
      </c>
      <c r="I224" s="31" t="n">
        <v>610.7</v>
      </c>
      <c r="J224" s="31" t="n">
        <v>0.82</v>
      </c>
      <c r="K224" s="31" t="n">
        <v>345293</v>
      </c>
      <c r="L224" s="30" t="n">
        <v>84</v>
      </c>
      <c r="M224" s="30" t="inlineStr">
        <is>
          <t>Outperforming</t>
        </is>
      </c>
      <c r="N224" s="31">
        <f>IF(M224="Underperforming",-5,IF(L224&gt;=95,15,IF(L224&gt;=90,10,IF(L224&gt;=80,5,0))))</f>
        <v/>
      </c>
      <c r="O224" s="31" t="n">
        <v>78.01000000000001</v>
      </c>
      <c r="P224" s="31" t="n">
        <v>31.45</v>
      </c>
      <c r="Q224" s="31" t="n">
        <v>469.4</v>
      </c>
      <c r="R224" s="30" t="inlineStr">
        <is>
          <t>Near 52W High Breakout</t>
        </is>
      </c>
      <c r="S224" s="30" t="inlineStr">
        <is>
          <t>Nifty Energy</t>
        </is>
      </c>
      <c r="T224" s="31" t="n">
        <v>13.03</v>
      </c>
      <c r="U224" s="31" t="n">
        <v>48.83</v>
      </c>
      <c r="V224" s="31" t="n">
        <v>31.68</v>
      </c>
      <c r="W224" s="31" t="n">
        <v>27.84</v>
      </c>
      <c r="X224" s="30" t="inlineStr">
        <is>
          <t>Cyclical in an Upturn</t>
        </is>
      </c>
      <c r="Y224" s="30">
        <f>IF(X224="Growing Industry",10,IF(X224="Cyclical in an Upturn",5,0))</f>
        <v/>
      </c>
      <c r="Z224" s="30" t="inlineStr">
        <is>
          <t>Oligopoly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Yes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Cyclical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Volatile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Above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Blue sky scenario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Between 50% to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IF(B225=0,"",RANK(B225,$B$2:$B$361,0))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SCHAEFFLER</t>
        </is>
      </c>
      <c r="D225" s="30" t="inlineStr">
        <is>
          <t>Schaeffler India Ltd</t>
        </is>
      </c>
      <c r="E225" s="30" t="inlineStr">
        <is>
          <t>industrials</t>
        </is>
      </c>
      <c r="F225" s="30" t="inlineStr">
        <is>
          <t>bearings</t>
        </is>
      </c>
      <c r="G225" s="30" t="inlineStr">
        <is>
          <t>largecap</t>
        </is>
      </c>
      <c r="H225" s="31" t="n">
        <v>65069.22</v>
      </c>
      <c r="I225" s="31" t="n">
        <v>4197.1</v>
      </c>
      <c r="J225" s="31" t="n">
        <v>0.82</v>
      </c>
      <c r="K225" s="31" t="n">
        <v>38058</v>
      </c>
      <c r="L225" s="30" t="n">
        <v>3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55.29</v>
      </c>
      <c r="P225" s="31" t="n">
        <v>14.97</v>
      </c>
      <c r="Q225" s="31" t="n">
        <v>3405.32</v>
      </c>
      <c r="R225" s="30" t="inlineStr">
        <is>
          <t>Near 52W High Breakout</t>
        </is>
      </c>
      <c r="S225" s="30" t="inlineStr">
        <is>
          <t>Nifty 500</t>
        </is>
      </c>
      <c r="T225" s="31" t="n">
        <v>0.3</v>
      </c>
      <c r="U225" s="31" t="n">
        <v>7.77</v>
      </c>
      <c r="V225" s="31" t="n">
        <v>7.45</v>
      </c>
      <c r="W225" s="31" t="n">
        <v>1.88</v>
      </c>
      <c r="X225" s="30" t="inlineStr">
        <is>
          <t>Cyclical in an Upturn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IF(B226=0,"",RANK(B226,$B$2:$B$361,0))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ITDC</t>
        </is>
      </c>
      <c r="D226" s="30" t="inlineStr">
        <is>
          <t>India Tourism Development Corporation Ltd</t>
        </is>
      </c>
      <c r="E226" s="30" t="inlineStr">
        <is>
          <t>services</t>
        </is>
      </c>
      <c r="F226" s="30" t="inlineStr">
        <is>
          <t>hotels</t>
        </is>
      </c>
      <c r="G226" s="30" t="inlineStr">
        <is>
          <t>midcap</t>
        </is>
      </c>
      <c r="H226" s="31" t="n">
        <v>5303.98</v>
      </c>
      <c r="I226" s="31" t="n">
        <v>622.25</v>
      </c>
      <c r="J226" s="31" t="n">
        <v>0.62</v>
      </c>
      <c r="K226" s="31" t="n">
        <v>206966</v>
      </c>
      <c r="L226" s="30" t="n">
        <v>50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56.33</v>
      </c>
      <c r="P226" s="31" t="n">
        <v>28.03</v>
      </c>
      <c r="Q226" s="31" t="n">
        <v>467.04</v>
      </c>
      <c r="R226" s="30" t="inlineStr">
        <is>
          <t>Earnings / Momentum Support</t>
        </is>
      </c>
      <c r="S226" s="30" t="inlineStr">
        <is>
          <t>Nifty 50</t>
        </is>
      </c>
      <c r="T226" s="31" t="n">
        <v>-4.09</v>
      </c>
      <c r="U226" s="31" t="n">
        <v>6.53</v>
      </c>
      <c r="V226" s="31" t="n">
        <v>11.07</v>
      </c>
      <c r="W226" s="31" t="n">
        <v>12.92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Less than 12%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Yes</t>
        </is>
      </c>
      <c r="BS226" s="30">
        <f>IF(BR226="NO",5,0)</f>
        <v/>
      </c>
      <c r="BT226" s="30" t="inlineStr">
        <is>
          <t>Above 2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IF(B227=0,"",RANK(B227,$B$2:$B$361,0))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TALBROAUTO</t>
        </is>
      </c>
      <c r="D227" s="30" t="inlineStr">
        <is>
          <t>Talbros Automotive Components Limited</t>
        </is>
      </c>
      <c r="E227" s="30" t="inlineStr">
        <is>
          <t>auto</t>
        </is>
      </c>
      <c r="F227" s="30" t="inlineStr">
        <is>
          <t>auto ancillaries</t>
        </is>
      </c>
      <c r="G227" s="30" t="inlineStr">
        <is>
          <t>smallcap</t>
        </is>
      </c>
      <c r="H227" s="31" t="n">
        <v>2205.55</v>
      </c>
      <c r="I227" s="31" t="n">
        <v>358.4</v>
      </c>
      <c r="J227" s="31" t="n">
        <v>0.31</v>
      </c>
      <c r="K227" s="31" t="n">
        <v>122513</v>
      </c>
      <c r="L227" s="30" t="n">
        <v>62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68.14</v>
      </c>
      <c r="P227" s="31" t="n">
        <v>28.47</v>
      </c>
      <c r="Q227" s="31" t="n">
        <v>267.18</v>
      </c>
      <c r="R227" s="30" t="inlineStr">
        <is>
          <t>Near 52W High Breakout</t>
        </is>
      </c>
      <c r="S227" s="30" t="inlineStr">
        <is>
          <t>Nifty Auto</t>
        </is>
      </c>
      <c r="T227" s="31" t="n">
        <v>12.86</v>
      </c>
      <c r="U227" s="31" t="n">
        <v>23.67</v>
      </c>
      <c r="V227" s="31" t="n">
        <v>9.58</v>
      </c>
      <c r="W227" s="31" t="n">
        <v>16.82</v>
      </c>
      <c r="X227" s="30" t="inlineStr">
        <is>
          <t>Growing Industry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Negative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Blue sky scenario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Between 12 to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Between 50% to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IF(B228=0,"",RANK(B228,$B$2:$B$361,0))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ADANIENT</t>
        </is>
      </c>
      <c r="D228" s="30" t="inlineStr">
        <is>
          <t>Adani Enterprises Limited</t>
        </is>
      </c>
      <c r="E228" s="30" t="inlineStr">
        <is>
          <t>services</t>
        </is>
      </c>
      <c r="F228" s="30" t="inlineStr">
        <is>
          <t>trading</t>
        </is>
      </c>
      <c r="G228" s="30" t="inlineStr">
        <is>
          <t>largecap</t>
        </is>
      </c>
      <c r="H228" s="31" t="n">
        <v>380514</v>
      </c>
      <c r="I228" s="31" t="n">
        <v>2951.9</v>
      </c>
      <c r="J228" s="31" t="n">
        <v>0.28</v>
      </c>
      <c r="K228" s="31" t="n">
        <v>1244567</v>
      </c>
      <c r="L228" s="30" t="n">
        <v>62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69.37</v>
      </c>
      <c r="P228" s="31" t="n">
        <v>32.65</v>
      </c>
      <c r="Q228" s="31" t="n">
        <v>2526.95</v>
      </c>
      <c r="R228" s="30" t="inlineStr">
        <is>
          <t>Near 52W High Breakout</t>
        </is>
      </c>
      <c r="S228" s="30" t="inlineStr">
        <is>
          <t>Nifty 50</t>
        </is>
      </c>
      <c r="T228" s="31" t="n">
        <v>-4.09</v>
      </c>
      <c r="U228" s="31" t="n">
        <v>20.62</v>
      </c>
      <c r="V228" s="31" t="n">
        <v>25.76</v>
      </c>
      <c r="W228" s="31" t="n">
        <v>16.87</v>
      </c>
      <c r="X228" s="30" t="inlineStr">
        <is>
          <t>Growing Industry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Yes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20 to 40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Between 1.5 to 2</t>
        </is>
      </c>
      <c r="BU228" s="30">
        <f>IF(BT228="Above 2",0,IF(BT228="Between 1.5 to 2",5,IF(BT228="Less than 1.5",10,0)))</f>
        <v/>
      </c>
      <c r="BV228" s="30" t="inlineStr">
        <is>
          <t>Less than 50% and Borrowings are increasing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Between 0.7 to 1.2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IF(B229=0,"",RANK(B229,$B$2:$B$361,0))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MBAPL</t>
        </is>
      </c>
      <c r="D229" s="30" t="inlineStr">
        <is>
          <t>Madhya Bharat Agro Products Ltd</t>
        </is>
      </c>
      <c r="E229" s="30" t="inlineStr">
        <is>
          <t>chemicals</t>
        </is>
      </c>
      <c r="F229" s="30" t="inlineStr">
        <is>
          <t>fertilizers</t>
        </is>
      </c>
      <c r="G229" s="30" t="inlineStr">
        <is>
          <t>smallcap</t>
        </is>
      </c>
      <c r="H229" s="31" t="n">
        <v>4956.62</v>
      </c>
      <c r="I229" s="31" t="n">
        <v>563.25</v>
      </c>
      <c r="J229" s="31" t="n">
        <v>-0.42</v>
      </c>
      <c r="K229" s="31" t="n">
        <v>105640</v>
      </c>
      <c r="L229" s="30" t="n">
        <v>54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67.41</v>
      </c>
      <c r="P229" s="31" t="n">
        <v>48.67</v>
      </c>
      <c r="Q229" s="31" t="n">
        <v>460.88</v>
      </c>
      <c r="R229" s="30" t="inlineStr">
        <is>
          <t>Near 52W High Breakout</t>
        </is>
      </c>
      <c r="S229" s="30" t="inlineStr">
        <is>
          <t>Nifty 50</t>
        </is>
      </c>
      <c r="T229" s="31" t="n">
        <v>-4.09</v>
      </c>
      <c r="U229" s="31" t="n">
        <v>50.37</v>
      </c>
      <c r="V229" s="31" t="n">
        <v>56.78</v>
      </c>
      <c r="W229" s="31" t="n">
        <v>13.96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Above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Blue sky scenario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No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Negative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More than 1.2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IF(B230=0,"",RANK(B230,$B$2:$B$361,0))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0" t="inlineStr">
        <is>
          <t>THELEELA</t>
        </is>
      </c>
      <c r="D230" s="30" t="inlineStr">
        <is>
          <t>Leela Palaces Hotels &amp; Resorts Ltd</t>
        </is>
      </c>
      <c r="E230" s="30" t="inlineStr">
        <is>
          <t>services</t>
        </is>
      </c>
      <c r="F230" s="30" t="inlineStr">
        <is>
          <t>hotels</t>
        </is>
      </c>
      <c r="G230" s="30" t="inlineStr">
        <is>
          <t>midcap</t>
        </is>
      </c>
      <c r="H230" s="31" t="n">
        <v>15291.93</v>
      </c>
      <c r="I230" s="31" t="n">
        <v>455.8</v>
      </c>
      <c r="J230" s="31" t="n">
        <v>-0.46</v>
      </c>
      <c r="K230" s="31" t="n">
        <v>721487</v>
      </c>
      <c r="L230" s="30" t="n">
        <v>20</v>
      </c>
      <c r="M230" s="30" t="inlineStr">
        <is>
          <t>Outperforming</t>
        </is>
      </c>
      <c r="N230" s="31">
        <f>IF(M230="Underperforming",-5,IF(L230&gt;=95,15,IF(L230&gt;=90,10,IF(L230&gt;=80,5,0))))</f>
        <v/>
      </c>
      <c r="O230" s="31" t="n">
        <v>57.99</v>
      </c>
      <c r="P230" s="31" t="n">
        <v>7.36</v>
      </c>
      <c r="Q230" s="31" t="n">
        <v>369.2</v>
      </c>
      <c r="R230" s="30" t="inlineStr">
        <is>
          <t>Volume Spike &amp; Near 52W High Breakout</t>
        </is>
      </c>
      <c r="S230" s="30" t="inlineStr">
        <is>
          <t>Nifty 50</t>
        </is>
      </c>
      <c r="T230" s="31" t="n">
        <v>-4.09</v>
      </c>
      <c r="U230" s="31" t="n">
        <v>15.83</v>
      </c>
      <c r="V230" s="31" t="n">
        <v>20.77</v>
      </c>
      <c r="W230" s="31" t="n">
        <v>6.01</v>
      </c>
      <c r="X230" s="30" t="inlineStr">
        <is>
          <t>Growing Industry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0 to 20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1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Blue sky scenario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No</t>
        </is>
      </c>
      <c r="BS230" s="30">
        <f>IF(BR230="NO",5,0)</f>
        <v/>
      </c>
      <c r="BT230" s="30" t="inlineStr">
        <is>
          <t>Between 1.5 to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IF(B231=0,"",RANK(B231,$B$2:$B$361,0))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0" t="inlineStr">
        <is>
          <t>NAZARA</t>
        </is>
      </c>
      <c r="D231" s="30" t="inlineStr">
        <is>
          <t>Nazara Technologies Ltd</t>
        </is>
      </c>
      <c r="E231" s="30" t="inlineStr">
        <is>
          <t>i.t</t>
        </is>
      </c>
      <c r="F231" s="30" t="inlineStr">
        <is>
          <t>telecommunications - service provider</t>
        </is>
      </c>
      <c r="G231" s="30" t="inlineStr">
        <is>
          <t>midcap</t>
        </is>
      </c>
      <c r="H231" s="31" t="n">
        <v>11156.55</v>
      </c>
      <c r="I231" s="31" t="n">
        <v>299.6</v>
      </c>
      <c r="J231" s="31" t="n">
        <v>-0.51</v>
      </c>
      <c r="K231" s="31" t="n">
        <v>1760106</v>
      </c>
      <c r="L231" s="30" t="n">
        <v>17</v>
      </c>
      <c r="M231" s="30" t="inlineStr">
        <is>
          <t>Outperforming</t>
        </is>
      </c>
      <c r="N231" s="31">
        <f>IF(M231="Underperforming",-5,IF(L231&gt;=95,15,IF(L231&gt;=90,10,IF(L231&gt;=80,5,0))))</f>
        <v/>
      </c>
      <c r="O231" s="31" t="n">
        <v>59.43</v>
      </c>
      <c r="P231" s="31" t="n">
        <v>16.35</v>
      </c>
      <c r="Q231" s="31" t="n">
        <v>227.56</v>
      </c>
      <c r="R231" s="30" t="inlineStr">
        <is>
          <t>Earnings / Momentum Support</t>
        </is>
      </c>
      <c r="S231" s="30" t="inlineStr">
        <is>
          <t>Nifty IT</t>
        </is>
      </c>
      <c r="T231" s="31" t="n">
        <v>-26.11</v>
      </c>
      <c r="U231" s="31" t="n">
        <v>-5.96</v>
      </c>
      <c r="V231" s="31" t="n">
        <v>27.27</v>
      </c>
      <c r="W231" s="31" t="n">
        <v>5.41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Oligopoly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Yes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No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0 to 20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No</t>
        </is>
      </c>
      <c r="BS231" s="30">
        <f>IF(BR231="NO",5,0)</f>
        <v/>
      </c>
      <c r="BT231" s="30" t="inlineStr">
        <is>
          <t>Less than 1.5</t>
        </is>
      </c>
      <c r="BU231" s="30">
        <f>IF(BT231="Above 2",0,IF(BT231="Between 1.5 to 2",5,IF(BT231="Less than 1.5",10,0)))</f>
        <v/>
      </c>
      <c r="BV231" s="30" t="inlineStr">
        <is>
          <t>Between 50% to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IF(B232=0,"",RANK(B232,$B$2:$B$361,0))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OBEROIRLTY</t>
        </is>
      </c>
      <c r="D232" s="30" t="inlineStr">
        <is>
          <t>Oberoi Realty Limited</t>
        </is>
      </c>
      <c r="E232" s="30" t="inlineStr">
        <is>
          <t>realty</t>
        </is>
      </c>
      <c r="F232" s="30" t="inlineStr">
        <is>
          <t>construction</t>
        </is>
      </c>
      <c r="G232" s="30" t="inlineStr">
        <is>
          <t>largecap</t>
        </is>
      </c>
      <c r="H232" s="31" t="n">
        <v>61986.91</v>
      </c>
      <c r="I232" s="31" t="n">
        <v>1694.8</v>
      </c>
      <c r="J232" s="31" t="n">
        <v>-0.59</v>
      </c>
      <c r="K232" s="31" t="n">
        <v>602476</v>
      </c>
      <c r="L232" s="30" t="n">
        <v>3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55.64</v>
      </c>
      <c r="P232" s="31" t="n">
        <v>13.58</v>
      </c>
      <c r="Q232" s="31" t="n">
        <v>1419.45</v>
      </c>
      <c r="R232" s="30" t="inlineStr">
        <is>
          <t>Earnings / Momentum Support</t>
        </is>
      </c>
      <c r="S232" s="30" t="inlineStr">
        <is>
          <t>Nifty Realty</t>
        </is>
      </c>
      <c r="T232" s="31" t="n">
        <v>-19.64</v>
      </c>
      <c r="U232" s="31" t="n">
        <v>-10.87</v>
      </c>
      <c r="V232" s="31" t="n">
        <v>10.91</v>
      </c>
      <c r="W232" s="31" t="n">
        <v>1.82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No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0 to 20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No</t>
        </is>
      </c>
      <c r="BS232" s="30">
        <f>IF(BR232="NO",5,0)</f>
        <v/>
      </c>
      <c r="BT232" s="30" t="inlineStr">
        <is>
          <t>Less than 1.5</t>
        </is>
      </c>
      <c r="BU232" s="30">
        <f>IF(BT232="Above 2",0,IF(BT232="Between 1.5 to 2",5,IF(BT232="Less than 1.5",10,0)))</f>
        <v/>
      </c>
      <c r="BV232" s="30" t="inlineStr">
        <is>
          <t>Less than 50%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IF(B233=0,"",RANK(B233,$B$2:$B$361,0))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CYIENTDLM</t>
        </is>
      </c>
      <c r="D233" s="30" t="inlineStr">
        <is>
          <t>Cyient DLM Ltd</t>
        </is>
      </c>
      <c r="E233" s="30" t="inlineStr">
        <is>
          <t>consumer discretionary</t>
        </is>
      </c>
      <c r="F233" s="30" t="inlineStr">
        <is>
          <t>electronics - components</t>
        </is>
      </c>
      <c r="G233" s="30" t="inlineStr">
        <is>
          <t>smallcap</t>
        </is>
      </c>
      <c r="H233" s="31" t="n">
        <v>3719.81</v>
      </c>
      <c r="I233" s="31" t="n">
        <v>464.9</v>
      </c>
      <c r="J233" s="31" t="n">
        <v>-0.8100000000000001</v>
      </c>
      <c r="K233" s="31" t="n">
        <v>336655</v>
      </c>
      <c r="L233" s="30" t="n">
        <v>56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65.8</v>
      </c>
      <c r="P233" s="31" t="n">
        <v>30.47</v>
      </c>
      <c r="Q233" s="31" t="n">
        <v>355.12</v>
      </c>
      <c r="R233" s="30" t="inlineStr">
        <is>
          <t>Near 52W High Breakout</t>
        </is>
      </c>
      <c r="S233" s="30" t="inlineStr">
        <is>
          <t>Nifty 50</t>
        </is>
      </c>
      <c r="T233" s="31" t="n">
        <v>-4.09</v>
      </c>
      <c r="U233" s="31" t="n">
        <v>2.33</v>
      </c>
      <c r="V233" s="31" t="n">
        <v>6.7</v>
      </c>
      <c r="W233" s="31" t="n">
        <v>14.31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20 to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Less than 50%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IF(B234=0,"",RANK(B234,$B$2:$B$361,0))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2" t="inlineStr">
        <is>
          <t>CERA</t>
        </is>
      </c>
      <c r="D234" s="32" t="inlineStr">
        <is>
          <t>Cera Sanitaryware Limited</t>
        </is>
      </c>
      <c r="E234" s="30" t="inlineStr">
        <is>
          <t>building materials</t>
        </is>
      </c>
      <c r="F234" s="30" t="inlineStr">
        <is>
          <t>ceramics - tiles / sanitaryware</t>
        </is>
      </c>
      <c r="G234" s="30" t="inlineStr">
        <is>
          <t>midcap</t>
        </is>
      </c>
      <c r="H234" s="31" t="n">
        <v>8006.79</v>
      </c>
      <c r="I234" s="31" t="n">
        <v>6156</v>
      </c>
      <c r="J234" s="31" t="n">
        <v>-0.84</v>
      </c>
      <c r="K234" s="31" t="n">
        <v>6748</v>
      </c>
      <c r="L234" s="30" t="n">
        <v>19</v>
      </c>
      <c r="M234" s="30" t="inlineStr">
        <is>
          <t>Underperforming</t>
        </is>
      </c>
      <c r="N234" s="31">
        <f>IF(M234="Underperforming",-5,IF(L234&gt;=95,15,IF(L234&gt;=90,10,IF(L234&gt;=80,5,0))))</f>
        <v/>
      </c>
      <c r="O234" s="31" t="n">
        <v>64.83</v>
      </c>
      <c r="P234" s="31" t="n">
        <v>29.19</v>
      </c>
      <c r="Q234" s="31" t="n">
        <v>5050.11</v>
      </c>
      <c r="R234" s="30" t="inlineStr">
        <is>
          <t>Earnings / Momentum Support</t>
        </is>
      </c>
      <c r="S234" s="30" t="inlineStr">
        <is>
          <t>Nifty Infra</t>
        </is>
      </c>
      <c r="T234" s="31" t="n">
        <v>3.72</v>
      </c>
      <c r="U234" s="31" t="n">
        <v>-5.89</v>
      </c>
      <c r="V234" s="31" t="n">
        <v>-9.27</v>
      </c>
      <c r="W234" s="31" t="n">
        <v>5.81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No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20 to 40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IF(B235=0,"",RANK(B235,$B$2:$B$361,0))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GALAPREC</t>
        </is>
      </c>
      <c r="D235" s="30" t="inlineStr">
        <is>
          <t>Gala Precision Engineering Ltd</t>
        </is>
      </c>
      <c r="E235" s="30" t="inlineStr">
        <is>
          <t>industrials</t>
        </is>
      </c>
      <c r="F235" s="30" t="inlineStr">
        <is>
          <t>fasteners</t>
        </is>
      </c>
      <c r="G235" s="30" t="inlineStr">
        <is>
          <t>smallcap</t>
        </is>
      </c>
      <c r="H235" s="31" t="n">
        <v>1330.94</v>
      </c>
      <c r="I235" s="31" t="n">
        <v>1034.1</v>
      </c>
      <c r="J235" s="31" t="n">
        <v>-0.93</v>
      </c>
      <c r="K235" s="31" t="n">
        <v>90325</v>
      </c>
      <c r="L235" s="30" t="n">
        <v>48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72.95</v>
      </c>
      <c r="P235" s="31" t="n">
        <v>23.71</v>
      </c>
      <c r="Q235" s="31" t="n">
        <v>790.78</v>
      </c>
      <c r="R235" s="30" t="inlineStr">
        <is>
          <t>Volume Spike &amp; Near 52W High Breakout</t>
        </is>
      </c>
      <c r="S235" s="30" t="inlineStr">
        <is>
          <t>Nifty Infra</t>
        </is>
      </c>
      <c r="T235" s="31" t="n">
        <v>3.72</v>
      </c>
      <c r="U235" s="31" t="n">
        <v>18.91</v>
      </c>
      <c r="V235" s="31" t="n">
        <v>14.65</v>
      </c>
      <c r="W235" s="31" t="n">
        <v>12.28</v>
      </c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20 to 40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Less than 12%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No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Less than 50%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Less than 0.7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IF(B236=0,"",RANK(B236,$B$2:$B$361,0))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INDNIPPON</t>
        </is>
      </c>
      <c r="D236" s="30" t="inlineStr">
        <is>
          <t>India Nippon Electricals Limited</t>
        </is>
      </c>
      <c r="E236" s="30" t="inlineStr">
        <is>
          <t>auto</t>
        </is>
      </c>
      <c r="F236" s="30" t="inlineStr">
        <is>
          <t>auto ancillaries</t>
        </is>
      </c>
      <c r="G236" s="30" t="inlineStr">
        <is>
          <t>smallcap</t>
        </is>
      </c>
      <c r="H236" s="31" t="n">
        <v>2096.1</v>
      </c>
      <c r="I236" s="31" t="n">
        <v>917.2</v>
      </c>
      <c r="J236" s="31" t="n">
        <v>-1.01</v>
      </c>
      <c r="K236" s="31" t="n">
        <v>24327</v>
      </c>
      <c r="L236" s="30" t="n">
        <v>49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61.35</v>
      </c>
      <c r="P236" s="31" t="n">
        <v>13.34</v>
      </c>
      <c r="Q236" s="31" t="n">
        <v>720.11</v>
      </c>
      <c r="R236" s="30" t="inlineStr">
        <is>
          <t>Earnings / Momentum Support</t>
        </is>
      </c>
      <c r="S236" s="30" t="inlineStr">
        <is>
          <t>Nifty Auto</t>
        </is>
      </c>
      <c r="T236" s="31" t="n">
        <v>12.86</v>
      </c>
      <c r="U236" s="31" t="n">
        <v>31.91</v>
      </c>
      <c r="V236" s="31" t="n">
        <v>16.88</v>
      </c>
      <c r="W236" s="31" t="n">
        <v>12.74</v>
      </c>
      <c r="X236" s="30" t="inlineStr">
        <is>
          <t>Growing Industry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Structural (10 Years Consistency)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Stable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No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0 to 20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Less than 1.5</t>
        </is>
      </c>
      <c r="BU236" s="30">
        <f>IF(BT236="Above 2",0,IF(BT236="Between 1.5 to 2",5,IF(BT236="Less than 1.5",10,0)))</f>
        <v/>
      </c>
      <c r="BV236" s="30" t="inlineStr">
        <is>
          <t>Less than 50%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IF(B237=0,"",RANK(B237,$B$2:$B$361,0))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GABRIEL</t>
        </is>
      </c>
      <c r="D237" s="30" t="inlineStr">
        <is>
          <t>Gabriel India Limited</t>
        </is>
      </c>
      <c r="E237" s="30" t="inlineStr">
        <is>
          <t>auto</t>
        </is>
      </c>
      <c r="F237" s="30" t="inlineStr">
        <is>
          <t>auto ancillaries</t>
        </is>
      </c>
      <c r="G237" s="30" t="inlineStr">
        <is>
          <t>midcap</t>
        </is>
      </c>
      <c r="H237" s="31" t="n">
        <v>16323.7</v>
      </c>
      <c r="I237" s="31" t="n">
        <v>1123.2</v>
      </c>
      <c r="J237" s="31" t="n">
        <v>-1.16</v>
      </c>
      <c r="K237" s="31" t="n">
        <v>341020</v>
      </c>
      <c r="L237" s="30" t="n">
        <v>85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57.91</v>
      </c>
      <c r="P237" s="31" t="n">
        <v>16.62</v>
      </c>
      <c r="Q237" s="31" t="n">
        <v>844.3099999999999</v>
      </c>
      <c r="R237" s="30" t="inlineStr">
        <is>
          <t>Volume Spike / Accumulation</t>
        </is>
      </c>
      <c r="S237" s="30" t="inlineStr">
        <is>
          <t>Nifty Auto</t>
        </is>
      </c>
      <c r="T237" s="31" t="n">
        <v>12.86</v>
      </c>
      <c r="U237" s="31" t="n">
        <v>90.13</v>
      </c>
      <c r="V237" s="31" t="n">
        <v>68.45999999999999</v>
      </c>
      <c r="W237" s="31" t="n">
        <v>28.25</v>
      </c>
      <c r="X237" s="30" t="inlineStr">
        <is>
          <t>Growing Industry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Less than 12%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Yes</t>
        </is>
      </c>
      <c r="BS237" s="30">
        <f>IF(BR237="NO",5,0)</f>
        <v/>
      </c>
      <c r="BT237" s="30" t="inlineStr">
        <is>
          <t>Above 2</t>
        </is>
      </c>
      <c r="BU237" s="30">
        <f>IF(BT237="Above 2",0,IF(BT237="Between 1.5 to 2",5,IF(BT237="Less than 1.5",10,0)))</f>
        <v/>
      </c>
      <c r="BV237" s="30" t="inlineStr">
        <is>
          <t>Above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IF(B238=0,"",RANK(B238,$B$2:$B$361,0))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SKYGOLD</t>
        </is>
      </c>
      <c r="D238" s="30" t="inlineStr">
        <is>
          <t>Sky Gold Ltd</t>
        </is>
      </c>
      <c r="E238" s="30" t="inlineStr">
        <is>
          <t>consumer discretionary</t>
        </is>
      </c>
      <c r="F238" s="30" t="inlineStr">
        <is>
          <t>diamond cutting / jewellery</t>
        </is>
      </c>
      <c r="G238" s="30" t="inlineStr">
        <is>
          <t>midcap</t>
        </is>
      </c>
      <c r="H238" s="31" t="n">
        <v>8208.32</v>
      </c>
      <c r="I238" s="31" t="n">
        <v>523.35</v>
      </c>
      <c r="J238" s="31" t="n">
        <v>-1.25</v>
      </c>
      <c r="K238" s="31" t="n">
        <v>565947</v>
      </c>
      <c r="L238" s="30" t="n">
        <v>75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65.09999999999999</v>
      </c>
      <c r="P238" s="31" t="n">
        <v>38.86</v>
      </c>
      <c r="Q238" s="31" t="n">
        <v>389.91</v>
      </c>
      <c r="R238" s="30" t="inlineStr">
        <is>
          <t>Near 52W High Breakout</t>
        </is>
      </c>
      <c r="S238" s="30" t="inlineStr">
        <is>
          <t>Nifty 50</t>
        </is>
      </c>
      <c r="T238" s="31" t="n">
        <v>-4.09</v>
      </c>
      <c r="U238" s="31" t="n">
        <v>64.55</v>
      </c>
      <c r="V238" s="31" t="n">
        <v>71.56</v>
      </c>
      <c r="W238" s="31" t="n">
        <v>22.32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Blue sky scenario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Negative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Between 0.7 to 1.2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IF(B239=0,"",RANK(B239,$B$2:$B$361,0))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2" t="inlineStr">
        <is>
          <t>MEDANTA</t>
        </is>
      </c>
      <c r="D239" s="32" t="inlineStr">
        <is>
          <t>Global Health Ltd</t>
        </is>
      </c>
      <c r="E239" s="30" t="inlineStr">
        <is>
          <t>healthcare</t>
        </is>
      </c>
      <c r="F239" s="30" t="inlineStr">
        <is>
          <t>healthcare</t>
        </is>
      </c>
      <c r="G239" s="30" t="inlineStr">
        <is>
          <t>largecap</t>
        </is>
      </c>
      <c r="H239" s="31" t="n">
        <v>33225.18</v>
      </c>
      <c r="I239" s="31" t="n">
        <v>1254.4</v>
      </c>
      <c r="J239" s="31" t="n">
        <v>1.48</v>
      </c>
      <c r="K239" s="31" t="n">
        <v>362479</v>
      </c>
      <c r="L239" s="30" t="n">
        <v>30</v>
      </c>
      <c r="M239" s="30" t="inlineStr">
        <is>
          <t>Underperforming</t>
        </is>
      </c>
      <c r="N239" s="31">
        <f>IF(M239="Underperforming",-5,IF(L239&gt;=95,15,IF(L239&gt;=90,10,IF(L239&gt;=80,5,0))))</f>
        <v/>
      </c>
      <c r="O239" s="31" t="n">
        <v>59.43</v>
      </c>
      <c r="P239" s="31" t="n">
        <v>18.64</v>
      </c>
      <c r="Q239" s="31" t="n">
        <v>1023.71</v>
      </c>
      <c r="R239" s="30" t="inlineStr">
        <is>
          <t>Earnings / Momentum Support</t>
        </is>
      </c>
      <c r="S239" s="30" t="inlineStr">
        <is>
          <t>Nifty Pharma</t>
        </is>
      </c>
      <c r="T239" s="31" t="n">
        <v>11.72</v>
      </c>
      <c r="U239" s="31" t="n">
        <v>10.9</v>
      </c>
      <c r="V239" s="31" t="n">
        <v>-0.73</v>
      </c>
      <c r="W239" s="31" t="n">
        <v>8.31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Yes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No</t>
        </is>
      </c>
      <c r="AQ239" s="30">
        <f>IF(AP239="Yes",10,0)</f>
        <v/>
      </c>
      <c r="AR239" s="30" t="inlineStr">
        <is>
          <t>Higher Annuity, Lower One Time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0 to 20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Less than 1.5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IF(B240=0,"",RANK(B240,$B$2:$B$361,0))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SANSTAR</t>
        </is>
      </c>
      <c r="D240" s="30" t="inlineStr">
        <is>
          <t>Sanstar Ltd</t>
        </is>
      </c>
      <c r="E240" s="30" t="inlineStr">
        <is>
          <t>fmcg</t>
        </is>
      </c>
      <c r="F240" s="30" t="inlineStr">
        <is>
          <t>miscellaneous</t>
        </is>
      </c>
      <c r="G240" s="30" t="inlineStr">
        <is>
          <t>smallcap</t>
        </is>
      </c>
      <c r="H240" s="31" t="n">
        <v>2097.27</v>
      </c>
      <c r="I240" s="31" t="n">
        <v>114.77</v>
      </c>
      <c r="J240" s="31" t="n">
        <v>-0.27</v>
      </c>
      <c r="K240" s="31" t="n">
        <v>450754</v>
      </c>
      <c r="L240" s="30" t="n">
        <v>53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70.08</v>
      </c>
      <c r="P240" s="31" t="n">
        <v>32.05</v>
      </c>
      <c r="Q240" s="31" t="n">
        <v>92.91</v>
      </c>
      <c r="R240" s="30" t="inlineStr">
        <is>
          <t>Near 52W High Breakout</t>
        </is>
      </c>
      <c r="S240" s="30" t="inlineStr">
        <is>
          <t>Nifty FMCG</t>
        </is>
      </c>
      <c r="T240" s="31" t="n">
        <v>-9.289999999999999</v>
      </c>
      <c r="U240" s="31" t="n">
        <v>26.08</v>
      </c>
      <c r="V240" s="31" t="n">
        <v>38.99</v>
      </c>
      <c r="W240" s="31" t="n">
        <v>13.86</v>
      </c>
      <c r="X240" s="30" t="inlineStr">
        <is>
          <t>Growing Industry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B2C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Annuity, Lower One Time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Negative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IF(B241=0,"",RANK(B241,$B$2:$B$361,0))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2" t="inlineStr">
        <is>
          <t>AKUMS</t>
        </is>
      </c>
      <c r="D241" s="32" t="inlineStr">
        <is>
          <t>Akums Drugs &amp; Pharmaceuticals Ltd</t>
        </is>
      </c>
      <c r="E241" s="30" t="inlineStr">
        <is>
          <t>healthcare</t>
        </is>
      </c>
      <c r="F241" s="30" t="inlineStr">
        <is>
          <t>pharmaceuticals - indian - bulk drugs &amp; formln</t>
        </is>
      </c>
      <c r="G241" s="30" t="inlineStr">
        <is>
          <t>midcap</t>
        </is>
      </c>
      <c r="H241" s="31" t="n">
        <v>9394.059999999999</v>
      </c>
      <c r="I241" s="31" t="n">
        <v>591.55</v>
      </c>
      <c r="J241" s="31" t="n">
        <v>-0.89</v>
      </c>
      <c r="K241" s="31" t="n">
        <v>270885</v>
      </c>
      <c r="L241" s="30" t="n">
        <v>24</v>
      </c>
      <c r="M241" s="30" t="inlineStr">
        <is>
          <t>Underperforming</t>
        </is>
      </c>
      <c r="N241" s="31">
        <f>IF(M241="Underperforming",-5,IF(L241&gt;=95,15,IF(L241&gt;=90,10,IF(L241&gt;=80,5,0))))</f>
        <v/>
      </c>
      <c r="O241" s="31" t="n">
        <v>64.28</v>
      </c>
      <c r="P241" s="31" t="n">
        <v>39.07</v>
      </c>
      <c r="Q241" s="31" t="n">
        <v>497.09</v>
      </c>
      <c r="R241" s="30" t="inlineStr">
        <is>
          <t>Earnings / Momentum Support</t>
        </is>
      </c>
      <c r="S241" s="30" t="inlineStr">
        <is>
          <t>Nifty Pharma</t>
        </is>
      </c>
      <c r="T241" s="31" t="n">
        <v>11.72</v>
      </c>
      <c r="U241" s="31" t="n">
        <v>9</v>
      </c>
      <c r="V241" s="31" t="n">
        <v>-2.44</v>
      </c>
      <c r="W241" s="31" t="n">
        <v>7.07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Yes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Annuity, Lower One Time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Less than 12%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No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IF(B242=0,"",RANK(B242,$B$2:$B$361,0))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RICOAUTO</t>
        </is>
      </c>
      <c r="D242" s="30" t="inlineStr">
        <is>
          <t>Rico Auto Industries Limited</t>
        </is>
      </c>
      <c r="E242" s="30" t="inlineStr">
        <is>
          <t>auto</t>
        </is>
      </c>
      <c r="F242" s="30" t="inlineStr">
        <is>
          <t>auto ancillaries</t>
        </is>
      </c>
      <c r="G242" s="30" t="inlineStr">
        <is>
          <t>smallcap</t>
        </is>
      </c>
      <c r="H242" s="31" t="n">
        <v>1803.08</v>
      </c>
      <c r="I242" s="31" t="n">
        <v>143.29</v>
      </c>
      <c r="J242" s="31" t="n">
        <v>7.51</v>
      </c>
      <c r="K242" s="31" t="n">
        <v>11454310</v>
      </c>
      <c r="L242" s="30" t="n">
        <v>75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63.19</v>
      </c>
      <c r="P242" s="31" t="n">
        <v>19.94</v>
      </c>
      <c r="Q242" s="31" t="n">
        <v>101.67</v>
      </c>
      <c r="R242" s="30" t="inlineStr">
        <is>
          <t>Near 52W High Breakout</t>
        </is>
      </c>
      <c r="S242" s="30" t="inlineStr">
        <is>
          <t>Nifty Auto</t>
        </is>
      </c>
      <c r="T242" s="31" t="n">
        <v>12.86</v>
      </c>
      <c r="U242" s="31" t="n">
        <v>95.38</v>
      </c>
      <c r="V242" s="31" t="n">
        <v>73.12</v>
      </c>
      <c r="W242" s="31" t="n">
        <v>22.27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0 to 20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Between 0.7 to 1.2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IF(B243=0,"",RANK(B243,$B$2:$B$361,0))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2" t="inlineStr">
        <is>
          <t>AEROENTER</t>
        </is>
      </c>
      <c r="D243" s="32" t="inlineStr">
        <is>
          <t>Aeroflex Enterprises Ltd</t>
        </is>
      </c>
      <c r="E243" s="30" t="inlineStr">
        <is>
          <t>metals &amp; mining</t>
        </is>
      </c>
      <c r="F243" s="30" t="inlineStr">
        <is>
          <t>steel - medium / small</t>
        </is>
      </c>
      <c r="G243" s="30" t="inlineStr">
        <is>
          <t>smallcap</t>
        </is>
      </c>
      <c r="H243" s="31" t="n">
        <v>1217.47</v>
      </c>
      <c r="I243" s="31" t="n">
        <v>115.65</v>
      </c>
      <c r="J243" s="31" t="n">
        <v>7.42</v>
      </c>
      <c r="K243" s="31" t="n">
        <v>2214137</v>
      </c>
      <c r="L243" s="30" t="n">
        <v>66</v>
      </c>
      <c r="M243" s="30" t="inlineStr">
        <is>
          <t>Underperforming</t>
        </is>
      </c>
      <c r="N243" s="31">
        <f>IF(M243="Underperforming",-5,IF(L243&gt;=95,15,IF(L243&gt;=90,10,IF(L243&gt;=80,5,0))))</f>
        <v/>
      </c>
      <c r="O243" s="31" t="n">
        <v>68.02</v>
      </c>
      <c r="P243" s="31" t="n">
        <v>34.94</v>
      </c>
      <c r="Q243" s="31" t="n">
        <v>85.28</v>
      </c>
      <c r="R243" s="30" t="inlineStr">
        <is>
          <t>Near 52W High Breakout</t>
        </is>
      </c>
      <c r="S243" s="30" t="inlineStr">
        <is>
          <t>Nifty Metal</t>
        </is>
      </c>
      <c r="T243" s="31" t="n">
        <v>42.38</v>
      </c>
      <c r="U243" s="31" t="n">
        <v>17.75</v>
      </c>
      <c r="V243" s="31" t="n">
        <v>-17.3</v>
      </c>
      <c r="W243" s="31" t="n">
        <v>18.1</v>
      </c>
      <c r="X243" s="30" t="inlineStr">
        <is>
          <t>Cyclical in an Upturn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Cyclical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Volatile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More than 20%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No</t>
        </is>
      </c>
      <c r="BS243" s="30">
        <f>IF(BR243="NO",5,0)</f>
        <v/>
      </c>
      <c r="BT243" s="30" t="inlineStr">
        <is>
          <t>Less than 1.5</t>
        </is>
      </c>
      <c r="BU243" s="30">
        <f>IF(BT243="Above 2",0,IF(BT243="Between 1.5 to 2",5,IF(BT243="Less than 1.5",10,0)))</f>
        <v/>
      </c>
      <c r="BV243" s="30" t="inlineStr">
        <is>
          <t>Less than 50%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Less than 0.7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IF(B244=0,"",RANK(B244,$B$2:$B$361,0))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MANINDS</t>
        </is>
      </c>
      <c r="D244" s="30" t="inlineStr">
        <is>
          <t>Man Industries (india) Limited</t>
        </is>
      </c>
      <c r="E244" s="30" t="inlineStr">
        <is>
          <t>metals &amp; mining</t>
        </is>
      </c>
      <c r="F244" s="30" t="inlineStr">
        <is>
          <t>steel - medium / small</t>
        </is>
      </c>
      <c r="G244" s="30" t="inlineStr">
        <is>
          <t>smallcap</t>
        </is>
      </c>
      <c r="H244" s="31" t="n">
        <v>4285.3</v>
      </c>
      <c r="I244" s="31" t="n">
        <v>592.6</v>
      </c>
      <c r="J244" s="31" t="n">
        <v>3.73</v>
      </c>
      <c r="K244" s="31" t="n">
        <v>881298</v>
      </c>
      <c r="L244" s="30" t="n">
        <v>78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64.42</v>
      </c>
      <c r="P244" s="31" t="n">
        <v>26.13</v>
      </c>
      <c r="Q244" s="31" t="n">
        <v>416.77</v>
      </c>
      <c r="R244" s="30" t="inlineStr">
        <is>
          <t>Near 52W High Breakout</t>
        </is>
      </c>
      <c r="S244" s="30" t="inlineStr">
        <is>
          <t>Nifty Metal</t>
        </is>
      </c>
      <c r="T244" s="31" t="n">
        <v>42.38</v>
      </c>
      <c r="U244" s="31" t="n">
        <v>57.42</v>
      </c>
      <c r="V244" s="31" t="n">
        <v>10.56</v>
      </c>
      <c r="W244" s="31" t="n">
        <v>23.99</v>
      </c>
      <c r="X244" s="30" t="inlineStr">
        <is>
          <t>Cyclical in an Upturn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Cyclical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Volatile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20 to 40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Blue sky scenario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IF(B245=0,"",RANK(B245,$B$2:$B$361,0))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EPL</t>
        </is>
      </c>
      <c r="D245" s="30" t="inlineStr">
        <is>
          <t>EPL Ltd</t>
        </is>
      </c>
      <c r="E245" s="30" t="inlineStr">
        <is>
          <t>industrials</t>
        </is>
      </c>
      <c r="F245" s="30" t="inlineStr">
        <is>
          <t>packaging</t>
        </is>
      </c>
      <c r="G245" s="30" t="inlineStr">
        <is>
          <t>midcap</t>
        </is>
      </c>
      <c r="H245" s="31" t="n">
        <v>7309.34</v>
      </c>
      <c r="I245" s="31" t="n">
        <v>233.01</v>
      </c>
      <c r="J245" s="31" t="n">
        <v>2.09</v>
      </c>
      <c r="K245" s="31" t="n">
        <v>835636</v>
      </c>
      <c r="L245" s="30" t="n">
        <v>17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57.95</v>
      </c>
      <c r="P245" s="31" t="n">
        <v>10.83</v>
      </c>
      <c r="Q245" s="31" t="n">
        <v>187.47</v>
      </c>
      <c r="R245" s="30" t="inlineStr">
        <is>
          <t>Near 52W High Breakout</t>
        </is>
      </c>
      <c r="S245" s="30" t="inlineStr">
        <is>
          <t>Nifty 50</t>
        </is>
      </c>
      <c r="T245" s="31" t="n">
        <v>-4.09</v>
      </c>
      <c r="U245" s="31" t="n">
        <v>2.09</v>
      </c>
      <c r="V245" s="31" t="n">
        <v>6.44</v>
      </c>
      <c r="W245" s="31" t="n">
        <v>5.43</v>
      </c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0 to 20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No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IF(B246=0,"",RANK(B246,$B$2:$B$361,0))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2" t="inlineStr">
        <is>
          <t>UNIMECH</t>
        </is>
      </c>
      <c r="D246" s="32" t="inlineStr">
        <is>
          <t>Unimech Aerospace and Manufacturing Ltd</t>
        </is>
      </c>
      <c r="E246" s="30" t="inlineStr">
        <is>
          <t>aerospace &amp; defence</t>
        </is>
      </c>
      <c r="F246" s="30" t="inlineStr">
        <is>
          <t>engineering</t>
        </is>
      </c>
      <c r="G246" s="30" t="inlineStr">
        <is>
          <t>midcap</t>
        </is>
      </c>
      <c r="H246" s="31" t="n">
        <v>5787</v>
      </c>
      <c r="I246" s="31" t="n">
        <v>1160.35</v>
      </c>
      <c r="J246" s="31" t="n">
        <v>1.97</v>
      </c>
      <c r="K246" s="31" t="n">
        <v>95186</v>
      </c>
      <c r="L246" s="30" t="n">
        <v>37</v>
      </c>
      <c r="M246" s="30" t="inlineStr">
        <is>
          <t>Underperforming</t>
        </is>
      </c>
      <c r="N246" s="31">
        <f>IF(M246="Underperforming",-5,IF(L246&gt;=95,15,IF(L246&gt;=90,10,IF(L246&gt;=80,5,0))))</f>
        <v/>
      </c>
      <c r="O246" s="31" t="n">
        <v>64.7</v>
      </c>
      <c r="P246" s="31" t="n">
        <v>25.74</v>
      </c>
      <c r="Q246" s="31" t="n">
        <v>851.72</v>
      </c>
      <c r="R246" s="30" t="inlineStr">
        <is>
          <t>Earnings / Momentum Support</t>
        </is>
      </c>
      <c r="S246" s="30" t="inlineStr">
        <is>
          <t>Nifty 50</t>
        </is>
      </c>
      <c r="T246" s="31" t="n">
        <v>-4.09</v>
      </c>
      <c r="U246" s="31" t="n">
        <v>-9.85</v>
      </c>
      <c r="V246" s="31" t="n">
        <v>-6</v>
      </c>
      <c r="W246" s="31" t="n">
        <v>9.460000000000001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No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20 to 40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2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Less than 12%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IF(B247=0,"",RANK(B247,$B$2:$B$361,0))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PYRAMID</t>
        </is>
      </c>
      <c r="D247" s="30" t="inlineStr">
        <is>
          <t>Pyramid Technoplast Ltd</t>
        </is>
      </c>
      <c r="E247" s="30" t="inlineStr">
        <is>
          <t>industrials</t>
        </is>
      </c>
      <c r="F247" s="30" t="inlineStr">
        <is>
          <t>packaging</t>
        </is>
      </c>
      <c r="G247" s="30" t="inlineStr">
        <is>
          <t>smallcap</t>
        </is>
      </c>
      <c r="H247" s="31" t="n">
        <v>637.59</v>
      </c>
      <c r="I247" s="31" t="n">
        <v>176.49</v>
      </c>
      <c r="J247" s="31" t="n">
        <v>1.82</v>
      </c>
      <c r="K247" s="31" t="n">
        <v>65205</v>
      </c>
      <c r="L247" s="30" t="n">
        <v>11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58.5</v>
      </c>
      <c r="P247" s="31" t="n">
        <v>14.99</v>
      </c>
      <c r="Q247" s="31" t="n">
        <v>133.88</v>
      </c>
      <c r="R247" s="30" t="inlineStr">
        <is>
          <t>Near 52W High Breakout</t>
        </is>
      </c>
      <c r="S247" s="30" t="inlineStr">
        <is>
          <t>Nifty 50</t>
        </is>
      </c>
      <c r="T247" s="31" t="n">
        <v>-4.09</v>
      </c>
      <c r="U247" s="31" t="n">
        <v>-1.09</v>
      </c>
      <c r="V247" s="31" t="n">
        <v>3.13</v>
      </c>
      <c r="W247" s="31" t="n">
        <v>4.26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Yes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No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Negative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IF(B248=0,"",RANK(B248,$B$2:$B$361,0))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BHARATFORG</t>
        </is>
      </c>
      <c r="D248" s="30" t="inlineStr">
        <is>
          <t>Bharat Forge Limited</t>
        </is>
      </c>
      <c r="E248" s="30" t="inlineStr">
        <is>
          <t>industrials</t>
        </is>
      </c>
      <c r="F248" s="30" t="inlineStr">
        <is>
          <t>castings &amp; forgings</t>
        </is>
      </c>
      <c r="G248" s="30" t="inlineStr">
        <is>
          <t>largecap</t>
        </is>
      </c>
      <c r="H248" s="31" t="n">
        <v>96205.78</v>
      </c>
      <c r="I248" s="31" t="n">
        <v>2034.5</v>
      </c>
      <c r="J248" s="31" t="n">
        <v>1.1</v>
      </c>
      <c r="K248" s="31" t="n">
        <v>670471</v>
      </c>
      <c r="L248" s="30" t="n">
        <v>54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68.26000000000001</v>
      </c>
      <c r="P248" s="31" t="n">
        <v>34.49</v>
      </c>
      <c r="Q248" s="31" t="n">
        <v>1684.36</v>
      </c>
      <c r="R248" s="30" t="inlineStr">
        <is>
          <t>Near 52W High Breakout</t>
        </is>
      </c>
      <c r="S248" s="30" t="inlineStr">
        <is>
          <t>Nifty 50</t>
        </is>
      </c>
      <c r="T248" s="31" t="n">
        <v>-4.09</v>
      </c>
      <c r="U248" s="31" t="n">
        <v>60.08</v>
      </c>
      <c r="V248" s="31" t="n">
        <v>66.90000000000001</v>
      </c>
      <c r="W248" s="31" t="n">
        <v>13.98</v>
      </c>
      <c r="X248" s="30" t="inlineStr">
        <is>
          <t>Cyclical in an Upturn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Yes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Blue sky scenario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Between 50% to 70%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Between 0.7 to 1.2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IF(B249=0,"",RANK(B249,$B$2:$B$361,0))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0" t="inlineStr">
        <is>
          <t>CENTENKA</t>
        </is>
      </c>
      <c r="D249" s="30" t="inlineStr">
        <is>
          <t>Century Enka Limited</t>
        </is>
      </c>
      <c r="E249" s="30" t="inlineStr">
        <is>
          <t>textiles</t>
        </is>
      </c>
      <c r="F249" s="30" t="inlineStr">
        <is>
          <t>textiles - manmade</t>
        </is>
      </c>
      <c r="G249" s="30" t="inlineStr">
        <is>
          <t>smallcap</t>
        </is>
      </c>
      <c r="H249" s="31" t="n">
        <v>1093.62</v>
      </c>
      <c r="I249" s="31" t="n">
        <v>504.7</v>
      </c>
      <c r="J249" s="31" t="n">
        <v>0.84</v>
      </c>
      <c r="K249" s="31" t="n">
        <v>54234</v>
      </c>
      <c r="L249" s="30" t="n">
        <v>19</v>
      </c>
      <c r="M249" s="30" t="inlineStr">
        <is>
          <t>Outperforming</t>
        </is>
      </c>
      <c r="N249" s="31">
        <f>IF(M249="Underperforming",-5,IF(L249&gt;=95,15,IF(L249&gt;=90,10,IF(L249&gt;=80,5,0))))</f>
        <v/>
      </c>
      <c r="O249" s="31" t="n">
        <v>58.86</v>
      </c>
      <c r="P249" s="31" t="n">
        <v>31.69</v>
      </c>
      <c r="Q249" s="31" t="n">
        <v>406.47</v>
      </c>
      <c r="R249" s="30" t="inlineStr">
        <is>
          <t>Near 52W High Breakout</t>
        </is>
      </c>
      <c r="S249" s="30" t="inlineStr">
        <is>
          <t>Nifty 50</t>
        </is>
      </c>
      <c r="T249" s="31" t="n">
        <v>-4.09</v>
      </c>
      <c r="U249" s="31" t="n">
        <v>3.81</v>
      </c>
      <c r="V249" s="31" t="n">
        <v>8.23</v>
      </c>
      <c r="W249" s="31" t="n">
        <v>5.58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Tailwind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One Time, Lower Annuity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Negative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Above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IF(B250=0,"",RANK(B250,$B$2:$B$361,0))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WELSPUNLIV</t>
        </is>
      </c>
      <c r="D250" s="30" t="inlineStr">
        <is>
          <t>Welspun Living Ltd</t>
        </is>
      </c>
      <c r="E250" s="30" t="inlineStr">
        <is>
          <t>textiles</t>
        </is>
      </c>
      <c r="F250" s="30" t="inlineStr">
        <is>
          <t>textiles - products</t>
        </is>
      </c>
      <c r="G250" s="30" t="inlineStr">
        <is>
          <t>midcap</t>
        </is>
      </c>
      <c r="H250" s="31" t="n">
        <v>13982.53</v>
      </c>
      <c r="I250" s="31" t="n">
        <v>146.65</v>
      </c>
      <c r="J250" s="31" t="n">
        <v>0.6</v>
      </c>
      <c r="K250" s="31" t="n">
        <v>1069359</v>
      </c>
      <c r="L250" s="30" t="n">
        <v>37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62</v>
      </c>
      <c r="P250" s="31" t="n">
        <v>17.52</v>
      </c>
      <c r="Q250" s="31" t="n">
        <v>114.62</v>
      </c>
      <c r="R250" s="30" t="inlineStr">
        <is>
          <t>Near 52W High Breakout</t>
        </is>
      </c>
      <c r="S250" s="30" t="inlineStr">
        <is>
          <t>Nifty 50</t>
        </is>
      </c>
      <c r="T250" s="31" t="n">
        <v>-4.09</v>
      </c>
      <c r="U250" s="31" t="n">
        <v>15.24</v>
      </c>
      <c r="V250" s="31" t="n">
        <v>20.15</v>
      </c>
      <c r="W250" s="31" t="n">
        <v>9.460000000000001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IF(B251=0,"",RANK(B251,$B$2:$B$361,0))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NAVINFLUOR</t>
        </is>
      </c>
      <c r="D251" s="30" t="inlineStr">
        <is>
          <t>Navin Fluorine International Limited</t>
        </is>
      </c>
      <c r="E251" s="30" t="inlineStr">
        <is>
          <t>chemicals</t>
        </is>
      </c>
      <c r="F251" s="30" t="inlineStr">
        <is>
          <t>chemicals</t>
        </is>
      </c>
      <c r="G251" s="30" t="inlineStr">
        <is>
          <t>largecap</t>
        </is>
      </c>
      <c r="H251" s="31" t="n">
        <v>37490.89</v>
      </c>
      <c r="I251" s="31" t="n">
        <v>7344</v>
      </c>
      <c r="J251" s="31" t="n">
        <v>0.39</v>
      </c>
      <c r="K251" s="31" t="n">
        <v>245256</v>
      </c>
      <c r="L251" s="30" t="n">
        <v>53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70.03</v>
      </c>
      <c r="P251" s="31" t="n">
        <v>37.33</v>
      </c>
      <c r="Q251" s="31" t="n">
        <v>5990.71</v>
      </c>
      <c r="R251" s="30" t="inlineStr">
        <is>
          <t>Near 52W High Breakout</t>
        </is>
      </c>
      <c r="S251" s="30" t="inlineStr">
        <is>
          <t>Nifty 50</t>
        </is>
      </c>
      <c r="T251" s="31" t="n">
        <v>-4.09</v>
      </c>
      <c r="U251" s="31" t="n">
        <v>57.34</v>
      </c>
      <c r="V251" s="31" t="n">
        <v>64.04000000000001</v>
      </c>
      <c r="W251" s="31" t="n">
        <v>13.89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Oligopoly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Shallow Cyclical (2 to 3 Years Growth)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3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Yes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Between 50% to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IF(B252=0,"",RANK(B252,$B$2:$B$361,0))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2" t="inlineStr">
        <is>
          <t>OAL</t>
        </is>
      </c>
      <c r="D252" s="32" t="inlineStr">
        <is>
          <t>Oriental Aromatics Ltd</t>
        </is>
      </c>
      <c r="E252" s="30" t="inlineStr">
        <is>
          <t>chemicals</t>
        </is>
      </c>
      <c r="F252" s="30" t="inlineStr">
        <is>
          <t>chemicals</t>
        </is>
      </c>
      <c r="G252" s="30" t="inlineStr">
        <is>
          <t>smallcap</t>
        </is>
      </c>
      <c r="H252" s="31" t="n">
        <v>1143.89</v>
      </c>
      <c r="I252" s="31" t="n">
        <v>340.85</v>
      </c>
      <c r="J252" s="31" t="n">
        <v>0.28</v>
      </c>
      <c r="K252" s="31" t="n">
        <v>9842</v>
      </c>
      <c r="L252" s="30" t="n">
        <v>20</v>
      </c>
      <c r="M252" s="30" t="inlineStr">
        <is>
          <t>Underperforming</t>
        </is>
      </c>
      <c r="N252" s="31">
        <f>IF(M252="Underperforming",-5,IF(L252&gt;=95,15,IF(L252&gt;=90,10,IF(L252&gt;=80,5,0))))</f>
        <v/>
      </c>
      <c r="O252" s="31" t="n">
        <v>61.2</v>
      </c>
      <c r="P252" s="31" t="n">
        <v>23.34</v>
      </c>
      <c r="Q252" s="31" t="n">
        <v>254.45</v>
      </c>
      <c r="R252" s="30" t="inlineStr">
        <is>
          <t>Earnings / Momentum Support</t>
        </is>
      </c>
      <c r="S252" s="30" t="inlineStr">
        <is>
          <t>Nifty 50</t>
        </is>
      </c>
      <c r="T252" s="31" t="n">
        <v>-4.09</v>
      </c>
      <c r="U252" s="31" t="n">
        <v>-12.33</v>
      </c>
      <c r="V252" s="31" t="n">
        <v>-8.59</v>
      </c>
      <c r="W252" s="31" t="n">
        <v>5.96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No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Less than 50%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IF(B253=0,"",RANK(B253,$B$2:$B$361,0))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DLINKINDIA</t>
        </is>
      </c>
      <c r="D253" s="30" t="inlineStr">
        <is>
          <t>D-link (india) Limited</t>
        </is>
      </c>
      <c r="E253" s="30" t="inlineStr">
        <is>
          <t>services</t>
        </is>
      </c>
      <c r="F253" s="30" t="inlineStr">
        <is>
          <t>trading</t>
        </is>
      </c>
      <c r="G253" s="30" t="inlineStr">
        <is>
          <t>smallcap</t>
        </is>
      </c>
      <c r="H253" s="31" t="n">
        <v>1812.88</v>
      </c>
      <c r="I253" s="31" t="n">
        <v>511</v>
      </c>
      <c r="J253" s="31" t="n">
        <v>0.08</v>
      </c>
      <c r="K253" s="31" t="n">
        <v>123381</v>
      </c>
      <c r="L253" s="30" t="n">
        <v>23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67.25</v>
      </c>
      <c r="P253" s="31" t="n">
        <v>29.07</v>
      </c>
      <c r="Q253" s="31" t="n">
        <v>417.25</v>
      </c>
      <c r="R253" s="30" t="inlineStr">
        <is>
          <t>Earnings / Momentum Support</t>
        </is>
      </c>
      <c r="S253" s="30" t="inlineStr">
        <is>
          <t>Nifty 50</t>
        </is>
      </c>
      <c r="T253" s="31" t="n">
        <v>-4.09</v>
      </c>
      <c r="U253" s="31" t="n">
        <v>-2.12</v>
      </c>
      <c r="V253" s="31" t="n">
        <v>2.05</v>
      </c>
      <c r="W253" s="31" t="n">
        <v>6.6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No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Less than 50%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IF(B254=0,"",RANK(B254,$B$2:$B$361,0))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0" t="inlineStr">
        <is>
          <t>MMFL</t>
        </is>
      </c>
      <c r="D254" s="30" t="inlineStr">
        <is>
          <t>Mm Forgings Limited</t>
        </is>
      </c>
      <c r="E254" s="30" t="inlineStr">
        <is>
          <t>industrials</t>
        </is>
      </c>
      <c r="F254" s="30" t="inlineStr">
        <is>
          <t>castings &amp; forgings</t>
        </is>
      </c>
      <c r="G254" s="30" t="inlineStr">
        <is>
          <t>smallcap</t>
        </is>
      </c>
      <c r="H254" s="31" t="n">
        <v>2276.96</v>
      </c>
      <c r="I254" s="31" t="n">
        <v>471.85</v>
      </c>
      <c r="J254" s="31" t="n">
        <v>0.05</v>
      </c>
      <c r="K254" s="31" t="n">
        <v>42708</v>
      </c>
      <c r="L254" s="30" t="n">
        <v>29</v>
      </c>
      <c r="M254" s="30" t="inlineStr">
        <is>
          <t>Outperforming</t>
        </is>
      </c>
      <c r="N254" s="31">
        <f>IF(M254="Underperforming",-5,IF(L254&gt;=95,15,IF(L254&gt;=90,10,IF(L254&gt;=80,5,0))))</f>
        <v/>
      </c>
      <c r="O254" s="31" t="n">
        <v>60.21</v>
      </c>
      <c r="P254" s="31" t="n">
        <v>15.5</v>
      </c>
      <c r="Q254" s="31" t="n">
        <v>372.65</v>
      </c>
      <c r="R254" s="30" t="inlineStr">
        <is>
          <t>Near 52W High Breakout</t>
        </is>
      </c>
      <c r="S254" s="30" t="inlineStr">
        <is>
          <t>Nifty 50</t>
        </is>
      </c>
      <c r="T254" s="31" t="n">
        <v>-4.09</v>
      </c>
      <c r="U254" s="31" t="n">
        <v>30.88</v>
      </c>
      <c r="V254" s="31" t="n">
        <v>36.46</v>
      </c>
      <c r="W254" s="31" t="n">
        <v>8.16</v>
      </c>
      <c r="X254" s="30" t="inlineStr">
        <is>
          <t>Cyclical in an Upturn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0 to 20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More than 20%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Less than 1.5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More than 1.2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IF(B255=0,"",RANK(B255,$B$2:$B$361,0))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2" t="inlineStr">
        <is>
          <t>RML</t>
        </is>
      </c>
      <c r="D255" s="32" t="inlineStr">
        <is>
          <t>Rane (madras) Limited</t>
        </is>
      </c>
      <c r="E255" s="30" t="inlineStr">
        <is>
          <t>auto</t>
        </is>
      </c>
      <c r="F255" s="30" t="inlineStr">
        <is>
          <t>auto ancillaries</t>
        </is>
      </c>
      <c r="G255" s="30" t="inlineStr">
        <is>
          <t>smallcap</t>
        </is>
      </c>
      <c r="H255" s="31" t="n">
        <v>2707.2</v>
      </c>
      <c r="I255" s="31" t="n">
        <v>978.6</v>
      </c>
      <c r="J255" s="31" t="n">
        <v>-0.1</v>
      </c>
      <c r="K255" s="31" t="n">
        <v>46693</v>
      </c>
      <c r="L255" s="30" t="n">
        <v>37</v>
      </c>
      <c r="M255" s="30" t="inlineStr">
        <is>
          <t>Underperforming</t>
        </is>
      </c>
      <c r="N255" s="31">
        <f>IF(M255="Underperforming",-5,IF(L255&gt;=95,15,IF(L255&gt;=90,10,IF(L255&gt;=80,5,0))))</f>
        <v/>
      </c>
      <c r="O255" s="31" t="n">
        <v>65.84</v>
      </c>
      <c r="P255" s="31" t="n">
        <v>22.1</v>
      </c>
      <c r="Q255" s="31" t="n">
        <v>778.6</v>
      </c>
      <c r="R255" s="30" t="inlineStr">
        <is>
          <t>Near 52W High Breakout</t>
        </is>
      </c>
      <c r="S255" s="30" t="inlineStr">
        <is>
          <t>Nifty Auto</t>
        </is>
      </c>
      <c r="T255" s="31" t="n">
        <v>12.86</v>
      </c>
      <c r="U255" s="31" t="n">
        <v>7.26</v>
      </c>
      <c r="V255" s="31" t="n">
        <v>-4.96</v>
      </c>
      <c r="W255" s="31" t="n">
        <v>9.69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Positive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Less than 12%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No</t>
        </is>
      </c>
      <c r="BS255" s="30">
        <f>IF(BR255="NO",5,0)</f>
        <v/>
      </c>
      <c r="BT255" s="30" t="inlineStr">
        <is>
          <t>Above 2</t>
        </is>
      </c>
      <c r="BU255" s="30">
        <f>IF(BT255="Above 2",0,IF(BT255="Between 1.5 to 2",5,IF(BT255="Less than 1.5",10,0)))</f>
        <v/>
      </c>
      <c r="BV255" s="30" t="inlineStr">
        <is>
          <t>Between 50% to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Between 0.7 to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IF(B256=0,"",RANK(B256,$B$2:$B$361,0))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GREENLAM</t>
        </is>
      </c>
      <c r="D256" s="30" t="inlineStr">
        <is>
          <t>Greenlam Industries Limited</t>
        </is>
      </c>
      <c r="E256" s="30" t="inlineStr">
        <is>
          <t>building materials</t>
        </is>
      </c>
      <c r="F256" s="30" t="inlineStr">
        <is>
          <t>miscellaneous</t>
        </is>
      </c>
      <c r="G256" s="30" t="inlineStr">
        <is>
          <t>midcap</t>
        </is>
      </c>
      <c r="H256" s="31" t="n">
        <v>6608.58</v>
      </c>
      <c r="I256" s="31" t="n">
        <v>257.22</v>
      </c>
      <c r="J256" s="31" t="n">
        <v>-0.6899999999999999</v>
      </c>
      <c r="K256" s="31" t="n">
        <v>112816</v>
      </c>
      <c r="L256" s="30" t="n">
        <v>23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61.13</v>
      </c>
      <c r="P256" s="31" t="n">
        <v>18.41</v>
      </c>
      <c r="Q256" s="31" t="n">
        <v>191.72</v>
      </c>
      <c r="R256" s="30" t="inlineStr">
        <is>
          <t>Near 52W High Breakout</t>
        </is>
      </c>
      <c r="S256" s="30" t="inlineStr">
        <is>
          <t>Nifty Infra</t>
        </is>
      </c>
      <c r="T256" s="31" t="n">
        <v>3.72</v>
      </c>
      <c r="U256" s="31" t="n">
        <v>9.41</v>
      </c>
      <c r="V256" s="31" t="n">
        <v>5.49</v>
      </c>
      <c r="W256" s="31" t="n">
        <v>6.63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Between 0.7 to 1.2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IF(B257=0,"",RANK(B257,$B$2:$B$361,0))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0" t="inlineStr">
        <is>
          <t>TBZ</t>
        </is>
      </c>
      <c r="D257" s="30" t="inlineStr">
        <is>
          <t>Tribhovandas Bhimji Zaveri Limited</t>
        </is>
      </c>
      <c r="E257" s="30" t="inlineStr">
        <is>
          <t>consumer discretionary</t>
        </is>
      </c>
      <c r="F257" s="30" t="inlineStr">
        <is>
          <t>diamond cutting / jewellery</t>
        </is>
      </c>
      <c r="G257" s="30" t="inlineStr">
        <is>
          <t>smallcap</t>
        </is>
      </c>
      <c r="H257" s="31" t="n">
        <v>1306.92</v>
      </c>
      <c r="I257" s="31" t="n">
        <v>194.4</v>
      </c>
      <c r="J257" s="31" t="n">
        <v>-0.74</v>
      </c>
      <c r="K257" s="31" t="n">
        <v>839612</v>
      </c>
      <c r="L257" s="30" t="n">
        <v>53</v>
      </c>
      <c r="M257" s="30" t="inlineStr">
        <is>
          <t>Outperforming</t>
        </is>
      </c>
      <c r="N257" s="31">
        <f>IF(M257="Underperforming",-5,IF(L257&gt;=95,15,IF(L257&gt;=90,10,IF(L257&gt;=80,5,0))))</f>
        <v/>
      </c>
      <c r="O257" s="31" t="n">
        <v>65.26000000000001</v>
      </c>
      <c r="P257" s="31" t="n">
        <v>15.54</v>
      </c>
      <c r="Q257" s="31" t="n">
        <v>143.14</v>
      </c>
      <c r="R257" s="30" t="inlineStr">
        <is>
          <t>Near 52W High Breakout</t>
        </is>
      </c>
      <c r="S257" s="30" t="inlineStr">
        <is>
          <t>Nifty 50</t>
        </is>
      </c>
      <c r="T257" s="31" t="n">
        <v>-4.09</v>
      </c>
      <c r="U257" s="31" t="n">
        <v>5.56</v>
      </c>
      <c r="V257" s="31" t="n">
        <v>10.06</v>
      </c>
      <c r="W257" s="31" t="n">
        <v>13.83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More than 20%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Less than 1.5</t>
        </is>
      </c>
      <c r="BU257" s="30">
        <f>IF(BT257="Above 2",0,IF(BT257="Between 1.5 to 2",5,IF(BT257="Less than 1.5",10,0)))</f>
        <v/>
      </c>
      <c r="BV257" s="30" t="inlineStr">
        <is>
          <t>Less than 50% and Borrowings are increasing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Between 0.7 to 1.2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IF(B258=0,"",RANK(B258,$B$2:$B$361,0))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2" t="inlineStr">
        <is>
          <t>CHAMBLFERT</t>
        </is>
      </c>
      <c r="D258" s="32" t="inlineStr">
        <is>
          <t>Chambal Fertilizers &amp; Chemicals Limited</t>
        </is>
      </c>
      <c r="E258" s="30" t="inlineStr">
        <is>
          <t>chemicals</t>
        </is>
      </c>
      <c r="F258" s="30" t="inlineStr">
        <is>
          <t>fertilizers</t>
        </is>
      </c>
      <c r="G258" s="30" t="inlineStr">
        <is>
          <t>midcap</t>
        </is>
      </c>
      <c r="H258" s="31" t="n">
        <v>19631.96</v>
      </c>
      <c r="I258" s="31" t="n">
        <v>485.1</v>
      </c>
      <c r="J258" s="31" t="n">
        <v>-1</v>
      </c>
      <c r="K258" s="31" t="n">
        <v>987282</v>
      </c>
      <c r="L258" s="30" t="n">
        <v>1</v>
      </c>
      <c r="M258" s="30" t="inlineStr">
        <is>
          <t>Underperforming</t>
        </is>
      </c>
      <c r="N258" s="31">
        <f>IF(M258="Underperforming",-5,IF(L258&gt;=95,15,IF(L258&gt;=90,10,IF(L258&gt;=80,5,0))))</f>
        <v/>
      </c>
      <c r="O258" s="31" t="n">
        <v>59.36</v>
      </c>
      <c r="P258" s="31" t="n">
        <v>13.71</v>
      </c>
      <c r="Q258" s="31" t="n">
        <v>400.32</v>
      </c>
      <c r="R258" s="30" t="inlineStr">
        <is>
          <t>Earnings / Momentum Support</t>
        </is>
      </c>
      <c r="S258" s="30" t="inlineStr">
        <is>
          <t>Nifty 50</t>
        </is>
      </c>
      <c r="T258" s="31" t="n">
        <v>-4.09</v>
      </c>
      <c r="U258" s="31" t="n">
        <v>-10.14</v>
      </c>
      <c r="V258" s="31" t="n">
        <v>-6.31</v>
      </c>
      <c r="W258" s="31" t="n">
        <v>1.01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Less than 1.5</t>
        </is>
      </c>
      <c r="BU258" s="30">
        <f>IF(BT258="Above 2",0,IF(BT258="Between 1.5 to 2",5,IF(BT258="Less than 1.5",10,0)))</f>
        <v/>
      </c>
      <c r="BV258" s="30" t="inlineStr">
        <is>
          <t>Less than 50%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IF(B259=0,"",RANK(B259,$B$2:$B$361,0))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DIACABS</t>
        </is>
      </c>
      <c r="D259" s="30" t="inlineStr">
        <is>
          <t>Diamond Power Infrastructure Ltd</t>
        </is>
      </c>
      <c r="E259" s="30" t="inlineStr">
        <is>
          <t>industrials</t>
        </is>
      </c>
      <c r="F259" s="30" t="inlineStr">
        <is>
          <t>cables - power</t>
        </is>
      </c>
      <c r="G259" s="30" t="inlineStr">
        <is>
          <t>midcap</t>
        </is>
      </c>
      <c r="H259" s="31" t="n">
        <v>10887.22</v>
      </c>
      <c r="I259" s="31" t="n">
        <v>204.51</v>
      </c>
      <c r="J259" s="31" t="n">
        <v>-1.01</v>
      </c>
      <c r="K259" s="31" t="n">
        <v>4504372</v>
      </c>
      <c r="L259" s="30" t="n">
        <v>87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75.87</v>
      </c>
      <c r="P259" s="31" t="n">
        <v>35.79</v>
      </c>
      <c r="Q259" s="31" t="n">
        <v>151.83</v>
      </c>
      <c r="R259" s="30" t="inlineStr">
        <is>
          <t>Near 52W High Breakout</t>
        </is>
      </c>
      <c r="S259" s="30" t="inlineStr">
        <is>
          <t>Nifty Energy</t>
        </is>
      </c>
      <c r="T259" s="31" t="n">
        <v>13.03</v>
      </c>
      <c r="U259" s="31" t="n">
        <v>97.14</v>
      </c>
      <c r="V259" s="31" t="n">
        <v>74.41</v>
      </c>
      <c r="W259" s="31" t="n">
        <v>31.01</v>
      </c>
      <c r="X259" s="30" t="inlineStr">
        <is>
          <t>Cyclical in an Upturn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20 to 40</t>
        </is>
      </c>
      <c r="AY259" s="30">
        <f>IF(AX259="Above 40",20,IF(AX259="20 to 40",10,IF(AX259="0 to 20",-5,0)))</f>
        <v/>
      </c>
      <c r="AZ259" s="30" t="inlineStr">
        <is>
          <t>Above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Blue sky scenario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Negative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IF(B260=0,"",RANK(B260,$B$2:$B$361,0))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KPRMILL</t>
        </is>
      </c>
      <c r="D260" s="32" t="inlineStr">
        <is>
          <t>K.p.r. Mill Limited</t>
        </is>
      </c>
      <c r="E260" s="30" t="inlineStr">
        <is>
          <t>consumer discretionary</t>
        </is>
      </c>
      <c r="F260" s="30" t="inlineStr">
        <is>
          <t>textiles - products</t>
        </is>
      </c>
      <c r="G260" s="30" t="inlineStr">
        <is>
          <t>largecap</t>
        </is>
      </c>
      <c r="H260" s="31" t="n">
        <v>36047.7</v>
      </c>
      <c r="I260" s="31" t="n">
        <v>1043.25</v>
      </c>
      <c r="J260" s="31" t="n">
        <v>-1.08</v>
      </c>
      <c r="K260" s="31" t="n">
        <v>186966</v>
      </c>
      <c r="L260" s="30" t="n">
        <v>18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60.18</v>
      </c>
      <c r="P260" s="31" t="n">
        <v>25.3</v>
      </c>
      <c r="Q260" s="31" t="n">
        <v>860.58</v>
      </c>
      <c r="R260" s="30" t="inlineStr">
        <is>
          <t>Earnings / Momentum Support</t>
        </is>
      </c>
      <c r="S260" s="30" t="inlineStr">
        <is>
          <t>Nifty 50</t>
        </is>
      </c>
      <c r="T260" s="31" t="n">
        <v>-4.09</v>
      </c>
      <c r="U260" s="31" t="n">
        <v>-4.37</v>
      </c>
      <c r="V260" s="31" t="n">
        <v>-0.29</v>
      </c>
      <c r="W260" s="31" t="n">
        <v>5.56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Tailwind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20 to 40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Less than 12%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Yes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Above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IF(B261=0,"",RANK(B261,$B$2:$B$361,0))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JNKINDIA</t>
        </is>
      </c>
      <c r="D261" s="30" t="inlineStr">
        <is>
          <t>JNK India Ltd</t>
        </is>
      </c>
      <c r="E261" s="30" t="inlineStr">
        <is>
          <t>realty</t>
        </is>
      </c>
      <c r="F261" s="30" t="inlineStr">
        <is>
          <t>engineering - turnkey services</t>
        </is>
      </c>
      <c r="G261" s="30" t="inlineStr">
        <is>
          <t>smallcap</t>
        </is>
      </c>
      <c r="H261" s="31" t="n">
        <v>2754.89</v>
      </c>
      <c r="I261" s="31" t="n">
        <v>471.2</v>
      </c>
      <c r="J261" s="31" t="n">
        <v>-4.3</v>
      </c>
      <c r="K261" s="31" t="n">
        <v>927908</v>
      </c>
      <c r="L261" s="30" t="n">
        <v>88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70.5</v>
      </c>
      <c r="P261" s="31" t="n">
        <v>32.47</v>
      </c>
      <c r="Q261" s="31" t="n">
        <v>354.92</v>
      </c>
      <c r="R261" s="30" t="inlineStr">
        <is>
          <t>Earnings / Momentum Support</t>
        </is>
      </c>
      <c r="S261" s="30" t="inlineStr">
        <is>
          <t>Nifty Realty</t>
        </is>
      </c>
      <c r="T261" s="31" t="n">
        <v>-19.64</v>
      </c>
      <c r="U261" s="31" t="n">
        <v>30.93</v>
      </c>
      <c r="V261" s="31" t="n">
        <v>62.92</v>
      </c>
      <c r="W261" s="31" t="n">
        <v>32.27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No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One Time, Lower Annuity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Positive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Negative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IF(B262=0,"",RANK(B262,$B$2:$B$361,0))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0" t="inlineStr">
        <is>
          <t>APCOTEXIND</t>
        </is>
      </c>
      <c r="D262" s="30" t="inlineStr">
        <is>
          <t>Apcotex Industries Limited</t>
        </is>
      </c>
      <c r="E262" s="30" t="inlineStr">
        <is>
          <t>chemicals</t>
        </is>
      </c>
      <c r="F262" s="30" t="inlineStr">
        <is>
          <t>miscellaneous</t>
        </is>
      </c>
      <c r="G262" s="30" t="inlineStr">
        <is>
          <t>smallcap</t>
        </is>
      </c>
      <c r="H262" s="31" t="n">
        <v>2701.38</v>
      </c>
      <c r="I262" s="31" t="n">
        <v>522.8</v>
      </c>
      <c r="J262" s="31" t="n">
        <v>0.34</v>
      </c>
      <c r="K262" s="31" t="n">
        <v>57250</v>
      </c>
      <c r="L262" s="30" t="n">
        <v>67</v>
      </c>
      <c r="M262" s="30" t="inlineStr">
        <is>
          <t>Outperforming</t>
        </is>
      </c>
      <c r="N262" s="31">
        <f>IF(M262="Underperforming",-5,IF(L262&gt;=95,15,IF(L262&gt;=90,10,IF(L262&gt;=80,5,0))))</f>
        <v/>
      </c>
      <c r="O262" s="31" t="n">
        <v>69.89</v>
      </c>
      <c r="P262" s="31" t="n">
        <v>38.47</v>
      </c>
      <c r="Q262" s="31" t="n">
        <v>404.97</v>
      </c>
      <c r="R262" s="30" t="inlineStr">
        <is>
          <t>Near 52W High Breakout</t>
        </is>
      </c>
      <c r="S262" s="30" t="inlineStr">
        <is>
          <t>Nifty 50</t>
        </is>
      </c>
      <c r="T262" s="31" t="n">
        <v>-4.09</v>
      </c>
      <c r="U262" s="31" t="n">
        <v>37.17</v>
      </c>
      <c r="V262" s="31" t="n">
        <v>43.01</v>
      </c>
      <c r="W262" s="31" t="n">
        <v>18.56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Oligopoly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No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Cyclical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Yes</t>
        </is>
      </c>
      <c r="AQ262" s="30">
        <f>IF(AP262="Yes",10,0)</f>
        <v/>
      </c>
      <c r="AR262" s="30" t="inlineStr">
        <is>
          <t>Fully One Time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Above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1</t>
        </is>
      </c>
      <c r="BC262" s="30">
        <f>IF(BB262="Stage 2",20,IF(BB262="Stage 1",0,IF(BB262="Stage 3",5,IF(BB262="Stage 4",-5,0))))</f>
        <v/>
      </c>
      <c r="BD262" s="30" t="inlineStr">
        <is>
          <t>Positive Trend</t>
        </is>
      </c>
      <c r="BE262" s="30">
        <f>IF(BD262="Positive Trend",20,IF(BD262="Negative Trend",-10,0))</f>
        <v/>
      </c>
      <c r="BF262" s="30" t="inlineStr">
        <is>
          <t>Sideways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Overhead supply in last 2 years in last 2 years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Between 50% to 70%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IF(B263=0,"",RANK(B263,$B$2:$B$361,0))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INDSWFTLAB</t>
        </is>
      </c>
      <c r="D263" s="30" t="inlineStr">
        <is>
          <t>Ind-swift Laboratories Limited</t>
        </is>
      </c>
      <c r="E263" s="30" t="inlineStr">
        <is>
          <t>healthcare</t>
        </is>
      </c>
      <c r="F263" s="30" t="inlineStr">
        <is>
          <t>pharmaceuticals - indian - bulk drugs &amp; formln</t>
        </is>
      </c>
      <c r="G263" s="30" t="inlineStr">
        <is>
          <t>smallcap</t>
        </is>
      </c>
      <c r="H263" s="31" t="n">
        <v>1412.31</v>
      </c>
      <c r="I263" s="31" t="n">
        <v>162.48</v>
      </c>
      <c r="J263" s="31" t="n">
        <v>-0.1</v>
      </c>
      <c r="K263" s="31" t="n">
        <v>472194</v>
      </c>
      <c r="L263" s="30" t="n">
        <v>52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72.43000000000001</v>
      </c>
      <c r="P263" s="31" t="n">
        <v>35.06</v>
      </c>
      <c r="Q263" s="31" t="n">
        <v>118.24</v>
      </c>
      <c r="R263" s="30" t="inlineStr">
        <is>
          <t>Near 52W High Breakout</t>
        </is>
      </c>
      <c r="S263" s="30" t="inlineStr">
        <is>
          <t>Nifty Pharma</t>
        </is>
      </c>
      <c r="T263" s="31" t="n">
        <v>11.72</v>
      </c>
      <c r="U263" s="31" t="n">
        <v>52.56</v>
      </c>
      <c r="V263" s="31" t="n">
        <v>36.56</v>
      </c>
      <c r="W263" s="31" t="n">
        <v>13.72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Yes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Annuity, Lower One Time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20 to 40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Close to 52 week high or retracement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No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Negative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Less than 0.7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IF(B264=0,"",RANK(B264,$B$2:$B$361,0))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PIXTRANS</t>
        </is>
      </c>
      <c r="D264" s="30" t="inlineStr">
        <is>
          <t>Pix Transmission Ltd</t>
        </is>
      </c>
      <c r="E264" s="30" t="inlineStr">
        <is>
          <t>fmcg</t>
        </is>
      </c>
      <c r="F264" s="30" t="inlineStr">
        <is>
          <t>miscellaneous</t>
        </is>
      </c>
      <c r="G264" s="30" t="inlineStr">
        <is>
          <t>smallcap</t>
        </is>
      </c>
      <c r="H264" s="31" t="n">
        <v>2199.52</v>
      </c>
      <c r="I264" s="31" t="n">
        <v>1607.8</v>
      </c>
      <c r="J264" s="31" t="n">
        <v>-0.4</v>
      </c>
      <c r="K264" s="31" t="n">
        <v>14225</v>
      </c>
      <c r="L264" s="30" t="n">
        <v>5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60.05</v>
      </c>
      <c r="P264" s="31" t="n">
        <v>23.01</v>
      </c>
      <c r="Q264" s="31" t="n">
        <v>1320.7</v>
      </c>
      <c r="R264" s="30" t="inlineStr">
        <is>
          <t>Near 52W High Breakout</t>
        </is>
      </c>
      <c r="S264" s="30" t="inlineStr">
        <is>
          <t>Nifty FMCG</t>
        </is>
      </c>
      <c r="T264" s="31" t="n">
        <v>-9.289999999999999</v>
      </c>
      <c r="U264" s="31" t="n">
        <v>2.44</v>
      </c>
      <c r="V264" s="31" t="n">
        <v>12.93</v>
      </c>
      <c r="W264" s="31" t="n">
        <v>2.81</v>
      </c>
      <c r="X264" s="30" t="inlineStr">
        <is>
          <t>Growing Industry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Structural (10 Years Consistency)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Stable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B2C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Annuity, Lower One Time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Negative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Less than 12%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No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Above 70%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IF(B265=0,"",RANK(B265,$B$2:$B$361,0))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GUFICBIO</t>
        </is>
      </c>
      <c r="D265" s="32" t="inlineStr">
        <is>
          <t>Gufic Biosciences Limited</t>
        </is>
      </c>
      <c r="E265" s="30" t="inlineStr">
        <is>
          <t>healthcare</t>
        </is>
      </c>
      <c r="F265" s="30" t="inlineStr">
        <is>
          <t>pharmaceuticals - indian - bulk drugs &amp; formln</t>
        </is>
      </c>
      <c r="G265" s="30" t="inlineStr">
        <is>
          <t>smallcap</t>
        </is>
      </c>
      <c r="H265" s="31" t="n">
        <v>3710.45</v>
      </c>
      <c r="I265" s="31" t="n">
        <v>366.45</v>
      </c>
      <c r="J265" s="31" t="n">
        <v>-0.96</v>
      </c>
      <c r="K265" s="31" t="n">
        <v>38405</v>
      </c>
      <c r="L265" s="30" t="n">
        <v>22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63.68</v>
      </c>
      <c r="P265" s="31" t="n">
        <v>23.68</v>
      </c>
      <c r="Q265" s="31" t="n">
        <v>287.2</v>
      </c>
      <c r="R265" s="30" t="inlineStr">
        <is>
          <t>Earnings / Momentum Support</t>
        </is>
      </c>
      <c r="S265" s="30" t="inlineStr">
        <is>
          <t>Nifty Pharma</t>
        </is>
      </c>
      <c r="T265" s="31" t="n">
        <v>11.72</v>
      </c>
      <c r="U265" s="31" t="n">
        <v>3.04</v>
      </c>
      <c r="V265" s="31" t="n">
        <v>-7.78</v>
      </c>
      <c r="W265" s="31" t="n">
        <v>6.34</v>
      </c>
      <c r="X265" s="30" t="inlineStr">
        <is>
          <t>Growing Industry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Yes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Annuity, Lower One Time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20 to 40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More than 20%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Less than 50%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IF(B266=0,"",RANK(B266,$B$2:$B$361,0))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COMSYN</t>
        </is>
      </c>
      <c r="D266" s="30" t="inlineStr">
        <is>
          <t>Commercial Syn Bags Ltd</t>
        </is>
      </c>
      <c r="E266" s="30" t="inlineStr">
        <is>
          <t>industrials</t>
        </is>
      </c>
      <c r="F266" s="30" t="inlineStr">
        <is>
          <t>packaging</t>
        </is>
      </c>
      <c r="G266" s="30" t="inlineStr">
        <is>
          <t>smallcap</t>
        </is>
      </c>
      <c r="H266" s="31" t="n">
        <v>640.87</v>
      </c>
      <c r="I266" s="31" t="n">
        <v>169.39</v>
      </c>
      <c r="J266" s="31" t="n">
        <v>6.62</v>
      </c>
      <c r="K266" s="31" t="n">
        <v>321117</v>
      </c>
      <c r="L266" s="30" t="n">
        <v>25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62.02</v>
      </c>
      <c r="P266" s="31" t="n">
        <v>30.83</v>
      </c>
      <c r="Q266" s="31" t="n">
        <v>137.78</v>
      </c>
      <c r="R266" s="30" t="inlineStr">
        <is>
          <t>Earnings / Momentum Support</t>
        </is>
      </c>
      <c r="S266" s="30" t="inlineStr">
        <is>
          <t>Nifty 50</t>
        </is>
      </c>
      <c r="T266" s="31" t="n">
        <v>-4.09</v>
      </c>
      <c r="U266" s="31" t="n">
        <v>26.91</v>
      </c>
      <c r="V266" s="31" t="n">
        <v>32.32</v>
      </c>
      <c r="W266" s="31" t="n">
        <v>7.27</v>
      </c>
      <c r="X266" s="30" t="inlineStr">
        <is>
          <t>Cyclical in an Upturn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No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Positive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Close to 52 week high or retracement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Less than 12%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No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Above 70%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Between 0.7 to 1.2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IF(B267=0,"",RANK(B267,$B$2:$B$361,0))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0" t="inlineStr">
        <is>
          <t>KIRLOSENG</t>
        </is>
      </c>
      <c r="D267" s="30" t="inlineStr">
        <is>
          <t>Kirloskar Oil Engines Limited</t>
        </is>
      </c>
      <c r="E267" s="30" t="inlineStr">
        <is>
          <t>industrials</t>
        </is>
      </c>
      <c r="F267" s="30" t="inlineStr">
        <is>
          <t>engines</t>
        </is>
      </c>
      <c r="G267" s="30" t="inlineStr">
        <is>
          <t>largecap</t>
        </is>
      </c>
      <c r="H267" s="31" t="n">
        <v>27887.16</v>
      </c>
      <c r="I267" s="31" t="n">
        <v>1988.7</v>
      </c>
      <c r="J267" s="31" t="n">
        <v>3.66</v>
      </c>
      <c r="K267" s="31" t="n">
        <v>369553</v>
      </c>
      <c r="L267" s="30" t="n">
        <v>85</v>
      </c>
      <c r="M267" s="30" t="inlineStr">
        <is>
          <t>Outperforming</t>
        </is>
      </c>
      <c r="N267" s="31">
        <f>IF(M267="Underperforming",-5,IF(L267&gt;=95,15,IF(L267&gt;=90,10,IF(L267&gt;=80,5,0))))</f>
        <v/>
      </c>
      <c r="O267" s="31" t="n">
        <v>75.84</v>
      </c>
      <c r="P267" s="31" t="n">
        <v>38.75</v>
      </c>
      <c r="Q267" s="31" t="n">
        <v>1562.3</v>
      </c>
      <c r="R267" s="30" t="inlineStr">
        <is>
          <t>Near 52W High Breakout</t>
        </is>
      </c>
      <c r="S267" s="30" t="inlineStr">
        <is>
          <t>Nifty 50</t>
        </is>
      </c>
      <c r="T267" s="31" t="n">
        <v>-4.09</v>
      </c>
      <c r="U267" s="31" t="n">
        <v>136.43</v>
      </c>
      <c r="V267" s="31" t="n">
        <v>146.51</v>
      </c>
      <c r="W267" s="31" t="n">
        <v>28.64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Too Many Players with High ROCE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No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Structural (10 Years Consistency)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Stable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Yes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Above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Blue sky scenario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Yes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Between 50% to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More than 1.2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IF(B268=0,"",RANK(B268,$B$2:$B$361,0))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2" t="inlineStr">
        <is>
          <t>RIIL</t>
        </is>
      </c>
      <c r="D268" s="32" t="inlineStr">
        <is>
          <t>Reliance Industrial Infrastructure Limited</t>
        </is>
      </c>
      <c r="E268" s="30" t="inlineStr">
        <is>
          <t>transportation</t>
        </is>
      </c>
      <c r="F268" s="30" t="inlineStr">
        <is>
          <t>miscellaneous</t>
        </is>
      </c>
      <c r="G268" s="30" t="inlineStr">
        <is>
          <t>smallcap</t>
        </is>
      </c>
      <c r="H268" s="31" t="n">
        <v>1286.82</v>
      </c>
      <c r="I268" s="31" t="n">
        <v>877.75</v>
      </c>
      <c r="J268" s="31" t="n">
        <v>3</v>
      </c>
      <c r="K268" s="31" t="n">
        <v>544886</v>
      </c>
      <c r="L268" s="30" t="n">
        <v>10</v>
      </c>
      <c r="M268" s="30" t="inlineStr">
        <is>
          <t>Underperforming</t>
        </is>
      </c>
      <c r="N268" s="31">
        <f>IF(M268="Underperforming",-5,IF(L268&gt;=95,15,IF(L268&gt;=90,10,IF(L268&gt;=80,5,0))))</f>
        <v/>
      </c>
      <c r="O268" s="31" t="n">
        <v>63.35</v>
      </c>
      <c r="P268" s="31" t="n">
        <v>14.92</v>
      </c>
      <c r="Q268" s="31" t="n">
        <v>683.08</v>
      </c>
      <c r="R268" s="30" t="inlineStr">
        <is>
          <t>Volume Spike / Accumulation</t>
        </is>
      </c>
      <c r="S268" s="30" t="inlineStr">
        <is>
          <t>Nifty 50</t>
        </is>
      </c>
      <c r="T268" s="31" t="n">
        <v>-4.09</v>
      </c>
      <c r="U268" s="31" t="n">
        <v>-6.4</v>
      </c>
      <c r="V268" s="31" t="n">
        <v>-2.41</v>
      </c>
      <c r="W268" s="31" t="n">
        <v>4.12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Less than 0.7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IF(B269=0,"",RANK(B269,$B$2:$B$361,0))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2" t="inlineStr">
        <is>
          <t>BEPL</t>
        </is>
      </c>
      <c r="D269" s="32" t="inlineStr">
        <is>
          <t>Bhansali Engineering Polymers Limited</t>
        </is>
      </c>
      <c r="E269" s="30" t="inlineStr">
        <is>
          <t>energy</t>
        </is>
      </c>
      <c r="F269" s="30" t="inlineStr">
        <is>
          <t>petrochemicals</t>
        </is>
      </c>
      <c r="G269" s="30" t="inlineStr">
        <is>
          <t>smallcap</t>
        </is>
      </c>
      <c r="H269" s="31" t="n">
        <v>2461.46</v>
      </c>
      <c r="I269" s="31" t="n">
        <v>101.54</v>
      </c>
      <c r="J269" s="31" t="n">
        <v>2.66</v>
      </c>
      <c r="K269" s="31" t="n">
        <v>1687697</v>
      </c>
      <c r="L269" s="30" t="n">
        <v>6</v>
      </c>
      <c r="M269" s="30" t="inlineStr">
        <is>
          <t>Underperforming</t>
        </is>
      </c>
      <c r="N269" s="31">
        <f>IF(M269="Underperforming",-5,IF(L269&gt;=95,15,IF(L269&gt;=90,10,IF(L269&gt;=80,5,0))))</f>
        <v/>
      </c>
      <c r="O269" s="31" t="n">
        <v>62.87</v>
      </c>
      <c r="P269" s="31" t="n">
        <v>26.4</v>
      </c>
      <c r="Q269" s="31" t="n">
        <v>82.48999999999999</v>
      </c>
      <c r="R269" s="30" t="inlineStr">
        <is>
          <t>Earnings / Momentum Support</t>
        </is>
      </c>
      <c r="S269" s="30" t="inlineStr">
        <is>
          <t>Nifty Energy</t>
        </is>
      </c>
      <c r="T269" s="31" t="n">
        <v>13.03</v>
      </c>
      <c r="U269" s="31" t="n">
        <v>-4.36</v>
      </c>
      <c r="V269" s="31" t="n">
        <v>-15.38</v>
      </c>
      <c r="W269" s="31" t="n">
        <v>3.21</v>
      </c>
      <c r="X269" s="30" t="inlineStr">
        <is>
          <t>Cyclical in an Upturn</t>
        </is>
      </c>
      <c r="Y269" s="30">
        <f>IF(X269="Growing Industry",10,IF(X269="Cyclical in an Upturn",5,0))</f>
        <v/>
      </c>
      <c r="Z269" s="30" t="inlineStr">
        <is>
          <t>Oligopoly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Yes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Cyclical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Volatile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No</t>
        </is>
      </c>
      <c r="AQ269" s="30">
        <f>IF(AP269="Yes",10,0)</f>
        <v/>
      </c>
      <c r="AR269" s="30" t="inlineStr">
        <is>
          <t>Higher One Time, Lower Annuity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20 to 40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Close to 52 week high or retracement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More than 20%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No</t>
        </is>
      </c>
      <c r="BS269" s="30">
        <f>IF(BR269="NO",5,0)</f>
        <v/>
      </c>
      <c r="BT269" s="30" t="inlineStr">
        <is>
          <t>Less than 1.5</t>
        </is>
      </c>
      <c r="BU269" s="30">
        <f>IF(BT269="Above 2",0,IF(BT269="Between 1.5 to 2",5,IF(BT269="Less than 1.5",10,0)))</f>
        <v/>
      </c>
      <c r="BV269" s="30" t="inlineStr">
        <is>
          <t>Above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Less than 0.7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IF(B270=0,"",RANK(B270,$B$2:$B$361,0))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GNA</t>
        </is>
      </c>
      <c r="D270" s="30" t="inlineStr">
        <is>
          <t>Gna Axles Limited</t>
        </is>
      </c>
      <c r="E270" s="30" t="inlineStr">
        <is>
          <t>auto</t>
        </is>
      </c>
      <c r="F270" s="30" t="inlineStr">
        <is>
          <t>auto ancillaries</t>
        </is>
      </c>
      <c r="G270" s="30" t="inlineStr">
        <is>
          <t>smallcap</t>
        </is>
      </c>
      <c r="H270" s="31" t="n">
        <v>1646.4</v>
      </c>
      <c r="I270" s="31" t="n">
        <v>392.4</v>
      </c>
      <c r="J270" s="31" t="n">
        <v>2.32</v>
      </c>
      <c r="K270" s="31" t="n">
        <v>110682</v>
      </c>
      <c r="L270" s="30" t="n">
        <v>21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52.98</v>
      </c>
      <c r="P270" s="31" t="n">
        <v>17.63</v>
      </c>
      <c r="Q270" s="31" t="n">
        <v>336.98</v>
      </c>
      <c r="R270" s="30" t="inlineStr">
        <is>
          <t>Earnings / Momentum Support</t>
        </is>
      </c>
      <c r="S270" s="30" t="inlineStr">
        <is>
          <t>Nifty Auto</t>
        </is>
      </c>
      <c r="T270" s="31" t="n">
        <v>12.86</v>
      </c>
      <c r="U270" s="31" t="n">
        <v>26.64</v>
      </c>
      <c r="V270" s="31" t="n">
        <v>12.21</v>
      </c>
      <c r="W270" s="31" t="n">
        <v>6.05</v>
      </c>
      <c r="X270" s="30" t="inlineStr">
        <is>
          <t>Growing Industry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0 to 20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1</t>
        </is>
      </c>
      <c r="BC270" s="30">
        <f>IF(BB270="Stage 2",20,IF(BB270="Stage 1",0,IF(BB270="Stage 3",5,IF(BB270="Stage 4",-5,0))))</f>
        <v/>
      </c>
      <c r="BD270" s="30" t="inlineStr">
        <is>
          <t>Positive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No</t>
        </is>
      </c>
      <c r="BS270" s="30">
        <f>IF(BR270="NO",5,0)</f>
        <v/>
      </c>
      <c r="BT270" s="30" t="inlineStr">
        <is>
          <t>Less than 1.5</t>
        </is>
      </c>
      <c r="BU270" s="30">
        <f>IF(BT270="Above 2",0,IF(BT270="Between 1.5 to 2",5,IF(BT270="Less than 1.5",10,0)))</f>
        <v/>
      </c>
      <c r="BV270" s="30" t="inlineStr">
        <is>
          <t>Above 70%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IF(B271=0,"",RANK(B271,$B$2:$B$361,0))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0" t="inlineStr">
        <is>
          <t>AZAD</t>
        </is>
      </c>
      <c r="D271" s="30" t="inlineStr">
        <is>
          <t>Azad Engineering Ltd</t>
        </is>
      </c>
      <c r="E271" s="30" t="inlineStr">
        <is>
          <t>aerospace &amp; defence</t>
        </is>
      </c>
      <c r="F271" s="30" t="inlineStr">
        <is>
          <t>engineering</t>
        </is>
      </c>
      <c r="G271" s="30" t="inlineStr">
        <is>
          <t>midcap</t>
        </is>
      </c>
      <c r="H271" s="31" t="n">
        <v>13764.31</v>
      </c>
      <c r="I271" s="31" t="n">
        <v>2163.8</v>
      </c>
      <c r="J271" s="31" t="n">
        <v>1.52</v>
      </c>
      <c r="K271" s="31" t="n">
        <v>1193281</v>
      </c>
      <c r="L271" s="30" t="n">
        <v>63</v>
      </c>
      <c r="M271" s="30" t="inlineStr">
        <is>
          <t>Outperforming</t>
        </is>
      </c>
      <c r="N271" s="31">
        <f>IF(M271="Underperforming",-5,IF(L271&gt;=95,15,IF(L271&gt;=90,10,IF(L271&gt;=80,5,0))))</f>
        <v/>
      </c>
      <c r="O271" s="31" t="n">
        <v>63.01</v>
      </c>
      <c r="P271" s="31" t="n">
        <v>26.46</v>
      </c>
      <c r="Q271" s="31" t="n">
        <v>1770.27</v>
      </c>
      <c r="R271" s="30" t="inlineStr">
        <is>
          <t>Earnings / Momentum Support</t>
        </is>
      </c>
      <c r="S271" s="30" t="inlineStr">
        <is>
          <t>Nifty 50</t>
        </is>
      </c>
      <c r="T271" s="31" t="n">
        <v>-4.09</v>
      </c>
      <c r="U271" s="31" t="n">
        <v>33.68</v>
      </c>
      <c r="V271" s="31" t="n">
        <v>39.37</v>
      </c>
      <c r="W271" s="31" t="n">
        <v>17.08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2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More than 20%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Yes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Negative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IF(B272=0,"",RANK(B272,$B$2:$B$361,0))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2" t="inlineStr">
        <is>
          <t>ELECON</t>
        </is>
      </c>
      <c r="D272" s="32" t="inlineStr">
        <is>
          <t>Elecon Engineering Company Limited</t>
        </is>
      </c>
      <c r="E272" s="30" t="inlineStr">
        <is>
          <t>industrials</t>
        </is>
      </c>
      <c r="F272" s="30" t="inlineStr">
        <is>
          <t>engineering</t>
        </is>
      </c>
      <c r="G272" s="30" t="inlineStr">
        <is>
          <t>midcap</t>
        </is>
      </c>
      <c r="H272" s="31" t="n">
        <v>12485.61</v>
      </c>
      <c r="I272" s="31" t="n">
        <v>558.65</v>
      </c>
      <c r="J272" s="31" t="n">
        <v>0.4</v>
      </c>
      <c r="K272" s="31" t="n">
        <v>415123</v>
      </c>
      <c r="L272" s="30" t="n">
        <v>33</v>
      </c>
      <c r="M272" s="30" t="inlineStr">
        <is>
          <t>Underperforming</t>
        </is>
      </c>
      <c r="N272" s="31">
        <f>IF(M272="Underperforming",-5,IF(L272&gt;=95,15,IF(L272&gt;=90,10,IF(L272&gt;=80,5,0))))</f>
        <v/>
      </c>
      <c r="O272" s="31" t="n">
        <v>60.35</v>
      </c>
      <c r="P272" s="31" t="n">
        <v>22.86</v>
      </c>
      <c r="Q272" s="31" t="n">
        <v>406.71</v>
      </c>
      <c r="R272" s="30" t="inlineStr">
        <is>
          <t>Earnings / Momentum Support</t>
        </is>
      </c>
      <c r="S272" s="30" t="inlineStr">
        <is>
          <t>Nifty 50</t>
        </is>
      </c>
      <c r="T272" s="31" t="n">
        <v>-4.09</v>
      </c>
      <c r="U272" s="31" t="n">
        <v>-11.41</v>
      </c>
      <c r="V272" s="31" t="n">
        <v>-7.64</v>
      </c>
      <c r="W272" s="31" t="n">
        <v>8.82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Structural (10 Years Consistency)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Stable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Between 50% to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IF(B273=0,"",RANK(B273,$B$2:$B$361,0))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BIRLACABLE</t>
        </is>
      </c>
      <c r="D273" s="30" t="inlineStr">
        <is>
          <t>Birla Cable Limited</t>
        </is>
      </c>
      <c r="E273" s="30" t="inlineStr">
        <is>
          <t>industrials</t>
        </is>
      </c>
      <c r="F273" s="30" t="inlineStr">
        <is>
          <t>cables - telephone</t>
        </is>
      </c>
      <c r="G273" s="30" t="inlineStr">
        <is>
          <t>smallcap</t>
        </is>
      </c>
      <c r="H273" s="31" t="n">
        <v>625.05</v>
      </c>
      <c r="I273" s="31" t="n">
        <v>209.19</v>
      </c>
      <c r="J273" s="31" t="n">
        <v>0.4</v>
      </c>
      <c r="K273" s="31" t="n">
        <v>58845</v>
      </c>
      <c r="L273" s="30" t="n">
        <v>67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64.36</v>
      </c>
      <c r="P273" s="31" t="n">
        <v>33.36</v>
      </c>
      <c r="Q273" s="31" t="n">
        <v>160.7</v>
      </c>
      <c r="R273" s="30" t="inlineStr">
        <is>
          <t>Earnings / Momentum Support</t>
        </is>
      </c>
      <c r="S273" s="30" t="inlineStr">
        <is>
          <t>Nifty Infra</t>
        </is>
      </c>
      <c r="T273" s="31" t="n">
        <v>3.72</v>
      </c>
      <c r="U273" s="31" t="n">
        <v>14.09</v>
      </c>
      <c r="V273" s="31" t="n">
        <v>10</v>
      </c>
      <c r="W273" s="31" t="n">
        <v>18.58</v>
      </c>
      <c r="X273" s="30" t="inlineStr">
        <is>
          <t>Cyclical in an Upturn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No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20 to 40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Positive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More than 20%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Negative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IF(B274=0,"",RANK(B274,$B$2:$B$361,0))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SWARAJENG</t>
        </is>
      </c>
      <c r="D274" s="30" t="inlineStr">
        <is>
          <t>Swaraj Engines Limited</t>
        </is>
      </c>
      <c r="E274" s="30" t="inlineStr">
        <is>
          <t>industrials</t>
        </is>
      </c>
      <c r="F274" s="30" t="inlineStr">
        <is>
          <t>engines</t>
        </is>
      </c>
      <c r="G274" s="30" t="inlineStr">
        <is>
          <t>smallcap</t>
        </is>
      </c>
      <c r="H274" s="31" t="n">
        <v>4686.2</v>
      </c>
      <c r="I274" s="31" t="n">
        <v>3861.1</v>
      </c>
      <c r="J274" s="31" t="n">
        <v>0.11</v>
      </c>
      <c r="K274" s="31" t="n">
        <v>10405</v>
      </c>
      <c r="L274" s="30" t="n">
        <v>2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53.63</v>
      </c>
      <c r="P274" s="31" t="n">
        <v>20.65</v>
      </c>
      <c r="Q274" s="31" t="n">
        <v>3376.58</v>
      </c>
      <c r="R274" s="30" t="inlineStr">
        <is>
          <t>Earnings / Momentum Support</t>
        </is>
      </c>
      <c r="S274" s="30" t="inlineStr">
        <is>
          <t>Nifty 50</t>
        </is>
      </c>
      <c r="T274" s="31" t="n">
        <v>-4.09</v>
      </c>
      <c r="U274" s="31" t="n">
        <v>-3.98</v>
      </c>
      <c r="V274" s="31" t="n">
        <v>0.11</v>
      </c>
      <c r="W274" s="31" t="n">
        <v>1.42</v>
      </c>
      <c r="X274" s="30" t="inlineStr">
        <is>
          <t>Cyclical in an Upturn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1</t>
        </is>
      </c>
      <c r="BC274" s="30">
        <f>IF(BB274="Stage 2",20,IF(BB274="Stage 1",0,IF(BB274="Stage 3",5,IF(BB274="Stage 4",-5,0))))</f>
        <v/>
      </c>
      <c r="BD274" s="30" t="inlineStr">
        <is>
          <t>Positive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More than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Less than 1.5</t>
        </is>
      </c>
      <c r="BU274" s="30">
        <f>IF(BT274="Above 2",0,IF(BT274="Between 1.5 to 2",5,IF(BT274="Less than 1.5",10,0)))</f>
        <v/>
      </c>
      <c r="BV274" s="30" t="inlineStr">
        <is>
          <t>Less than 50%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IF(B275=0,"",RANK(B275,$B$2:$B$361,0))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GLOSTERLTD</t>
        </is>
      </c>
      <c r="D275" s="30" t="inlineStr">
        <is>
          <t>Gloster Ltd</t>
        </is>
      </c>
      <c r="E275" s="30" t="inlineStr">
        <is>
          <t>textiles</t>
        </is>
      </c>
      <c r="F275" s="30" t="inlineStr">
        <is>
          <t>textiles - jute - yarn / products</t>
        </is>
      </c>
      <c r="G275" s="30" t="inlineStr">
        <is>
          <t>smallcap</t>
        </is>
      </c>
      <c r="H275" s="31" t="n">
        <v>747.97</v>
      </c>
      <c r="I275" s="31" t="n">
        <v>683.85</v>
      </c>
      <c r="J275" s="31" t="n">
        <v>0.05</v>
      </c>
      <c r="K275" s="31" t="n">
        <v>2477</v>
      </c>
      <c r="L275" s="30" t="n">
        <v>28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62.79</v>
      </c>
      <c r="P275" s="31" t="n">
        <v>26.56</v>
      </c>
      <c r="Q275" s="31" t="n">
        <v>543.39</v>
      </c>
      <c r="R275" s="30" t="inlineStr">
        <is>
          <t>Earnings / Momentum Support</t>
        </is>
      </c>
      <c r="S275" s="30" t="inlineStr">
        <is>
          <t>Nifty 50</t>
        </is>
      </c>
      <c r="T275" s="31" t="n">
        <v>-4.09</v>
      </c>
      <c r="U275" s="31" t="n">
        <v>0.74</v>
      </c>
      <c r="V275" s="31" t="n">
        <v>5.03</v>
      </c>
      <c r="W275" s="31" t="n">
        <v>8.109999999999999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No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Positive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Close to 52 week high or retracement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Yes</t>
        </is>
      </c>
      <c r="BS275" s="30">
        <f>IF(BR275="NO",5,0)</f>
        <v/>
      </c>
      <c r="BT275" s="30" t="inlineStr">
        <is>
          <t>Less than 1.5</t>
        </is>
      </c>
      <c r="BU275" s="30">
        <f>IF(BT275="Above 2",0,IF(BT275="Between 1.5 to 2",5,IF(BT275="Less than 1.5",10,0)))</f>
        <v/>
      </c>
      <c r="BV275" s="30" t="inlineStr">
        <is>
          <t>Negative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Between 0.7 to 1.2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IF(B276=0,"",RANK(B276,$B$2:$B$361,0))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SUPRAJIT</t>
        </is>
      </c>
      <c r="D276" s="32" t="inlineStr">
        <is>
          <t>Suprajit Engineering Limited</t>
        </is>
      </c>
      <c r="E276" s="30" t="inlineStr">
        <is>
          <t>auto</t>
        </is>
      </c>
      <c r="F276" s="30" t="inlineStr">
        <is>
          <t>auto ancillaries</t>
        </is>
      </c>
      <c r="G276" s="30" t="inlineStr">
        <is>
          <t>midcap</t>
        </is>
      </c>
      <c r="H276" s="31" t="n">
        <v>6335.25</v>
      </c>
      <c r="I276" s="31" t="n">
        <v>462</v>
      </c>
      <c r="J276" s="31" t="n">
        <v>0.03</v>
      </c>
      <c r="K276" s="31" t="n">
        <v>140032</v>
      </c>
      <c r="L276" s="30" t="n">
        <v>11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55.21</v>
      </c>
      <c r="P276" s="31" t="n">
        <v>21.72</v>
      </c>
      <c r="Q276" s="31" t="n">
        <v>375.4</v>
      </c>
      <c r="R276" s="30" t="inlineStr">
        <is>
          <t>Earnings / Momentum Support</t>
        </is>
      </c>
      <c r="S276" s="30" t="inlineStr">
        <is>
          <t>Nifty Auto</t>
        </is>
      </c>
      <c r="T276" s="31" t="n">
        <v>12.86</v>
      </c>
      <c r="U276" s="31" t="n">
        <v>4.76</v>
      </c>
      <c r="V276" s="31" t="n">
        <v>-7.18</v>
      </c>
      <c r="W276" s="31" t="n">
        <v>4.33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No</t>
        </is>
      </c>
      <c r="AC276" s="30">
        <f>IF(AB276="No",5,0)</f>
        <v/>
      </c>
      <c r="AD276" s="30" t="inlineStr">
        <is>
          <t>Headwind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One Time, Lower Annuity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20 to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Positive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More than 20%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Less than 50%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IF(B277=0,"",RANK(B277,$B$2:$B$361,0))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VERANDA</t>
        </is>
      </c>
      <c r="D277" s="30" t="inlineStr">
        <is>
          <t>Veranda Learning Solutions Ltd</t>
        </is>
      </c>
      <c r="E277" s="30" t="inlineStr">
        <is>
          <t>services</t>
        </is>
      </c>
      <c r="F277" s="30" t="inlineStr">
        <is>
          <t>miscellaneous</t>
        </is>
      </c>
      <c r="G277" s="30" t="inlineStr">
        <is>
          <t>smallcap</t>
        </is>
      </c>
      <c r="H277" s="31" t="n">
        <v>2263.45</v>
      </c>
      <c r="I277" s="31" t="n">
        <v>234.89</v>
      </c>
      <c r="J277" s="31" t="n">
        <v>-0.2</v>
      </c>
      <c r="K277" s="31" t="n">
        <v>221734</v>
      </c>
      <c r="L277" s="30" t="n">
        <v>75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62.51</v>
      </c>
      <c r="P277" s="31" t="n">
        <v>30.41</v>
      </c>
      <c r="Q277" s="31" t="n">
        <v>170.94</v>
      </c>
      <c r="R277" s="30" t="inlineStr">
        <is>
          <t>Earnings / Momentum Support</t>
        </is>
      </c>
      <c r="S277" s="30" t="inlineStr">
        <is>
          <t>Nifty 50</t>
        </is>
      </c>
      <c r="T277" s="31" t="n">
        <v>-4.09</v>
      </c>
      <c r="U277" s="31" t="n">
        <v>18.11</v>
      </c>
      <c r="V277" s="31" t="n">
        <v>23.15</v>
      </c>
      <c r="W277" s="31" t="n">
        <v>22.08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2</t>
        </is>
      </c>
      <c r="BC277" s="30">
        <f>IF(BB277="Stage 2",20,IF(BB277="Stage 1",0,IF(BB277="Stage 3",5,IF(BB277="Stage 4",-5,0))))</f>
        <v/>
      </c>
      <c r="BD277" s="30" t="inlineStr">
        <is>
          <t>Negative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No</t>
        </is>
      </c>
      <c r="BS277" s="30">
        <f>IF(BR277="NO",5,0)</f>
        <v/>
      </c>
      <c r="BT277" s="30" t="inlineStr">
        <is>
          <t>Less than 1.5</t>
        </is>
      </c>
      <c r="BU277" s="30">
        <f>IF(BT277="Above 2",0,IF(BT277="Between 1.5 to 2",5,IF(BT277="Less than 1.5",10,0)))</f>
        <v/>
      </c>
      <c r="BV277" s="30" t="inlineStr">
        <is>
          <t>Between 50% to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Less than 0.7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IF(B278=0,"",RANK(B278,$B$2:$B$361,0))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EICHERMOT</t>
        </is>
      </c>
      <c r="D278" s="30" t="inlineStr">
        <is>
          <t>Eicher Motors Limited</t>
        </is>
      </c>
      <c r="E278" s="30" t="inlineStr">
        <is>
          <t>auto</t>
        </is>
      </c>
      <c r="F278" s="30" t="inlineStr">
        <is>
          <t>automobiles - motorcycles / mopeds</t>
        </is>
      </c>
      <c r="G278" s="30" t="inlineStr">
        <is>
          <t>largecap</t>
        </is>
      </c>
      <c r="H278" s="31" t="n">
        <v>207395.25</v>
      </c>
      <c r="I278" s="31" t="n">
        <v>7509</v>
      </c>
      <c r="J278" s="31" t="n">
        <v>-0.68</v>
      </c>
      <c r="K278" s="31" t="n">
        <v>404085</v>
      </c>
      <c r="L278" s="30" t="n">
        <v>33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57</v>
      </c>
      <c r="P278" s="31" t="n">
        <v>8.83</v>
      </c>
      <c r="Q278" s="31" t="n">
        <v>6289.78</v>
      </c>
      <c r="R278" s="30" t="inlineStr">
        <is>
          <t>Earnings / Momentum Support</t>
        </is>
      </c>
      <c r="S278" s="30" t="inlineStr">
        <is>
          <t>Nifty Auto</t>
        </is>
      </c>
      <c r="T278" s="31" t="n">
        <v>12.86</v>
      </c>
      <c r="U278" s="31" t="n">
        <v>37.67</v>
      </c>
      <c r="V278" s="31" t="n">
        <v>21.99</v>
      </c>
      <c r="W278" s="31" t="n">
        <v>8.890000000000001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Tailwind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2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Less than 12%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No</t>
        </is>
      </c>
      <c r="BS278" s="30">
        <f>IF(BR278="NO",5,0)</f>
        <v/>
      </c>
      <c r="BT278" s="30" t="inlineStr">
        <is>
          <t>Above 2</t>
        </is>
      </c>
      <c r="BU278" s="30">
        <f>IF(BT278="Above 2",0,IF(BT278="Between 1.5 to 2",5,IF(BT278="Less than 1.5",10,0)))</f>
        <v/>
      </c>
      <c r="BV278" s="30" t="inlineStr">
        <is>
          <t>Above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IF(B279=0,"",RANK(B279,$B$2:$B$361,0))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2" t="inlineStr">
        <is>
          <t>SOMANYCERA</t>
        </is>
      </c>
      <c r="D279" s="32" t="inlineStr">
        <is>
          <t>Somany Ceramics Limited</t>
        </is>
      </c>
      <c r="E279" s="30" t="inlineStr">
        <is>
          <t>building materials</t>
        </is>
      </c>
      <c r="F279" s="30" t="inlineStr">
        <is>
          <t>ceramics - tiles / sanitaryware</t>
        </is>
      </c>
      <c r="G279" s="30" t="inlineStr">
        <is>
          <t>smallcap</t>
        </is>
      </c>
      <c r="H279" s="31" t="n">
        <v>2158.3</v>
      </c>
      <c r="I279" s="31" t="n">
        <v>521.6</v>
      </c>
      <c r="J279" s="31" t="n">
        <v>-0.88</v>
      </c>
      <c r="K279" s="31" t="n">
        <v>79569</v>
      </c>
      <c r="L279" s="30" t="n">
        <v>32</v>
      </c>
      <c r="M279" s="30" t="inlineStr">
        <is>
          <t>Underperforming</t>
        </is>
      </c>
      <c r="N279" s="31">
        <f>IF(M279="Underperforming",-5,IF(L279&gt;=95,15,IF(L279&gt;=90,10,IF(L279&gt;=80,5,0))))</f>
        <v/>
      </c>
      <c r="O279" s="31" t="n">
        <v>64.01000000000001</v>
      </c>
      <c r="P279" s="31" t="n">
        <v>27.12</v>
      </c>
      <c r="Q279" s="31" t="n">
        <v>405.53</v>
      </c>
      <c r="R279" s="30" t="inlineStr">
        <is>
          <t>Earnings / Momentum Support</t>
        </is>
      </c>
      <c r="S279" s="30" t="inlineStr">
        <is>
          <t>Nifty Infra</t>
        </is>
      </c>
      <c r="T279" s="31" t="n">
        <v>3.72</v>
      </c>
      <c r="U279" s="31" t="n">
        <v>-3.84</v>
      </c>
      <c r="V279" s="31" t="n">
        <v>-7.28</v>
      </c>
      <c r="W279" s="31" t="n">
        <v>8.69</v>
      </c>
      <c r="X279" s="30" t="inlineStr">
        <is>
          <t>Growing Industry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Structural (10 Years Consistency)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Stable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No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Negative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Close to 52 week high or retracement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Less than 1.5</t>
        </is>
      </c>
      <c r="BU279" s="30">
        <f>IF(BT279="Above 2",0,IF(BT279="Between 1.5 to 2",5,IF(BT279="Less than 1.5",10,0)))</f>
        <v/>
      </c>
      <c r="BV279" s="30" t="inlineStr">
        <is>
          <t>Above 70%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Less than 0.7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IF(B280=0,"",RANK(B280,$B$2:$B$361,0))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2" t="inlineStr">
        <is>
          <t>SSWL</t>
        </is>
      </c>
      <c r="D280" s="32" t="inlineStr">
        <is>
          <t>Steel Strips Wheels Limited</t>
        </is>
      </c>
      <c r="E280" s="30" t="inlineStr">
        <is>
          <t>auto</t>
        </is>
      </c>
      <c r="F280" s="30" t="inlineStr">
        <is>
          <t>auto ancillaries</t>
        </is>
      </c>
      <c r="G280" s="30" t="inlineStr">
        <is>
          <t>smallcap</t>
        </is>
      </c>
      <c r="H280" s="31" t="n">
        <v>3678.49</v>
      </c>
      <c r="I280" s="31" t="n">
        <v>228.73</v>
      </c>
      <c r="J280" s="31" t="n">
        <v>-2.26</v>
      </c>
      <c r="K280" s="31" t="n">
        <v>621123</v>
      </c>
      <c r="L280" s="30" t="n">
        <v>7</v>
      </c>
      <c r="M280" s="30" t="inlineStr">
        <is>
          <t>Underperforming</t>
        </is>
      </c>
      <c r="N280" s="31">
        <f>IF(M280="Underperforming",-5,IF(L280&gt;=95,15,IF(L280&gt;=90,10,IF(L280&gt;=80,5,0))))</f>
        <v/>
      </c>
      <c r="O280" s="31" t="n">
        <v>57.99</v>
      </c>
      <c r="P280" s="31" t="n">
        <v>8.81</v>
      </c>
      <c r="Q280" s="31" t="n">
        <v>175.49</v>
      </c>
      <c r="R280" s="30" t="inlineStr">
        <is>
          <t>Earnings / Momentum Support</t>
        </is>
      </c>
      <c r="S280" s="30" t="inlineStr">
        <is>
          <t>Nifty Auto</t>
        </is>
      </c>
      <c r="T280" s="31" t="n">
        <v>12.86</v>
      </c>
      <c r="U280" s="31" t="n">
        <v>-10.82</v>
      </c>
      <c r="V280" s="31" t="n">
        <v>-20.98</v>
      </c>
      <c r="W280" s="31" t="n">
        <v>3.37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Tailwind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2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Less than 12%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No</t>
        </is>
      </c>
      <c r="BS280" s="30">
        <f>IF(BR280="NO",5,0)</f>
        <v/>
      </c>
      <c r="BT280" s="30" t="inlineStr">
        <is>
          <t>Less than 1.5</t>
        </is>
      </c>
      <c r="BU280" s="30">
        <f>IF(BT280="Above 2",0,IF(BT280="Between 1.5 to 2",5,IF(BT280="Less than 1.5",10,0)))</f>
        <v/>
      </c>
      <c r="BV280" s="30" t="inlineStr">
        <is>
          <t>Between 50% to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IF(B281=0,"",RANK(B281,$B$2:$B$361,0))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0" t="inlineStr">
        <is>
          <t>WHEELS</t>
        </is>
      </c>
      <c r="D281" s="30" t="inlineStr">
        <is>
          <t>Wheels India Limited</t>
        </is>
      </c>
      <c r="E281" s="30" t="inlineStr">
        <is>
          <t>auto</t>
        </is>
      </c>
      <c r="F281" s="30" t="inlineStr">
        <is>
          <t>auto ancillaries</t>
        </is>
      </c>
      <c r="G281" s="30" t="inlineStr">
        <is>
          <t>smallcap</t>
        </is>
      </c>
      <c r="H281" s="31" t="n">
        <v>3903.66</v>
      </c>
      <c r="I281" s="31" t="n">
        <v>1556.7</v>
      </c>
      <c r="J281" s="31" t="n">
        <v>-2.57</v>
      </c>
      <c r="K281" s="31" t="n">
        <v>89834</v>
      </c>
      <c r="L281" s="30" t="n">
        <v>83</v>
      </c>
      <c r="M281" s="30" t="inlineStr">
        <is>
          <t>Outperforming</t>
        </is>
      </c>
      <c r="N281" s="31">
        <f>IF(M281="Underperforming",-5,IF(L281&gt;=95,15,IF(L281&gt;=90,10,IF(L281&gt;=80,5,0))))</f>
        <v/>
      </c>
      <c r="O281" s="31" t="n">
        <v>68.27</v>
      </c>
      <c r="P281" s="31" t="n">
        <v>53.69</v>
      </c>
      <c r="Q281" s="31" t="n">
        <v>1273.4</v>
      </c>
      <c r="R281" s="30" t="inlineStr">
        <is>
          <t>Earnings / Momentum Support</t>
        </is>
      </c>
      <c r="S281" s="30" t="inlineStr">
        <is>
          <t>Nifty Auto</t>
        </is>
      </c>
      <c r="T281" s="31" t="n">
        <v>12.86</v>
      </c>
      <c r="U281" s="31" t="n">
        <v>108.04</v>
      </c>
      <c r="V281" s="31" t="n">
        <v>84.33</v>
      </c>
      <c r="W281" s="31" t="n">
        <v>27.43</v>
      </c>
      <c r="X281" s="30" t="inlineStr">
        <is>
          <t>Growing Industry</t>
        </is>
      </c>
      <c r="Y281" s="30">
        <f>IF(X281="Growing Industry",10,IF(X281="Cyclical in an Upturn",5,0))</f>
        <v/>
      </c>
      <c r="Z281" s="30" t="inlineStr">
        <is>
          <t>Too Many Players with High ROCE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No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Structural (10 Years Consistency)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Stable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No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Above 40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Negative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Less than 12%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Above 2</t>
        </is>
      </c>
      <c r="BU281" s="30">
        <f>IF(BT281="Above 2",0,IF(BT281="Between 1.5 to 2",5,IF(BT281="Less than 1.5",10,0)))</f>
        <v/>
      </c>
      <c r="BV281" s="30" t="inlineStr">
        <is>
          <t>Above 70%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IF(B282=0,"",RANK(B282,$B$2:$B$361,0))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KIMS</t>
        </is>
      </c>
      <c r="D282" s="30" t="inlineStr">
        <is>
          <t>Krishna Institute of Medical Sciences Ltd</t>
        </is>
      </c>
      <c r="E282" s="30" t="inlineStr">
        <is>
          <t>healthcare</t>
        </is>
      </c>
      <c r="F282" s="30" t="inlineStr">
        <is>
          <t>healthcare</t>
        </is>
      </c>
      <c r="G282" s="30" t="inlineStr">
        <is>
          <t>largecap</t>
        </is>
      </c>
      <c r="H282" s="31" t="n">
        <v>31156.82</v>
      </c>
      <c r="I282" s="31" t="n">
        <v>796.4</v>
      </c>
      <c r="J282" s="31" t="n">
        <v>2.28</v>
      </c>
      <c r="K282" s="31" t="n">
        <v>917511</v>
      </c>
      <c r="L282" s="30" t="n">
        <v>39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65.36</v>
      </c>
      <c r="P282" s="31" t="n">
        <v>23.36</v>
      </c>
      <c r="Q282" s="31" t="n">
        <v>641.28</v>
      </c>
      <c r="R282" s="30" t="inlineStr">
        <is>
          <t>Near 52W High Breakout</t>
        </is>
      </c>
      <c r="S282" s="30" t="inlineStr">
        <is>
          <t>Nifty Pharma</t>
        </is>
      </c>
      <c r="T282" s="31" t="n">
        <v>11.72</v>
      </c>
      <c r="U282" s="31" t="n">
        <v>25.9</v>
      </c>
      <c r="V282" s="31" t="n">
        <v>12.69</v>
      </c>
      <c r="W282" s="31" t="n">
        <v>10.28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Yes</t>
        </is>
      </c>
      <c r="AC282" s="30">
        <f>IF(AB282="No",5,0)</f>
        <v/>
      </c>
      <c r="AD282" s="30" t="inlineStr">
        <is>
          <t>Tailwind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Yes</t>
        </is>
      </c>
      <c r="AQ282" s="30">
        <f>IF(AP282="Yes",10,0)</f>
        <v/>
      </c>
      <c r="AR282" s="30" t="inlineStr">
        <is>
          <t>Higher Annuity, Lower One Time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20 to 40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2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Blue sky scenario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Less than 12%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Yes</t>
        </is>
      </c>
      <c r="BS282" s="30">
        <f>IF(BR282="NO",5,0)</f>
        <v/>
      </c>
      <c r="BT282" s="30" t="inlineStr">
        <is>
          <t>Above 2</t>
        </is>
      </c>
      <c r="BU282" s="30">
        <f>IF(BT282="Above 2",0,IF(BT282="Between 1.5 to 2",5,IF(BT282="Less than 1.5",10,0)))</f>
        <v/>
      </c>
      <c r="BV282" s="30" t="inlineStr">
        <is>
          <t>Between 50% to 70%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More than 1.2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IF(B283=0,"",RANK(B283,$B$2:$B$361,0))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ONEPOINT</t>
        </is>
      </c>
      <c r="D283" s="30" t="inlineStr">
        <is>
          <t>One Point One Solutions Ltd</t>
        </is>
      </c>
      <c r="E283" s="30" t="inlineStr">
        <is>
          <t>i.t</t>
        </is>
      </c>
      <c r="F283" s="30" t="inlineStr">
        <is>
          <t>computers - software - medium / small</t>
        </is>
      </c>
      <c r="G283" s="30" t="inlineStr">
        <is>
          <t>smallcap</t>
        </is>
      </c>
      <c r="H283" s="31" t="n">
        <v>1573.41</v>
      </c>
      <c r="I283" s="31" t="n">
        <v>59.8</v>
      </c>
      <c r="J283" s="31" t="n">
        <v>-0.07000000000000001</v>
      </c>
      <c r="K283" s="31" t="n">
        <v>1321115</v>
      </c>
      <c r="L283" s="30" t="n">
        <v>41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59.41</v>
      </c>
      <c r="P283" s="31" t="n">
        <v>25.31</v>
      </c>
      <c r="Q283" s="31" t="n">
        <v>46.71</v>
      </c>
      <c r="R283" s="30" t="inlineStr">
        <is>
          <t>Near 52W High Breakout</t>
        </is>
      </c>
      <c r="S283" s="30" t="inlineStr">
        <is>
          <t>Nifty IT</t>
        </is>
      </c>
      <c r="T283" s="31" t="n">
        <v>-26.11</v>
      </c>
      <c r="U283" s="31" t="n">
        <v>11.9</v>
      </c>
      <c r="V283" s="31" t="n">
        <v>51.45</v>
      </c>
      <c r="W283" s="31" t="n">
        <v>10.9</v>
      </c>
      <c r="X283" s="30" t="inlineStr">
        <is>
          <t>Growing Industry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Yes</t>
        </is>
      </c>
      <c r="AQ283" s="30">
        <f>IF(AP283="Yes",10,0)</f>
        <v/>
      </c>
      <c r="AR283" s="30" t="inlineStr">
        <is>
          <t>Higher Annuity, Lower One Time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2</t>
        </is>
      </c>
      <c r="BC283" s="30">
        <f>IF(BB283="Stage 2",20,IF(BB283="Stage 1",0,IF(BB283="Stage 3",5,IF(BB283="Stage 4",-5,0))))</f>
        <v/>
      </c>
      <c r="BD283" s="30" t="inlineStr">
        <is>
          <t>Negative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Between 12 to 20%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Yes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Above 70%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IF(B284=0,"",RANK(B284,$B$2:$B$361,0))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0" t="inlineStr">
        <is>
          <t>RAMCOSYS</t>
        </is>
      </c>
      <c r="D284" s="30" t="inlineStr">
        <is>
          <t>Ramco Systems Limited</t>
        </is>
      </c>
      <c r="E284" s="30" t="inlineStr">
        <is>
          <t>i.t</t>
        </is>
      </c>
      <c r="F284" s="30" t="inlineStr">
        <is>
          <t>computers - software - medium / small</t>
        </is>
      </c>
      <c r="G284" s="30" t="inlineStr">
        <is>
          <t>smallcap</t>
        </is>
      </c>
      <c r="H284" s="31" t="n">
        <v>2136.03</v>
      </c>
      <c r="I284" s="31" t="n">
        <v>570.3</v>
      </c>
      <c r="J284" s="31" t="n">
        <v>-0.11</v>
      </c>
      <c r="K284" s="31" t="n">
        <v>508569</v>
      </c>
      <c r="L284" s="30" t="n">
        <v>73</v>
      </c>
      <c r="M284" s="30" t="inlineStr">
        <is>
          <t>Outperforming</t>
        </is>
      </c>
      <c r="N284" s="31">
        <f>IF(M284="Underperforming",-5,IF(L284&gt;=95,15,IF(L284&gt;=90,10,IF(L284&gt;=80,5,0))))</f>
        <v/>
      </c>
      <c r="O284" s="31" t="n">
        <v>61.94</v>
      </c>
      <c r="P284" s="31" t="n">
        <v>17.02</v>
      </c>
      <c r="Q284" s="31" t="n">
        <v>393.06</v>
      </c>
      <c r="R284" s="30" t="inlineStr">
        <is>
          <t>Earnings / Momentum Support</t>
        </is>
      </c>
      <c r="S284" s="30" t="inlineStr">
        <is>
          <t>Nifty IT</t>
        </is>
      </c>
      <c r="T284" s="31" t="n">
        <v>-26.11</v>
      </c>
      <c r="U284" s="31" t="n">
        <v>48.38</v>
      </c>
      <c r="V284" s="31" t="n">
        <v>100.82</v>
      </c>
      <c r="W284" s="31" t="n">
        <v>20.99</v>
      </c>
      <c r="X284" s="30" t="inlineStr">
        <is>
          <t>Growing Industry</t>
        </is>
      </c>
      <c r="Y284" s="30">
        <f>IF(X284="Growing Industry",10,IF(X284="Cyclical in an Upturn",5,0))</f>
        <v/>
      </c>
      <c r="Z284" s="30" t="inlineStr">
        <is>
          <t>Too Many Players with High ROCE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No</t>
        </is>
      </c>
      <c r="AC284" s="30">
        <f>IF(AB284="No",5,0)</f>
        <v/>
      </c>
      <c r="AD284" s="30" t="inlineStr">
        <is>
          <t>Headwind</t>
        </is>
      </c>
      <c r="AE284" s="30">
        <f>IF(AD284="Tailwind",10,0)</f>
        <v/>
      </c>
      <c r="AF284" s="30" t="inlineStr">
        <is>
          <t>Structural (10 Years Consistency)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Stable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Annuity, Lower One Time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0 to 20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More than 20%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Yes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Above 70%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IF(B285=0,"",RANK(B285,$B$2:$B$361,0))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SUVEN</t>
        </is>
      </c>
      <c r="D285" s="30" t="inlineStr">
        <is>
          <t>Suven Life Sciences Limited</t>
        </is>
      </c>
      <c r="E285" s="30" t="inlineStr">
        <is>
          <t>healthcare</t>
        </is>
      </c>
      <c r="F285" s="30" t="inlineStr">
        <is>
          <t>miscellaneous</t>
        </is>
      </c>
      <c r="G285" s="30" t="inlineStr">
        <is>
          <t>midcap</t>
        </is>
      </c>
      <c r="H285" s="31" t="n">
        <v>7116.5</v>
      </c>
      <c r="I285" s="31" t="n">
        <v>262.75</v>
      </c>
      <c r="J285" s="31" t="n">
        <v>-2.63</v>
      </c>
      <c r="K285" s="31" t="n">
        <v>3516407</v>
      </c>
      <c r="L285" s="30" t="n">
        <v>86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64.56</v>
      </c>
      <c r="P285" s="31" t="n">
        <v>35.43</v>
      </c>
      <c r="Q285" s="31" t="n">
        <v>193.21</v>
      </c>
      <c r="R285" s="30" t="inlineStr">
        <is>
          <t>Earnings / Momentum Support</t>
        </is>
      </c>
      <c r="S285" s="30" t="inlineStr">
        <is>
          <t>Nifty Pharma</t>
        </is>
      </c>
      <c r="T285" s="31" t="n">
        <v>11.72</v>
      </c>
      <c r="U285" s="31" t="n">
        <v>15.6</v>
      </c>
      <c r="V285" s="31" t="n">
        <v>3.47</v>
      </c>
      <c r="W285" s="31" t="n">
        <v>29.08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Yes</t>
        </is>
      </c>
      <c r="AC285" s="30">
        <f>IF(AB285="No",5,0)</f>
        <v/>
      </c>
      <c r="AD285" s="30" t="inlineStr">
        <is>
          <t>Tailwind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Annuity, Lower One Time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20 to 40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2</t>
        </is>
      </c>
      <c r="BC285" s="30">
        <f>IF(BB285="Stage 2",20,IF(BB285="Stage 1",0,IF(BB285="Stage 3",5,IF(BB285="Stage 4",-5,0))))</f>
        <v/>
      </c>
      <c r="BD285" s="30" t="inlineStr">
        <is>
          <t>Negative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More than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Above 2</t>
        </is>
      </c>
      <c r="BU285" s="30">
        <f>IF(BT285="Above 2",0,IF(BT285="Between 1.5 to 2",5,IF(BT285="Less than 1.5",10,0)))</f>
        <v/>
      </c>
      <c r="BV285" s="30" t="inlineStr">
        <is>
          <t>Above 70%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IF(B286=0,"",RANK(B286,$B$2:$B$361,0))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2" t="inlineStr">
        <is>
          <t>VMART</t>
        </is>
      </c>
      <c r="D286" s="32" t="inlineStr">
        <is>
          <t>V-mart Retail Limited</t>
        </is>
      </c>
      <c r="E286" s="30" t="inlineStr">
        <is>
          <t>consumer discretionary</t>
        </is>
      </c>
      <c r="F286" s="30" t="inlineStr">
        <is>
          <t>trading</t>
        </is>
      </c>
      <c r="G286" s="30" t="inlineStr">
        <is>
          <t>midcap</t>
        </is>
      </c>
      <c r="H286" s="31" t="n">
        <v>5815.55</v>
      </c>
      <c r="I286" s="31" t="n">
        <v>763.95</v>
      </c>
      <c r="J286" s="31" t="n">
        <v>4.38</v>
      </c>
      <c r="K286" s="31" t="n">
        <v>610230</v>
      </c>
      <c r="L286" s="30" t="n">
        <v>39</v>
      </c>
      <c r="M286" s="30" t="inlineStr">
        <is>
          <t>Underperforming</t>
        </is>
      </c>
      <c r="N286" s="31">
        <f>IF(M286="Underperforming",-5,IF(L286&gt;=95,15,IF(L286&gt;=90,10,IF(L286&gt;=80,5,0))))</f>
        <v/>
      </c>
      <c r="O286" s="31" t="n">
        <v>65.08</v>
      </c>
      <c r="P286" s="31" t="n">
        <v>20.54</v>
      </c>
      <c r="Q286" s="31" t="n">
        <v>596</v>
      </c>
      <c r="R286" s="30" t="inlineStr">
        <is>
          <t>Earnings / Momentum Support</t>
        </is>
      </c>
      <c r="S286" s="30" t="inlineStr">
        <is>
          <t>Nifty 50</t>
        </is>
      </c>
      <c r="T286" s="31" t="n">
        <v>-4.09</v>
      </c>
      <c r="U286" s="31" t="n">
        <v>-14.08</v>
      </c>
      <c r="V286" s="31" t="n">
        <v>-10.42</v>
      </c>
      <c r="W286" s="31" t="n">
        <v>10.32</v>
      </c>
      <c r="X286" s="30" t="inlineStr">
        <is>
          <t>Growing Industry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Tailwind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No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20 to 40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2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Between 0.7 to 1.2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IF(B287=0,"",RANK(B287,$B$2:$B$361,0))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SUZLON</t>
        </is>
      </c>
      <c r="D287" s="32" t="inlineStr">
        <is>
          <t>Suzlon Energy Limited</t>
        </is>
      </c>
      <c r="E287" s="30" t="inlineStr">
        <is>
          <t>industrials</t>
        </is>
      </c>
      <c r="F287" s="30" t="inlineStr">
        <is>
          <t>electric equipment</t>
        </is>
      </c>
      <c r="G287" s="30" t="inlineStr">
        <is>
          <t>largecap</t>
        </is>
      </c>
      <c r="H287" s="31" t="n">
        <v>79435.44</v>
      </c>
      <c r="I287" s="31" t="n">
        <v>59.27</v>
      </c>
      <c r="J287" s="31" t="n">
        <v>2.33</v>
      </c>
      <c r="K287" s="31" t="n">
        <v>164629458</v>
      </c>
      <c r="L287" s="30" t="n">
        <v>34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64.23999999999999</v>
      </c>
      <c r="P287" s="31" t="n">
        <v>26.98</v>
      </c>
      <c r="Q287" s="31" t="n">
        <v>47.36</v>
      </c>
      <c r="R287" s="30" t="inlineStr">
        <is>
          <t>Earnings / Momentum Support</t>
        </is>
      </c>
      <c r="S287" s="30" t="inlineStr">
        <is>
          <t>Nifty 500</t>
        </is>
      </c>
      <c r="T287" s="31" t="n">
        <v>0.3</v>
      </c>
      <c r="U287" s="31" t="n">
        <v>-6.26</v>
      </c>
      <c r="V287" s="31" t="n">
        <v>-6.54</v>
      </c>
      <c r="W287" s="31" t="n">
        <v>8.99</v>
      </c>
      <c r="X287" s="30" t="inlineStr">
        <is>
          <t>Cyclical in an Upturn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Positive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No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Less than 50%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IF(B288=0,"",RANK(B288,$B$2:$B$361,0))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DEEDEV</t>
        </is>
      </c>
      <c r="D288" s="30" t="inlineStr">
        <is>
          <t>DEE Development Engineers Ltd</t>
        </is>
      </c>
      <c r="E288" s="30" t="inlineStr">
        <is>
          <t>metals &amp; mining</t>
        </is>
      </c>
      <c r="F288" s="30" t="inlineStr">
        <is>
          <t>steel - medium / small</t>
        </is>
      </c>
      <c r="G288" s="30" t="inlineStr">
        <is>
          <t>midcap</t>
        </is>
      </c>
      <c r="H288" s="31" t="n">
        <v>5014.32</v>
      </c>
      <c r="I288" s="31" t="n">
        <v>738.75</v>
      </c>
      <c r="J288" s="31" t="n">
        <v>2.04</v>
      </c>
      <c r="K288" s="31" t="n">
        <v>216231</v>
      </c>
      <c r="L288" s="30" t="n">
        <v>97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87.14</v>
      </c>
      <c r="P288" s="31" t="n">
        <v>62.24</v>
      </c>
      <c r="Q288" s="31" t="n">
        <v>568.63</v>
      </c>
      <c r="R288" s="30" t="inlineStr">
        <is>
          <t>Near 52W High Breakout</t>
        </is>
      </c>
      <c r="S288" s="30" t="inlineStr">
        <is>
          <t>Nifty Metal</t>
        </is>
      </c>
      <c r="T288" s="31" t="n">
        <v>42.38</v>
      </c>
      <c r="U288" s="31" t="n">
        <v>138.54</v>
      </c>
      <c r="V288" s="31" t="n">
        <v>67.54000000000001</v>
      </c>
      <c r="W288" s="31" t="n">
        <v>68.89</v>
      </c>
      <c r="X288" s="30" t="inlineStr">
        <is>
          <t>Cyclical in an Upturn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Cyclical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Volatile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Above 40</t>
        </is>
      </c>
      <c r="AY288" s="30">
        <f>IF(AX288="Above 40",20,IF(AX288="20 to 40",10,IF(AX288="0 to 20",-5,0)))</f>
        <v/>
      </c>
      <c r="AZ288" s="30" t="inlineStr">
        <is>
          <t>Above 75</t>
        </is>
      </c>
      <c r="BA288" s="30">
        <f>IF(AZ288="Between 50 to 75",10,IF(AZ288="Above 75",0,0))</f>
        <v/>
      </c>
      <c r="BB288" s="30" t="inlineStr">
        <is>
          <t>Stage 2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Blue sky scenario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Yes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Less than 50%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Between 0.7 to 1.2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IF(B289=0,"",RANK(B289,$B$2:$B$361,0))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0" t="inlineStr">
        <is>
          <t>TVSSCS</t>
        </is>
      </c>
      <c r="D289" s="30" t="inlineStr">
        <is>
          <t>TVS Supply Chain Solutions Ltd</t>
        </is>
      </c>
      <c r="E289" s="30" t="inlineStr">
        <is>
          <t>transportation</t>
        </is>
      </c>
      <c r="F289" s="30" t="inlineStr">
        <is>
          <t>miscellaneous</t>
        </is>
      </c>
      <c r="G289" s="30" t="inlineStr">
        <is>
          <t>midcap</t>
        </is>
      </c>
      <c r="H289" s="31" t="n">
        <v>5916.22</v>
      </c>
      <c r="I289" s="31" t="n">
        <v>135.51</v>
      </c>
      <c r="J289" s="31" t="n">
        <v>1.05</v>
      </c>
      <c r="K289" s="31" t="n">
        <v>1201966</v>
      </c>
      <c r="L289" s="30" t="n">
        <v>34</v>
      </c>
      <c r="M289" s="30" t="inlineStr">
        <is>
          <t>Outperforming</t>
        </is>
      </c>
      <c r="N289" s="31">
        <f>IF(M289="Underperforming",-5,IF(L289&gt;=95,15,IF(L289&gt;=90,10,IF(L289&gt;=80,5,0))))</f>
        <v/>
      </c>
      <c r="O289" s="31" t="n">
        <v>60.86</v>
      </c>
      <c r="P289" s="31" t="n">
        <v>12.18</v>
      </c>
      <c r="Q289" s="31" t="n">
        <v>101.73</v>
      </c>
      <c r="R289" s="30" t="inlineStr">
        <is>
          <t>Volume Spike &amp; Near 52W High Breakout</t>
        </is>
      </c>
      <c r="S289" s="30" t="inlineStr">
        <is>
          <t>Nifty 50</t>
        </is>
      </c>
      <c r="T289" s="31" t="n">
        <v>-4.09</v>
      </c>
      <c r="U289" s="31" t="n">
        <v>3.25</v>
      </c>
      <c r="V289" s="31" t="n">
        <v>7.65</v>
      </c>
      <c r="W289" s="31" t="n">
        <v>9.050000000000001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No</t>
        </is>
      </c>
      <c r="AC289" s="30">
        <f>IF(AB289="No",5,0)</f>
        <v/>
      </c>
      <c r="AD289" s="30" t="inlineStr">
        <is>
          <t>Tailwind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Yes</t>
        </is>
      </c>
      <c r="AQ289" s="30">
        <f>IF(AP289="Yes",10,0)</f>
        <v/>
      </c>
      <c r="AR289" s="30" t="inlineStr">
        <is>
          <t>Higher One Time, Lower Annuity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0 to 20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Positive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More than 20%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Yes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More than 1.2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IF(B290=0,"",RANK(B290,$B$2:$B$361,0))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0" t="inlineStr">
        <is>
          <t>DEEPAKFERT</t>
        </is>
      </c>
      <c r="D290" s="30" t="inlineStr">
        <is>
          <t>Deepak Fertilizers And Petrochemicals Corporation Limited</t>
        </is>
      </c>
      <c r="E290" s="30" t="inlineStr">
        <is>
          <t>chemicals</t>
        </is>
      </c>
      <c r="F290" s="30" t="inlineStr">
        <is>
          <t>chemicals</t>
        </is>
      </c>
      <c r="G290" s="30" t="inlineStr">
        <is>
          <t>midcap</t>
        </is>
      </c>
      <c r="H290" s="31" t="n">
        <v>19377.51</v>
      </c>
      <c r="I290" s="31" t="n">
        <v>1550.5</v>
      </c>
      <c r="J290" s="31" t="n">
        <v>1.01</v>
      </c>
      <c r="K290" s="31" t="n">
        <v>217394</v>
      </c>
      <c r="L290" s="30" t="n">
        <v>68</v>
      </c>
      <c r="M290" s="30" t="inlineStr">
        <is>
          <t>Outperforming</t>
        </is>
      </c>
      <c r="N290" s="31">
        <f>IF(M290="Underperforming",-5,IF(L290&gt;=95,15,IF(L290&gt;=90,10,IF(L290&gt;=80,5,0))))</f>
        <v/>
      </c>
      <c r="O290" s="31" t="n">
        <v>68.93000000000001</v>
      </c>
      <c r="P290" s="31" t="n">
        <v>32.11</v>
      </c>
      <c r="Q290" s="31" t="n">
        <v>1189.88</v>
      </c>
      <c r="R290" s="30" t="inlineStr">
        <is>
          <t>Earnings / Momentum Support</t>
        </is>
      </c>
      <c r="S290" s="30" t="inlineStr">
        <is>
          <t>Nifty 50</t>
        </is>
      </c>
      <c r="T290" s="31" t="n">
        <v>-4.09</v>
      </c>
      <c r="U290" s="31" t="n">
        <v>1.78</v>
      </c>
      <c r="V290" s="31" t="n">
        <v>6.12</v>
      </c>
      <c r="W290" s="31" t="n">
        <v>19.01</v>
      </c>
      <c r="X290" s="30" t="inlineStr">
        <is>
          <t>Growing Industry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Structural (10 Years Consistency)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Stable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Positive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Less than 12%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Above 2</t>
        </is>
      </c>
      <c r="BU290" s="30">
        <f>IF(BT290="Above 2",0,IF(BT290="Between 1.5 to 2",5,IF(BT290="Less than 1.5",10,0)))</f>
        <v/>
      </c>
      <c r="BV290" s="30" t="inlineStr">
        <is>
          <t>Less than 50%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Between 0.7 to 1.2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IF(B291=0,"",RANK(B291,$B$2:$B$361,0))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TITAN</t>
        </is>
      </c>
      <c r="D291" s="30" t="inlineStr">
        <is>
          <t>Titan Company Limited</t>
        </is>
      </c>
      <c r="E291" s="30" t="inlineStr">
        <is>
          <t>consumer discretionary</t>
        </is>
      </c>
      <c r="F291" s="30" t="inlineStr">
        <is>
          <t>diamond cutting / jewellery</t>
        </is>
      </c>
      <c r="G291" s="30" t="inlineStr">
        <is>
          <t>largecap</t>
        </is>
      </c>
      <c r="H291" s="31" t="n">
        <v>385121.64</v>
      </c>
      <c r="I291" s="31" t="n">
        <v>4380.5</v>
      </c>
      <c r="J291" s="31" t="n">
        <v>0.98</v>
      </c>
      <c r="K291" s="31" t="n">
        <v>623868</v>
      </c>
      <c r="L291" s="30" t="n">
        <v>20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57.53</v>
      </c>
      <c r="P291" s="31" t="n">
        <v>12.01</v>
      </c>
      <c r="Q291" s="31" t="n">
        <v>3842.92</v>
      </c>
      <c r="R291" s="30" t="inlineStr">
        <is>
          <t>Near 52W High Breakout</t>
        </is>
      </c>
      <c r="S291" s="30" t="inlineStr">
        <is>
          <t>Nifty 50</t>
        </is>
      </c>
      <c r="T291" s="31" t="n">
        <v>-4.09</v>
      </c>
      <c r="U291" s="31" t="n">
        <v>24.86</v>
      </c>
      <c r="V291" s="31" t="n">
        <v>30.18</v>
      </c>
      <c r="W291" s="31" t="n">
        <v>6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Blue sky scenario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Between 50% to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More than 1.2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IF(B292=0,"",RANK(B292,$B$2:$B$361,0))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LT</t>
        </is>
      </c>
      <c r="D292" s="30" t="inlineStr">
        <is>
          <t>Larsen &amp; Toubro Limited</t>
        </is>
      </c>
      <c r="E292" s="30" t="inlineStr">
        <is>
          <t>realty</t>
        </is>
      </c>
      <c r="F292" s="30" t="inlineStr">
        <is>
          <t>engineering - turnkey services</t>
        </is>
      </c>
      <c r="G292" s="30" t="inlineStr">
        <is>
          <t>largecap</t>
        </is>
      </c>
      <c r="H292" s="31" t="n">
        <v>575894.66</v>
      </c>
      <c r="I292" s="31" t="n">
        <v>4207.7</v>
      </c>
      <c r="J292" s="31" t="n">
        <v>0.51</v>
      </c>
      <c r="K292" s="31" t="n">
        <v>1312925</v>
      </c>
      <c r="L292" s="30" t="n">
        <v>31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59.63</v>
      </c>
      <c r="P292" s="31" t="n">
        <v>9.69</v>
      </c>
      <c r="Q292" s="31" t="n">
        <v>3550.8</v>
      </c>
      <c r="R292" s="30" t="inlineStr">
        <is>
          <t>Near 52W High Breakout</t>
        </is>
      </c>
      <c r="S292" s="30" t="inlineStr">
        <is>
          <t>Nifty Realty</t>
        </is>
      </c>
      <c r="T292" s="31" t="n">
        <v>-19.64</v>
      </c>
      <c r="U292" s="31" t="n">
        <v>16.02</v>
      </c>
      <c r="V292" s="31" t="n">
        <v>44.37</v>
      </c>
      <c r="W292" s="31" t="n">
        <v>8.58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Tailwind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Yes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Blue sky scenario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Less than 12%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Less than 50%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Between 0.7 to 1.2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IF(B293=0,"",RANK(B293,$B$2:$B$361,0))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2" t="inlineStr">
        <is>
          <t>IMPAL</t>
        </is>
      </c>
      <c r="D293" s="32" t="inlineStr">
        <is>
          <t>India Motor Parts And Accessories Limited</t>
        </is>
      </c>
      <c r="E293" s="30" t="inlineStr">
        <is>
          <t>auto</t>
        </is>
      </c>
      <c r="F293" s="30" t="inlineStr">
        <is>
          <t>auto ancillaries</t>
        </is>
      </c>
      <c r="G293" s="30" t="inlineStr">
        <is>
          <t>smallcap</t>
        </is>
      </c>
      <c r="H293" s="31" t="n">
        <v>1354.33</v>
      </c>
      <c r="I293" s="31" t="n">
        <v>1088.1</v>
      </c>
      <c r="J293" s="31" t="n">
        <v>0.27</v>
      </c>
      <c r="K293" s="31" t="n">
        <v>3952</v>
      </c>
      <c r="L293" s="30" t="n">
        <v>6</v>
      </c>
      <c r="M293" s="30" t="inlineStr">
        <is>
          <t>Underperforming</t>
        </is>
      </c>
      <c r="N293" s="31">
        <f>IF(M293="Underperforming",-5,IF(L293&gt;=95,15,IF(L293&gt;=90,10,IF(L293&gt;=80,5,0))))</f>
        <v/>
      </c>
      <c r="O293" s="31" t="n">
        <v>58.05</v>
      </c>
      <c r="P293" s="31" t="n">
        <v>16.71</v>
      </c>
      <c r="Q293" s="31" t="n">
        <v>926.53</v>
      </c>
      <c r="R293" s="30" t="inlineStr">
        <is>
          <t>Near 52W High Breakout</t>
        </is>
      </c>
      <c r="S293" s="30" t="inlineStr">
        <is>
          <t>Nifty Auto</t>
        </is>
      </c>
      <c r="T293" s="31" t="n">
        <v>12.86</v>
      </c>
      <c r="U293" s="31" t="n">
        <v>5.53</v>
      </c>
      <c r="V293" s="31" t="n">
        <v>-6.5</v>
      </c>
      <c r="W293" s="31" t="n">
        <v>3.04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Negative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Less than 1.5</t>
        </is>
      </c>
      <c r="BU293" s="30">
        <f>IF(BT293="Above 2",0,IF(BT293="Between 1.5 to 2",5,IF(BT293="Less than 1.5",10,0)))</f>
        <v/>
      </c>
      <c r="BV293" s="30" t="inlineStr">
        <is>
          <t>Above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Less than 0.7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IF(B294=0,"",RANK(B294,$B$2:$B$361,0))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TIINDIA</t>
        </is>
      </c>
      <c r="D294" s="32" t="inlineStr">
        <is>
          <t>Tube Investments of India Ltd</t>
        </is>
      </c>
      <c r="E294" s="30" t="inlineStr">
        <is>
          <t>industrials</t>
        </is>
      </c>
      <c r="F294" s="30" t="inlineStr">
        <is>
          <t>steel - large</t>
        </is>
      </c>
      <c r="G294" s="30" t="inlineStr">
        <is>
          <t>largecap</t>
        </is>
      </c>
      <c r="H294" s="31" t="n">
        <v>63179.53</v>
      </c>
      <c r="I294" s="31" t="n">
        <v>3267.7</v>
      </c>
      <c r="J294" s="31" t="n">
        <v>0.11</v>
      </c>
      <c r="K294" s="31" t="n">
        <v>102689</v>
      </c>
      <c r="L294" s="30" t="n">
        <v>36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65.91</v>
      </c>
      <c r="P294" s="31" t="n">
        <v>19.57</v>
      </c>
      <c r="Q294" s="31" t="n">
        <v>2590.6</v>
      </c>
      <c r="R294" s="30" t="inlineStr">
        <is>
          <t>Near 52W High Breakout</t>
        </is>
      </c>
      <c r="S294" s="30" t="inlineStr">
        <is>
          <t>Nifty Metal</t>
        </is>
      </c>
      <c r="T294" s="31" t="n">
        <v>42.38</v>
      </c>
      <c r="U294" s="31" t="n">
        <v>11.82</v>
      </c>
      <c r="V294" s="31" t="n">
        <v>-21.46</v>
      </c>
      <c r="W294" s="31" t="n">
        <v>9.390000000000001</v>
      </c>
      <c r="X294" s="30" t="inlineStr">
        <is>
          <t>Cyclical in an Upturn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Above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Less than 0.7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IF(B295=0,"",RANK(B295,$B$2:$B$361,0))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TVSSRICHAK</t>
        </is>
      </c>
      <c r="D295" s="30" t="inlineStr">
        <is>
          <t>Tvs Srichakra Limited</t>
        </is>
      </c>
      <c r="E295" s="30" t="inlineStr">
        <is>
          <t>auto</t>
        </is>
      </c>
      <c r="F295" s="30" t="inlineStr">
        <is>
          <t>tyres</t>
        </is>
      </c>
      <c r="G295" s="30" t="inlineStr">
        <is>
          <t>smallcap</t>
        </is>
      </c>
      <c r="H295" s="31" t="n">
        <v>3075.3</v>
      </c>
      <c r="I295" s="31" t="n">
        <v>4008.7</v>
      </c>
      <c r="J295" s="31" t="n">
        <v>-0.19</v>
      </c>
      <c r="K295" s="31" t="n">
        <v>3633</v>
      </c>
      <c r="L295" s="30" t="n">
        <v>38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54.53</v>
      </c>
      <c r="P295" s="31" t="n">
        <v>11.47</v>
      </c>
      <c r="Q295" s="31" t="n">
        <v>3098.91</v>
      </c>
      <c r="R295" s="30" t="inlineStr">
        <is>
          <t>Earnings / Momentum Support</t>
        </is>
      </c>
      <c r="S295" s="30" t="inlineStr">
        <is>
          <t>Nifty Auto</t>
        </is>
      </c>
      <c r="T295" s="31" t="n">
        <v>12.86</v>
      </c>
      <c r="U295" s="31" t="n">
        <v>35.6</v>
      </c>
      <c r="V295" s="31" t="n">
        <v>20.15</v>
      </c>
      <c r="W295" s="31" t="n">
        <v>9.92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Headwind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More than 20%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Above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IF(B296=0,"",RANK(B296,$B$2:$B$361,0))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2" t="inlineStr">
        <is>
          <t>VARROC</t>
        </is>
      </c>
      <c r="D296" s="32" t="inlineStr">
        <is>
          <t>Varroc Engineering Ltd</t>
        </is>
      </c>
      <c r="E296" s="30" t="inlineStr">
        <is>
          <t>auto</t>
        </is>
      </c>
      <c r="F296" s="30" t="inlineStr">
        <is>
          <t>auto ancillaries</t>
        </is>
      </c>
      <c r="G296" s="30" t="inlineStr">
        <is>
          <t>midcap</t>
        </is>
      </c>
      <c r="H296" s="31" t="n">
        <v>9518.59</v>
      </c>
      <c r="I296" s="31" t="n">
        <v>619.7</v>
      </c>
      <c r="J296" s="31" t="n">
        <v>-0.53</v>
      </c>
      <c r="K296" s="31" t="n">
        <v>127083</v>
      </c>
      <c r="L296" s="30" t="n">
        <v>27</v>
      </c>
      <c r="M296" s="30" t="inlineStr">
        <is>
          <t>Underperforming</t>
        </is>
      </c>
      <c r="N296" s="31">
        <f>IF(M296="Underperforming",-5,IF(L296&gt;=95,15,IF(L296&gt;=90,10,IF(L296&gt;=80,5,0))))</f>
        <v/>
      </c>
      <c r="O296" s="31" t="n">
        <v>62.88</v>
      </c>
      <c r="P296" s="31" t="n">
        <v>15</v>
      </c>
      <c r="Q296" s="31" t="n">
        <v>495.21</v>
      </c>
      <c r="R296" s="30" t="inlineStr">
        <is>
          <t>Earnings / Momentum Support</t>
        </is>
      </c>
      <c r="S296" s="30" t="inlineStr">
        <is>
          <t>Nifty Auto</t>
        </is>
      </c>
      <c r="T296" s="31" t="n">
        <v>12.86</v>
      </c>
      <c r="U296" s="31" t="n">
        <v>10.09</v>
      </c>
      <c r="V296" s="31" t="n">
        <v>-2.45</v>
      </c>
      <c r="W296" s="31" t="n">
        <v>8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Tailwind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Yes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Between 50% to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IF(B297=0,"",RANK(B297,$B$2:$B$361,0))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LOKESHMACH</t>
        </is>
      </c>
      <c r="D297" s="30" t="inlineStr">
        <is>
          <t>Lokesh Machines Limited</t>
        </is>
      </c>
      <c r="E297" s="30" t="inlineStr">
        <is>
          <t>industrials</t>
        </is>
      </c>
      <c r="F297" s="30" t="inlineStr">
        <is>
          <t>engineering</t>
        </is>
      </c>
      <c r="G297" s="30" t="inlineStr">
        <is>
          <t>smallcap</t>
        </is>
      </c>
      <c r="H297" s="31" t="n">
        <v>586.62</v>
      </c>
      <c r="I297" s="31" t="n">
        <v>273.2</v>
      </c>
      <c r="J297" s="31" t="n">
        <v>-0.82</v>
      </c>
      <c r="K297" s="31" t="n">
        <v>12949</v>
      </c>
      <c r="L297" s="30" t="n">
        <v>68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64.15000000000001</v>
      </c>
      <c r="P297" s="31" t="n">
        <v>38.39</v>
      </c>
      <c r="Q297" s="31" t="n">
        <v>195.45</v>
      </c>
      <c r="R297" s="30" t="inlineStr">
        <is>
          <t>Near 52W High Breakout</t>
        </is>
      </c>
      <c r="S297" s="30" t="inlineStr">
        <is>
          <t>Nifty 50</t>
        </is>
      </c>
      <c r="T297" s="31" t="n">
        <v>-4.09</v>
      </c>
      <c r="U297" s="31" t="n">
        <v>64.28</v>
      </c>
      <c r="V297" s="31" t="n">
        <v>71.28</v>
      </c>
      <c r="W297" s="31" t="n">
        <v>19.03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Negative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Between 0.7 to 1.2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IF(B298=0,"",RANK(B298,$B$2:$B$361,0))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2" t="inlineStr">
        <is>
          <t>ELECTHERM</t>
        </is>
      </c>
      <c r="D298" s="32" t="inlineStr">
        <is>
          <t>Electrotherm (india) Limited</t>
        </is>
      </c>
      <c r="E298" s="30" t="inlineStr">
        <is>
          <t>metals &amp; mining</t>
        </is>
      </c>
      <c r="F298" s="30" t="inlineStr">
        <is>
          <t>steel - medium / small</t>
        </is>
      </c>
      <c r="G298" s="30" t="inlineStr">
        <is>
          <t>smallcap</t>
        </is>
      </c>
      <c r="H298" s="31" t="n">
        <v>1454.59</v>
      </c>
      <c r="I298" s="31" t="n">
        <v>1119.85</v>
      </c>
      <c r="J298" s="31" t="n">
        <v>-1.9</v>
      </c>
      <c r="K298" s="31" t="n">
        <v>54058</v>
      </c>
      <c r="L298" s="30" t="n">
        <v>64</v>
      </c>
      <c r="M298" s="30" t="inlineStr">
        <is>
          <t>Underperforming</t>
        </is>
      </c>
      <c r="N298" s="31">
        <f>IF(M298="Underperforming",-5,IF(L298&gt;=95,15,IF(L298&gt;=90,10,IF(L298&gt;=80,5,0))))</f>
        <v/>
      </c>
      <c r="O298" s="31" t="n">
        <v>65.03</v>
      </c>
      <c r="P298" s="31" t="n">
        <v>28.46</v>
      </c>
      <c r="Q298" s="31" t="n">
        <v>769.04</v>
      </c>
      <c r="R298" s="30" t="inlineStr">
        <is>
          <t>Earnings / Momentum Support</t>
        </is>
      </c>
      <c r="S298" s="30" t="inlineStr">
        <is>
          <t>Nifty Metal</t>
        </is>
      </c>
      <c r="T298" s="31" t="n">
        <v>42.38</v>
      </c>
      <c r="U298" s="31" t="n">
        <v>-7.12</v>
      </c>
      <c r="V298" s="31" t="n">
        <v>-34.77</v>
      </c>
      <c r="W298" s="31" t="n">
        <v>17.32</v>
      </c>
      <c r="X298" s="30" t="inlineStr">
        <is>
          <t>Cyclical in an Upturn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Cyclical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Volatile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Positive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Less than 12%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Less than 1.5</t>
        </is>
      </c>
      <c r="BU298" s="30">
        <f>IF(BT298="Above 2",0,IF(BT298="Between 1.5 to 2",5,IF(BT298="Less than 1.5",10,0)))</f>
        <v/>
      </c>
      <c r="BV298" s="30" t="inlineStr">
        <is>
          <t>Above 70%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Less than 0.7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IF(B299=0,"",RANK(B299,$B$2:$B$361,0))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MSTCLTD</t>
        </is>
      </c>
      <c r="D299" s="30" t="inlineStr">
        <is>
          <t>MSTC Ltd</t>
        </is>
      </c>
      <c r="E299" s="30" t="inlineStr">
        <is>
          <t>i.t</t>
        </is>
      </c>
      <c r="F299" s="30" t="inlineStr">
        <is>
          <t>trading</t>
        </is>
      </c>
      <c r="G299" s="30" t="inlineStr">
        <is>
          <t>smallcap</t>
        </is>
      </c>
      <c r="H299" s="31" t="n">
        <v>4989.95</v>
      </c>
      <c r="I299" s="31" t="n">
        <v>687.8</v>
      </c>
      <c r="J299" s="31" t="n">
        <v>-2.96</v>
      </c>
      <c r="K299" s="31" t="n">
        <v>5182987</v>
      </c>
      <c r="L299" s="30" t="n">
        <v>76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75.11</v>
      </c>
      <c r="P299" s="31" t="n">
        <v>20.4</v>
      </c>
      <c r="Q299" s="31" t="n">
        <v>530.91</v>
      </c>
      <c r="R299" s="30" t="inlineStr">
        <is>
          <t>Volume Spike &amp; Near 52W High Breakout</t>
        </is>
      </c>
      <c r="S299" s="30" t="inlineStr">
        <is>
          <t>Nifty IT</t>
        </is>
      </c>
      <c r="T299" s="31" t="n">
        <v>-26.11</v>
      </c>
      <c r="U299" s="31" t="n">
        <v>39.04</v>
      </c>
      <c r="V299" s="31" t="n">
        <v>88.18000000000001</v>
      </c>
      <c r="W299" s="31" t="n">
        <v>22.94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Yes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20 to 40</t>
        </is>
      </c>
      <c r="AY299" s="30">
        <f>IF(AX299="Above 40",20,IF(AX299="20 to 40",10,IF(AX299="0 to 20",-5,0)))</f>
        <v/>
      </c>
      <c r="AZ299" s="30" t="inlineStr">
        <is>
          <t>Above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Positive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Negative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IF(B300=0,"",RANK(B300,$B$2:$B$361,0))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2" t="inlineStr">
        <is>
          <t>FACT</t>
        </is>
      </c>
      <c r="D300" s="32" t="inlineStr">
        <is>
          <t>Fertilizers And Chemicals Travancore Limited</t>
        </is>
      </c>
      <c r="E300" s="30" t="inlineStr">
        <is>
          <t>chemicals</t>
        </is>
      </c>
      <c r="F300" s="30" t="inlineStr">
        <is>
          <t>fertilizers</t>
        </is>
      </c>
      <c r="G300" s="30" t="inlineStr">
        <is>
          <t>largecap</t>
        </is>
      </c>
      <c r="H300" s="31" t="n">
        <v>64564.84</v>
      </c>
      <c r="I300" s="31" t="n">
        <v>967.6</v>
      </c>
      <c r="J300" s="31" t="n">
        <v>-3.03</v>
      </c>
      <c r="K300" s="31" t="n">
        <v>934315</v>
      </c>
      <c r="L300" s="30" t="n">
        <v>10</v>
      </c>
      <c r="M300" s="30" t="inlineStr">
        <is>
          <t>Underperforming</t>
        </is>
      </c>
      <c r="N300" s="31">
        <f>IF(M300="Underperforming",-5,IF(L300&gt;=95,15,IF(L300&gt;=90,10,IF(L300&gt;=80,5,0))))</f>
        <v/>
      </c>
      <c r="O300" s="31" t="n">
        <v>62.69</v>
      </c>
      <c r="P300" s="31" t="n">
        <v>16.68</v>
      </c>
      <c r="Q300" s="31" t="n">
        <v>733.63</v>
      </c>
      <c r="R300" s="30" t="inlineStr">
        <is>
          <t>Volume Spike &amp; Near 52W High Breakout</t>
        </is>
      </c>
      <c r="S300" s="30" t="inlineStr">
        <is>
          <t>Nifty 50</t>
        </is>
      </c>
      <c r="T300" s="31" t="n">
        <v>-4.09</v>
      </c>
      <c r="U300" s="31" t="n">
        <v>-5.24</v>
      </c>
      <c r="V300" s="31" t="n">
        <v>-1.2</v>
      </c>
      <c r="W300" s="31" t="n">
        <v>4.09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Too Many Players with High ROCE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Tailwind</t>
        </is>
      </c>
      <c r="AE300" s="30">
        <f>IF(AD300="Tailwind",10,0)</f>
        <v/>
      </c>
      <c r="AF300" s="30" t="inlineStr">
        <is>
          <t>Structural (10 Years Consistency)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0 to 20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2</t>
        </is>
      </c>
      <c r="BC300" s="30">
        <f>IF(BB300="Stage 2",20,IF(BB300="Stage 1",0,IF(BB300="Stage 3",5,IF(BB300="Stage 4",-5,0))))</f>
        <v/>
      </c>
      <c r="BD300" s="30" t="inlineStr">
        <is>
          <t>Positive Trend</t>
        </is>
      </c>
      <c r="BE300" s="30">
        <f>IF(BD300="Positive Trend",20,IF(BD300="Negative Trend",-10,0))</f>
        <v/>
      </c>
      <c r="BF300" s="30" t="inlineStr">
        <is>
          <t>Uptrend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Close to 52 week high or retracement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Yes</t>
        </is>
      </c>
      <c r="BM300" s="30">
        <f>IF(BL300="Yes",10,0)</f>
        <v/>
      </c>
      <c r="BN300" s="30" t="inlineStr">
        <is>
          <t>Less than 12%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Less than 1.5</t>
        </is>
      </c>
      <c r="BU300" s="30">
        <f>IF(BT300="Above 2",0,IF(BT300="Between 1.5 to 2",5,IF(BT300="Less than 1.5",10,0)))</f>
        <v/>
      </c>
      <c r="BV300" s="30" t="inlineStr">
        <is>
          <t>Above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More than 1.2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IF(B301=0,"",RANK(B301,$B$2:$B$361,0))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0" t="inlineStr">
        <is>
          <t>BBOX</t>
        </is>
      </c>
      <c r="D301" s="30" t="inlineStr">
        <is>
          <t>Black Box Ltd</t>
        </is>
      </c>
      <c r="E301" s="30" t="inlineStr">
        <is>
          <t>i.t</t>
        </is>
      </c>
      <c r="F301" s="30" t="inlineStr">
        <is>
          <t>computers - software - medium / small</t>
        </is>
      </c>
      <c r="G301" s="30" t="inlineStr">
        <is>
          <t>midcap</t>
        </is>
      </c>
      <c r="H301" s="31" t="n">
        <v>18045.94</v>
      </c>
      <c r="I301" s="31" t="n">
        <v>1018.2</v>
      </c>
      <c r="J301" s="31" t="n">
        <v>0.15</v>
      </c>
      <c r="K301" s="31" t="n">
        <v>456606</v>
      </c>
      <c r="L301" s="30" t="n">
        <v>93</v>
      </c>
      <c r="M301" s="30" t="inlineStr">
        <is>
          <t>Outperforming</t>
        </is>
      </c>
      <c r="N301" s="31">
        <f>IF(M301="Underperforming",-5,IF(L301&gt;=95,15,IF(L301&gt;=90,10,IF(L301&gt;=80,5,0))))</f>
        <v/>
      </c>
      <c r="O301" s="31" t="n">
        <v>78.53</v>
      </c>
      <c r="P301" s="31" t="n">
        <v>38.51</v>
      </c>
      <c r="Q301" s="31" t="n">
        <v>839.1</v>
      </c>
      <c r="R301" s="30" t="inlineStr">
        <is>
          <t>Earnings / Momentum Support</t>
        </is>
      </c>
      <c r="S301" s="30" t="inlineStr">
        <is>
          <t>Nifty IT</t>
        </is>
      </c>
      <c r="T301" s="31" t="n">
        <v>-26.11</v>
      </c>
      <c r="U301" s="31" t="n">
        <v>113.24</v>
      </c>
      <c r="V301" s="31" t="n">
        <v>188.6</v>
      </c>
      <c r="W301" s="31" t="n">
        <v>41.89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Annuity, Lower One Time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20 to 40</t>
        </is>
      </c>
      <c r="AY301" s="30">
        <f>IF(AX301="Above 40",20,IF(AX301="20 to 40",10,IF(AX301="0 to 20",-5,0)))</f>
        <v/>
      </c>
      <c r="AZ301" s="30" t="inlineStr">
        <is>
          <t>Above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Positive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Less than 12%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Less than 50%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Between 0.7 to 1.2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IF(B302=0,"",RANK(B302,$B$2:$B$361,0))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ENGINERSIN</t>
        </is>
      </c>
      <c r="D302" s="30" t="inlineStr">
        <is>
          <t>Engineers India Limited</t>
        </is>
      </c>
      <c r="E302" s="30" t="inlineStr">
        <is>
          <t>realty</t>
        </is>
      </c>
      <c r="F302" s="30" t="inlineStr">
        <is>
          <t>engineering - turnkey services</t>
        </is>
      </c>
      <c r="G302" s="30" t="inlineStr">
        <is>
          <t>midcap</t>
        </is>
      </c>
      <c r="H302" s="31" t="n">
        <v>13054</v>
      </c>
      <c r="I302" s="31" t="n">
        <v>243.19</v>
      </c>
      <c r="J302" s="31" t="n">
        <v>4.71</v>
      </c>
      <c r="K302" s="31" t="n">
        <v>6865480</v>
      </c>
      <c r="L302" s="30" t="n">
        <v>30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59.19</v>
      </c>
      <c r="P302" s="31" t="n">
        <v>18.24</v>
      </c>
      <c r="Q302" s="31" t="n">
        <v>195.31</v>
      </c>
      <c r="R302" s="30" t="inlineStr">
        <is>
          <t>Earnings / Momentum Support</t>
        </is>
      </c>
      <c r="S302" s="30" t="inlineStr">
        <is>
          <t>Nifty Realty</t>
        </is>
      </c>
      <c r="T302" s="31" t="n">
        <v>-19.64</v>
      </c>
      <c r="U302" s="31" t="n">
        <v>12.45</v>
      </c>
      <c r="V302" s="31" t="n">
        <v>39.93</v>
      </c>
      <c r="W302" s="31" t="n">
        <v>8.390000000000001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Too Many Players with High ROCE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Structural (10 Years Consistency)</t>
        </is>
      </c>
      <c r="AG302" s="30">
        <f>IF(AF302="Structural (10 Years Consistency)",10,IF(AF302="Shallow Cyclical (2 to 3 years growth)",5,0))</f>
        <v/>
      </c>
      <c r="AH302" s="30" t="inlineStr">
        <is>
          <t>No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Stable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No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Good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0 to 20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2</t>
        </is>
      </c>
      <c r="BC302" s="30">
        <f>IF(BB302="Stage 2",20,IF(BB302="Stage 1",0,IF(BB302="Stage 3",5,IF(BB302="Stage 4",-5,0))))</f>
        <v/>
      </c>
      <c r="BD302" s="30" t="inlineStr">
        <is>
          <t>Positive Trend</t>
        </is>
      </c>
      <c r="BE302" s="30">
        <f>IF(BD302="Positive Trend",20,IF(BD302="Negative Trend",-10,0))</f>
        <v/>
      </c>
      <c r="BF302" s="30" t="inlineStr">
        <is>
          <t>Uptrend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Close to 52 week high or retracement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Less than 12%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Above 2</t>
        </is>
      </c>
      <c r="BU302" s="30">
        <f>IF(BT302="Above 2",0,IF(BT302="Between 1.5 to 2",5,IF(BT302="Less than 1.5",10,0)))</f>
        <v/>
      </c>
      <c r="BV302" s="30" t="inlineStr">
        <is>
          <t>Less than 50%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Less than 15%</t>
        </is>
      </c>
      <c r="CC302" s="30">
        <f>IF(CB302="More than 15%",-10,IF(CB302="Less than 15%",10,0))</f>
        <v/>
      </c>
      <c r="CD302" s="30" t="inlineStr">
        <is>
          <t>No</t>
        </is>
      </c>
      <c r="CE302" s="30">
        <f>IF(CD302="Yes, more than 10%",-10,IF(CD302="No",10,0))</f>
        <v/>
      </c>
    </row>
    <row r="303">
      <c r="A303" s="30">
        <f>IF(B303=0,"",RANK(B303,$B$2:$B$361,0))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0" t="inlineStr">
        <is>
          <t>PITTIENG</t>
        </is>
      </c>
      <c r="D303" s="30" t="inlineStr">
        <is>
          <t>Pitti Engineering Ltd</t>
        </is>
      </c>
      <c r="E303" s="30" t="inlineStr">
        <is>
          <t>industrials</t>
        </is>
      </c>
      <c r="F303" s="30" t="inlineStr">
        <is>
          <t>engineering</t>
        </is>
      </c>
      <c r="G303" s="30" t="inlineStr">
        <is>
          <t>smallcap</t>
        </is>
      </c>
      <c r="H303" s="31" t="n">
        <v>3658.23</v>
      </c>
      <c r="I303" s="31" t="n">
        <v>992.15</v>
      </c>
      <c r="J303" s="31" t="n">
        <v>2.12</v>
      </c>
      <c r="K303" s="31" t="n">
        <v>28192</v>
      </c>
      <c r="L303" s="30" t="n">
        <v>25</v>
      </c>
      <c r="M303" s="30" t="inlineStr">
        <is>
          <t>Outperforming</t>
        </is>
      </c>
      <c r="N303" s="31">
        <f>IF(M303="Underperforming",-5,IF(L303&gt;=95,15,IF(L303&gt;=90,10,IF(L303&gt;=80,5,0))))</f>
        <v/>
      </c>
      <c r="O303" s="31" t="n">
        <v>59.57</v>
      </c>
      <c r="P303" s="31" t="n">
        <v>11.99</v>
      </c>
      <c r="Q303" s="31" t="n">
        <v>749.08</v>
      </c>
      <c r="R303" s="30" t="inlineStr">
        <is>
          <t>Near 52W High Breakout</t>
        </is>
      </c>
      <c r="S303" s="30" t="inlineStr">
        <is>
          <t>Nifty 50</t>
        </is>
      </c>
      <c r="T303" s="31" t="n">
        <v>-4.09</v>
      </c>
      <c r="U303" s="31" t="n">
        <v>3.21</v>
      </c>
      <c r="V303" s="31" t="n">
        <v>7.61</v>
      </c>
      <c r="W303" s="31" t="n">
        <v>7.41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Too Many Players with High ROCE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No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Structural (10 Years Consistency)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Stable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Yes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2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Between 50% to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Between 0.7 to 1.2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IF(B304=0,"",RANK(B304,$B$2:$B$361,0))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STEELXIND</t>
        </is>
      </c>
      <c r="D304" s="30" t="inlineStr">
        <is>
          <t>Steel Exchange India Ltd</t>
        </is>
      </c>
      <c r="E304" s="30" t="inlineStr">
        <is>
          <t>metals &amp; mining</t>
        </is>
      </c>
      <c r="F304" s="30" t="inlineStr">
        <is>
          <t>steel - medium / small</t>
        </is>
      </c>
      <c r="G304" s="30" t="inlineStr">
        <is>
          <t>smallcap</t>
        </is>
      </c>
      <c r="H304" s="31" t="n">
        <v>1580.37</v>
      </c>
      <c r="I304" s="31" t="n">
        <v>12.57</v>
      </c>
      <c r="J304" s="31" t="n">
        <v>1.45</v>
      </c>
      <c r="K304" s="31" t="n">
        <v>3796766</v>
      </c>
      <c r="L304" s="30" t="n">
        <v>83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67.20999999999999</v>
      </c>
      <c r="P304" s="31" t="n">
        <v>23.81</v>
      </c>
      <c r="Q304" s="31" t="n">
        <v>8.869999999999999</v>
      </c>
      <c r="R304" s="30" t="inlineStr">
        <is>
          <t>Near 52W High Breakout</t>
        </is>
      </c>
      <c r="S304" s="30" t="inlineStr">
        <is>
          <t>Nifty Metal</t>
        </is>
      </c>
      <c r="T304" s="31" t="n">
        <v>42.38</v>
      </c>
      <c r="U304" s="31" t="n">
        <v>54.99</v>
      </c>
      <c r="V304" s="31" t="n">
        <v>8.859999999999999</v>
      </c>
      <c r="W304" s="31" t="n">
        <v>27.65</v>
      </c>
      <c r="X304" s="30" t="inlineStr">
        <is>
          <t>Cyclical in an Upturn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Cyclical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Volatile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Yes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20 to 40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2</t>
        </is>
      </c>
      <c r="BC304" s="30">
        <f>IF(BB304="Stage 2",20,IF(BB304="Stage 1",0,IF(BB304="Stage 3",5,IF(BB304="Stage 4",-5,0))))</f>
        <v/>
      </c>
      <c r="BD304" s="30" t="inlineStr">
        <is>
          <t>Positive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Negative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Less than 0.7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IF(B305=0,"",RANK(B305,$B$2:$B$361,0))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0" t="inlineStr">
        <is>
          <t>ADANIENSOL</t>
        </is>
      </c>
      <c r="D305" s="30" t="inlineStr">
        <is>
          <t>Adani Energy Solutions Ltd</t>
        </is>
      </c>
      <c r="E305" s="30" t="inlineStr">
        <is>
          <t>power &amp; utilities</t>
        </is>
      </c>
      <c r="F305" s="30" t="inlineStr">
        <is>
          <t>power generation and supply</t>
        </is>
      </c>
      <c r="G305" s="30" t="inlineStr">
        <is>
          <t>largecap</t>
        </is>
      </c>
      <c r="H305" s="31" t="n">
        <v>179123.25</v>
      </c>
      <c r="I305" s="31" t="n">
        <v>1491</v>
      </c>
      <c r="J305" s="31" t="n">
        <v>-0.01</v>
      </c>
      <c r="K305" s="31" t="n">
        <v>1270712</v>
      </c>
      <c r="L305" s="30" t="n">
        <v>76</v>
      </c>
      <c r="M305" s="30" t="inlineStr">
        <is>
          <t>Outperforming</t>
        </is>
      </c>
      <c r="N305" s="31">
        <f>IF(M305="Underperforming",-5,IF(L305&gt;=95,15,IF(L305&gt;=90,10,IF(L305&gt;=80,5,0))))</f>
        <v/>
      </c>
      <c r="O305" s="31" t="n">
        <v>67.84999999999999</v>
      </c>
      <c r="P305" s="31" t="n">
        <v>37.85</v>
      </c>
      <c r="Q305" s="31" t="n">
        <v>1232.2</v>
      </c>
      <c r="R305" s="30" t="inlineStr">
        <is>
          <t>Earnings / Momentum Support</t>
        </is>
      </c>
      <c r="S305" s="30" t="inlineStr">
        <is>
          <t>Nifty IT</t>
        </is>
      </c>
      <c r="T305" s="31" t="n">
        <v>-26.11</v>
      </c>
      <c r="U305" s="31" t="n">
        <v>80.05</v>
      </c>
      <c r="V305" s="31" t="n">
        <v>143.68</v>
      </c>
      <c r="W305" s="31" t="n">
        <v>23.21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No</t>
        </is>
      </c>
      <c r="AC305" s="30">
        <f>IF(AB305="No",5,0)</f>
        <v/>
      </c>
      <c r="AD305" s="30" t="inlineStr">
        <is>
          <t>Tailwind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One Time, Lower Annuity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20 to 40</t>
        </is>
      </c>
      <c r="AY305" s="30">
        <f>IF(AX305="Above 40",20,IF(AX305="20 to 40",10,IF(AX305="0 to 20",-5,0)))</f>
        <v/>
      </c>
      <c r="AZ305" s="30" t="inlineStr">
        <is>
          <t>Between 50 to 75</t>
        </is>
      </c>
      <c r="BA305" s="30">
        <f>IF(AZ305="Between 50 to 75",10,IF(AZ305="Above 75",0,0))</f>
        <v/>
      </c>
      <c r="BB305" s="30" t="inlineStr">
        <is>
          <t>Stage 2</t>
        </is>
      </c>
      <c r="BC305" s="30">
        <f>IF(BB305="Stage 2",20,IF(BB305="Stage 1",0,IF(BB305="Stage 3",5,IF(BB305="Stage 4",-5,0))))</f>
        <v/>
      </c>
      <c r="BD305" s="30" t="inlineStr">
        <is>
          <t>Positive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Less than 12%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Yes</t>
        </is>
      </c>
      <c r="BS305" s="30">
        <f>IF(BR305="NO",5,0)</f>
        <v/>
      </c>
      <c r="BT305" s="30" t="inlineStr">
        <is>
          <t>Above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More than 1.2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IF(B306=0,"",RANK(B306,$B$2:$B$361,0))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NCLIND</t>
        </is>
      </c>
      <c r="D306" s="32" t="inlineStr">
        <is>
          <t>Ncl Industries Limited</t>
        </is>
      </c>
      <c r="E306" s="30" t="inlineStr">
        <is>
          <t>building materials</t>
        </is>
      </c>
      <c r="F306" s="30" t="inlineStr">
        <is>
          <t>cement - south india</t>
        </is>
      </c>
      <c r="G306" s="30" t="inlineStr">
        <is>
          <t>smallcap</t>
        </is>
      </c>
      <c r="H306" s="31" t="n">
        <v>885.79</v>
      </c>
      <c r="I306" s="31" t="n">
        <v>195.36</v>
      </c>
      <c r="J306" s="31" t="n">
        <v>-0.24</v>
      </c>
      <c r="K306" s="31" t="n">
        <v>234853</v>
      </c>
      <c r="L306" s="30" t="n">
        <v>2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57.46</v>
      </c>
      <c r="P306" s="31" t="n">
        <v>18.52</v>
      </c>
      <c r="Q306" s="31" t="n">
        <v>154.79</v>
      </c>
      <c r="R306" s="30" t="inlineStr">
        <is>
          <t>Earnings / Momentum Support</t>
        </is>
      </c>
      <c r="S306" s="30" t="inlineStr">
        <is>
          <t>Nifty Infra</t>
        </is>
      </c>
      <c r="T306" s="31" t="n">
        <v>3.72</v>
      </c>
      <c r="U306" s="31" t="n">
        <v>-8.710000000000001</v>
      </c>
      <c r="V306" s="31" t="n">
        <v>-11.98</v>
      </c>
      <c r="W306" s="31" t="n">
        <v>1.64</v>
      </c>
      <c r="X306" s="30" t="inlineStr">
        <is>
          <t>Growing Industry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Tailwind</t>
        </is>
      </c>
      <c r="AE306" s="30">
        <f>IF(AD306="Tailwind",10,0)</f>
        <v/>
      </c>
      <c r="AF306" s="30" t="inlineStr">
        <is>
          <t>Structural (10 Years Consistency)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Stable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1</t>
        </is>
      </c>
      <c r="BC306" s="30">
        <f>IF(BB306="Stage 2",20,IF(BB306="Stage 1",0,IF(BB306="Stage 3",5,IF(BB306="Stage 4",-5,0))))</f>
        <v/>
      </c>
      <c r="BD306" s="30" t="inlineStr">
        <is>
          <t>Positive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More than 20%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Less than 1.5</t>
        </is>
      </c>
      <c r="BU306" s="30">
        <f>IF(BT306="Above 2",0,IF(BT306="Between 1.5 to 2",5,IF(BT306="Less than 1.5",10,0)))</f>
        <v/>
      </c>
      <c r="BV306" s="30" t="inlineStr">
        <is>
          <t>Between 50% to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  <row r="307">
      <c r="A307" s="30">
        <f>IF(B307=0,"",RANK(B307,$B$2:$B$361,0))</f>
        <v/>
      </c>
      <c r="B307" s="31">
        <f>SUM(N307,Y307,AA307,AC307,AE307,AG307,AI307,AK307,AM307,AO307,AQ307,AS307,AU307,AW307,AY307,BA307,BC307,BE307,BG307,BI307,BK307,BM307,BO307,BQ307,BS307,BU307,BW307,BY307,CA307,CC307,CE307)</f>
        <v/>
      </c>
      <c r="C307" s="30" t="inlineStr">
        <is>
          <t>VINCOFE</t>
        </is>
      </c>
      <c r="D307" s="30" t="inlineStr">
        <is>
          <t>Vintage Coffee &amp; Beverages Ltd</t>
        </is>
      </c>
      <c r="E307" s="30" t="inlineStr">
        <is>
          <t>consumer discretionary</t>
        </is>
      </c>
      <c r="F307" s="30" t="inlineStr">
        <is>
          <t>trading</t>
        </is>
      </c>
      <c r="G307" s="30" t="inlineStr">
        <is>
          <t>smallcap</t>
        </is>
      </c>
      <c r="H307" s="31" t="n">
        <v>2256.28</v>
      </c>
      <c r="I307" s="31" t="n">
        <v>154.19</v>
      </c>
      <c r="J307" s="31" t="n">
        <v>-0.44</v>
      </c>
      <c r="K307" s="31" t="n">
        <v>1989550</v>
      </c>
      <c r="L307" s="30" t="n">
        <v>37</v>
      </c>
      <c r="M307" s="30" t="inlineStr">
        <is>
          <t>Outperforming</t>
        </is>
      </c>
      <c r="N307" s="31">
        <f>IF(M307="Underperforming",-5,IF(L307&gt;=95,15,IF(L307&gt;=90,10,IF(L307&gt;=80,5,0))))</f>
        <v/>
      </c>
      <c r="O307" s="31" t="n">
        <v>56.99</v>
      </c>
      <c r="P307" s="31" t="n">
        <v>13.94</v>
      </c>
      <c r="Q307" s="31" t="n">
        <v>118.95</v>
      </c>
      <c r="R307" s="30" t="inlineStr">
        <is>
          <t>Earnings / Momentum Support</t>
        </is>
      </c>
      <c r="S307" s="30" t="inlineStr">
        <is>
          <t>Nifty 50</t>
        </is>
      </c>
      <c r="T307" s="31" t="n">
        <v>-4.09</v>
      </c>
      <c r="U307" s="31" t="n">
        <v>28.85</v>
      </c>
      <c r="V307" s="31" t="n">
        <v>34.34</v>
      </c>
      <c r="W307" s="31" t="n">
        <v>9.57</v>
      </c>
      <c r="X307" s="30" t="inlineStr">
        <is>
          <t>Growing Industry</t>
        </is>
      </c>
      <c r="Y307" s="30">
        <f>IF(X307="Growing Industry",10,IF(X307="Cyclical in an Upturn",5,0))</f>
        <v/>
      </c>
      <c r="Z307" s="30" t="inlineStr">
        <is>
          <t>Too Many Players with High ROCE</t>
        </is>
      </c>
      <c r="AA307" s="30">
        <f>IF(Z307="Monopoly",10,IF(Z307="Oligopoly",5,IF(Z307="Duopoly that cooperate",10,IF(Z307="Duopoly that compete",5,IF(Z307="Too many players with High ROCE",5,0)))))</f>
        <v/>
      </c>
      <c r="AB307" s="30" t="inlineStr">
        <is>
          <t>No</t>
        </is>
      </c>
      <c r="AC307" s="30">
        <f>IF(AB307="No",5,0)</f>
        <v/>
      </c>
      <c r="AD307" s="30" t="inlineStr">
        <is>
          <t>Headwind</t>
        </is>
      </c>
      <c r="AE307" s="30">
        <f>IF(AD307="Tailwind",10,0)</f>
        <v/>
      </c>
      <c r="AF307" s="30" t="inlineStr">
        <is>
          <t>Structural (10 Years Consistency)</t>
        </is>
      </c>
      <c r="AG307" s="30">
        <f>IF(AF307="Structural (10 Years Consistency)",10,IF(AF307="Shallow Cyclical (2 to 3 years growth)",5,0))</f>
        <v/>
      </c>
      <c r="AH307" s="30" t="inlineStr">
        <is>
          <t>No</t>
        </is>
      </c>
      <c r="AI307" s="30">
        <f>IF(AH307="Yes due to Product Mix change or Operating Leverage",10,IF(AH307="Yes, these are peak margins",-5,IF(AH307="No",5,0)))</f>
        <v/>
      </c>
      <c r="AJ307" s="30" t="inlineStr">
        <is>
          <t>Stable</t>
        </is>
      </c>
      <c r="AK307" s="30">
        <f>IF(AJ307="Stable",10,0)</f>
        <v/>
      </c>
      <c r="AL307" s="30" t="inlineStr">
        <is>
          <t>Yes</t>
        </is>
      </c>
      <c r="AM307" s="30">
        <f>IF(AL307="Yes",10,0)</f>
        <v/>
      </c>
      <c r="AN307" s="30" t="inlineStr">
        <is>
          <t>B2B</t>
        </is>
      </c>
      <c r="AO307" s="30">
        <f>IF(AN307="B2C",10,IF(AN307="B2B",5,0))</f>
        <v/>
      </c>
      <c r="AP307" s="30" t="inlineStr">
        <is>
          <t>No</t>
        </is>
      </c>
      <c r="AQ307" s="30">
        <f>IF(AP307="Yes",10,0)</f>
        <v/>
      </c>
      <c r="AR307" s="30" t="inlineStr">
        <is>
          <t>Higher One Time, Lower Annuity</t>
        </is>
      </c>
      <c r="AS307" s="30">
        <f>IF(AR307="Fully Annuity",10,IF(AR307="Higher Annuity, Lower One Time",5,IF(AR307="Higher One Time, Lower Annuity",3,0)))</f>
        <v/>
      </c>
      <c r="AT307" s="30" t="inlineStr">
        <is>
          <t>Good</t>
        </is>
      </c>
      <c r="AU307" s="30">
        <f>IF(AT307="Good",10,0)</f>
        <v/>
      </c>
      <c r="AV307" s="30" t="inlineStr">
        <is>
          <t>Yes for more than 2 years</t>
        </is>
      </c>
      <c r="AW307" s="30">
        <f>IF(AV307="Yes for more than 2 years",10,IF(AV307="Yes only for next 1 to 2 years",5,0))</f>
        <v/>
      </c>
      <c r="AX307" s="30" t="inlineStr">
        <is>
          <t>0 to 20</t>
        </is>
      </c>
      <c r="AY307" s="30">
        <f>IF(AX307="Above 40",20,IF(AX307="20 to 40",10,IF(AX307="0 to 20",-5,0)))</f>
        <v/>
      </c>
      <c r="AZ307" s="30" t="inlineStr">
        <is>
          <t>Between 50 to 75</t>
        </is>
      </c>
      <c r="BA307" s="30">
        <f>IF(AZ307="Between 50 to 75",10,IF(AZ307="Above 75",0,0))</f>
        <v/>
      </c>
      <c r="BB307" s="30" t="inlineStr">
        <is>
          <t>Stage 2</t>
        </is>
      </c>
      <c r="BC307" s="30">
        <f>IF(BB307="Stage 2",20,IF(BB307="Stage 1",0,IF(BB307="Stage 3",5,IF(BB307="Stage 4",-5,0))))</f>
        <v/>
      </c>
      <c r="BD307" s="30" t="inlineStr">
        <is>
          <t>Positive Trend</t>
        </is>
      </c>
      <c r="BE307" s="30">
        <f>IF(BD307="Positive Trend",20,IF(BD307="Negative Trend",-10,0))</f>
        <v/>
      </c>
      <c r="BF307" s="30" t="inlineStr">
        <is>
          <t>Uptrend</t>
        </is>
      </c>
      <c r="BG307" s="30">
        <f>IF(BF307="Uptrend",10,IF(BF307="Sideways",5,0))</f>
        <v/>
      </c>
      <c r="BH307" s="30" t="inlineStr">
        <is>
          <t>Uptrend</t>
        </is>
      </c>
      <c r="BI307" s="30">
        <f>IF(BH307="Uptrend",10,IF(BH307="Sideways",5,0))</f>
        <v/>
      </c>
      <c r="BJ307" s="30" t="inlineStr">
        <is>
          <t>Close to 52 week high or retracement</t>
        </is>
      </c>
      <c r="BK307" s="30">
        <f>IF(BJ307="Overhead supply in last 2 years in last 2 years",-5,IF(BJ307="Close to 52 week high or retracement",5,IF(BJ307="Blue sky scenario",10,IF(BJ307="Long term Downtrend",-10,0))))</f>
        <v/>
      </c>
      <c r="BL307" s="30" t="inlineStr">
        <is>
          <t>Yes</t>
        </is>
      </c>
      <c r="BM307" s="30">
        <f>IF(BL307="Yes",10,0)</f>
        <v/>
      </c>
      <c r="BN307" s="30" t="inlineStr">
        <is>
          <t>Between 12 to 20%</t>
        </is>
      </c>
      <c r="BO307" s="30">
        <f>IF(BN307="More than 20%",10,IF(BN307="Between 12 to 20%",5,IF(BN307="Less than 12%",0,0)))</f>
        <v/>
      </c>
      <c r="BP307" s="30" t="inlineStr">
        <is>
          <t>No</t>
        </is>
      </c>
      <c r="BQ307" s="30">
        <f>IF(BP307="No",10,0)</f>
        <v/>
      </c>
      <c r="BR307" s="30" t="inlineStr">
        <is>
          <t>No</t>
        </is>
      </c>
      <c r="BS307" s="30">
        <f>IF(BR307="NO",5,0)</f>
        <v/>
      </c>
      <c r="BT307" s="30" t="inlineStr">
        <is>
          <t>Between 1.5 to 2</t>
        </is>
      </c>
      <c r="BU307" s="30">
        <f>IF(BT307="Above 2",0,IF(BT307="Between 1.5 to 2",5,IF(BT307="Less than 1.5",10,0)))</f>
        <v/>
      </c>
      <c r="BV307" s="30" t="inlineStr">
        <is>
          <t>Less than 50%</t>
        </is>
      </c>
      <c r="BW307" s="30">
        <f>IF(BV307="Above 70%",10,IF(BV307="Between 50% to 70%",5,IF(BV307="Less than 50%",0,IF(BV307="Negative",-10,IF(BV307="Less than 50% and Borrowings are increasing",-5,0)))))</f>
        <v/>
      </c>
      <c r="BX307" s="30" t="inlineStr">
        <is>
          <t>Less than 0.7</t>
        </is>
      </c>
      <c r="BY307" s="30">
        <f>IF(BX307="More than 1.2",-10,IF(BX307="Between 0.7 to 1.2",0,IF(BX307="Less than 0.7",10,0)))</f>
        <v/>
      </c>
      <c r="BZ307" s="30" t="inlineStr">
        <is>
          <t>No</t>
        </is>
      </c>
      <c r="CA307" s="30">
        <f>IF(BZ307="Yes",-10,0)</f>
        <v/>
      </c>
      <c r="CB307" s="30" t="inlineStr">
        <is>
          <t>Less than 15%</t>
        </is>
      </c>
      <c r="CC307" s="30">
        <f>IF(CB307="More than 15%",-10,IF(CB307="Less than 15%",10,0))</f>
        <v/>
      </c>
      <c r="CD307" s="30" t="inlineStr">
        <is>
          <t>No</t>
        </is>
      </c>
      <c r="CE307" s="30">
        <f>IF(CD307="Yes, more than 10%",-10,IF(CD307="No",10,0))</f>
        <v/>
      </c>
    </row>
    <row r="308">
      <c r="A308" s="30">
        <f>IF(B308=0,"",RANK(B308,$B$2:$B$361,0))</f>
        <v/>
      </c>
      <c r="B308" s="31">
        <f>SUM(N308,Y308,AA308,AC308,AE308,AG308,AI308,AK308,AM308,AO308,AQ308,AS308,AU308,AW308,AY308,BA308,BC308,BE308,BG308,BI308,BK308,BM308,BO308,BQ308,BS308,BU308,BW308,BY308,CA308,CC308,CE308)</f>
        <v/>
      </c>
      <c r="C308" s="32" t="inlineStr">
        <is>
          <t>MANALIPETC</t>
        </is>
      </c>
      <c r="D308" s="32" t="inlineStr">
        <is>
          <t>Manali Petrochemicals Limited</t>
        </is>
      </c>
      <c r="E308" s="30" t="inlineStr">
        <is>
          <t>energy</t>
        </is>
      </c>
      <c r="F308" s="30" t="inlineStr">
        <is>
          <t>petrochemicals</t>
        </is>
      </c>
      <c r="G308" s="30" t="inlineStr">
        <is>
          <t>smallcap</t>
        </is>
      </c>
      <c r="H308" s="31" t="n">
        <v>1164.09</v>
      </c>
      <c r="I308" s="31" t="n">
        <v>66.59</v>
      </c>
      <c r="J308" s="31" t="n">
        <v>-1.61</v>
      </c>
      <c r="K308" s="31" t="n">
        <v>457182</v>
      </c>
      <c r="L308" s="30" t="n">
        <v>47</v>
      </c>
      <c r="M308" s="30" t="inlineStr">
        <is>
          <t>Underperforming</t>
        </is>
      </c>
      <c r="N308" s="31">
        <f>IF(M308="Underperforming",-5,IF(L308&gt;=95,15,IF(L308&gt;=90,10,IF(L308&gt;=80,5,0))))</f>
        <v/>
      </c>
      <c r="O308" s="31" t="n">
        <v>61.14</v>
      </c>
      <c r="P308" s="31" t="n">
        <v>22.12</v>
      </c>
      <c r="Q308" s="31" t="n">
        <v>47.94</v>
      </c>
      <c r="R308" s="30" t="inlineStr">
        <is>
          <t>Earnings / Momentum Support</t>
        </is>
      </c>
      <c r="S308" s="30" t="inlineStr">
        <is>
          <t>Nifty Energy</t>
        </is>
      </c>
      <c r="T308" s="31" t="n">
        <v>13.03</v>
      </c>
      <c r="U308" s="31" t="n">
        <v>1.31</v>
      </c>
      <c r="V308" s="31" t="n">
        <v>-10.37</v>
      </c>
      <c r="W308" s="31" t="n">
        <v>12.1</v>
      </c>
      <c r="X308" s="30" t="inlineStr">
        <is>
          <t>Cyclical in an Upturn</t>
        </is>
      </c>
      <c r="Y308" s="30">
        <f>IF(X308="Growing Industry",10,IF(X308="Cyclical in an Upturn",5,0))</f>
        <v/>
      </c>
      <c r="Z308" s="30" t="inlineStr">
        <is>
          <t>Oligopoly</t>
        </is>
      </c>
      <c r="AA308" s="30">
        <f>IF(Z308="Monopoly",10,IF(Z308="Oligopoly",5,IF(Z308="Duopoly that cooperate",10,IF(Z308="Duopoly that compete",5,IF(Z308="Too many players with High ROCE",5,0)))))</f>
        <v/>
      </c>
      <c r="AB308" s="30" t="inlineStr">
        <is>
          <t>Yes</t>
        </is>
      </c>
      <c r="AC308" s="30">
        <f>IF(AB308="No",5,0)</f>
        <v/>
      </c>
      <c r="AD308" s="30" t="inlineStr">
        <is>
          <t>Tailwind</t>
        </is>
      </c>
      <c r="AE308" s="30">
        <f>IF(AD308="Tailwind",10,0)</f>
        <v/>
      </c>
      <c r="AF308" s="30" t="inlineStr">
        <is>
          <t>Cyclical</t>
        </is>
      </c>
      <c r="AG308" s="30">
        <f>IF(AF308="Structural (10 Years Consistency)",10,IF(AF308="Shallow Cyclical (2 to 3 years growth)",5,0))</f>
        <v/>
      </c>
      <c r="AH308" s="30" t="inlineStr">
        <is>
          <t>No</t>
        </is>
      </c>
      <c r="AI308" s="30">
        <f>IF(AH308="Yes due to Product Mix change or Operating Leverage",10,IF(AH308="Yes, these are peak margins",-5,IF(AH308="No",5,0)))</f>
        <v/>
      </c>
      <c r="AJ308" s="30" t="inlineStr">
        <is>
          <t>Volatile</t>
        </is>
      </c>
      <c r="AK308" s="30">
        <f>IF(AJ308="Stable",10,0)</f>
        <v/>
      </c>
      <c r="AL308" s="30" t="inlineStr">
        <is>
          <t>Yes</t>
        </is>
      </c>
      <c r="AM308" s="30">
        <f>IF(AL308="Yes",10,0)</f>
        <v/>
      </c>
      <c r="AN308" s="30" t="inlineStr">
        <is>
          <t>B2B</t>
        </is>
      </c>
      <c r="AO308" s="30">
        <f>IF(AN308="B2C",10,IF(AN308="B2B",5,0))</f>
        <v/>
      </c>
      <c r="AP308" s="30" t="inlineStr">
        <is>
          <t>No</t>
        </is>
      </c>
      <c r="AQ308" s="30">
        <f>IF(AP308="Yes",10,0)</f>
        <v/>
      </c>
      <c r="AR308" s="30" t="inlineStr">
        <is>
          <t>Higher One Time, Lower Annuity</t>
        </is>
      </c>
      <c r="AS308" s="30">
        <f>IF(AR308="Fully Annuity",10,IF(AR308="Higher Annuity, Lower One Time",5,IF(AR308="Higher One Time, Lower Annuity",3,0)))</f>
        <v/>
      </c>
      <c r="AT308" s="30" t="inlineStr">
        <is>
          <t>Good</t>
        </is>
      </c>
      <c r="AU308" s="30">
        <f>IF(AT308="Good",10,0)</f>
        <v/>
      </c>
      <c r="AV308" s="30" t="inlineStr">
        <is>
          <t>Yes for more than 2 years</t>
        </is>
      </c>
      <c r="AW308" s="30">
        <f>IF(AV308="Yes for more than 2 years",10,IF(AV308="Yes only for next 1 to 2 years",5,0))</f>
        <v/>
      </c>
      <c r="AX308" s="30" t="inlineStr">
        <is>
          <t>20 to 40</t>
        </is>
      </c>
      <c r="AY308" s="30">
        <f>IF(AX308="Above 40",20,IF(AX308="20 to 40",10,IF(AX308="0 to 20",-5,0)))</f>
        <v/>
      </c>
      <c r="AZ308" s="30" t="inlineStr">
        <is>
          <t>Between 50 to 75</t>
        </is>
      </c>
      <c r="BA308" s="30">
        <f>IF(AZ308="Between 50 to 75",10,IF(AZ308="Above 75",0,0))</f>
        <v/>
      </c>
      <c r="BB308" s="30" t="inlineStr">
        <is>
          <t>Stage 2</t>
        </is>
      </c>
      <c r="BC308" s="30">
        <f>IF(BB308="Stage 2",20,IF(BB308="Stage 1",0,IF(BB308="Stage 3",5,IF(BB308="Stage 4",-5,0))))</f>
        <v/>
      </c>
      <c r="BD308" s="30" t="inlineStr">
        <is>
          <t>Positive Trend</t>
        </is>
      </c>
      <c r="BE308" s="30">
        <f>IF(BD308="Positive Trend",20,IF(BD308="Negative Trend",-10,0))</f>
        <v/>
      </c>
      <c r="BF308" s="30" t="inlineStr">
        <is>
          <t>Uptrend</t>
        </is>
      </c>
      <c r="BG308" s="30">
        <f>IF(BF308="Uptrend",10,IF(BF308="Sideways",5,0))</f>
        <v/>
      </c>
      <c r="BH308" s="30" t="inlineStr">
        <is>
          <t>Uptrend</t>
        </is>
      </c>
      <c r="BI308" s="30">
        <f>IF(BH308="Uptrend",10,IF(BH308="Sideways",5,0))</f>
        <v/>
      </c>
      <c r="BJ308" s="30" t="inlineStr">
        <is>
          <t>Close to 52 week high or retracement</t>
        </is>
      </c>
      <c r="BK308" s="30">
        <f>IF(BJ308="Overhead supply in last 2 years in last 2 years",-5,IF(BJ308="Close to 52 week high or retracement",5,IF(BJ308="Blue sky scenario",10,IF(BJ308="Long term Downtrend",-10,0))))</f>
        <v/>
      </c>
      <c r="BL308" s="30" t="inlineStr">
        <is>
          <t>Yes</t>
        </is>
      </c>
      <c r="BM308" s="30">
        <f>IF(BL308="Yes",10,0)</f>
        <v/>
      </c>
      <c r="BN308" s="30" t="inlineStr">
        <is>
          <t>More than 20%</t>
        </is>
      </c>
      <c r="BO308" s="30">
        <f>IF(BN308="More than 20%",10,IF(BN308="Between 12 to 20%",5,IF(BN308="Less than 12%",0,0)))</f>
        <v/>
      </c>
      <c r="BP308" s="30" t="inlineStr">
        <is>
          <t>No</t>
        </is>
      </c>
      <c r="BQ308" s="30">
        <f>IF(BP308="No",10,0)</f>
        <v/>
      </c>
      <c r="BR308" s="30" t="inlineStr">
        <is>
          <t>No</t>
        </is>
      </c>
      <c r="BS308" s="30">
        <f>IF(BR308="NO",5,0)</f>
        <v/>
      </c>
      <c r="BT308" s="30" t="inlineStr">
        <is>
          <t>Above 2</t>
        </is>
      </c>
      <c r="BU308" s="30">
        <f>IF(BT308="Above 2",0,IF(BT308="Between 1.5 to 2",5,IF(BT308="Less than 1.5",10,0)))</f>
        <v/>
      </c>
      <c r="BV308" s="30" t="inlineStr">
        <is>
          <t>Above 70%</t>
        </is>
      </c>
      <c r="BW308" s="30">
        <f>IF(BV308="Above 70%",10,IF(BV308="Between 50% to 70%",5,IF(BV308="Less than 50%",0,IF(BV308="Negative",-10,IF(BV308="Less than 50% and Borrowings are increasing",-5,0)))))</f>
        <v/>
      </c>
      <c r="BX308" s="30" t="inlineStr">
        <is>
          <t>Less than 0.7</t>
        </is>
      </c>
      <c r="BY308" s="30">
        <f>IF(BX308="More than 1.2",-10,IF(BX308="Between 0.7 to 1.2",0,IF(BX308="Less than 0.7",10,0)))</f>
        <v/>
      </c>
      <c r="BZ308" s="30" t="inlineStr">
        <is>
          <t>No</t>
        </is>
      </c>
      <c r="CA308" s="30">
        <f>IF(BZ308="Yes",-10,0)</f>
        <v/>
      </c>
      <c r="CB308" s="30" t="inlineStr">
        <is>
          <t>Less than 15%</t>
        </is>
      </c>
      <c r="CC308" s="30">
        <f>IF(CB308="More than 15%",-10,IF(CB308="Less than 15%",10,0))</f>
        <v/>
      </c>
      <c r="CD308" s="30" t="inlineStr">
        <is>
          <t>No</t>
        </is>
      </c>
      <c r="CE308" s="30">
        <f>IF(CD308="Yes, more than 10%",-10,IF(CD308="No",10,0))</f>
        <v/>
      </c>
    </row>
    <row r="309">
      <c r="A309" s="30">
        <f>IF(B309=0,"",RANK(B309,$B$2:$B$361,0))</f>
        <v/>
      </c>
      <c r="B309" s="31">
        <f>SUM(N309,Y309,AA309,AC309,AE309,AG309,AI309,AK309,AM309,AO309,AQ309,AS309,AU309,AW309,AY309,BA309,BC309,BE309,BG309,BI309,BK309,BM309,BO309,BQ309,BS309,BU309,BW309,BY309,CA309,CC309,CE309)</f>
        <v/>
      </c>
      <c r="C309" s="32" t="inlineStr">
        <is>
          <t>PANAMAPET</t>
        </is>
      </c>
      <c r="D309" s="32" t="inlineStr">
        <is>
          <t>Panama Petrochem Limited</t>
        </is>
      </c>
      <c r="E309" s="30" t="inlineStr">
        <is>
          <t>energy</t>
        </is>
      </c>
      <c r="F309" s="30" t="inlineStr">
        <is>
          <t>petrochemicals</t>
        </is>
      </c>
      <c r="G309" s="30" t="inlineStr">
        <is>
          <t>smallcap</t>
        </is>
      </c>
      <c r="H309" s="31" t="n">
        <v>2326.58</v>
      </c>
      <c r="I309" s="31" t="n">
        <v>374.1</v>
      </c>
      <c r="J309" s="31" t="n">
        <v>-2.73</v>
      </c>
      <c r="K309" s="31" t="n">
        <v>101861</v>
      </c>
      <c r="L309" s="30" t="n">
        <v>43</v>
      </c>
      <c r="M309" s="30" t="inlineStr">
        <is>
          <t>Underperforming</t>
        </is>
      </c>
      <c r="N309" s="31">
        <f>IF(M309="Underperforming",-5,IF(L309&gt;=95,15,IF(L309&gt;=90,10,IF(L309&gt;=80,5,0))))</f>
        <v/>
      </c>
      <c r="O309" s="31" t="n">
        <v>69.26000000000001</v>
      </c>
      <c r="P309" s="31" t="n">
        <v>22.79</v>
      </c>
      <c r="Q309" s="31" t="n">
        <v>281.63</v>
      </c>
      <c r="R309" s="30" t="inlineStr">
        <is>
          <t>Near 52W High Breakout</t>
        </is>
      </c>
      <c r="S309" s="30" t="inlineStr">
        <is>
          <t>Nifty Energy</t>
        </is>
      </c>
      <c r="T309" s="31" t="n">
        <v>13.03</v>
      </c>
      <c r="U309" s="31" t="n">
        <v>4.26</v>
      </c>
      <c r="V309" s="31" t="n">
        <v>-7.76</v>
      </c>
      <c r="W309" s="31" t="n">
        <v>11.16</v>
      </c>
      <c r="X309" s="30" t="inlineStr">
        <is>
          <t>Cyclical in an Upturn</t>
        </is>
      </c>
      <c r="Y309" s="30">
        <f>IF(X309="Growing Industry",10,IF(X309="Cyclical in an Upturn",5,0))</f>
        <v/>
      </c>
      <c r="Z309" s="30" t="inlineStr">
        <is>
          <t>Oligopoly</t>
        </is>
      </c>
      <c r="AA309" s="30">
        <f>IF(Z309="Monopoly",10,IF(Z309="Oligopoly",5,IF(Z309="Duopoly that cooperate",10,IF(Z309="Duopoly that compete",5,IF(Z309="Too many players with High ROCE",5,0)))))</f>
        <v/>
      </c>
      <c r="AB309" s="30" t="inlineStr">
        <is>
          <t>Yes</t>
        </is>
      </c>
      <c r="AC309" s="30">
        <f>IF(AB309="No",5,0)</f>
        <v/>
      </c>
      <c r="AD309" s="30" t="inlineStr">
        <is>
          <t>Tailwind</t>
        </is>
      </c>
      <c r="AE309" s="30">
        <f>IF(AD309="Tailwind",10,0)</f>
        <v/>
      </c>
      <c r="AF309" s="30" t="inlineStr">
        <is>
          <t>Cyclical</t>
        </is>
      </c>
      <c r="AG309" s="30">
        <f>IF(AF309="Structural (10 Years Consistency)",10,IF(AF309="Shallow Cyclical (2 to 3 years growth)",5,0))</f>
        <v/>
      </c>
      <c r="AH309" s="30" t="inlineStr">
        <is>
          <t>No</t>
        </is>
      </c>
      <c r="AI309" s="30">
        <f>IF(AH309="Yes due to Product Mix change or Operating Leverage",10,IF(AH309="Yes, these are peak margins",-5,IF(AH309="No",5,0)))</f>
        <v/>
      </c>
      <c r="AJ309" s="30" t="inlineStr">
        <is>
          <t>Volatile</t>
        </is>
      </c>
      <c r="AK309" s="30">
        <f>IF(AJ309="Stable",10,0)</f>
        <v/>
      </c>
      <c r="AL309" s="30" t="inlineStr">
        <is>
          <t>Yes</t>
        </is>
      </c>
      <c r="AM309" s="30">
        <f>IF(AL309="Yes",10,0)</f>
        <v/>
      </c>
      <c r="AN309" s="30" t="inlineStr">
        <is>
          <t>B2B</t>
        </is>
      </c>
      <c r="AO309" s="30">
        <f>IF(AN309="B2C",10,IF(AN309="B2B",5,0))</f>
        <v/>
      </c>
      <c r="AP309" s="30" t="inlineStr">
        <is>
          <t>Yes</t>
        </is>
      </c>
      <c r="AQ309" s="30">
        <f>IF(AP309="Yes",10,0)</f>
        <v/>
      </c>
      <c r="AR309" s="30" t="inlineStr">
        <is>
          <t>Higher One Time, Lower Annuity</t>
        </is>
      </c>
      <c r="AS309" s="30">
        <f>IF(AR309="Fully Annuity",10,IF(AR309="Higher Annuity, Lower One Time",5,IF(AR309="Higher One Time, Lower Annuity",3,0)))</f>
        <v/>
      </c>
      <c r="AT309" s="30" t="inlineStr">
        <is>
          <t>Good</t>
        </is>
      </c>
      <c r="AU309" s="30">
        <f>IF(AT309="Good",10,0)</f>
        <v/>
      </c>
      <c r="AV309" s="30" t="inlineStr">
        <is>
          <t>Yes for more than 2 years</t>
        </is>
      </c>
      <c r="AW309" s="30">
        <f>IF(AV309="Yes for more than 2 years",10,IF(AV309="Yes only for next 1 to 2 years",5,0))</f>
        <v/>
      </c>
      <c r="AX309" s="30" t="inlineStr">
        <is>
          <t>20 to 40</t>
        </is>
      </c>
      <c r="AY309" s="30">
        <f>IF(AX309="Above 40",20,IF(AX309="20 to 40",10,IF(AX309="0 to 20",-5,0)))</f>
        <v/>
      </c>
      <c r="AZ309" s="30" t="inlineStr">
        <is>
          <t>Between 50 to 75</t>
        </is>
      </c>
      <c r="BA309" s="30">
        <f>IF(AZ309="Between 50 to 75",10,IF(AZ309="Above 75",0,0))</f>
        <v/>
      </c>
      <c r="BB309" s="30" t="inlineStr">
        <is>
          <t>Stage 2</t>
        </is>
      </c>
      <c r="BC309" s="30">
        <f>IF(BB309="Stage 2",20,IF(BB309="Stage 1",0,IF(BB309="Stage 3",5,IF(BB309="Stage 4",-5,0))))</f>
        <v/>
      </c>
      <c r="BD309" s="30" t="inlineStr">
        <is>
          <t>Positive Trend</t>
        </is>
      </c>
      <c r="BE309" s="30">
        <f>IF(BD309="Positive Trend",20,IF(BD309="Negative Trend",-10,0))</f>
        <v/>
      </c>
      <c r="BF309" s="30" t="inlineStr">
        <is>
          <t>Uptrend</t>
        </is>
      </c>
      <c r="BG309" s="30">
        <f>IF(BF309="Uptrend",10,IF(BF309="Sideways",5,0))</f>
        <v/>
      </c>
      <c r="BH309" s="30" t="inlineStr">
        <is>
          <t>Uptrend</t>
        </is>
      </c>
      <c r="BI309" s="30">
        <f>IF(BH309="Uptrend",10,IF(BH309="Sideways",5,0))</f>
        <v/>
      </c>
      <c r="BJ309" s="30" t="inlineStr">
        <is>
          <t>Close to 52 week high or retracement</t>
        </is>
      </c>
      <c r="BK309" s="30">
        <f>IF(BJ309="Overhead supply in last 2 years in last 2 years",-5,IF(BJ309="Close to 52 week high or retracement",5,IF(BJ309="Blue sky scenario",10,IF(BJ309="Long term Downtrend",-10,0))))</f>
        <v/>
      </c>
      <c r="BL309" s="30" t="inlineStr">
        <is>
          <t>Yes</t>
        </is>
      </c>
      <c r="BM309" s="30">
        <f>IF(BL309="Yes",10,0)</f>
        <v/>
      </c>
      <c r="BN309" s="30" t="inlineStr">
        <is>
          <t>More than 20%</t>
        </is>
      </c>
      <c r="BO309" s="30">
        <f>IF(BN309="More than 20%",10,IF(BN309="Between 12 to 20%",5,IF(BN309="Less than 12%",0,0)))</f>
        <v/>
      </c>
      <c r="BP309" s="30" t="inlineStr">
        <is>
          <t>No</t>
        </is>
      </c>
      <c r="BQ309" s="30">
        <f>IF(BP309="No",10,0)</f>
        <v/>
      </c>
      <c r="BR309" s="30" t="inlineStr">
        <is>
          <t>No</t>
        </is>
      </c>
      <c r="BS309" s="30">
        <f>IF(BR309="NO",5,0)</f>
        <v/>
      </c>
      <c r="BT309" s="30" t="inlineStr">
        <is>
          <t>Less than 1.5</t>
        </is>
      </c>
      <c r="BU309" s="30">
        <f>IF(BT309="Above 2",0,IF(BT309="Between 1.5 to 2",5,IF(BT309="Less than 1.5",10,0)))</f>
        <v/>
      </c>
      <c r="BV309" s="30" t="inlineStr">
        <is>
          <t>Negative</t>
        </is>
      </c>
      <c r="BW309" s="30">
        <f>IF(BV309="Above 70%",10,IF(BV309="Between 50% to 70%",5,IF(BV309="Less than 50%",0,IF(BV309="Negative",-10,IF(BV309="Less than 50% and Borrowings are increasing",-5,0)))))</f>
        <v/>
      </c>
      <c r="BX309" s="30" t="inlineStr">
        <is>
          <t>Less than 0.7</t>
        </is>
      </c>
      <c r="BY309" s="30">
        <f>IF(BX309="More than 1.2",-10,IF(BX309="Between 0.7 to 1.2",0,IF(BX309="Less than 0.7",10,0)))</f>
        <v/>
      </c>
      <c r="BZ309" s="30" t="inlineStr">
        <is>
          <t>No</t>
        </is>
      </c>
      <c r="CA309" s="30">
        <f>IF(BZ309="Yes",-10,0)</f>
        <v/>
      </c>
      <c r="CB309" s="30" t="inlineStr">
        <is>
          <t>Less than 15%</t>
        </is>
      </c>
      <c r="CC309" s="30">
        <f>IF(CB309="More than 15%",-10,IF(CB309="Less than 15%",10,0))</f>
        <v/>
      </c>
      <c r="CD309" s="30" t="inlineStr">
        <is>
          <t>No</t>
        </is>
      </c>
      <c r="CE309" s="30">
        <f>IF(CD309="Yes, more than 10%",-10,IF(CD309="No",10,0))</f>
        <v/>
      </c>
    </row>
    <row r="310">
      <c r="A310" s="30">
        <f>IF(B310=0,"",RANK(B310,$B$2:$B$361,0))</f>
        <v/>
      </c>
      <c r="B310" s="31">
        <f>SUM(N310,Y310,AA310,AC310,AE310,AG310,AI310,AK310,AM310,AO310,AQ310,AS310,AU310,AW310,AY310,BA310,BC310,BE310,BG310,BI310,BK310,BM310,BO310,BQ310,BS310,BU310,BW310,BY310,CA310,CC310,CE310)</f>
        <v/>
      </c>
      <c r="C310" s="30" t="inlineStr">
        <is>
          <t>NEOGEN</t>
        </is>
      </c>
      <c r="D310" s="30" t="inlineStr">
        <is>
          <t>Neogen Chemicals Ltd</t>
        </is>
      </c>
      <c r="E310" s="30" t="inlineStr">
        <is>
          <t>chemicals</t>
        </is>
      </c>
      <c r="F310" s="30" t="inlineStr">
        <is>
          <t>chemicals</t>
        </is>
      </c>
      <c r="G310" s="30" t="inlineStr">
        <is>
          <t>midcap</t>
        </is>
      </c>
      <c r="H310" s="31" t="n">
        <v>5700.86</v>
      </c>
      <c r="I310" s="31" t="n">
        <v>1933.7</v>
      </c>
      <c r="J310" s="31" t="n">
        <v>-7.12</v>
      </c>
      <c r="K310" s="31" t="n">
        <v>300914</v>
      </c>
      <c r="L310" s="30" t="n">
        <v>61</v>
      </c>
      <c r="M310" s="30" t="inlineStr">
        <is>
          <t>Outperforming</t>
        </is>
      </c>
      <c r="N310" s="31">
        <f>IF(M310="Underperforming",-5,IF(L310&gt;=95,15,IF(L310&gt;=90,10,IF(L310&gt;=80,5,0))))</f>
        <v/>
      </c>
      <c r="O310" s="31" t="n">
        <v>65.78</v>
      </c>
      <c r="P310" s="31" t="n">
        <v>34.62</v>
      </c>
      <c r="Q310" s="31" t="n">
        <v>1511.55</v>
      </c>
      <c r="R310" s="30" t="inlineStr">
        <is>
          <t>Near 52W High Breakout</t>
        </is>
      </c>
      <c r="S310" s="30" t="inlineStr">
        <is>
          <t>Nifty 50</t>
        </is>
      </c>
      <c r="T310" s="31" t="n">
        <v>-4.09</v>
      </c>
      <c r="U310" s="31" t="n">
        <v>21.28</v>
      </c>
      <c r="V310" s="31" t="n">
        <v>26.45</v>
      </c>
      <c r="W310" s="31" t="n">
        <v>16.13</v>
      </c>
      <c r="X310" s="30" t="inlineStr">
        <is>
          <t>Growing Industry</t>
        </is>
      </c>
      <c r="Y310" s="30">
        <f>IF(X310="Growing Industry",10,IF(X310="Cyclical in an Upturn",5,0))</f>
        <v/>
      </c>
      <c r="Z310" s="30" t="inlineStr">
        <is>
          <t>Too Many Players with High ROCE</t>
        </is>
      </c>
      <c r="AA310" s="30">
        <f>IF(Z310="Monopoly",10,IF(Z310="Oligopoly",5,IF(Z310="Duopoly that cooperate",10,IF(Z310="Duopoly that compete",5,IF(Z310="Too many players with High ROCE",5,0)))))</f>
        <v/>
      </c>
      <c r="AB310" s="30" t="inlineStr">
        <is>
          <t>No</t>
        </is>
      </c>
      <c r="AC310" s="30">
        <f>IF(AB310="No",5,0)</f>
        <v/>
      </c>
      <c r="AD310" s="30" t="inlineStr">
        <is>
          <t>Tailwind</t>
        </is>
      </c>
      <c r="AE310" s="30">
        <f>IF(AD310="Tailwind",10,0)</f>
        <v/>
      </c>
      <c r="AF310" s="30" t="inlineStr">
        <is>
          <t>Structural (10 Years Consistency)</t>
        </is>
      </c>
      <c r="AG310" s="30">
        <f>IF(AF310="Structural (10 Years Consistency)",10,IF(AF310="Shallow Cyclical (2 to 3 years growth)",5,0))</f>
        <v/>
      </c>
      <c r="AH310" s="30" t="inlineStr">
        <is>
          <t>No</t>
        </is>
      </c>
      <c r="AI310" s="30">
        <f>IF(AH310="Yes due to Product Mix change or Operating Leverage",10,IF(AH310="Yes, these are peak margins",-5,IF(AH310="No",5,0)))</f>
        <v/>
      </c>
      <c r="AJ310" s="30" t="inlineStr">
        <is>
          <t>Stable</t>
        </is>
      </c>
      <c r="AK310" s="30">
        <f>IF(AJ310="Stable",10,0)</f>
        <v/>
      </c>
      <c r="AL310" s="30" t="inlineStr">
        <is>
          <t>Yes</t>
        </is>
      </c>
      <c r="AM310" s="30">
        <f>IF(AL310="Yes",10,0)</f>
        <v/>
      </c>
      <c r="AN310" s="30" t="inlineStr">
        <is>
          <t>B2B</t>
        </is>
      </c>
      <c r="AO310" s="30">
        <f>IF(AN310="B2C",10,IF(AN310="B2B",5,0))</f>
        <v/>
      </c>
      <c r="AP310" s="30" t="inlineStr">
        <is>
          <t>Yes</t>
        </is>
      </c>
      <c r="AQ310" s="30">
        <f>IF(AP310="Yes",10,0)</f>
        <v/>
      </c>
      <c r="AR310" s="30" t="inlineStr">
        <is>
          <t>Higher One Time, Lower Annuity</t>
        </is>
      </c>
      <c r="AS310" s="30">
        <f>IF(AR310="Fully Annuity",10,IF(AR310="Higher Annuity, Lower One Time",5,IF(AR310="Higher One Time, Lower Annuity",3,0)))</f>
        <v/>
      </c>
      <c r="AT310" s="30" t="inlineStr">
        <is>
          <t>Good</t>
        </is>
      </c>
      <c r="AU310" s="30">
        <f>IF(AT310="Good",10,0)</f>
        <v/>
      </c>
      <c r="AV310" s="30" t="inlineStr">
        <is>
          <t>Yes for more than 2 years</t>
        </is>
      </c>
      <c r="AW310" s="30">
        <f>IF(AV310="Yes for more than 2 years",10,IF(AV310="Yes only for next 1 to 2 years",5,0))</f>
        <v/>
      </c>
      <c r="AX310" s="30" t="inlineStr">
        <is>
          <t>20 to 40</t>
        </is>
      </c>
      <c r="AY310" s="30">
        <f>IF(AX310="Above 40",20,IF(AX310="20 to 40",10,IF(AX310="0 to 20",-5,0)))</f>
        <v/>
      </c>
      <c r="AZ310" s="30" t="inlineStr">
        <is>
          <t>Between 50 to 75</t>
        </is>
      </c>
      <c r="BA310" s="30">
        <f>IF(AZ310="Between 50 to 75",10,IF(AZ310="Above 75",0,0))</f>
        <v/>
      </c>
      <c r="BB310" s="30" t="inlineStr">
        <is>
          <t>Stage 2</t>
        </is>
      </c>
      <c r="BC310" s="30">
        <f>IF(BB310="Stage 2",20,IF(BB310="Stage 1",0,IF(BB310="Stage 3",5,IF(BB310="Stage 4",-5,0))))</f>
        <v/>
      </c>
      <c r="BD310" s="30" t="inlineStr">
        <is>
          <t>Positive Trend</t>
        </is>
      </c>
      <c r="BE310" s="30">
        <f>IF(BD310="Positive Trend",20,IF(BD310="Negative Trend",-10,0))</f>
        <v/>
      </c>
      <c r="BF310" s="30" t="inlineStr">
        <is>
          <t>Uptrend</t>
        </is>
      </c>
      <c r="BG310" s="30">
        <f>IF(BF310="Uptrend",10,IF(BF310="Sideways",5,0))</f>
        <v/>
      </c>
      <c r="BH310" s="30" t="inlineStr">
        <is>
          <t>Uptrend</t>
        </is>
      </c>
      <c r="BI310" s="30">
        <f>IF(BH310="Uptrend",10,IF(BH310="Sideways",5,0))</f>
        <v/>
      </c>
      <c r="BJ310" s="30" t="inlineStr">
        <is>
          <t>Close to 52 week high or retracement</t>
        </is>
      </c>
      <c r="BK310" s="30">
        <f>IF(BJ310="Overhead supply in last 2 years in last 2 years",-5,IF(BJ310="Close to 52 week high or retracement",5,IF(BJ310="Blue sky scenario",10,IF(BJ310="Long term Downtrend",-10,0))))</f>
        <v/>
      </c>
      <c r="BL310" s="30" t="inlineStr">
        <is>
          <t>Yes</t>
        </is>
      </c>
      <c r="BM310" s="30">
        <f>IF(BL310="Yes",10,0)</f>
        <v/>
      </c>
      <c r="BN310" s="30" t="inlineStr">
        <is>
          <t>More than 20%</t>
        </is>
      </c>
      <c r="BO310" s="30">
        <f>IF(BN310="More than 20%",10,IF(BN310="Between 12 to 20%",5,IF(BN310="Less than 12%",0,0)))</f>
        <v/>
      </c>
      <c r="BP310" s="30" t="inlineStr">
        <is>
          <t>No</t>
        </is>
      </c>
      <c r="BQ310" s="30">
        <f>IF(BP310="No",10,0)</f>
        <v/>
      </c>
      <c r="BR310" s="30" t="inlineStr">
        <is>
          <t>Yes</t>
        </is>
      </c>
      <c r="BS310" s="30">
        <f>IF(BR310="NO",5,0)</f>
        <v/>
      </c>
      <c r="BT310" s="30" t="inlineStr">
        <is>
          <t>Above 2</t>
        </is>
      </c>
      <c r="BU310" s="30">
        <f>IF(BT310="Above 2",0,IF(BT310="Between 1.5 to 2",5,IF(BT310="Less than 1.5",10,0)))</f>
        <v/>
      </c>
      <c r="BV310" s="30" t="inlineStr">
        <is>
          <t>Negative</t>
        </is>
      </c>
      <c r="BW310" s="30">
        <f>IF(BV310="Above 70%",10,IF(BV310="Between 50% to 70%",5,IF(BV310="Less than 50%",0,IF(BV310="Negative",-10,IF(BV310="Less than 50% and Borrowings are increasing",-5,0)))))</f>
        <v/>
      </c>
      <c r="BX310" s="30" t="inlineStr">
        <is>
          <t>More than 1.2</t>
        </is>
      </c>
      <c r="BY310" s="30">
        <f>IF(BX310="More than 1.2",-10,IF(BX310="Between 0.7 to 1.2",0,IF(BX310="Less than 0.7",10,0)))</f>
        <v/>
      </c>
      <c r="BZ310" s="30" t="inlineStr">
        <is>
          <t>No</t>
        </is>
      </c>
      <c r="CA310" s="30">
        <f>IF(BZ310="Yes",-10,0)</f>
        <v/>
      </c>
      <c r="CB310" s="30" t="inlineStr">
        <is>
          <t>Less than 15%</t>
        </is>
      </c>
      <c r="CC310" s="30">
        <f>IF(CB310="More than 15%",-10,IF(CB310="Less than 15%",10,0))</f>
        <v/>
      </c>
      <c r="CD310" s="30" t="inlineStr">
        <is>
          <t>No</t>
        </is>
      </c>
      <c r="CE310" s="30">
        <f>IF(CD310="Yes, more than 10%",-10,IF(CD310="No",10,0))</f>
        <v/>
      </c>
    </row>
    <row r="311">
      <c r="A311" s="30">
        <f>IF(B311=0,"",RANK(B311,$B$2:$B$361,0))</f>
        <v/>
      </c>
      <c r="B311" s="31">
        <f>SUM(N311,Y311,AA311,AC311,AE311,AG311,AI311,AK311,AM311,AO311,AQ311,AS311,AU311,AW311,AY311,BA311,BC311,BE311,BG311,BI311,BK311,BM311,BO311,BQ311,BS311,BU311,BW311,BY311,CA311,CC311,CE311)</f>
        <v/>
      </c>
      <c r="C311" s="30" t="inlineStr">
        <is>
          <t>TRIVENI</t>
        </is>
      </c>
      <c r="D311" s="30" t="inlineStr">
        <is>
          <t>Triveni Engineering &amp; Industries Limited</t>
        </is>
      </c>
      <c r="E311" s="30" t="inlineStr">
        <is>
          <t>fmcg</t>
        </is>
      </c>
      <c r="F311" s="30" t="inlineStr">
        <is>
          <t>sugar</t>
        </is>
      </c>
      <c r="G311" s="30" t="inlineStr">
        <is>
          <t>midcap</t>
        </is>
      </c>
      <c r="H311" s="31" t="n">
        <v>8728.559999999999</v>
      </c>
      <c r="I311" s="31" t="n">
        <v>405.5</v>
      </c>
      <c r="J311" s="31" t="n">
        <v>1.69</v>
      </c>
      <c r="K311" s="31" t="n">
        <v>449216</v>
      </c>
      <c r="L311" s="30" t="n">
        <v>8</v>
      </c>
      <c r="M311" s="30" t="inlineStr">
        <is>
          <t>Outperforming</t>
        </is>
      </c>
      <c r="N311" s="31">
        <f>IF(M311="Underperforming",-5,IF(L311&gt;=95,15,IF(L311&gt;=90,10,IF(L311&gt;=80,5,0))))</f>
        <v/>
      </c>
      <c r="O311" s="31" t="n">
        <v>57.36</v>
      </c>
      <c r="P311" s="31" t="n">
        <v>17.46</v>
      </c>
      <c r="Q311" s="31" t="n">
        <v>330.74</v>
      </c>
      <c r="R311" s="30" t="inlineStr">
        <is>
          <t>Near 52W High Breakout</t>
        </is>
      </c>
      <c r="S311" s="30" t="inlineStr">
        <is>
          <t>Nifty FMCG</t>
        </is>
      </c>
      <c r="T311" s="31" t="n">
        <v>-9.289999999999999</v>
      </c>
      <c r="U311" s="31" t="n">
        <v>4.47</v>
      </c>
      <c r="V311" s="31" t="n">
        <v>15.17</v>
      </c>
      <c r="W311" s="31" t="n">
        <v>3.66</v>
      </c>
      <c r="X311" s="30" t="inlineStr">
        <is>
          <t>Growing Industry</t>
        </is>
      </c>
      <c r="Y311" s="30">
        <f>IF(X311="Growing Industry",10,IF(X311="Cyclical in an Upturn",5,0))</f>
        <v/>
      </c>
      <c r="Z311" s="30" t="inlineStr">
        <is>
          <t>Too Many Players with High ROCE</t>
        </is>
      </c>
      <c r="AA311" s="30">
        <f>IF(Z311="Monopoly",10,IF(Z311="Oligopoly",5,IF(Z311="Duopoly that cooperate",10,IF(Z311="Duopoly that compete",5,IF(Z311="Too many players with High ROCE",5,0)))))</f>
        <v/>
      </c>
      <c r="AB311" s="30" t="inlineStr">
        <is>
          <t>No</t>
        </is>
      </c>
      <c r="AC311" s="30">
        <f>IF(AB311="No",5,0)</f>
        <v/>
      </c>
      <c r="AD311" s="30" t="inlineStr">
        <is>
          <t>Tailwind</t>
        </is>
      </c>
      <c r="AE311" s="30">
        <f>IF(AD311="Tailwind",10,0)</f>
        <v/>
      </c>
      <c r="AF311" s="30" t="inlineStr">
        <is>
          <t>Structural (10 Years Consistency)</t>
        </is>
      </c>
      <c r="AG311" s="30">
        <f>IF(AF311="Structural (10 Years Consistency)",10,IF(AF311="Shallow Cyclical (2 to 3 years growth)",5,0))</f>
        <v/>
      </c>
      <c r="AH311" s="30" t="inlineStr">
        <is>
          <t>No</t>
        </is>
      </c>
      <c r="AI311" s="30">
        <f>IF(AH311="Yes due to Product Mix change or Operating Leverage",10,IF(AH311="Yes, these are peak margins",-5,IF(AH311="No",5,0)))</f>
        <v/>
      </c>
      <c r="AJ311" s="30" t="inlineStr">
        <is>
          <t>Stable</t>
        </is>
      </c>
      <c r="AK311" s="30">
        <f>IF(AJ311="Stable",10,0)</f>
        <v/>
      </c>
      <c r="AL311" s="30" t="inlineStr">
        <is>
          <t>Yes</t>
        </is>
      </c>
      <c r="AM311" s="30">
        <f>IF(AL311="Yes",10,0)</f>
        <v/>
      </c>
      <c r="AN311" s="30" t="inlineStr">
        <is>
          <t>B2C</t>
        </is>
      </c>
      <c r="AO311" s="30">
        <f>IF(AN311="B2C",10,IF(AN311="B2B",5,0))</f>
        <v/>
      </c>
      <c r="AP311" s="30" t="inlineStr">
        <is>
          <t>Yes</t>
        </is>
      </c>
      <c r="AQ311" s="30">
        <f>IF(AP311="Yes",10,0)</f>
        <v/>
      </c>
      <c r="AR311" s="30" t="inlineStr">
        <is>
          <t>Higher Annuity, Lower One Time</t>
        </is>
      </c>
      <c r="AS311" s="30">
        <f>IF(AR311="Fully Annuity",10,IF(AR311="Higher Annuity, Lower One Time",5,IF(AR311="Higher One Time, Lower Annuity",3,0)))</f>
        <v/>
      </c>
      <c r="AT311" s="30" t="inlineStr">
        <is>
          <t>Good</t>
        </is>
      </c>
      <c r="AU311" s="30">
        <f>IF(AT311="Good",10,0)</f>
        <v/>
      </c>
      <c r="AV311" s="30" t="inlineStr">
        <is>
          <t>Yes for more than 2 years</t>
        </is>
      </c>
      <c r="AW311" s="30">
        <f>IF(AV311="Yes for more than 2 years",10,IF(AV311="Yes only for next 1 to 2 years",5,0))</f>
        <v/>
      </c>
      <c r="AX311" s="30" t="inlineStr">
        <is>
          <t>0 to 20</t>
        </is>
      </c>
      <c r="AY311" s="30">
        <f>IF(AX311="Above 40",20,IF(AX311="20 to 40",10,IF(AX311="0 to 20",-5,0)))</f>
        <v/>
      </c>
      <c r="AZ311" s="30" t="inlineStr">
        <is>
          <t>Between 50 to 75</t>
        </is>
      </c>
      <c r="BA311" s="30">
        <f>IF(AZ311="Between 50 to 75",10,IF(AZ311="Above 75",0,0))</f>
        <v/>
      </c>
      <c r="BB311" s="30" t="inlineStr">
        <is>
          <t>Stage 1</t>
        </is>
      </c>
      <c r="BC311" s="30">
        <f>IF(BB311="Stage 2",20,IF(BB311="Stage 1",0,IF(BB311="Stage 3",5,IF(BB311="Stage 4",-5,0))))</f>
        <v/>
      </c>
      <c r="BD311" s="30" t="inlineStr">
        <is>
          <t>Positive Trend</t>
        </is>
      </c>
      <c r="BE311" s="30">
        <f>IF(BD311="Positive Trend",20,IF(BD311="Negative Trend",-10,0))</f>
        <v/>
      </c>
      <c r="BF311" s="30" t="inlineStr">
        <is>
          <t>Uptrend</t>
        </is>
      </c>
      <c r="BG311" s="30">
        <f>IF(BF311="Uptrend",10,IF(BF311="Sideways",5,0))</f>
        <v/>
      </c>
      <c r="BH311" s="30" t="inlineStr">
        <is>
          <t>Uptrend</t>
        </is>
      </c>
      <c r="BI311" s="30">
        <f>IF(BH311="Uptrend",10,IF(BH311="Sideways",5,0))</f>
        <v/>
      </c>
      <c r="BJ311" s="30" t="inlineStr">
        <is>
          <t>Close to 52 week high or retracement</t>
        </is>
      </c>
      <c r="BK311" s="30">
        <f>IF(BJ311="Overhead supply in last 2 years in last 2 years",-5,IF(BJ311="Close to 52 week high or retracement",5,IF(BJ311="Blue sky scenario",10,IF(BJ311="Long term Downtrend",-10,0))))</f>
        <v/>
      </c>
      <c r="BL311" s="30" t="inlineStr">
        <is>
          <t>Yes</t>
        </is>
      </c>
      <c r="BM311" s="30">
        <f>IF(BL311="Yes",10,0)</f>
        <v/>
      </c>
      <c r="BN311" s="30" t="inlineStr">
        <is>
          <t>Less than 12%</t>
        </is>
      </c>
      <c r="BO311" s="30">
        <f>IF(BN311="More than 20%",10,IF(BN311="Between 12 to 20%",5,IF(BN311="Less than 12%",0,0)))</f>
        <v/>
      </c>
      <c r="BP311" s="30" t="inlineStr">
        <is>
          <t>No</t>
        </is>
      </c>
      <c r="BQ311" s="30">
        <f>IF(BP311="No",10,0)</f>
        <v/>
      </c>
      <c r="BR311" s="30" t="inlineStr">
        <is>
          <t>No</t>
        </is>
      </c>
      <c r="BS311" s="30">
        <f>IF(BR311="NO",5,0)</f>
        <v/>
      </c>
      <c r="BT311" s="30" t="inlineStr">
        <is>
          <t>Above 2</t>
        </is>
      </c>
      <c r="BU311" s="30">
        <f>IF(BT311="Above 2",0,IF(BT311="Between 1.5 to 2",5,IF(BT311="Less than 1.5",10,0)))</f>
        <v/>
      </c>
      <c r="BV311" s="30" t="inlineStr">
        <is>
          <t>Less than 50%</t>
        </is>
      </c>
      <c r="BW311" s="30">
        <f>IF(BV311="Above 70%",10,IF(BV311="Between 50% to 70%",5,IF(BV311="Less than 50%",0,IF(BV311="Negative",-10,IF(BV311="Less than 50% and Borrowings are increasing",-5,0)))))</f>
        <v/>
      </c>
      <c r="BX311" s="30" t="inlineStr">
        <is>
          <t>Less than 0.7</t>
        </is>
      </c>
      <c r="BY311" s="30">
        <f>IF(BX311="More than 1.2",-10,IF(BX311="Between 0.7 to 1.2",0,IF(BX311="Less than 0.7",10,0)))</f>
        <v/>
      </c>
      <c r="BZ311" s="30" t="inlineStr">
        <is>
          <t>No</t>
        </is>
      </c>
      <c r="CA311" s="30">
        <f>IF(BZ311="Yes",-10,0)</f>
        <v/>
      </c>
      <c r="CB311" s="30" t="inlineStr">
        <is>
          <t>Less than 15%</t>
        </is>
      </c>
      <c r="CC311" s="30">
        <f>IF(CB311="More than 15%",-10,IF(CB311="Less than 15%",10,0))</f>
        <v/>
      </c>
      <c r="CD311" s="30" t="inlineStr">
        <is>
          <t>No</t>
        </is>
      </c>
      <c r="CE311" s="30">
        <f>IF(CD311="Yes, more than 10%",-10,IF(CD311="No",10,0))</f>
        <v/>
      </c>
    </row>
    <row r="312">
      <c r="A312" s="30">
        <f>IF(B312=0,"",RANK(B312,$B$2:$B$361,0))</f>
        <v/>
      </c>
      <c r="B312" s="31">
        <f>SUM(N312,Y312,AA312,AC312,AE312,AG312,AI312,AK312,AM312,AO312,AQ312,AS312,AU312,AW312,AY312,BA312,BC312,BE312,BG312,BI312,BK312,BM312,BO312,BQ312,BS312,BU312,BW312,BY312,CA312,CC312,CE312)</f>
        <v/>
      </c>
      <c r="C312" s="32" t="inlineStr">
        <is>
          <t>RPGLIFE</t>
        </is>
      </c>
      <c r="D312" s="32" t="inlineStr">
        <is>
          <t>Rpg Life Sciences Limited</t>
        </is>
      </c>
      <c r="E312" s="30" t="inlineStr">
        <is>
          <t>healthcare</t>
        </is>
      </c>
      <c r="F312" s="30" t="inlineStr">
        <is>
          <t>pharmaceuticals - indian - bulk drugs &amp; formln</t>
        </is>
      </c>
      <c r="G312" s="30" t="inlineStr">
        <is>
          <t>smallcap</t>
        </is>
      </c>
      <c r="H312" s="31" t="n">
        <v>3785.28</v>
      </c>
      <c r="I312" s="31" t="n">
        <v>2302</v>
      </c>
      <c r="J312" s="31" t="n">
        <v>0.58</v>
      </c>
      <c r="K312" s="31" t="n">
        <v>6088</v>
      </c>
      <c r="L312" s="30" t="n">
        <v>14</v>
      </c>
      <c r="M312" s="30" t="inlineStr">
        <is>
          <t>Underperforming</t>
        </is>
      </c>
      <c r="N312" s="31">
        <f>IF(M312="Underperforming",-5,IF(L312&gt;=95,15,IF(L312&gt;=90,10,IF(L312&gt;=80,5,0))))</f>
        <v/>
      </c>
      <c r="O312" s="31" t="n">
        <v>57.39</v>
      </c>
      <c r="P312" s="31" t="n">
        <v>23.7</v>
      </c>
      <c r="Q312" s="31" t="n">
        <v>1978</v>
      </c>
      <c r="R312" s="30" t="inlineStr">
        <is>
          <t>Earnings / Momentum Support</t>
        </is>
      </c>
      <c r="S312" s="30" t="inlineStr">
        <is>
          <t>Nifty Pharma</t>
        </is>
      </c>
      <c r="T312" s="31" t="n">
        <v>11.72</v>
      </c>
      <c r="U312" s="31" t="n">
        <v>-2.38</v>
      </c>
      <c r="V312" s="31" t="n">
        <v>-12.62</v>
      </c>
      <c r="W312" s="31" t="n">
        <v>4.93</v>
      </c>
      <c r="X312" s="30" t="inlineStr">
        <is>
          <t>Growing Industry</t>
        </is>
      </c>
      <c r="Y312" s="30">
        <f>IF(X312="Growing Industry",10,IF(X312="Cyclical in an Upturn",5,0))</f>
        <v/>
      </c>
      <c r="Z312" s="30" t="inlineStr">
        <is>
          <t>Too Many Players with High ROCE</t>
        </is>
      </c>
      <c r="AA312" s="30">
        <f>IF(Z312="Monopoly",10,IF(Z312="Oligopoly",5,IF(Z312="Duopoly that cooperate",10,IF(Z312="Duopoly that compete",5,IF(Z312="Too many players with High ROCE",5,0)))))</f>
        <v/>
      </c>
      <c r="AB312" s="30" t="inlineStr">
        <is>
          <t>Yes</t>
        </is>
      </c>
      <c r="AC312" s="30">
        <f>IF(AB312="No",5,0)</f>
        <v/>
      </c>
      <c r="AD312" s="30" t="inlineStr">
        <is>
          <t>Headwind</t>
        </is>
      </c>
      <c r="AE312" s="30">
        <f>IF(AD312="Tailwind",10,0)</f>
        <v/>
      </c>
      <c r="AF312" s="30" t="inlineStr">
        <is>
          <t>Structural (10 Years Consistency)</t>
        </is>
      </c>
      <c r="AG312" s="30">
        <f>IF(AF312="Structural (10 Years Consistency)",10,IF(AF312="Shallow Cyclical (2 to 3 years growth)",5,0))</f>
        <v/>
      </c>
      <c r="AH312" s="30" t="inlineStr">
        <is>
          <t>No</t>
        </is>
      </c>
      <c r="AI312" s="30">
        <f>IF(AH312="Yes due to Product Mix change or Operating Leverage",10,IF(AH312="Yes, these are peak margins",-5,IF(AH312="No",5,0)))</f>
        <v/>
      </c>
      <c r="AJ312" s="30" t="inlineStr">
        <is>
          <t>Stable</t>
        </is>
      </c>
      <c r="AK312" s="30">
        <f>IF(AJ312="Stable",10,0)</f>
        <v/>
      </c>
      <c r="AL312" s="30" t="inlineStr">
        <is>
          <t>Yes</t>
        </is>
      </c>
      <c r="AM312" s="30">
        <f>IF(AL312="Yes",10,0)</f>
        <v/>
      </c>
      <c r="AN312" s="30" t="inlineStr">
        <is>
          <t>B2B</t>
        </is>
      </c>
      <c r="AO312" s="30">
        <f>IF(AN312="B2C",10,IF(AN312="B2B",5,0))</f>
        <v/>
      </c>
      <c r="AP312" s="30" t="inlineStr">
        <is>
          <t>No</t>
        </is>
      </c>
      <c r="AQ312" s="30">
        <f>IF(AP312="Yes",10,0)</f>
        <v/>
      </c>
      <c r="AR312" s="30" t="inlineStr">
        <is>
          <t>Higher Annuity, Lower One Time</t>
        </is>
      </c>
      <c r="AS312" s="30">
        <f>IF(AR312="Fully Annuity",10,IF(AR312="Higher Annuity, Lower One Time",5,IF(AR312="Higher One Time, Lower Annuity",3,0)))</f>
        <v/>
      </c>
      <c r="AT312" s="30" t="inlineStr">
        <is>
          <t>Good</t>
        </is>
      </c>
      <c r="AU312" s="30">
        <f>IF(AT312="Good",10,0)</f>
        <v/>
      </c>
      <c r="AV312" s="30" t="inlineStr">
        <is>
          <t>Yes for more than 2 years</t>
        </is>
      </c>
      <c r="AW312" s="30">
        <f>IF(AV312="Yes for more than 2 years",10,IF(AV312="Yes only for next 1 to 2 years",5,0))</f>
        <v/>
      </c>
      <c r="AX312" s="30" t="inlineStr">
        <is>
          <t>20 to 40</t>
        </is>
      </c>
      <c r="AY312" s="30">
        <f>IF(AX312="Above 40",20,IF(AX312="20 to 40",10,IF(AX312="0 to 20",-5,0)))</f>
        <v/>
      </c>
      <c r="AZ312" s="30" t="inlineStr">
        <is>
          <t>Between 50 to 75</t>
        </is>
      </c>
      <c r="BA312" s="30">
        <f>IF(AZ312="Between 50 to 75",10,IF(AZ312="Above 75",0,0))</f>
        <v/>
      </c>
      <c r="BB312" s="30" t="inlineStr">
        <is>
          <t>Stage 2</t>
        </is>
      </c>
      <c r="BC312" s="30">
        <f>IF(BB312="Stage 2",20,IF(BB312="Stage 1",0,IF(BB312="Stage 3",5,IF(BB312="Stage 4",-5,0))))</f>
        <v/>
      </c>
      <c r="BD312" s="30" t="inlineStr">
        <is>
          <t>Positive Trend</t>
        </is>
      </c>
      <c r="BE312" s="30">
        <f>IF(BD312="Positive Trend",20,IF(BD312="Negative Trend",-10,0))</f>
        <v/>
      </c>
      <c r="BF312" s="30" t="inlineStr">
        <is>
          <t>Uptrend</t>
        </is>
      </c>
      <c r="BG312" s="30">
        <f>IF(BF312="Uptrend",10,IF(BF312="Sideways",5,0))</f>
        <v/>
      </c>
      <c r="BH312" s="30" t="inlineStr">
        <is>
          <t>Uptrend</t>
        </is>
      </c>
      <c r="BI312" s="30">
        <f>IF(BH312="Uptrend",10,IF(BH312="Sideways",5,0))</f>
        <v/>
      </c>
      <c r="BJ312" s="30" t="inlineStr">
        <is>
          <t>Close to 52 week high or retracement</t>
        </is>
      </c>
      <c r="BK312" s="30">
        <f>IF(BJ312="Overhead supply in last 2 years in last 2 years",-5,IF(BJ312="Close to 52 week high or retracement",5,IF(BJ312="Blue sky scenario",10,IF(BJ312="Long term Downtrend",-10,0))))</f>
        <v/>
      </c>
      <c r="BL312" s="30" t="inlineStr">
        <is>
          <t>Yes</t>
        </is>
      </c>
      <c r="BM312" s="30">
        <f>IF(BL312="Yes",10,0)</f>
        <v/>
      </c>
      <c r="BN312" s="30" t="inlineStr">
        <is>
          <t>Less than 12%</t>
        </is>
      </c>
      <c r="BO312" s="30">
        <f>IF(BN312="More than 20%",10,IF(BN312="Between 12 to 20%",5,IF(BN312="Less than 12%",0,0)))</f>
        <v/>
      </c>
      <c r="BP312" s="30" t="inlineStr">
        <is>
          <t>No</t>
        </is>
      </c>
      <c r="BQ312" s="30">
        <f>IF(BP312="No",10,0)</f>
        <v/>
      </c>
      <c r="BR312" s="30" t="inlineStr">
        <is>
          <t>No</t>
        </is>
      </c>
      <c r="BS312" s="30">
        <f>IF(BR312="NO",5,0)</f>
        <v/>
      </c>
      <c r="BT312" s="30" t="inlineStr">
        <is>
          <t>Above 2</t>
        </is>
      </c>
      <c r="BU312" s="30">
        <f>IF(BT312="Above 2",0,IF(BT312="Between 1.5 to 2",5,IF(BT312="Less than 1.5",10,0)))</f>
        <v/>
      </c>
      <c r="BV312" s="30" t="inlineStr">
        <is>
          <t>Less than 50%</t>
        </is>
      </c>
      <c r="BW312" s="30">
        <f>IF(BV312="Above 70%",10,IF(BV312="Between 50% to 70%",5,IF(BV312="Less than 50%",0,IF(BV312="Negative",-10,IF(BV312="Less than 50% and Borrowings are increasing",-5,0)))))</f>
        <v/>
      </c>
      <c r="BX312" s="30" t="inlineStr">
        <is>
          <t>Less than 0.7</t>
        </is>
      </c>
      <c r="BY312" s="30">
        <f>IF(BX312="More than 1.2",-10,IF(BX312="Between 0.7 to 1.2",0,IF(BX312="Less than 0.7",10,0)))</f>
        <v/>
      </c>
      <c r="BZ312" s="30" t="inlineStr">
        <is>
          <t>No</t>
        </is>
      </c>
      <c r="CA312" s="30">
        <f>IF(BZ312="Yes",-10,0)</f>
        <v/>
      </c>
      <c r="CB312" s="30" t="inlineStr">
        <is>
          <t>Less than 15%</t>
        </is>
      </c>
      <c r="CC312" s="30">
        <f>IF(CB312="More than 15%",-10,IF(CB312="Less than 15%",10,0))</f>
        <v/>
      </c>
      <c r="CD312" s="30" t="inlineStr">
        <is>
          <t>No</t>
        </is>
      </c>
      <c r="CE312" s="30">
        <f>IF(CD312="Yes, more than 10%",-10,IF(CD312="No",10,0))</f>
        <v/>
      </c>
    </row>
    <row r="313">
      <c r="A313" s="30">
        <f>IF(B313=0,"",RANK(B313,$B$2:$B$361,0))</f>
        <v/>
      </c>
      <c r="B313" s="31">
        <f>SUM(N313,Y313,AA313,AC313,AE313,AG313,AI313,AK313,AM313,AO313,AQ313,AS313,AU313,AW313,AY313,BA313,BC313,BE313,BG313,BI313,BK313,BM313,BO313,BQ313,BS313,BU313,BW313,BY313,CA313,CC313,CE313)</f>
        <v/>
      </c>
      <c r="C313" s="30" t="inlineStr">
        <is>
          <t>PANACHE</t>
        </is>
      </c>
      <c r="D313" s="30" t="inlineStr">
        <is>
          <t>Panache Digilife Ltd</t>
        </is>
      </c>
      <c r="E313" s="30" t="inlineStr">
        <is>
          <t>i.t</t>
        </is>
      </c>
      <c r="F313" s="30" t="inlineStr">
        <is>
          <t>computers - hardware</t>
        </is>
      </c>
      <c r="G313" s="30" t="inlineStr">
        <is>
          <t>smallcap</t>
        </is>
      </c>
      <c r="H313" s="31" t="n">
        <v>598.84</v>
      </c>
      <c r="I313" s="31" t="n">
        <v>411.2</v>
      </c>
      <c r="J313" s="31" t="n">
        <v>9.960000000000001</v>
      </c>
      <c r="K313" s="31" t="n">
        <v>62816</v>
      </c>
      <c r="L313" s="30" t="n">
        <v>79</v>
      </c>
      <c r="M313" s="30" t="inlineStr">
        <is>
          <t>Outperforming</t>
        </is>
      </c>
      <c r="N313" s="31">
        <f>IF(M313="Underperforming",-5,IF(L313&gt;=95,15,IF(L313&gt;=90,10,IF(L313&gt;=80,5,0))))</f>
        <v/>
      </c>
      <c r="O313" s="31" t="n">
        <v>63.8</v>
      </c>
      <c r="P313" s="31" t="n">
        <v>12.25</v>
      </c>
      <c r="Q313" s="31" t="n">
        <v>292.43</v>
      </c>
      <c r="R313" s="30" t="inlineStr">
        <is>
          <t>Earnings / Momentum Support</t>
        </is>
      </c>
      <c r="S313" s="30" t="inlineStr">
        <is>
          <t>Nifty IT</t>
        </is>
      </c>
      <c r="T313" s="31" t="n">
        <v>-26.11</v>
      </c>
      <c r="U313" s="31" t="n">
        <v>111.87</v>
      </c>
      <c r="V313" s="31" t="n">
        <v>186.75</v>
      </c>
      <c r="W313" s="31" t="n">
        <v>24.7</v>
      </c>
      <c r="X313" s="30" t="inlineStr">
        <is>
          <t>Growing Industry</t>
        </is>
      </c>
      <c r="Y313" s="30">
        <f>IF(X313="Growing Industry",10,IF(X313="Cyclical in an Upturn",5,0))</f>
        <v/>
      </c>
      <c r="Z313" s="30" t="inlineStr">
        <is>
          <t>Too Many Players with High ROCE</t>
        </is>
      </c>
      <c r="AA313" s="30">
        <f>IF(Z313="Monopoly",10,IF(Z313="Oligopoly",5,IF(Z313="Duopoly that cooperate",10,IF(Z313="Duopoly that compete",5,IF(Z313="Too many players with High ROCE",5,0)))))</f>
        <v/>
      </c>
      <c r="AB313" s="30" t="inlineStr">
        <is>
          <t>No</t>
        </is>
      </c>
      <c r="AC313" s="30">
        <f>IF(AB313="No",5,0)</f>
        <v/>
      </c>
      <c r="AD313" s="30" t="inlineStr">
        <is>
          <t>Tailwind</t>
        </is>
      </c>
      <c r="AE313" s="30">
        <f>IF(AD313="Tailwind",10,0)</f>
        <v/>
      </c>
      <c r="AF313" s="30" t="inlineStr">
        <is>
          <t>Structural (10 Years Consistency)</t>
        </is>
      </c>
      <c r="AG313" s="30">
        <f>IF(AF313="Structural (10 Years Consistency)",10,IF(AF313="Shallow Cyclical (2 to 3 years growth)",5,0))</f>
        <v/>
      </c>
      <c r="AH313" s="30" t="inlineStr">
        <is>
          <t>No</t>
        </is>
      </c>
      <c r="AI313" s="30">
        <f>IF(AH313="Yes due to Product Mix change or Operating Leverage",10,IF(AH313="Yes, these are peak margins",-5,IF(AH313="No",5,0)))</f>
        <v/>
      </c>
      <c r="AJ313" s="30" t="inlineStr">
        <is>
          <t>Stable</t>
        </is>
      </c>
      <c r="AK313" s="30">
        <f>IF(AJ313="Stable",10,0)</f>
        <v/>
      </c>
      <c r="AL313" s="30" t="inlineStr">
        <is>
          <t>Yes</t>
        </is>
      </c>
      <c r="AM313" s="30">
        <f>IF(AL313="Yes",10,0)</f>
        <v/>
      </c>
      <c r="AN313" s="30" t="inlineStr">
        <is>
          <t>B2B</t>
        </is>
      </c>
      <c r="AO313" s="30">
        <f>IF(AN313="B2C",10,IF(AN313="B2B",5,0))</f>
        <v/>
      </c>
      <c r="AP313" s="30" t="inlineStr">
        <is>
          <t>No</t>
        </is>
      </c>
      <c r="AQ313" s="30">
        <f>IF(AP313="Yes",10,0)</f>
        <v/>
      </c>
      <c r="AR313" s="30" t="inlineStr">
        <is>
          <t>Higher One Time, Lower Annuity</t>
        </is>
      </c>
      <c r="AS313" s="30">
        <f>IF(AR313="Fully Annuity",10,IF(AR313="Higher Annuity, Lower One Time",5,IF(AR313="Higher One Time, Lower Annuity",3,0)))</f>
        <v/>
      </c>
      <c r="AT313" s="30" t="inlineStr">
        <is>
          <t>Good</t>
        </is>
      </c>
      <c r="AU313" s="30">
        <f>IF(AT313="Good",10,0)</f>
        <v/>
      </c>
      <c r="AV313" s="30" t="inlineStr">
        <is>
          <t>Yes for more than 2 years</t>
        </is>
      </c>
      <c r="AW313" s="30">
        <f>IF(AV313="Yes for more than 2 years",10,IF(AV313="Yes only for next 1 to 2 years",5,0))</f>
        <v/>
      </c>
      <c r="AX313" s="30" t="inlineStr">
        <is>
          <t>0 to 20</t>
        </is>
      </c>
      <c r="AY313" s="30">
        <f>IF(AX313="Above 40",20,IF(AX313="20 to 40",10,IF(AX313="0 to 20",-5,0)))</f>
        <v/>
      </c>
      <c r="AZ313" s="30" t="inlineStr">
        <is>
          <t>Between 50 to 75</t>
        </is>
      </c>
      <c r="BA313" s="30">
        <f>IF(AZ313="Between 50 to 75",10,IF(AZ313="Above 75",0,0))</f>
        <v/>
      </c>
      <c r="BB313" s="30" t="inlineStr">
        <is>
          <t>Stage 2</t>
        </is>
      </c>
      <c r="BC313" s="30">
        <f>IF(BB313="Stage 2",20,IF(BB313="Stage 1",0,IF(BB313="Stage 3",5,IF(BB313="Stage 4",-5,0))))</f>
        <v/>
      </c>
      <c r="BD313" s="30" t="inlineStr">
        <is>
          <t>Positive Trend</t>
        </is>
      </c>
      <c r="BE313" s="30">
        <f>IF(BD313="Positive Trend",20,IF(BD313="Negative Trend",-10,0))</f>
        <v/>
      </c>
      <c r="BF313" s="30" t="inlineStr">
        <is>
          <t>Uptrend</t>
        </is>
      </c>
      <c r="BG313" s="30">
        <f>IF(BF313="Uptrend",10,IF(BF313="Sideways",5,0))</f>
        <v/>
      </c>
      <c r="BH313" s="30" t="inlineStr">
        <is>
          <t>Uptrend</t>
        </is>
      </c>
      <c r="BI313" s="30">
        <f>IF(BH313="Uptrend",10,IF(BH313="Sideways",5,0))</f>
        <v/>
      </c>
      <c r="BJ313" s="30" t="inlineStr">
        <is>
          <t>Close to 52 week high or retracement</t>
        </is>
      </c>
      <c r="BK313" s="30">
        <f>IF(BJ313="Overhead supply in last 2 years in last 2 years",-5,IF(BJ313="Close to 52 week high or retracement",5,IF(BJ313="Blue sky scenario",10,IF(BJ313="Long term Downtrend",-10,0))))</f>
        <v/>
      </c>
      <c r="BL313" s="30" t="inlineStr">
        <is>
          <t>Yes</t>
        </is>
      </c>
      <c r="BM313" s="30">
        <f>IF(BL313="Yes",10,0)</f>
        <v/>
      </c>
      <c r="BN313" s="30" t="inlineStr">
        <is>
          <t>More than 20%</t>
        </is>
      </c>
      <c r="BO313" s="30">
        <f>IF(BN313="More than 20%",10,IF(BN313="Between 12 to 20%",5,IF(BN313="Less than 12%",0,0)))</f>
        <v/>
      </c>
      <c r="BP313" s="30" t="inlineStr">
        <is>
          <t>No</t>
        </is>
      </c>
      <c r="BQ313" s="30">
        <f>IF(BP313="No",10,0)</f>
        <v/>
      </c>
      <c r="BR313" s="30" t="inlineStr">
        <is>
          <t>Yes</t>
        </is>
      </c>
      <c r="BS313" s="30">
        <f>IF(BR313="NO",5,0)</f>
        <v/>
      </c>
      <c r="BT313" s="30" t="inlineStr">
        <is>
          <t>Above 2</t>
        </is>
      </c>
      <c r="BU313" s="30">
        <f>IF(BT313="Above 2",0,IF(BT313="Between 1.5 to 2",5,IF(BT313="Less than 1.5",10,0)))</f>
        <v/>
      </c>
      <c r="BV313" s="30" t="inlineStr">
        <is>
          <t>Negative</t>
        </is>
      </c>
      <c r="BW313" s="30">
        <f>IF(BV313="Above 70%",10,IF(BV313="Between 50% to 70%",5,IF(BV313="Less than 50%",0,IF(BV313="Negative",-10,IF(BV313="Less than 50% and Borrowings are increasing",-5,0)))))</f>
        <v/>
      </c>
      <c r="BX313" s="30" t="inlineStr">
        <is>
          <t>Less than 0.7</t>
        </is>
      </c>
      <c r="BY313" s="30">
        <f>IF(BX313="More than 1.2",-10,IF(BX313="Between 0.7 to 1.2",0,IF(BX313="Less than 0.7",10,0)))</f>
        <v/>
      </c>
      <c r="BZ313" s="30" t="inlineStr">
        <is>
          <t>No</t>
        </is>
      </c>
      <c r="CA313" s="30">
        <f>IF(BZ313="Yes",-10,0)</f>
        <v/>
      </c>
      <c r="CB313" s="30" t="inlineStr">
        <is>
          <t>Less than 15%</t>
        </is>
      </c>
      <c r="CC313" s="30">
        <f>IF(CB313="More than 15%",-10,IF(CB313="Less than 15%",10,0))</f>
        <v/>
      </c>
      <c r="CD313" s="30" t="inlineStr">
        <is>
          <t>No</t>
        </is>
      </c>
      <c r="CE313" s="30">
        <f>IF(CD313="Yes, more than 10%",-10,IF(CD313="No",10,0))</f>
        <v/>
      </c>
    </row>
    <row r="314">
      <c r="A314" s="30">
        <f>IF(B314=0,"",RANK(B314,$B$2:$B$361,0))</f>
        <v/>
      </c>
      <c r="B314" s="31">
        <f>SUM(N314,Y314,AA314,AC314,AE314,AG314,AI314,AK314,AM314,AO314,AQ314,AS314,AU314,AW314,AY314,BA314,BC314,BE314,BG314,BI314,BK314,BM314,BO314,BQ314,BS314,BU314,BW314,BY314,CA314,CC314,CE314)</f>
        <v/>
      </c>
      <c r="C314" s="32" t="inlineStr">
        <is>
          <t>TEJASNET</t>
        </is>
      </c>
      <c r="D314" s="32" t="inlineStr">
        <is>
          <t>Tejas Networks Ltd</t>
        </is>
      </c>
      <c r="E314" s="30" t="inlineStr">
        <is>
          <t>telecom</t>
        </is>
      </c>
      <c r="F314" s="30" t="inlineStr">
        <is>
          <t>telecommunications - equipment</t>
        </is>
      </c>
      <c r="G314" s="30" t="inlineStr">
        <is>
          <t>midcap</t>
        </is>
      </c>
      <c r="H314" s="31" t="n">
        <v>10333.91</v>
      </c>
      <c r="I314" s="31" t="n">
        <v>602</v>
      </c>
      <c r="J314" s="31" t="n">
        <v>3.54</v>
      </c>
      <c r="K314" s="31" t="n">
        <v>8267795</v>
      </c>
      <c r="L314" s="30" t="n">
        <v>23</v>
      </c>
      <c r="M314" s="30" t="inlineStr">
        <is>
          <t>Underperforming</t>
        </is>
      </c>
      <c r="N314" s="31">
        <f>IF(M314="Underperforming",-5,IF(L314&gt;=95,15,IF(L314&gt;=90,10,IF(L314&gt;=80,5,0))))</f>
        <v/>
      </c>
      <c r="O314" s="31" t="n">
        <v>64.41</v>
      </c>
      <c r="P314" s="31" t="n">
        <v>20.25</v>
      </c>
      <c r="Q314" s="31" t="n">
        <v>423.68</v>
      </c>
      <c r="R314" s="30" t="inlineStr">
        <is>
          <t>Earnings / Momentum Support</t>
        </is>
      </c>
      <c r="S314" s="30" t="inlineStr">
        <is>
          <t>Nifty 50</t>
        </is>
      </c>
      <c r="T314" s="31" t="n">
        <v>-4.09</v>
      </c>
      <c r="U314" s="31" t="n">
        <v>-13.88</v>
      </c>
      <c r="V314" s="31" t="n">
        <v>-10.2</v>
      </c>
      <c r="W314" s="31" t="n">
        <v>6.83</v>
      </c>
      <c r="X314" s="30" t="inlineStr">
        <is>
          <t>Growing Industry</t>
        </is>
      </c>
      <c r="Y314" s="30">
        <f>IF(X314="Growing Industry",10,IF(X314="Cyclical in an Upturn",5,0))</f>
        <v/>
      </c>
      <c r="Z314" s="30" t="inlineStr">
        <is>
          <t>Oligopoly</t>
        </is>
      </c>
      <c r="AA314" s="30">
        <f>IF(Z314="Monopoly",10,IF(Z314="Oligopoly",5,IF(Z314="Duopoly that cooperate",10,IF(Z314="Duopoly that compete",5,IF(Z314="Too many players with High ROCE",5,0)))))</f>
        <v/>
      </c>
      <c r="AB314" s="30" t="inlineStr">
        <is>
          <t>Yes</t>
        </is>
      </c>
      <c r="AC314" s="30">
        <f>IF(AB314="No",5,0)</f>
        <v/>
      </c>
      <c r="AD314" s="30" t="inlineStr">
        <is>
          <t>Tailwind</t>
        </is>
      </c>
      <c r="AE314" s="30">
        <f>IF(AD314="Tailwind",10,0)</f>
        <v/>
      </c>
      <c r="AF314" s="30" t="inlineStr">
        <is>
          <t>Structural (10 Years Consistency)</t>
        </is>
      </c>
      <c r="AG314" s="30">
        <f>IF(AF314="Structural (10 Years Consistency)",10,IF(AF314="Shallow Cyclical (2 to 3 years growth)",5,0))</f>
        <v/>
      </c>
      <c r="AH314" s="30" t="inlineStr">
        <is>
          <t>No</t>
        </is>
      </c>
      <c r="AI314" s="30">
        <f>IF(AH314="Yes due to Product Mix change or Operating Leverage",10,IF(AH314="Yes, these are peak margins",-5,IF(AH314="No",5,0)))</f>
        <v/>
      </c>
      <c r="AJ314" s="30" t="inlineStr">
        <is>
          <t>Stable</t>
        </is>
      </c>
      <c r="AK314" s="30">
        <f>IF(AJ314="Stable",10,0)</f>
        <v/>
      </c>
      <c r="AL314" s="30" t="inlineStr">
        <is>
          <t>Yes</t>
        </is>
      </c>
      <c r="AM314" s="30">
        <f>IF(AL314="Yes",10,0)</f>
        <v/>
      </c>
      <c r="AN314" s="30" t="inlineStr">
        <is>
          <t>B2B</t>
        </is>
      </c>
      <c r="AO314" s="30">
        <f>IF(AN314="B2C",10,IF(AN314="B2B",5,0))</f>
        <v/>
      </c>
      <c r="AP314" s="30" t="inlineStr">
        <is>
          <t>No</t>
        </is>
      </c>
      <c r="AQ314" s="30">
        <f>IF(AP314="Yes",10,0)</f>
        <v/>
      </c>
      <c r="AR314" s="30" t="inlineStr">
        <is>
          <t>Higher One Time, Lower Annuity</t>
        </is>
      </c>
      <c r="AS314" s="30">
        <f>IF(AR314="Fully Annuity",10,IF(AR314="Higher Annuity, Lower One Time",5,IF(AR314="Higher One Time, Lower Annuity",3,0)))</f>
        <v/>
      </c>
      <c r="AT314" s="30" t="inlineStr">
        <is>
          <t>Good</t>
        </is>
      </c>
      <c r="AU314" s="30">
        <f>IF(AT314="Good",10,0)</f>
        <v/>
      </c>
      <c r="AV314" s="30" t="inlineStr">
        <is>
          <t>Yes for more than 2 years</t>
        </is>
      </c>
      <c r="AW314" s="30">
        <f>IF(AV314="Yes for more than 2 years",10,IF(AV314="Yes only for next 1 to 2 years",5,0))</f>
        <v/>
      </c>
      <c r="AX314" s="30" t="inlineStr">
        <is>
          <t>20 to 40</t>
        </is>
      </c>
      <c r="AY314" s="30">
        <f>IF(AX314="Above 40",20,IF(AX314="20 to 40",10,IF(AX314="0 to 20",-5,0)))</f>
        <v/>
      </c>
      <c r="AZ314" s="30" t="inlineStr">
        <is>
          <t>Between 50 to 75</t>
        </is>
      </c>
      <c r="BA314" s="30">
        <f>IF(AZ314="Between 50 to 75",10,IF(AZ314="Above 75",0,0))</f>
        <v/>
      </c>
      <c r="BB314" s="30" t="inlineStr">
        <is>
          <t>Stage 2</t>
        </is>
      </c>
      <c r="BC314" s="30">
        <f>IF(BB314="Stage 2",20,IF(BB314="Stage 1",0,IF(BB314="Stage 3",5,IF(BB314="Stage 4",-5,0))))</f>
        <v/>
      </c>
      <c r="BD314" s="30" t="inlineStr">
        <is>
          <t>Positive Trend</t>
        </is>
      </c>
      <c r="BE314" s="30">
        <f>IF(BD314="Positive Trend",20,IF(BD314="Negative Trend",-10,0))</f>
        <v/>
      </c>
      <c r="BF314" s="30" t="inlineStr">
        <is>
          <t>Uptrend</t>
        </is>
      </c>
      <c r="BG314" s="30">
        <f>IF(BF314="Uptrend",10,IF(BF314="Sideways",5,0))</f>
        <v/>
      </c>
      <c r="BH314" s="30" t="inlineStr">
        <is>
          <t>Uptrend</t>
        </is>
      </c>
      <c r="BI314" s="30">
        <f>IF(BH314="Uptrend",10,IF(BH314="Sideways",5,0))</f>
        <v/>
      </c>
      <c r="BJ314" s="30" t="inlineStr">
        <is>
          <t>Close to 52 week high or retracement</t>
        </is>
      </c>
      <c r="BK314" s="30">
        <f>IF(BJ314="Overhead supply in last 2 years in last 2 years",-5,IF(BJ314="Close to 52 week high or retracement",5,IF(BJ314="Blue sky scenario",10,IF(BJ314="Long term Downtrend",-10,0))))</f>
        <v/>
      </c>
      <c r="BL314" s="30" t="inlineStr">
        <is>
          <t>Yes</t>
        </is>
      </c>
      <c r="BM314" s="30">
        <f>IF(BL314="Yes",10,0)</f>
        <v/>
      </c>
      <c r="BN314" s="30" t="inlineStr">
        <is>
          <t>More than 20%</t>
        </is>
      </c>
      <c r="BO314" s="30">
        <f>IF(BN314="More than 20%",10,IF(BN314="Between 12 to 20%",5,IF(BN314="Less than 12%",0,0)))</f>
        <v/>
      </c>
      <c r="BP314" s="30" t="inlineStr">
        <is>
          <t>No</t>
        </is>
      </c>
      <c r="BQ314" s="30">
        <f>IF(BP314="No",10,0)</f>
        <v/>
      </c>
      <c r="BR314" s="30" t="inlineStr">
        <is>
          <t>No</t>
        </is>
      </c>
      <c r="BS314" s="30">
        <f>IF(BR314="NO",5,0)</f>
        <v/>
      </c>
      <c r="BT314" s="30" t="inlineStr">
        <is>
          <t>Less than 1.5</t>
        </is>
      </c>
      <c r="BU314" s="30">
        <f>IF(BT314="Above 2",0,IF(BT314="Between 1.5 to 2",5,IF(BT314="Less than 1.5",10,0)))</f>
        <v/>
      </c>
      <c r="BV314" s="30" t="inlineStr">
        <is>
          <t>Negative</t>
        </is>
      </c>
      <c r="BW314" s="30">
        <f>IF(BV314="Above 70%",10,IF(BV314="Between 50% to 70%",5,IF(BV314="Less than 50%",0,IF(BV314="Negative",-10,IF(BV314="Less than 50% and Borrowings are increasing",-5,0)))))</f>
        <v/>
      </c>
      <c r="BX314" s="30" t="inlineStr">
        <is>
          <t>More than 1.2</t>
        </is>
      </c>
      <c r="BY314" s="30">
        <f>IF(BX314="More than 1.2",-10,IF(BX314="Between 0.7 to 1.2",0,IF(BX314="Less than 0.7",10,0)))</f>
        <v/>
      </c>
      <c r="BZ314" s="30" t="inlineStr">
        <is>
          <t>No</t>
        </is>
      </c>
      <c r="CA314" s="30">
        <f>IF(BZ314="Yes",-10,0)</f>
        <v/>
      </c>
      <c r="CB314" s="30" t="inlineStr">
        <is>
          <t>Less than 15%</t>
        </is>
      </c>
      <c r="CC314" s="30">
        <f>IF(CB314="More than 15%",-10,IF(CB314="Less than 15%",10,0))</f>
        <v/>
      </c>
      <c r="CD314" s="30" t="inlineStr">
        <is>
          <t>No</t>
        </is>
      </c>
      <c r="CE314" s="30">
        <f>IF(CD314="Yes, more than 10%",-10,IF(CD314="No",10,0))</f>
        <v/>
      </c>
    </row>
    <row r="315">
      <c r="A315" s="30">
        <f>IF(B315=0,"",RANK(B315,$B$2:$B$361,0))</f>
        <v/>
      </c>
      <c r="B315" s="31">
        <f>SUM(N315,Y315,AA315,AC315,AE315,AG315,AI315,AK315,AM315,AO315,AQ315,AS315,AU315,AW315,AY315,BA315,BC315,BE315,BG315,BI315,BK315,BM315,BO315,BQ315,BS315,BU315,BW315,BY315,CA315,CC315,CE315)</f>
        <v/>
      </c>
      <c r="C315" s="32" t="inlineStr">
        <is>
          <t>IRISDOREME</t>
        </is>
      </c>
      <c r="D315" s="32" t="inlineStr">
        <is>
          <t>Iris Clothings Ltd</t>
        </is>
      </c>
      <c r="E315" s="30" t="inlineStr">
        <is>
          <t>consumer discretionary</t>
        </is>
      </c>
      <c r="F315" s="30" t="inlineStr">
        <is>
          <t>textiles - products</t>
        </is>
      </c>
      <c r="G315" s="30" t="inlineStr">
        <is>
          <t>smallcap</t>
        </is>
      </c>
      <c r="H315" s="31" t="n">
        <v>722.6900000000001</v>
      </c>
      <c r="I315" s="31" t="n">
        <v>38.69</v>
      </c>
      <c r="J315" s="31" t="n">
        <v>1.9</v>
      </c>
      <c r="K315" s="31" t="n">
        <v>588031</v>
      </c>
      <c r="L315" s="30" t="n">
        <v>3</v>
      </c>
      <c r="M315" s="30" t="inlineStr">
        <is>
          <t>Underperforming</t>
        </is>
      </c>
      <c r="N315" s="31">
        <f>IF(M315="Underperforming",-5,IF(L315&gt;=95,15,IF(L315&gt;=90,10,IF(L315&gt;=80,5,0))))</f>
        <v/>
      </c>
      <c r="O315" s="31" t="n">
        <v>60.99</v>
      </c>
      <c r="P315" s="31" t="n">
        <v>16.36</v>
      </c>
      <c r="Q315" s="31" t="n">
        <v>28</v>
      </c>
      <c r="R315" s="30" t="inlineStr">
        <is>
          <t>Earnings / Momentum Support</t>
        </is>
      </c>
      <c r="S315" s="30" t="inlineStr">
        <is>
          <t>Nifty 50</t>
        </is>
      </c>
      <c r="T315" s="31" t="n">
        <v>-4.09</v>
      </c>
      <c r="U315" s="31" t="n">
        <v>-37.07</v>
      </c>
      <c r="V315" s="31" t="n">
        <v>-34.39</v>
      </c>
      <c r="W315" s="31" t="n">
        <v>1.84</v>
      </c>
      <c r="X315" s="30" t="inlineStr">
        <is>
          <t>Growing Industry</t>
        </is>
      </c>
      <c r="Y315" s="30">
        <f>IF(X315="Growing Industry",10,IF(X315="Cyclical in an Upturn",5,0))</f>
        <v/>
      </c>
      <c r="Z315" s="30" t="inlineStr">
        <is>
          <t>Too Many Players with High ROCE</t>
        </is>
      </c>
      <c r="AA315" s="30">
        <f>IF(Z315="Monopoly",10,IF(Z315="Oligopoly",5,IF(Z315="Duopoly that cooperate",10,IF(Z315="Duopoly that compete",5,IF(Z315="Too many players with High ROCE",5,0)))))</f>
        <v/>
      </c>
      <c r="AB315" s="30" t="inlineStr">
        <is>
          <t>No</t>
        </is>
      </c>
      <c r="AC315" s="30">
        <f>IF(AB315="No",5,0)</f>
        <v/>
      </c>
      <c r="AD315" s="30" t="inlineStr">
        <is>
          <t>Tailwind</t>
        </is>
      </c>
      <c r="AE315" s="30">
        <f>IF(AD315="Tailwind",10,0)</f>
        <v/>
      </c>
      <c r="AF315" s="30" t="inlineStr">
        <is>
          <t>Structural (10 Years Consistency)</t>
        </is>
      </c>
      <c r="AG315" s="30">
        <f>IF(AF315="Structural (10 Years Consistency)",10,IF(AF315="Shallow Cyclical (2 to 3 years growth)",5,0))</f>
        <v/>
      </c>
      <c r="AH315" s="30" t="inlineStr">
        <is>
          <t>No</t>
        </is>
      </c>
      <c r="AI315" s="30">
        <f>IF(AH315="Yes due to Product Mix change or Operating Leverage",10,IF(AH315="Yes, these are peak margins",-5,IF(AH315="No",5,0)))</f>
        <v/>
      </c>
      <c r="AJ315" s="30" t="inlineStr">
        <is>
          <t>Stable</t>
        </is>
      </c>
      <c r="AK315" s="30">
        <f>IF(AJ315="Stable",10,0)</f>
        <v/>
      </c>
      <c r="AL315" s="30" t="inlineStr">
        <is>
          <t>Yes</t>
        </is>
      </c>
      <c r="AM315" s="30">
        <f>IF(AL315="Yes",10,0)</f>
        <v/>
      </c>
      <c r="AN315" s="30" t="inlineStr">
        <is>
          <t>B2B</t>
        </is>
      </c>
      <c r="AO315" s="30">
        <f>IF(AN315="B2C",10,IF(AN315="B2B",5,0))</f>
        <v/>
      </c>
      <c r="AP315" s="30" t="inlineStr">
        <is>
          <t>No</t>
        </is>
      </c>
      <c r="AQ315" s="30">
        <f>IF(AP315="Yes",10,0)</f>
        <v/>
      </c>
      <c r="AR315" s="30" t="inlineStr">
        <is>
          <t>Higher One Time, Lower Annuity</t>
        </is>
      </c>
      <c r="AS315" s="30">
        <f>IF(AR315="Fully Annuity",10,IF(AR315="Higher Annuity, Lower One Time",5,IF(AR315="Higher One Time, Lower Annuity",3,0)))</f>
        <v/>
      </c>
      <c r="AT315" s="30" t="inlineStr">
        <is>
          <t>Good</t>
        </is>
      </c>
      <c r="AU315" s="30">
        <f>IF(AT315="Good",10,0)</f>
        <v/>
      </c>
      <c r="AV315" s="30" t="inlineStr">
        <is>
          <t>Yes for more than 2 years</t>
        </is>
      </c>
      <c r="AW315" s="30">
        <f>IF(AV315="Yes for more than 2 years",10,IF(AV315="Yes only for next 1 to 2 years",5,0))</f>
        <v/>
      </c>
      <c r="AX315" s="30" t="inlineStr">
        <is>
          <t>0 to 20</t>
        </is>
      </c>
      <c r="AY315" s="30">
        <f>IF(AX315="Above 40",20,IF(AX315="20 to 40",10,IF(AX315="0 to 20",-5,0)))</f>
        <v/>
      </c>
      <c r="AZ315" s="30" t="inlineStr">
        <is>
          <t>Between 50 to 75</t>
        </is>
      </c>
      <c r="BA315" s="30">
        <f>IF(AZ315="Between 50 to 75",10,IF(AZ315="Above 75",0,0))</f>
        <v/>
      </c>
      <c r="BB315" s="30" t="inlineStr">
        <is>
          <t>Stage 2</t>
        </is>
      </c>
      <c r="BC315" s="30">
        <f>IF(BB315="Stage 2",20,IF(BB315="Stage 1",0,IF(BB315="Stage 3",5,IF(BB315="Stage 4",-5,0))))</f>
        <v/>
      </c>
      <c r="BD315" s="30" t="inlineStr">
        <is>
          <t>Positive Trend</t>
        </is>
      </c>
      <c r="BE315" s="30">
        <f>IF(BD315="Positive Trend",20,IF(BD315="Negative Trend",-10,0))</f>
        <v/>
      </c>
      <c r="BF315" s="30" t="inlineStr">
        <is>
          <t>Uptrend</t>
        </is>
      </c>
      <c r="BG315" s="30">
        <f>IF(BF315="Uptrend",10,IF(BF315="Sideways",5,0))</f>
        <v/>
      </c>
      <c r="BH315" s="30" t="inlineStr">
        <is>
          <t>Uptrend</t>
        </is>
      </c>
      <c r="BI315" s="30">
        <f>IF(BH315="Uptrend",10,IF(BH315="Sideways",5,0))</f>
        <v/>
      </c>
      <c r="BJ315" s="30" t="inlineStr">
        <is>
          <t>Close to 52 week high or retracement</t>
        </is>
      </c>
      <c r="BK315" s="30">
        <f>IF(BJ315="Overhead supply in last 2 years in last 2 years",-5,IF(BJ315="Close to 52 week high or retracement",5,IF(BJ315="Blue sky scenario",10,IF(BJ315="Long term Downtrend",-10,0))))</f>
        <v/>
      </c>
      <c r="BL315" s="30" t="inlineStr">
        <is>
          <t>Yes</t>
        </is>
      </c>
      <c r="BM315" s="30">
        <f>IF(BL315="Yes",10,0)</f>
        <v/>
      </c>
      <c r="BN315" s="30" t="inlineStr">
        <is>
          <t>More than 20%</t>
        </is>
      </c>
      <c r="BO315" s="30">
        <f>IF(BN315="More than 20%",10,IF(BN315="Between 12 to 20%",5,IF(BN315="Less than 12%",0,0)))</f>
        <v/>
      </c>
      <c r="BP315" s="30" t="inlineStr">
        <is>
          <t>No</t>
        </is>
      </c>
      <c r="BQ315" s="30">
        <f>IF(BP315="No",10,0)</f>
        <v/>
      </c>
      <c r="BR315" s="30" t="inlineStr">
        <is>
          <t>Yes</t>
        </is>
      </c>
      <c r="BS315" s="30">
        <f>IF(BR315="NO",5,0)</f>
        <v/>
      </c>
      <c r="BT315" s="30" t="inlineStr">
        <is>
          <t>Between 1.5 to 2</t>
        </is>
      </c>
      <c r="BU315" s="30">
        <f>IF(BT315="Above 2",0,IF(BT315="Between 1.5 to 2",5,IF(BT315="Less than 1.5",10,0)))</f>
        <v/>
      </c>
      <c r="BV315" s="30" t="inlineStr">
        <is>
          <t>Negative</t>
        </is>
      </c>
      <c r="BW315" s="30">
        <f>IF(BV315="Above 70%",10,IF(BV315="Between 50% to 70%",5,IF(BV315="Less than 50%",0,IF(BV315="Negative",-10,IF(BV315="Less than 50% and Borrowings are increasing",-5,0)))))</f>
        <v/>
      </c>
      <c r="BX315" s="30" t="inlineStr">
        <is>
          <t>Less than 0.7</t>
        </is>
      </c>
      <c r="BY315" s="30">
        <f>IF(BX315="More than 1.2",-10,IF(BX315="Between 0.7 to 1.2",0,IF(BX315="Less than 0.7",10,0)))</f>
        <v/>
      </c>
      <c r="BZ315" s="30" t="inlineStr">
        <is>
          <t>No</t>
        </is>
      </c>
      <c r="CA315" s="30">
        <f>IF(BZ315="Yes",-10,0)</f>
        <v/>
      </c>
      <c r="CB315" s="30" t="inlineStr">
        <is>
          <t>Less than 15%</t>
        </is>
      </c>
      <c r="CC315" s="30">
        <f>IF(CB315="More than 15%",-10,IF(CB315="Less than 15%",10,0))</f>
        <v/>
      </c>
      <c r="CD315" s="30" t="inlineStr">
        <is>
          <t>No</t>
        </is>
      </c>
      <c r="CE315" s="30">
        <f>IF(CD315="Yes, more than 10%",-10,IF(CD315="No",10,0))</f>
        <v/>
      </c>
    </row>
    <row r="316">
      <c r="A316" s="30">
        <f>IF(B316=0,"",RANK(B316,$B$2:$B$361,0))</f>
        <v/>
      </c>
      <c r="B316" s="31">
        <f>SUM(N316,Y316,AA316,AC316,AE316,AG316,AI316,AK316,AM316,AO316,AQ316,AS316,AU316,AW316,AY316,BA316,BC316,BE316,BG316,BI316,BK316,BM316,BO316,BQ316,BS316,BU316,BW316,BY316,CA316,CC316,CE316)</f>
        <v/>
      </c>
      <c r="C316" s="30" t="inlineStr">
        <is>
          <t>KSB</t>
        </is>
      </c>
      <c r="D316" s="30" t="inlineStr">
        <is>
          <t>KSB Ltd</t>
        </is>
      </c>
      <c r="E316" s="30" t="inlineStr">
        <is>
          <t>industrials</t>
        </is>
      </c>
      <c r="F316" s="30" t="inlineStr">
        <is>
          <t>pumps</t>
        </is>
      </c>
      <c r="G316" s="30" t="inlineStr">
        <is>
          <t>midcap</t>
        </is>
      </c>
      <c r="H316" s="31" t="n">
        <v>15062.22</v>
      </c>
      <c r="I316" s="31" t="n">
        <v>870.25</v>
      </c>
      <c r="J316" s="31" t="n">
        <v>0.55</v>
      </c>
      <c r="K316" s="31" t="n">
        <v>86818</v>
      </c>
      <c r="L316" s="30" t="n">
        <v>8</v>
      </c>
      <c r="M316" s="30" t="inlineStr">
        <is>
          <t>Outperforming</t>
        </is>
      </c>
      <c r="N316" s="31">
        <f>IF(M316="Underperforming",-5,IF(L316&gt;=95,15,IF(L316&gt;=90,10,IF(L316&gt;=80,5,0))))</f>
        <v/>
      </c>
      <c r="O316" s="31" t="n">
        <v>56.6</v>
      </c>
      <c r="P316" s="31" t="n">
        <v>28.03</v>
      </c>
      <c r="Q316" s="31" t="n">
        <v>792.49</v>
      </c>
      <c r="R316" s="30" t="inlineStr">
        <is>
          <t>Earnings / Momentum Support</t>
        </is>
      </c>
      <c r="S316" s="30" t="inlineStr">
        <is>
          <t>Nifty 50</t>
        </is>
      </c>
      <c r="T316" s="31" t="n">
        <v>-4.09</v>
      </c>
      <c r="U316" s="31" t="n">
        <v>5.64</v>
      </c>
      <c r="V316" s="31" t="n">
        <v>10.14</v>
      </c>
      <c r="W316" s="31" t="n">
        <v>3.75</v>
      </c>
      <c r="X316" s="30" t="inlineStr">
        <is>
          <t>Cyclical in an Upturn</t>
        </is>
      </c>
      <c r="Y316" s="30">
        <f>IF(X316="Growing Industry",10,IF(X316="Cyclical in an Upturn",5,0))</f>
        <v/>
      </c>
      <c r="Z316" s="30" t="inlineStr">
        <is>
          <t>Too Many Players with High ROCE</t>
        </is>
      </c>
      <c r="AA316" s="30">
        <f>IF(Z316="Monopoly",10,IF(Z316="Oligopoly",5,IF(Z316="Duopoly that cooperate",10,IF(Z316="Duopoly that compete",5,IF(Z316="Too many players with High ROCE",5,0)))))</f>
        <v/>
      </c>
      <c r="AB316" s="30" t="inlineStr">
        <is>
          <t>No</t>
        </is>
      </c>
      <c r="AC316" s="30">
        <f>IF(AB316="No",5,0)</f>
        <v/>
      </c>
      <c r="AD316" s="30" t="inlineStr">
        <is>
          <t>Tailwind</t>
        </is>
      </c>
      <c r="AE316" s="30">
        <f>IF(AD316="Tailwind",10,0)</f>
        <v/>
      </c>
      <c r="AF316" s="30" t="inlineStr">
        <is>
          <t>Structural (10 Years Consistency)</t>
        </is>
      </c>
      <c r="AG316" s="30">
        <f>IF(AF316="Structural (10 Years Consistency)",10,IF(AF316="Shallow Cyclical (2 to 3 years growth)",5,0))</f>
        <v/>
      </c>
      <c r="AH316" s="30" t="inlineStr">
        <is>
          <t>No</t>
        </is>
      </c>
      <c r="AI316" s="30">
        <f>IF(AH316="Yes due to Product Mix change or Operating Leverage",10,IF(AH316="Yes, these are peak margins",-5,IF(AH316="No",5,0)))</f>
        <v/>
      </c>
      <c r="AJ316" s="30" t="inlineStr">
        <is>
          <t>Stable</t>
        </is>
      </c>
      <c r="AK316" s="30">
        <f>IF(AJ316="Stable",10,0)</f>
        <v/>
      </c>
      <c r="AL316" s="30" t="inlineStr">
        <is>
          <t>Yes</t>
        </is>
      </c>
      <c r="AM316" s="30">
        <f>IF(AL316="Yes",10,0)</f>
        <v/>
      </c>
      <c r="AN316" s="30" t="inlineStr">
        <is>
          <t>B2B</t>
        </is>
      </c>
      <c r="AO316" s="30">
        <f>IF(AN316="B2C",10,IF(AN316="B2B",5,0))</f>
        <v/>
      </c>
      <c r="AP316" s="30" t="inlineStr">
        <is>
          <t>No</t>
        </is>
      </c>
      <c r="AQ316" s="30">
        <f>IF(AP316="Yes",10,0)</f>
        <v/>
      </c>
      <c r="AR316" s="30" t="inlineStr">
        <is>
          <t>Higher One Time, Lower Annuity</t>
        </is>
      </c>
      <c r="AS316" s="30">
        <f>IF(AR316="Fully Annuity",10,IF(AR316="Higher Annuity, Lower One Time",5,IF(AR316="Higher One Time, Lower Annuity",3,0)))</f>
        <v/>
      </c>
      <c r="AT316" s="30" t="inlineStr">
        <is>
          <t>Good</t>
        </is>
      </c>
      <c r="AU316" s="30">
        <f>IF(AT316="Good",10,0)</f>
        <v/>
      </c>
      <c r="AV316" s="30" t="inlineStr">
        <is>
          <t>Yes for more than 2 years</t>
        </is>
      </c>
      <c r="AW316" s="30">
        <f>IF(AV316="Yes for more than 2 years",10,IF(AV316="Yes only for next 1 to 2 years",5,0))</f>
        <v/>
      </c>
      <c r="AX316" s="30" t="inlineStr">
        <is>
          <t>20 to 40</t>
        </is>
      </c>
      <c r="AY316" s="30">
        <f>IF(AX316="Above 40",20,IF(AX316="20 to 40",10,IF(AX316="0 to 20",-5,0)))</f>
        <v/>
      </c>
      <c r="AZ316" s="30" t="inlineStr">
        <is>
          <t>Between 50 to 75</t>
        </is>
      </c>
      <c r="BA316" s="30">
        <f>IF(AZ316="Between 50 to 75",10,IF(AZ316="Above 75",0,0))</f>
        <v/>
      </c>
      <c r="BB316" s="30" t="inlineStr">
        <is>
          <t>Stage 1</t>
        </is>
      </c>
      <c r="BC316" s="30">
        <f>IF(BB316="Stage 2",20,IF(BB316="Stage 1",0,IF(BB316="Stage 3",5,IF(BB316="Stage 4",-5,0))))</f>
        <v/>
      </c>
      <c r="BD316" s="30" t="inlineStr">
        <is>
          <t>Positive Trend</t>
        </is>
      </c>
      <c r="BE316" s="30">
        <f>IF(BD316="Positive Trend",20,IF(BD316="Negative Trend",-10,0))</f>
        <v/>
      </c>
      <c r="BF316" s="30" t="inlineStr">
        <is>
          <t>Uptrend</t>
        </is>
      </c>
      <c r="BG316" s="30">
        <f>IF(BF316="Uptrend",10,IF(BF316="Sideways",5,0))</f>
        <v/>
      </c>
      <c r="BH316" s="30" t="inlineStr">
        <is>
          <t>Uptrend</t>
        </is>
      </c>
      <c r="BI316" s="30">
        <f>IF(BH316="Uptrend",10,IF(BH316="Sideways",5,0))</f>
        <v/>
      </c>
      <c r="BJ316" s="30" t="inlineStr">
        <is>
          <t>Close to 52 week high or retracement</t>
        </is>
      </c>
      <c r="BK316" s="30">
        <f>IF(BJ316="Overhead supply in last 2 years in last 2 years",-5,IF(BJ316="Close to 52 week high or retracement",5,IF(BJ316="Blue sky scenario",10,IF(BJ316="Long term Downtrend",-10,0))))</f>
        <v/>
      </c>
      <c r="BL316" s="30" t="inlineStr">
        <is>
          <t>Yes</t>
        </is>
      </c>
      <c r="BM316" s="30">
        <f>IF(BL316="Yes",10,0)</f>
        <v/>
      </c>
      <c r="BN316" s="30" t="inlineStr">
        <is>
          <t>Less than 12%</t>
        </is>
      </c>
      <c r="BO316" s="30">
        <f>IF(BN316="More than 20%",10,IF(BN316="Between 12 to 20%",5,IF(BN316="Less than 12%",0,0)))</f>
        <v/>
      </c>
      <c r="BP316" s="30" t="inlineStr">
        <is>
          <t>No</t>
        </is>
      </c>
      <c r="BQ316" s="30">
        <f>IF(BP316="No",10,0)</f>
        <v/>
      </c>
      <c r="BR316" s="30" t="inlineStr">
        <is>
          <t>Yes</t>
        </is>
      </c>
      <c r="BS316" s="30">
        <f>IF(BR316="NO",5,0)</f>
        <v/>
      </c>
      <c r="BT316" s="30" t="inlineStr">
        <is>
          <t>Above 2</t>
        </is>
      </c>
      <c r="BU316" s="30">
        <f>IF(BT316="Above 2",0,IF(BT316="Between 1.5 to 2",5,IF(BT316="Less than 1.5",10,0)))</f>
        <v/>
      </c>
      <c r="BV316" s="30" t="inlineStr">
        <is>
          <t>Above 70%</t>
        </is>
      </c>
      <c r="BW316" s="30">
        <f>IF(BV316="Above 70%",10,IF(BV316="Between 50% to 70%",5,IF(BV316="Less than 50%",0,IF(BV316="Negative",-10,IF(BV316="Less than 50% and Borrowings are increasing",-5,0)))))</f>
        <v/>
      </c>
      <c r="BX316" s="30" t="inlineStr">
        <is>
          <t>Less than 0.7</t>
        </is>
      </c>
      <c r="BY316" s="30">
        <f>IF(BX316="More than 1.2",-10,IF(BX316="Between 0.7 to 1.2",0,IF(BX316="Less than 0.7",10,0)))</f>
        <v/>
      </c>
      <c r="BZ316" s="30" t="inlineStr">
        <is>
          <t>No</t>
        </is>
      </c>
      <c r="CA316" s="30">
        <f>IF(BZ316="Yes",-10,0)</f>
        <v/>
      </c>
      <c r="CB316" s="30" t="inlineStr">
        <is>
          <t>Less than 15%</t>
        </is>
      </c>
      <c r="CC316" s="30">
        <f>IF(CB316="More than 15%",-10,IF(CB316="Less than 15%",10,0))</f>
        <v/>
      </c>
      <c r="CD316" s="30" t="inlineStr">
        <is>
          <t>No</t>
        </is>
      </c>
      <c r="CE316" s="30">
        <f>IF(CD316="Yes, more than 10%",-10,IF(CD316="No",10,0))</f>
        <v/>
      </c>
    </row>
    <row r="317">
      <c r="A317" s="30">
        <f>IF(B317=0,"",RANK(B317,$B$2:$B$361,0))</f>
        <v/>
      </c>
      <c r="B317" s="31">
        <f>SUM(N317,Y317,AA317,AC317,AE317,AG317,AI317,AK317,AM317,AO317,AQ317,AS317,AU317,AW317,AY317,BA317,BC317,BE317,BG317,BI317,BK317,BM317,BO317,BQ317,BS317,BU317,BW317,BY317,CA317,CC317,CE317)</f>
        <v/>
      </c>
      <c r="C317" s="32" t="inlineStr">
        <is>
          <t>GENUSPOWER</t>
        </is>
      </c>
      <c r="D317" s="32" t="inlineStr">
        <is>
          <t>Genus Power Infrastructures Limited</t>
        </is>
      </c>
      <c r="E317" s="30" t="inlineStr">
        <is>
          <t>consumer discretionary</t>
        </is>
      </c>
      <c r="F317" s="30" t="inlineStr">
        <is>
          <t>electronics - components</t>
        </is>
      </c>
      <c r="G317" s="30" t="inlineStr">
        <is>
          <t>midcap</t>
        </is>
      </c>
      <c r="H317" s="31" t="n">
        <v>10005.72</v>
      </c>
      <c r="I317" s="31" t="n">
        <v>329.45</v>
      </c>
      <c r="J317" s="31" t="n">
        <v>0.17</v>
      </c>
      <c r="K317" s="31" t="n">
        <v>1162797</v>
      </c>
      <c r="L317" s="30" t="n">
        <v>29</v>
      </c>
      <c r="M317" s="30" t="inlineStr">
        <is>
          <t>Underperforming</t>
        </is>
      </c>
      <c r="N317" s="31">
        <f>IF(M317="Underperforming",-5,IF(L317&gt;=95,15,IF(L317&gt;=90,10,IF(L317&gt;=80,5,0))))</f>
        <v/>
      </c>
      <c r="O317" s="31" t="n">
        <v>60.99</v>
      </c>
      <c r="P317" s="31" t="n">
        <v>18.39</v>
      </c>
      <c r="Q317" s="31" t="n">
        <v>248.28</v>
      </c>
      <c r="R317" s="30" t="inlineStr">
        <is>
          <t>Earnings / Momentum Support</t>
        </is>
      </c>
      <c r="S317" s="30" t="inlineStr">
        <is>
          <t>Nifty 50</t>
        </is>
      </c>
      <c r="T317" s="31" t="n">
        <v>-4.09</v>
      </c>
      <c r="U317" s="31" t="n">
        <v>-5.29</v>
      </c>
      <c r="V317" s="31" t="n">
        <v>-1.25</v>
      </c>
      <c r="W317" s="31" t="n">
        <v>8.24</v>
      </c>
      <c r="X317" s="30" t="inlineStr">
        <is>
          <t>Growing Industry</t>
        </is>
      </c>
      <c r="Y317" s="30">
        <f>IF(X317="Growing Industry",10,IF(X317="Cyclical in an Upturn",5,0))</f>
        <v/>
      </c>
      <c r="Z317" s="30" t="inlineStr">
        <is>
          <t>Too Many Players with High ROCE</t>
        </is>
      </c>
      <c r="AA317" s="30">
        <f>IF(Z317="Monopoly",10,IF(Z317="Oligopoly",5,IF(Z317="Duopoly that cooperate",10,IF(Z317="Duopoly that compete",5,IF(Z317="Too many players with High ROCE",5,0)))))</f>
        <v/>
      </c>
      <c r="AB317" s="30" t="inlineStr">
        <is>
          <t>No</t>
        </is>
      </c>
      <c r="AC317" s="30">
        <f>IF(AB317="No",5,0)</f>
        <v/>
      </c>
      <c r="AD317" s="30" t="inlineStr">
        <is>
          <t>Tailwind</t>
        </is>
      </c>
      <c r="AE317" s="30">
        <f>IF(AD317="Tailwind",10,0)</f>
        <v/>
      </c>
      <c r="AF317" s="30" t="inlineStr">
        <is>
          <t>Structural (10 Years Consistency)</t>
        </is>
      </c>
      <c r="AG317" s="30">
        <f>IF(AF317="Structural (10 Years Consistency)",10,IF(AF317="Shallow Cyclical (2 to 3 years growth)",5,0))</f>
        <v/>
      </c>
      <c r="AH317" s="30" t="inlineStr">
        <is>
          <t>No</t>
        </is>
      </c>
      <c r="AI317" s="30">
        <f>IF(AH317="Yes due to Product Mix change or Operating Leverage",10,IF(AH317="Yes, these are peak margins",-5,IF(AH317="No",5,0)))</f>
        <v/>
      </c>
      <c r="AJ317" s="30" t="inlineStr">
        <is>
          <t>Stable</t>
        </is>
      </c>
      <c r="AK317" s="30">
        <f>IF(AJ317="Stable",10,0)</f>
        <v/>
      </c>
      <c r="AL317" s="30" t="inlineStr">
        <is>
          <t>Yes</t>
        </is>
      </c>
      <c r="AM317" s="30">
        <f>IF(AL317="Yes",10,0)</f>
        <v/>
      </c>
      <c r="AN317" s="30" t="inlineStr">
        <is>
          <t>B2B</t>
        </is>
      </c>
      <c r="AO317" s="30">
        <f>IF(AN317="B2C",10,IF(AN317="B2B",5,0))</f>
        <v/>
      </c>
      <c r="AP317" s="30" t="inlineStr">
        <is>
          <t>No</t>
        </is>
      </c>
      <c r="AQ317" s="30">
        <f>IF(AP317="Yes",10,0)</f>
        <v/>
      </c>
      <c r="AR317" s="30" t="inlineStr">
        <is>
          <t>Higher One Time, Lower Annuity</t>
        </is>
      </c>
      <c r="AS317" s="30">
        <f>IF(AR317="Fully Annuity",10,IF(AR317="Higher Annuity, Lower One Time",5,IF(AR317="Higher One Time, Lower Annuity",3,0)))</f>
        <v/>
      </c>
      <c r="AT317" s="30" t="inlineStr">
        <is>
          <t>Good</t>
        </is>
      </c>
      <c r="AU317" s="30">
        <f>IF(AT317="Good",10,0)</f>
        <v/>
      </c>
      <c r="AV317" s="30" t="inlineStr">
        <is>
          <t>Yes for more than 2 years</t>
        </is>
      </c>
      <c r="AW317" s="30">
        <f>IF(AV317="Yes for more than 2 years",10,IF(AV317="Yes only for next 1 to 2 years",5,0))</f>
        <v/>
      </c>
      <c r="AX317" s="30" t="inlineStr">
        <is>
          <t>0 to 20</t>
        </is>
      </c>
      <c r="AY317" s="30">
        <f>IF(AX317="Above 40",20,IF(AX317="20 to 40",10,IF(AX317="0 to 20",-5,0)))</f>
        <v/>
      </c>
      <c r="AZ317" s="30" t="inlineStr">
        <is>
          <t>Between 50 to 75</t>
        </is>
      </c>
      <c r="BA317" s="30">
        <f>IF(AZ317="Between 50 to 75",10,IF(AZ317="Above 75",0,0))</f>
        <v/>
      </c>
      <c r="BB317" s="30" t="inlineStr">
        <is>
          <t>Stage 2</t>
        </is>
      </c>
      <c r="BC317" s="30">
        <f>IF(BB317="Stage 2",20,IF(BB317="Stage 1",0,IF(BB317="Stage 3",5,IF(BB317="Stage 4",-5,0))))</f>
        <v/>
      </c>
      <c r="BD317" s="30" t="inlineStr">
        <is>
          <t>Positive Trend</t>
        </is>
      </c>
      <c r="BE317" s="30">
        <f>IF(BD317="Positive Trend",20,IF(BD317="Negative Trend",-10,0))</f>
        <v/>
      </c>
      <c r="BF317" s="30" t="inlineStr">
        <is>
          <t>Uptrend</t>
        </is>
      </c>
      <c r="BG317" s="30">
        <f>IF(BF317="Uptrend",10,IF(BF317="Sideways",5,0))</f>
        <v/>
      </c>
      <c r="BH317" s="30" t="inlineStr">
        <is>
          <t>Uptrend</t>
        </is>
      </c>
      <c r="BI317" s="30">
        <f>IF(BH317="Uptrend",10,IF(BH317="Sideways",5,0))</f>
        <v/>
      </c>
      <c r="BJ317" s="30" t="inlineStr">
        <is>
          <t>Close to 52 week high or retracement</t>
        </is>
      </c>
      <c r="BK317" s="30">
        <f>IF(BJ317="Overhead supply in last 2 years in last 2 years",-5,IF(BJ317="Close to 52 week high or retracement",5,IF(BJ317="Blue sky scenario",10,IF(BJ317="Long term Downtrend",-10,0))))</f>
        <v/>
      </c>
      <c r="BL317" s="30" t="inlineStr">
        <is>
          <t>Yes</t>
        </is>
      </c>
      <c r="BM317" s="30">
        <f>IF(BL317="Yes",10,0)</f>
        <v/>
      </c>
      <c r="BN317" s="30" t="inlineStr">
        <is>
          <t>More than 20%</t>
        </is>
      </c>
      <c r="BO317" s="30">
        <f>IF(BN317="More than 20%",10,IF(BN317="Between 12 to 20%",5,IF(BN317="Less than 12%",0,0)))</f>
        <v/>
      </c>
      <c r="BP317" s="30" t="inlineStr">
        <is>
          <t>No</t>
        </is>
      </c>
      <c r="BQ317" s="30">
        <f>IF(BP317="No",10,0)</f>
        <v/>
      </c>
      <c r="BR317" s="30" t="inlineStr">
        <is>
          <t>No</t>
        </is>
      </c>
      <c r="BS317" s="30">
        <f>IF(BR317="NO",5,0)</f>
        <v/>
      </c>
      <c r="BT317" s="30" t="inlineStr">
        <is>
          <t>Less than 1.5</t>
        </is>
      </c>
      <c r="BU317" s="30">
        <f>IF(BT317="Above 2",0,IF(BT317="Between 1.5 to 2",5,IF(BT317="Less than 1.5",10,0)))</f>
        <v/>
      </c>
      <c r="BV317" s="30" t="inlineStr">
        <is>
          <t>Negative</t>
        </is>
      </c>
      <c r="BW317" s="30">
        <f>IF(BV317="Above 70%",10,IF(BV317="Between 50% to 70%",5,IF(BV317="Less than 50%",0,IF(BV317="Negative",-10,IF(BV317="Less than 50% and Borrowings are increasing",-5,0)))))</f>
        <v/>
      </c>
      <c r="BX317" s="30" t="inlineStr">
        <is>
          <t>Between 0.7 to 1.2</t>
        </is>
      </c>
      <c r="BY317" s="30">
        <f>IF(BX317="More than 1.2",-10,IF(BX317="Between 0.7 to 1.2",0,IF(BX317="Less than 0.7",10,0)))</f>
        <v/>
      </c>
      <c r="BZ317" s="30" t="inlineStr">
        <is>
          <t>No</t>
        </is>
      </c>
      <c r="CA317" s="30">
        <f>IF(BZ317="Yes",-10,0)</f>
        <v/>
      </c>
      <c r="CB317" s="30" t="inlineStr">
        <is>
          <t>Less than 15%</t>
        </is>
      </c>
      <c r="CC317" s="30">
        <f>IF(CB317="More than 15%",-10,IF(CB317="Less than 15%",10,0))</f>
        <v/>
      </c>
      <c r="CD317" s="30" t="inlineStr">
        <is>
          <t>No</t>
        </is>
      </c>
      <c r="CE317" s="30">
        <f>IF(CD317="Yes, more than 10%",-10,IF(CD317="No",10,0))</f>
        <v/>
      </c>
    </row>
    <row r="318">
      <c r="A318" s="30">
        <f>IF(B318=0,"",RANK(B318,$B$2:$B$361,0))</f>
        <v/>
      </c>
      <c r="B318" s="31">
        <f>SUM(N318,Y318,AA318,AC318,AE318,AG318,AI318,AK318,AM318,AO318,AQ318,AS318,AU318,AW318,AY318,BA318,BC318,BE318,BG318,BI318,BK318,BM318,BO318,BQ318,BS318,BU318,BW318,BY318,CA318,CC318,CE318)</f>
        <v/>
      </c>
      <c r="C318" s="32" t="inlineStr">
        <is>
          <t>RKFORGE</t>
        </is>
      </c>
      <c r="D318" s="32" t="inlineStr">
        <is>
          <t>Ramkrishna Forgings Limited</t>
        </is>
      </c>
      <c r="E318" s="30" t="inlineStr">
        <is>
          <t>industrials</t>
        </is>
      </c>
      <c r="F318" s="30" t="inlineStr">
        <is>
          <t>castings &amp; forgings</t>
        </is>
      </c>
      <c r="G318" s="30" t="inlineStr">
        <is>
          <t>midcap</t>
        </is>
      </c>
      <c r="H318" s="31" t="n">
        <v>10600.48</v>
      </c>
      <c r="I318" s="31" t="n">
        <v>584</v>
      </c>
      <c r="J318" s="31" t="n">
        <v>0.09</v>
      </c>
      <c r="K318" s="31" t="n">
        <v>180560</v>
      </c>
      <c r="L318" s="30" t="n">
        <v>5</v>
      </c>
      <c r="M318" s="30" t="inlineStr">
        <is>
          <t>Underperforming</t>
        </is>
      </c>
      <c r="N318" s="31">
        <f>IF(M318="Underperforming",-5,IF(L318&gt;=95,15,IF(L318&gt;=90,10,IF(L318&gt;=80,5,0))))</f>
        <v/>
      </c>
      <c r="O318" s="31" t="n">
        <v>54.82</v>
      </c>
      <c r="P318" s="31" t="n">
        <v>15.07</v>
      </c>
      <c r="Q318" s="31" t="n">
        <v>475.63</v>
      </c>
      <c r="R318" s="30" t="inlineStr">
        <is>
          <t>Earnings / Momentum Support</t>
        </is>
      </c>
      <c r="S318" s="30" t="inlineStr">
        <is>
          <t>Nifty 50</t>
        </is>
      </c>
      <c r="T318" s="31" t="n">
        <v>-4.09</v>
      </c>
      <c r="U318" s="31" t="n">
        <v>-6.73</v>
      </c>
      <c r="V318" s="31" t="n">
        <v>-2.75</v>
      </c>
      <c r="W318" s="31" t="n">
        <v>2.68</v>
      </c>
      <c r="X318" s="30" t="inlineStr">
        <is>
          <t>Cyclical in an Upturn</t>
        </is>
      </c>
      <c r="Y318" s="30">
        <f>IF(X318="Growing Industry",10,IF(X318="Cyclical in an Upturn",5,0))</f>
        <v/>
      </c>
      <c r="Z318" s="30" t="inlineStr">
        <is>
          <t>Too Many Players with High ROCE</t>
        </is>
      </c>
      <c r="AA318" s="30">
        <f>IF(Z318="Monopoly",10,IF(Z318="Oligopoly",5,IF(Z318="Duopoly that cooperate",10,IF(Z318="Duopoly that compete",5,IF(Z318="Too many players with High ROCE",5,0)))))</f>
        <v/>
      </c>
      <c r="AB318" s="30" t="inlineStr">
        <is>
          <t>No</t>
        </is>
      </c>
      <c r="AC318" s="30">
        <f>IF(AB318="No",5,0)</f>
        <v/>
      </c>
      <c r="AD318" s="30" t="inlineStr">
        <is>
          <t>Tailwind</t>
        </is>
      </c>
      <c r="AE318" s="30">
        <f>IF(AD318="Tailwind",10,0)</f>
        <v/>
      </c>
      <c r="AF318" s="30" t="inlineStr">
        <is>
          <t>Structural (10 Years Consistency)</t>
        </is>
      </c>
      <c r="AG318" s="30">
        <f>IF(AF318="Structural (10 Years Consistency)",10,IF(AF318="Shallow Cyclical (2 to 3 years growth)",5,0))</f>
        <v/>
      </c>
      <c r="AH318" s="30" t="inlineStr">
        <is>
          <t>No</t>
        </is>
      </c>
      <c r="AI318" s="30">
        <f>IF(AH318="Yes due to Product Mix change or Operating Leverage",10,IF(AH318="Yes, these are peak margins",-5,IF(AH318="No",5,0)))</f>
        <v/>
      </c>
      <c r="AJ318" s="30" t="inlineStr">
        <is>
          <t>Stable</t>
        </is>
      </c>
      <c r="AK318" s="30">
        <f>IF(AJ318="Stable",10,0)</f>
        <v/>
      </c>
      <c r="AL318" s="30" t="inlineStr">
        <is>
          <t>Yes</t>
        </is>
      </c>
      <c r="AM318" s="30">
        <f>IF(AL318="Yes",10,0)</f>
        <v/>
      </c>
      <c r="AN318" s="30" t="inlineStr">
        <is>
          <t>B2B</t>
        </is>
      </c>
      <c r="AO318" s="30">
        <f>IF(AN318="B2C",10,IF(AN318="B2B",5,0))</f>
        <v/>
      </c>
      <c r="AP318" s="30" t="inlineStr">
        <is>
          <t>No</t>
        </is>
      </c>
      <c r="AQ318" s="30">
        <f>IF(AP318="Yes",10,0)</f>
        <v/>
      </c>
      <c r="AR318" s="30" t="inlineStr">
        <is>
          <t>Higher One Time, Lower Annuity</t>
        </is>
      </c>
      <c r="AS318" s="30">
        <f>IF(AR318="Fully Annuity",10,IF(AR318="Higher Annuity, Lower One Time",5,IF(AR318="Higher One Time, Lower Annuity",3,0)))</f>
        <v/>
      </c>
      <c r="AT318" s="30" t="inlineStr">
        <is>
          <t>Good</t>
        </is>
      </c>
      <c r="AU318" s="30">
        <f>IF(AT318="Good",10,0)</f>
        <v/>
      </c>
      <c r="AV318" s="30" t="inlineStr">
        <is>
          <t>Yes for more than 2 years</t>
        </is>
      </c>
      <c r="AW318" s="30">
        <f>IF(AV318="Yes for more than 2 years",10,IF(AV318="Yes only for next 1 to 2 years",5,0))</f>
        <v/>
      </c>
      <c r="AX318" s="30" t="inlineStr">
        <is>
          <t>0 to 20</t>
        </is>
      </c>
      <c r="AY318" s="30">
        <f>IF(AX318="Above 40",20,IF(AX318="20 to 40",10,IF(AX318="0 to 20",-5,0)))</f>
        <v/>
      </c>
      <c r="AZ318" s="30" t="inlineStr">
        <is>
          <t>Between 50 to 75</t>
        </is>
      </c>
      <c r="BA318" s="30">
        <f>IF(AZ318="Between 50 to 75",10,IF(AZ318="Above 75",0,0))</f>
        <v/>
      </c>
      <c r="BB318" s="30" t="inlineStr">
        <is>
          <t>Stage 2</t>
        </is>
      </c>
      <c r="BC318" s="30">
        <f>IF(BB318="Stage 2",20,IF(BB318="Stage 1",0,IF(BB318="Stage 3",5,IF(BB318="Stage 4",-5,0))))</f>
        <v/>
      </c>
      <c r="BD318" s="30" t="inlineStr">
        <is>
          <t>Positive Trend</t>
        </is>
      </c>
      <c r="BE318" s="30">
        <f>IF(BD318="Positive Trend",20,IF(BD318="Negative Trend",-10,0))</f>
        <v/>
      </c>
      <c r="BF318" s="30" t="inlineStr">
        <is>
          <t>Uptrend</t>
        </is>
      </c>
      <c r="BG318" s="30">
        <f>IF(BF318="Uptrend",10,IF(BF318="Sideways",5,0))</f>
        <v/>
      </c>
      <c r="BH318" s="30" t="inlineStr">
        <is>
          <t>Uptrend</t>
        </is>
      </c>
      <c r="BI318" s="30">
        <f>IF(BH318="Uptrend",10,IF(BH318="Sideways",5,0))</f>
        <v/>
      </c>
      <c r="BJ318" s="30" t="inlineStr">
        <is>
          <t>Close to 52 week high or retracement</t>
        </is>
      </c>
      <c r="BK318" s="30">
        <f>IF(BJ318="Overhead supply in last 2 years in last 2 years",-5,IF(BJ318="Close to 52 week high or retracement",5,IF(BJ318="Blue sky scenario",10,IF(BJ318="Long term Downtrend",-10,0))))</f>
        <v/>
      </c>
      <c r="BL318" s="30" t="inlineStr">
        <is>
          <t>Yes</t>
        </is>
      </c>
      <c r="BM318" s="30">
        <f>IF(BL318="Yes",10,0)</f>
        <v/>
      </c>
      <c r="BN318" s="30" t="inlineStr">
        <is>
          <t>More than 20%</t>
        </is>
      </c>
      <c r="BO318" s="30">
        <f>IF(BN318="More than 20%",10,IF(BN318="Between 12 to 20%",5,IF(BN318="Less than 12%",0,0)))</f>
        <v/>
      </c>
      <c r="BP318" s="30" t="inlineStr">
        <is>
          <t>No</t>
        </is>
      </c>
      <c r="BQ318" s="30">
        <f>IF(BP318="No",10,0)</f>
        <v/>
      </c>
      <c r="BR318" s="30" t="inlineStr">
        <is>
          <t>Yes</t>
        </is>
      </c>
      <c r="BS318" s="30">
        <f>IF(BR318="NO",5,0)</f>
        <v/>
      </c>
      <c r="BT318" s="30" t="inlineStr">
        <is>
          <t>Above 2</t>
        </is>
      </c>
      <c r="BU318" s="30">
        <f>IF(BT318="Above 2",0,IF(BT318="Between 1.5 to 2",5,IF(BT318="Less than 1.5",10,0)))</f>
        <v/>
      </c>
      <c r="BV318" s="30" t="inlineStr">
        <is>
          <t>Above 70%</t>
        </is>
      </c>
      <c r="BW318" s="30">
        <f>IF(BV318="Above 70%",10,IF(BV318="Between 50% to 70%",5,IF(BV318="Less than 50%",0,IF(BV318="Negative",-10,IF(BV318="Less than 50% and Borrowings are increasing",-5,0)))))</f>
        <v/>
      </c>
      <c r="BX318" s="30" t="inlineStr">
        <is>
          <t>Between 0.7 to 1.2</t>
        </is>
      </c>
      <c r="BY318" s="30">
        <f>IF(BX318="More than 1.2",-10,IF(BX318="Between 0.7 to 1.2",0,IF(BX318="Less than 0.7",10,0)))</f>
        <v/>
      </c>
      <c r="BZ318" s="30" t="inlineStr">
        <is>
          <t>No</t>
        </is>
      </c>
      <c r="CA318" s="30">
        <f>IF(BZ318="Yes",-10,0)</f>
        <v/>
      </c>
      <c r="CB318" s="30" t="inlineStr">
        <is>
          <t>Less than 15%</t>
        </is>
      </c>
      <c r="CC318" s="30">
        <f>IF(CB318="More than 15%",-10,IF(CB318="Less than 15%",10,0))</f>
        <v/>
      </c>
      <c r="CD318" s="30" t="inlineStr">
        <is>
          <t>No</t>
        </is>
      </c>
      <c r="CE318" s="30">
        <f>IF(CD318="Yes, more than 10%",-10,IF(CD318="No",10,0))</f>
        <v/>
      </c>
    </row>
    <row r="319">
      <c r="A319" s="30">
        <f>IF(B319=0,"",RANK(B319,$B$2:$B$361,0))</f>
        <v/>
      </c>
      <c r="B319" s="31">
        <f>SUM(N319,Y319,AA319,AC319,AE319,AG319,AI319,AK319,AM319,AO319,AQ319,AS319,AU319,AW319,AY319,BA319,BC319,BE319,BG319,BI319,BK319,BM319,BO319,BQ319,BS319,BU319,BW319,BY319,CA319,CC319,CE319)</f>
        <v/>
      </c>
      <c r="C319" s="30" t="inlineStr">
        <is>
          <t>ACMESOLAR</t>
        </is>
      </c>
      <c r="D319" s="30" t="inlineStr">
        <is>
          <t>ACME Solar Holdings Ltd</t>
        </is>
      </c>
      <c r="E319" s="30" t="inlineStr">
        <is>
          <t>realty</t>
        </is>
      </c>
      <c r="F319" s="30" t="inlineStr">
        <is>
          <t>engineering - turnkey services</t>
        </is>
      </c>
      <c r="G319" s="30" t="inlineStr">
        <is>
          <t>largecap</t>
        </is>
      </c>
      <c r="H319" s="31" t="n">
        <v>23984.41</v>
      </c>
      <c r="I319" s="31" t="n">
        <v>331.8</v>
      </c>
      <c r="J319" s="31" t="n">
        <v>-2.31</v>
      </c>
      <c r="K319" s="31" t="n">
        <v>1975830</v>
      </c>
      <c r="L319" s="30" t="n">
        <v>58</v>
      </c>
      <c r="M319" s="30" t="inlineStr">
        <is>
          <t>Outperforming</t>
        </is>
      </c>
      <c r="N319" s="31">
        <f>IF(M319="Underperforming",-5,IF(L319&gt;=95,15,IF(L319&gt;=90,10,IF(L319&gt;=80,5,0))))</f>
        <v/>
      </c>
      <c r="O319" s="31" t="n">
        <v>63.65</v>
      </c>
      <c r="P319" s="31" t="n">
        <v>22.58</v>
      </c>
      <c r="Q319" s="31" t="n">
        <v>275.27</v>
      </c>
      <c r="R319" s="30" t="inlineStr">
        <is>
          <t>Earnings / Momentum Support</t>
        </is>
      </c>
      <c r="S319" s="30" t="inlineStr">
        <is>
          <t>Nifty Realty</t>
        </is>
      </c>
      <c r="T319" s="31" t="n">
        <v>-19.64</v>
      </c>
      <c r="U319" s="31" t="n">
        <v>34.1</v>
      </c>
      <c r="V319" s="31" t="n">
        <v>66.86</v>
      </c>
      <c r="W319" s="31" t="n">
        <v>14.66</v>
      </c>
      <c r="X319" s="30" t="inlineStr">
        <is>
          <t>Growing Industry</t>
        </is>
      </c>
      <c r="Y319" s="30">
        <f>IF(X319="Growing Industry",10,IF(X319="Cyclical in an Upturn",5,0))</f>
        <v/>
      </c>
      <c r="Z319" s="30" t="inlineStr">
        <is>
          <t>Too Many Players with High ROCE</t>
        </is>
      </c>
      <c r="AA319" s="30">
        <f>IF(Z319="Monopoly",10,IF(Z319="Oligopoly",5,IF(Z319="Duopoly that cooperate",10,IF(Z319="Duopoly that compete",5,IF(Z319="Too many players with High ROCE",5,0)))))</f>
        <v/>
      </c>
      <c r="AB319" s="30" t="inlineStr">
        <is>
          <t>No</t>
        </is>
      </c>
      <c r="AC319" s="30">
        <f>IF(AB319="No",5,0)</f>
        <v/>
      </c>
      <c r="AD319" s="30" t="inlineStr">
        <is>
          <t>Tailwind</t>
        </is>
      </c>
      <c r="AE319" s="30">
        <f>IF(AD319="Tailwind",10,0)</f>
        <v/>
      </c>
      <c r="AF319" s="30" t="inlineStr">
        <is>
          <t>Structural (10 Years Consistency)</t>
        </is>
      </c>
      <c r="AG319" s="30">
        <f>IF(AF319="Structural (10 Years Consistency)",10,IF(AF319="Shallow Cyclical (2 to 3 years growth)",5,0))</f>
        <v/>
      </c>
      <c r="AH319" s="30" t="inlineStr">
        <is>
          <t>No</t>
        </is>
      </c>
      <c r="AI319" s="30">
        <f>IF(AH319="Yes due to Product Mix change or Operating Leverage",10,IF(AH319="Yes, these are peak margins",-5,IF(AH319="No",5,0)))</f>
        <v/>
      </c>
      <c r="AJ319" s="30" t="inlineStr">
        <is>
          <t>Stable</t>
        </is>
      </c>
      <c r="AK319" s="30">
        <f>IF(AJ319="Stable",10,0)</f>
        <v/>
      </c>
      <c r="AL319" s="30" t="inlineStr">
        <is>
          <t>Yes</t>
        </is>
      </c>
      <c r="AM319" s="30">
        <f>IF(AL319="Yes",10,0)</f>
        <v/>
      </c>
      <c r="AN319" s="30" t="inlineStr">
        <is>
          <t>B2B</t>
        </is>
      </c>
      <c r="AO319" s="30">
        <f>IF(AN319="B2C",10,IF(AN319="B2B",5,0))</f>
        <v/>
      </c>
      <c r="AP319" s="30" t="inlineStr">
        <is>
          <t>No</t>
        </is>
      </c>
      <c r="AQ319" s="30">
        <f>IF(AP319="Yes",10,0)</f>
        <v/>
      </c>
      <c r="AR319" s="30" t="inlineStr">
        <is>
          <t>Higher One Time, Lower Annuity</t>
        </is>
      </c>
      <c r="AS319" s="30">
        <f>IF(AR319="Fully Annuity",10,IF(AR319="Higher Annuity, Lower One Time",5,IF(AR319="Higher One Time, Lower Annuity",3,0)))</f>
        <v/>
      </c>
      <c r="AT319" s="30" t="inlineStr">
        <is>
          <t>Good</t>
        </is>
      </c>
      <c r="AU319" s="30">
        <f>IF(AT319="Good",10,0)</f>
        <v/>
      </c>
      <c r="AV319" s="30" t="inlineStr">
        <is>
          <t>Yes for more than 2 years</t>
        </is>
      </c>
      <c r="AW319" s="30">
        <f>IF(AV319="Yes for more than 2 years",10,IF(AV319="Yes only for next 1 to 2 years",5,0))</f>
        <v/>
      </c>
      <c r="AX319" s="30" t="inlineStr">
        <is>
          <t>20 to 40</t>
        </is>
      </c>
      <c r="AY319" s="30">
        <f>IF(AX319="Above 40",20,IF(AX319="20 to 40",10,IF(AX319="0 to 20",-5,0)))</f>
        <v/>
      </c>
      <c r="AZ319" s="30" t="inlineStr">
        <is>
          <t>Between 50 to 75</t>
        </is>
      </c>
      <c r="BA319" s="30">
        <f>IF(AZ319="Between 50 to 75",10,IF(AZ319="Above 75",0,0))</f>
        <v/>
      </c>
      <c r="BB319" s="30" t="inlineStr">
        <is>
          <t>Stage 2</t>
        </is>
      </c>
      <c r="BC319" s="30">
        <f>IF(BB319="Stage 2",20,IF(BB319="Stage 1",0,IF(BB319="Stage 3",5,IF(BB319="Stage 4",-5,0))))</f>
        <v/>
      </c>
      <c r="BD319" s="30" t="inlineStr">
        <is>
          <t>Positive Trend</t>
        </is>
      </c>
      <c r="BE319" s="30">
        <f>IF(BD319="Positive Trend",20,IF(BD319="Negative Trend",-10,0))</f>
        <v/>
      </c>
      <c r="BF319" s="30" t="inlineStr">
        <is>
          <t>Uptrend</t>
        </is>
      </c>
      <c r="BG319" s="30">
        <f>IF(BF319="Uptrend",10,IF(BF319="Sideways",5,0))</f>
        <v/>
      </c>
      <c r="BH319" s="30" t="inlineStr">
        <is>
          <t>Uptrend</t>
        </is>
      </c>
      <c r="BI319" s="30">
        <f>IF(BH319="Uptrend",10,IF(BH319="Sideways",5,0))</f>
        <v/>
      </c>
      <c r="BJ319" s="30" t="inlineStr">
        <is>
          <t>Close to 52 week high or retracement</t>
        </is>
      </c>
      <c r="BK319" s="30">
        <f>IF(BJ319="Overhead supply in last 2 years in last 2 years",-5,IF(BJ319="Close to 52 week high or retracement",5,IF(BJ319="Blue sky scenario",10,IF(BJ319="Long term Downtrend",-10,0))))</f>
        <v/>
      </c>
      <c r="BL319" s="30" t="inlineStr">
        <is>
          <t>Yes</t>
        </is>
      </c>
      <c r="BM319" s="30">
        <f>IF(BL319="Yes",10,0)</f>
        <v/>
      </c>
      <c r="BN319" s="30" t="inlineStr">
        <is>
          <t>Less than 12%</t>
        </is>
      </c>
      <c r="BO319" s="30">
        <f>IF(BN319="More than 20%",10,IF(BN319="Between 12 to 20%",5,IF(BN319="Less than 12%",0,0)))</f>
        <v/>
      </c>
      <c r="BP319" s="30" t="inlineStr">
        <is>
          <t>No</t>
        </is>
      </c>
      <c r="BQ319" s="30">
        <f>IF(BP319="No",10,0)</f>
        <v/>
      </c>
      <c r="BR319" s="30" t="inlineStr">
        <is>
          <t>Yes</t>
        </is>
      </c>
      <c r="BS319" s="30">
        <f>IF(BR319="NO",5,0)</f>
        <v/>
      </c>
      <c r="BT319" s="30" t="inlineStr">
        <is>
          <t>Above 2</t>
        </is>
      </c>
      <c r="BU319" s="30">
        <f>IF(BT319="Above 2",0,IF(BT319="Between 1.5 to 2",5,IF(BT319="Less than 1.5",10,0)))</f>
        <v/>
      </c>
      <c r="BV319" s="30" t="inlineStr">
        <is>
          <t>Between 50% to 70%</t>
        </is>
      </c>
      <c r="BW319" s="30">
        <f>IF(BV319="Above 70%",10,IF(BV319="Between 50% to 70%",5,IF(BV319="Less than 50%",0,IF(BV319="Negative",-10,IF(BV319="Less than 50% and Borrowings are increasing",-5,0)))))</f>
        <v/>
      </c>
      <c r="BX319" s="30" t="inlineStr">
        <is>
          <t>More than 1.2</t>
        </is>
      </c>
      <c r="BY319" s="30">
        <f>IF(BX319="More than 1.2",-10,IF(BX319="Between 0.7 to 1.2",0,IF(BX319="Less than 0.7",10,0)))</f>
        <v/>
      </c>
      <c r="BZ319" s="30" t="inlineStr">
        <is>
          <t>No</t>
        </is>
      </c>
      <c r="CA319" s="30">
        <f>IF(BZ319="Yes",-10,0)</f>
        <v/>
      </c>
      <c r="CB319" s="30" t="inlineStr">
        <is>
          <t>Less than 15%</t>
        </is>
      </c>
      <c r="CC319" s="30">
        <f>IF(CB319="More than 15%",-10,IF(CB319="Less than 15%",10,0))</f>
        <v/>
      </c>
      <c r="CD319" s="30" t="inlineStr">
        <is>
          <t>No</t>
        </is>
      </c>
      <c r="CE319" s="30">
        <f>IF(CD319="Yes, more than 10%",-10,IF(CD319="No",10,0))</f>
        <v/>
      </c>
    </row>
    <row r="320">
      <c r="A320" s="30">
        <f>IF(B320=0,"",RANK(B320,$B$2:$B$361,0))</f>
        <v/>
      </c>
      <c r="B320" s="31">
        <f>SUM(N320,Y320,AA320,AC320,AE320,AG320,AI320,AK320,AM320,AO320,AQ320,AS320,AU320,AW320,AY320,BA320,BC320,BE320,BG320,BI320,BK320,BM320,BO320,BQ320,BS320,BU320,BW320,BY320,CA320,CC320,CE320)</f>
        <v/>
      </c>
      <c r="C320" s="32" t="inlineStr">
        <is>
          <t>KOVAI</t>
        </is>
      </c>
      <c r="D320" s="32" t="inlineStr">
        <is>
          <t>Kovai Medical Center &amp; Hospital Ltd</t>
        </is>
      </c>
      <c r="E320" s="30" t="inlineStr">
        <is>
          <t>healthcare</t>
        </is>
      </c>
      <c r="F320" s="30" t="inlineStr">
        <is>
          <t>healthcare</t>
        </is>
      </c>
      <c r="G320" s="30" t="inlineStr">
        <is>
          <t>midcap</t>
        </is>
      </c>
      <c r="H320" s="31" t="n">
        <v>6340.49</v>
      </c>
      <c r="I320" s="31" t="n">
        <v>5833.5</v>
      </c>
      <c r="J320" s="31" t="n">
        <v>0.67</v>
      </c>
      <c r="K320" s="31" t="n">
        <v>4148</v>
      </c>
      <c r="L320" s="30" t="n">
        <v>7</v>
      </c>
      <c r="M320" s="30" t="inlineStr">
        <is>
          <t>Underperforming</t>
        </is>
      </c>
      <c r="N320" s="31">
        <f>IF(M320="Underperforming",-5,IF(L320&gt;=95,15,IF(L320&gt;=90,10,IF(L320&gt;=80,5,0))))</f>
        <v/>
      </c>
      <c r="O320" s="31" t="n">
        <v>59.76</v>
      </c>
      <c r="P320" s="31" t="n">
        <v>18.2</v>
      </c>
      <c r="Q320" s="31" t="n">
        <v>4879.4</v>
      </c>
      <c r="R320" s="30" t="inlineStr">
        <is>
          <t>Earnings / Momentum Support</t>
        </is>
      </c>
      <c r="S320" s="30" t="inlineStr">
        <is>
          <t>Nifty Pharma</t>
        </is>
      </c>
      <c r="T320" s="31" t="n">
        <v>11.72</v>
      </c>
      <c r="U320" s="31" t="n">
        <v>3.78</v>
      </c>
      <c r="V320" s="31" t="n">
        <v>-7.11</v>
      </c>
      <c r="W320" s="31" t="n">
        <v>3.39</v>
      </c>
      <c r="X320" s="30" t="inlineStr">
        <is>
          <t>Growing Industry</t>
        </is>
      </c>
      <c r="Y320" s="30">
        <f>IF(X320="Growing Industry",10,IF(X320="Cyclical in an Upturn",5,0))</f>
        <v/>
      </c>
      <c r="Z320" s="30" t="inlineStr">
        <is>
          <t>Too Many Players with High ROCE</t>
        </is>
      </c>
      <c r="AA320" s="30">
        <f>IF(Z320="Monopoly",10,IF(Z320="Oligopoly",5,IF(Z320="Duopoly that cooperate",10,IF(Z320="Duopoly that compete",5,IF(Z320="Too many players with High ROCE",5,0)))))</f>
        <v/>
      </c>
      <c r="AB320" s="30" t="inlineStr">
        <is>
          <t>Yes</t>
        </is>
      </c>
      <c r="AC320" s="30">
        <f>IF(AB320="No",5,0)</f>
        <v/>
      </c>
      <c r="AD320" s="30" t="inlineStr">
        <is>
          <t>Tailwind</t>
        </is>
      </c>
      <c r="AE320" s="30">
        <f>IF(AD320="Tailwind",10,0)</f>
        <v/>
      </c>
      <c r="AF320" s="30" t="inlineStr">
        <is>
          <t>Structural (10 Years Consistency)</t>
        </is>
      </c>
      <c r="AG320" s="30">
        <f>IF(AF320="Structural (10 Years Consistency)",10,IF(AF320="Shallow Cyclical (2 to 3 years growth)",5,0))</f>
        <v/>
      </c>
      <c r="AH320" s="30" t="inlineStr">
        <is>
          <t>No</t>
        </is>
      </c>
      <c r="AI320" s="30">
        <f>IF(AH320="Yes due to Product Mix change or Operating Leverage",10,IF(AH320="Yes, these are peak margins",-5,IF(AH320="No",5,0)))</f>
        <v/>
      </c>
      <c r="AJ320" s="30" t="inlineStr">
        <is>
          <t>Stable</t>
        </is>
      </c>
      <c r="AK320" s="30">
        <f>IF(AJ320="Stable",10,0)</f>
        <v/>
      </c>
      <c r="AL320" s="30" t="inlineStr">
        <is>
          <t>Yes</t>
        </is>
      </c>
      <c r="AM320" s="30">
        <f>IF(AL320="Yes",10,0)</f>
        <v/>
      </c>
      <c r="AN320" s="30" t="inlineStr">
        <is>
          <t>B2B</t>
        </is>
      </c>
      <c r="AO320" s="30">
        <f>IF(AN320="B2C",10,IF(AN320="B2B",5,0))</f>
        <v/>
      </c>
      <c r="AP320" s="30" t="inlineStr">
        <is>
          <t>No</t>
        </is>
      </c>
      <c r="AQ320" s="30">
        <f>IF(AP320="Yes",10,0)</f>
        <v/>
      </c>
      <c r="AR320" s="30" t="inlineStr">
        <is>
          <t>Higher Annuity, Lower One Time</t>
        </is>
      </c>
      <c r="AS320" s="30">
        <f>IF(AR320="Fully Annuity",10,IF(AR320="Higher Annuity, Lower One Time",5,IF(AR320="Higher One Time, Lower Annuity",3,0)))</f>
        <v/>
      </c>
      <c r="AT320" s="30" t="inlineStr">
        <is>
          <t>Good</t>
        </is>
      </c>
      <c r="AU320" s="30">
        <f>IF(AT320="Good",10,0)</f>
        <v/>
      </c>
      <c r="AV320" s="30" t="inlineStr">
        <is>
          <t>Yes for more than 2 years</t>
        </is>
      </c>
      <c r="AW320" s="30">
        <f>IF(AV320="Yes for more than 2 years",10,IF(AV320="Yes only for next 1 to 2 years",5,0))</f>
        <v/>
      </c>
      <c r="AX320" s="30" t="inlineStr">
        <is>
          <t>0 to 20</t>
        </is>
      </c>
      <c r="AY320" s="30">
        <f>IF(AX320="Above 40",20,IF(AX320="20 to 40",10,IF(AX320="0 to 20",-5,0)))</f>
        <v/>
      </c>
      <c r="AZ320" s="30" t="inlineStr">
        <is>
          <t>Between 50 to 75</t>
        </is>
      </c>
      <c r="BA320" s="30">
        <f>IF(AZ320="Between 50 to 75",10,IF(AZ320="Above 75",0,0))</f>
        <v/>
      </c>
      <c r="BB320" s="30" t="inlineStr">
        <is>
          <t>Stage 1</t>
        </is>
      </c>
      <c r="BC320" s="30">
        <f>IF(BB320="Stage 2",20,IF(BB320="Stage 1",0,IF(BB320="Stage 3",5,IF(BB320="Stage 4",-5,0))))</f>
        <v/>
      </c>
      <c r="BD320" s="30" t="inlineStr">
        <is>
          <t>Positive Trend</t>
        </is>
      </c>
      <c r="BE320" s="30">
        <f>IF(BD320="Positive Trend",20,IF(BD320="Negative Trend",-10,0))</f>
        <v/>
      </c>
      <c r="BF320" s="30" t="inlineStr">
        <is>
          <t>Uptrend</t>
        </is>
      </c>
      <c r="BG320" s="30">
        <f>IF(BF320="Uptrend",10,IF(BF320="Sideways",5,0))</f>
        <v/>
      </c>
      <c r="BH320" s="30" t="inlineStr">
        <is>
          <t>Uptrend</t>
        </is>
      </c>
      <c r="BI320" s="30">
        <f>IF(BH320="Uptrend",10,IF(BH320="Sideways",5,0))</f>
        <v/>
      </c>
      <c r="BJ320" s="30" t="inlineStr">
        <is>
          <t>Close to 52 week high or retracement</t>
        </is>
      </c>
      <c r="BK320" s="30">
        <f>IF(BJ320="Overhead supply in last 2 years in last 2 years",-5,IF(BJ320="Close to 52 week high or retracement",5,IF(BJ320="Blue sky scenario",10,IF(BJ320="Long term Downtrend",-10,0))))</f>
        <v/>
      </c>
      <c r="BL320" s="30" t="inlineStr">
        <is>
          <t>Yes</t>
        </is>
      </c>
      <c r="BM320" s="30">
        <f>IF(BL320="Yes",10,0)</f>
        <v/>
      </c>
      <c r="BN320" s="30" t="inlineStr">
        <is>
          <t>Between 12 to 20%</t>
        </is>
      </c>
      <c r="BO320" s="30">
        <f>IF(BN320="More than 20%",10,IF(BN320="Between 12 to 20%",5,IF(BN320="Less than 12%",0,0)))</f>
        <v/>
      </c>
      <c r="BP320" s="30" t="inlineStr">
        <is>
          <t>No</t>
        </is>
      </c>
      <c r="BQ320" s="30">
        <f>IF(BP320="No",10,0)</f>
        <v/>
      </c>
      <c r="BR320" s="30" t="inlineStr">
        <is>
          <t>No</t>
        </is>
      </c>
      <c r="BS320" s="30">
        <f>IF(BR320="NO",5,0)</f>
        <v/>
      </c>
      <c r="BT320" s="30" t="inlineStr">
        <is>
          <t>Between 1.5 to 2</t>
        </is>
      </c>
      <c r="BU320" s="30">
        <f>IF(BT320="Above 2",0,IF(BT320="Between 1.5 to 2",5,IF(BT320="Less than 1.5",10,0)))</f>
        <v/>
      </c>
      <c r="BV320" s="30" t="inlineStr">
        <is>
          <t>Above 70%</t>
        </is>
      </c>
      <c r="BW320" s="30">
        <f>IF(BV320="Above 70%",10,IF(BV320="Between 50% to 70%",5,IF(BV320="Less than 50%",0,IF(BV320="Negative",-10,IF(BV320="Less than 50% and Borrowings are increasing",-5,0)))))</f>
        <v/>
      </c>
      <c r="BX320" s="30" t="inlineStr">
        <is>
          <t>Less than 0.7</t>
        </is>
      </c>
      <c r="BY320" s="30">
        <f>IF(BX320="More than 1.2",-10,IF(BX320="Between 0.7 to 1.2",0,IF(BX320="Less than 0.7",10,0)))</f>
        <v/>
      </c>
      <c r="BZ320" s="30" t="inlineStr">
        <is>
          <t>No</t>
        </is>
      </c>
      <c r="CA320" s="30">
        <f>IF(BZ320="Yes",-10,0)</f>
        <v/>
      </c>
      <c r="CB320" s="30" t="inlineStr">
        <is>
          <t>Less than 15%</t>
        </is>
      </c>
      <c r="CC320" s="30">
        <f>IF(CB320="More than 15%",-10,IF(CB320="Less than 15%",10,0))</f>
        <v/>
      </c>
      <c r="CD320" s="30" t="inlineStr">
        <is>
          <t>No</t>
        </is>
      </c>
      <c r="CE320" s="30">
        <f>IF(CD320="Yes, more than 10%",-10,IF(CD320="No",10,0))</f>
        <v/>
      </c>
    </row>
    <row r="321">
      <c r="A321" s="30">
        <f>IF(B321=0,"",RANK(B321,$B$2:$B$361,0))</f>
        <v/>
      </c>
      <c r="B321" s="31">
        <f>SUM(N321,Y321,AA321,AC321,AE321,AG321,AI321,AK321,AM321,AO321,AQ321,AS321,AU321,AW321,AY321,BA321,BC321,BE321,BG321,BI321,BK321,BM321,BO321,BQ321,BS321,BU321,BW321,BY321,CA321,CC321,CE321)</f>
        <v/>
      </c>
      <c r="C321" s="32" t="inlineStr">
        <is>
          <t>MAITHANALL</t>
        </is>
      </c>
      <c r="D321" s="32" t="inlineStr">
        <is>
          <t>Maithan Alloys Limited</t>
        </is>
      </c>
      <c r="E321" s="30" t="inlineStr">
        <is>
          <t>metals &amp; mining</t>
        </is>
      </c>
      <c r="F321" s="30" t="inlineStr">
        <is>
          <t>mining / minerals / metals</t>
        </is>
      </c>
      <c r="G321" s="30" t="inlineStr">
        <is>
          <t>smallcap</t>
        </is>
      </c>
      <c r="H321" s="31" t="n">
        <v>3078.55</v>
      </c>
      <c r="I321" s="31" t="n">
        <v>1129.1</v>
      </c>
      <c r="J321" s="31" t="n">
        <v>6.77</v>
      </c>
      <c r="K321" s="31" t="n">
        <v>290072</v>
      </c>
      <c r="L321" s="30" t="n">
        <v>17</v>
      </c>
      <c r="M321" s="30" t="inlineStr">
        <is>
          <t>Underperforming</t>
        </is>
      </c>
      <c r="N321" s="31">
        <f>IF(M321="Underperforming",-5,IF(L321&gt;=95,15,IF(L321&gt;=90,10,IF(L321&gt;=80,5,0))))</f>
        <v/>
      </c>
      <c r="O321" s="31" t="n">
        <v>61.02</v>
      </c>
      <c r="P321" s="31" t="n">
        <v>15.94</v>
      </c>
      <c r="Q321" s="31" t="n">
        <v>882.55</v>
      </c>
      <c r="R321" s="30" t="inlineStr">
        <is>
          <t>Volume Spike / Accumulation</t>
        </is>
      </c>
      <c r="S321" s="30" t="inlineStr">
        <is>
          <t>Nifty Metal</t>
        </is>
      </c>
      <c r="T321" s="31" t="n">
        <v>42.38</v>
      </c>
      <c r="U321" s="31" t="n">
        <v>0.78</v>
      </c>
      <c r="V321" s="31" t="n">
        <v>-29.22</v>
      </c>
      <c r="W321" s="31" t="n">
        <v>5.44</v>
      </c>
      <c r="X321" s="30" t="inlineStr">
        <is>
          <t>Cyclical in an Upturn</t>
        </is>
      </c>
      <c r="Y321" s="30">
        <f>IF(X321="Growing Industry",10,IF(X321="Cyclical in an Upturn",5,0))</f>
        <v/>
      </c>
      <c r="Z321" s="30" t="inlineStr">
        <is>
          <t>Too Many Players with High ROCE</t>
        </is>
      </c>
      <c r="AA321" s="30">
        <f>IF(Z321="Monopoly",10,IF(Z321="Oligopoly",5,IF(Z321="Duopoly that cooperate",10,IF(Z321="Duopoly that compete",5,IF(Z321="Too many players with High ROCE",5,0)))))</f>
        <v/>
      </c>
      <c r="AB321" s="30" t="inlineStr">
        <is>
          <t>No</t>
        </is>
      </c>
      <c r="AC321" s="30">
        <f>IF(AB321="No",5,0)</f>
        <v/>
      </c>
      <c r="AD321" s="30" t="inlineStr">
        <is>
          <t>Tailwind</t>
        </is>
      </c>
      <c r="AE321" s="30">
        <f>IF(AD321="Tailwind",10,0)</f>
        <v/>
      </c>
      <c r="AF321" s="30" t="inlineStr">
        <is>
          <t>Cyclical</t>
        </is>
      </c>
      <c r="AG321" s="30">
        <f>IF(AF321="Structural (10 Years Consistency)",10,IF(AF321="Shallow Cyclical (2 to 3 years growth)",5,0))</f>
        <v/>
      </c>
      <c r="AH321" s="30" t="inlineStr">
        <is>
          <t>No</t>
        </is>
      </c>
      <c r="AI321" s="30">
        <f>IF(AH321="Yes due to Product Mix change or Operating Leverage",10,IF(AH321="Yes, these are peak margins",-5,IF(AH321="No",5,0)))</f>
        <v/>
      </c>
      <c r="AJ321" s="30" t="inlineStr">
        <is>
          <t>Volatile</t>
        </is>
      </c>
      <c r="AK321" s="30">
        <f>IF(AJ321="Stable",10,0)</f>
        <v/>
      </c>
      <c r="AL321" s="30" t="inlineStr">
        <is>
          <t>Yes</t>
        </is>
      </c>
      <c r="AM321" s="30">
        <f>IF(AL321="Yes",10,0)</f>
        <v/>
      </c>
      <c r="AN321" s="30" t="inlineStr">
        <is>
          <t>B2B</t>
        </is>
      </c>
      <c r="AO321" s="30">
        <f>IF(AN321="B2C",10,IF(AN321="B2B",5,0))</f>
        <v/>
      </c>
      <c r="AP321" s="30" t="inlineStr">
        <is>
          <t>Yes</t>
        </is>
      </c>
      <c r="AQ321" s="30">
        <f>IF(AP321="Yes",10,0)</f>
        <v/>
      </c>
      <c r="AR321" s="30" t="inlineStr">
        <is>
          <t>Higher One Time, Lower Annuity</t>
        </is>
      </c>
      <c r="AS321" s="30">
        <f>IF(AR321="Fully Annuity",10,IF(AR321="Higher Annuity, Lower One Time",5,IF(AR321="Higher One Time, Lower Annuity",3,0)))</f>
        <v/>
      </c>
      <c r="AT321" s="30" t="inlineStr">
        <is>
          <t>Good</t>
        </is>
      </c>
      <c r="AU321" s="30">
        <f>IF(AT321="Good",10,0)</f>
        <v/>
      </c>
      <c r="AV321" s="30" t="inlineStr">
        <is>
          <t>Yes for more than 2 years</t>
        </is>
      </c>
      <c r="AW321" s="30">
        <f>IF(AV321="Yes for more than 2 years",10,IF(AV321="Yes only for next 1 to 2 years",5,0))</f>
        <v/>
      </c>
      <c r="AX321" s="30" t="inlineStr">
        <is>
          <t>0 to 20</t>
        </is>
      </c>
      <c r="AY321" s="30">
        <f>IF(AX321="Above 40",20,IF(AX321="20 to 40",10,IF(AX321="0 to 20",-5,0)))</f>
        <v/>
      </c>
      <c r="AZ321" s="30" t="inlineStr">
        <is>
          <t>Between 50 to 75</t>
        </is>
      </c>
      <c r="BA321" s="30">
        <f>IF(AZ321="Between 50 to 75",10,IF(AZ321="Above 75",0,0))</f>
        <v/>
      </c>
      <c r="BB321" s="30" t="inlineStr">
        <is>
          <t>Stage 2</t>
        </is>
      </c>
      <c r="BC321" s="30">
        <f>IF(BB321="Stage 2",20,IF(BB321="Stage 1",0,IF(BB321="Stage 3",5,IF(BB321="Stage 4",-5,0))))</f>
        <v/>
      </c>
      <c r="BD321" s="30" t="inlineStr">
        <is>
          <t>Positive Trend</t>
        </is>
      </c>
      <c r="BE321" s="30">
        <f>IF(BD321="Positive Trend",20,IF(BD321="Negative Trend",-10,0))</f>
        <v/>
      </c>
      <c r="BF321" s="30" t="inlineStr">
        <is>
          <t>Uptrend</t>
        </is>
      </c>
      <c r="BG321" s="30">
        <f>IF(BF321="Uptrend",10,IF(BF321="Sideways",5,0))</f>
        <v/>
      </c>
      <c r="BH321" s="30" t="inlineStr">
        <is>
          <t>Uptrend</t>
        </is>
      </c>
      <c r="BI321" s="30">
        <f>IF(BH321="Uptrend",10,IF(BH321="Sideways",5,0))</f>
        <v/>
      </c>
      <c r="BJ321" s="30" t="inlineStr">
        <is>
          <t>Close to 52 week high or retracement</t>
        </is>
      </c>
      <c r="BK321" s="30">
        <f>IF(BJ321="Overhead supply in last 2 years in last 2 years",-5,IF(BJ321="Close to 52 week high or retracement",5,IF(BJ321="Blue sky scenario",10,IF(BJ321="Long term Downtrend",-10,0))))</f>
        <v/>
      </c>
      <c r="BL321" s="30" t="inlineStr">
        <is>
          <t>Yes</t>
        </is>
      </c>
      <c r="BM321" s="30">
        <f>IF(BL321="Yes",10,0)</f>
        <v/>
      </c>
      <c r="BN321" s="30" t="inlineStr">
        <is>
          <t>Less than 12%</t>
        </is>
      </c>
      <c r="BO321" s="30">
        <f>IF(BN321="More than 20%",10,IF(BN321="Between 12 to 20%",5,IF(BN321="Less than 12%",0,0)))</f>
        <v/>
      </c>
      <c r="BP321" s="30" t="inlineStr">
        <is>
          <t>No</t>
        </is>
      </c>
      <c r="BQ321" s="30">
        <f>IF(BP321="No",10,0)</f>
        <v/>
      </c>
      <c r="BR321" s="30" t="inlineStr">
        <is>
          <t>No</t>
        </is>
      </c>
      <c r="BS321" s="30">
        <f>IF(BR321="NO",5,0)</f>
        <v/>
      </c>
      <c r="BT321" s="30" t="inlineStr">
        <is>
          <t>Above 2</t>
        </is>
      </c>
      <c r="BU321" s="30">
        <f>IF(BT321="Above 2",0,IF(BT321="Between 1.5 to 2",5,IF(BT321="Less than 1.5",10,0)))</f>
        <v/>
      </c>
      <c r="BV321" s="30" t="inlineStr">
        <is>
          <t>Above 70%</t>
        </is>
      </c>
      <c r="BW321" s="30">
        <f>IF(BV321="Above 70%",10,IF(BV321="Between 50% to 70%",5,IF(BV321="Less than 50%",0,IF(BV321="Negative",-10,IF(BV321="Less than 50% and Borrowings are increasing",-5,0)))))</f>
        <v/>
      </c>
      <c r="BX321" s="30" t="inlineStr">
        <is>
          <t>Less than 0.7</t>
        </is>
      </c>
      <c r="BY321" s="30">
        <f>IF(BX321="More than 1.2",-10,IF(BX321="Between 0.7 to 1.2",0,IF(BX321="Less than 0.7",10,0)))</f>
        <v/>
      </c>
      <c r="BZ321" s="30" t="inlineStr">
        <is>
          <t>No</t>
        </is>
      </c>
      <c r="CA321" s="30">
        <f>IF(BZ321="Yes",-10,0)</f>
        <v/>
      </c>
      <c r="CB321" s="30" t="inlineStr">
        <is>
          <t>Less than 15%</t>
        </is>
      </c>
      <c r="CC321" s="30">
        <f>IF(CB321="More than 15%",-10,IF(CB321="Less than 15%",10,0))</f>
        <v/>
      </c>
      <c r="CD321" s="30" t="inlineStr">
        <is>
          <t>No</t>
        </is>
      </c>
      <c r="CE321" s="30">
        <f>IF(CD321="Yes, more than 10%",-10,IF(CD321="No",10,0))</f>
        <v/>
      </c>
    </row>
    <row r="322">
      <c r="A322" s="30">
        <f>IF(B322=0,"",RANK(B322,$B$2:$B$361,0))</f>
        <v/>
      </c>
      <c r="B322" s="31">
        <f>SUM(N322,Y322,AA322,AC322,AE322,AG322,AI322,AK322,AM322,AO322,AQ322,AS322,AU322,AW322,AY322,BA322,BC322,BE322,BG322,BI322,BK322,BM322,BO322,BQ322,BS322,BU322,BW322,BY322,CA322,CC322,CE322)</f>
        <v/>
      </c>
      <c r="C322" s="32" t="inlineStr">
        <is>
          <t>BUTTERFLY</t>
        </is>
      </c>
      <c r="D322" s="32" t="inlineStr">
        <is>
          <t>Butterfly Gandhimathi Appliances Limited</t>
        </is>
      </c>
      <c r="E322" s="30" t="inlineStr">
        <is>
          <t>consumer discretionary</t>
        </is>
      </c>
      <c r="F322" s="30" t="inlineStr">
        <is>
          <t>domestic appliances</t>
        </is>
      </c>
      <c r="G322" s="30" t="inlineStr">
        <is>
          <t>smallcap</t>
        </is>
      </c>
      <c r="H322" s="31" t="n">
        <v>1122.39</v>
      </c>
      <c r="I322" s="31" t="n">
        <v>664.1</v>
      </c>
      <c r="J322" s="31" t="n">
        <v>5.79</v>
      </c>
      <c r="K322" s="31" t="n">
        <v>153476</v>
      </c>
      <c r="L322" s="30" t="n">
        <v>1</v>
      </c>
      <c r="M322" s="30" t="inlineStr">
        <is>
          <t>Underperforming</t>
        </is>
      </c>
      <c r="N322" s="31">
        <f>IF(M322="Underperforming",-5,IF(L322&gt;=95,15,IF(L322&gt;=90,10,IF(L322&gt;=80,5,0))))</f>
        <v/>
      </c>
      <c r="O322" s="31" t="n">
        <v>53.34</v>
      </c>
      <c r="P322" s="31" t="n">
        <v>32.87</v>
      </c>
      <c r="Q322" s="31" t="n">
        <v>545.28</v>
      </c>
      <c r="R322" s="30" t="inlineStr">
        <is>
          <t>Earnings / Momentum Support</t>
        </is>
      </c>
      <c r="S322" s="30" t="inlineStr">
        <is>
          <t>Nifty 50</t>
        </is>
      </c>
      <c r="T322" s="31" t="n">
        <v>-4.09</v>
      </c>
      <c r="U322" s="31" t="n">
        <v>-7.42</v>
      </c>
      <c r="V322" s="31" t="n">
        <v>-3.47</v>
      </c>
      <c r="W322" s="31" t="n">
        <v>-0.75</v>
      </c>
      <c r="X322" s="30" t="inlineStr">
        <is>
          <t>Growing Industry</t>
        </is>
      </c>
      <c r="Y322" s="30">
        <f>IF(X322="Growing Industry",10,IF(X322="Cyclical in an Upturn",5,0))</f>
        <v/>
      </c>
      <c r="Z322" s="30" t="inlineStr">
        <is>
          <t>Too Many Players with High ROCE</t>
        </is>
      </c>
      <c r="AA322" s="30">
        <f>IF(Z322="Monopoly",10,IF(Z322="Oligopoly",5,IF(Z322="Duopoly that cooperate",10,IF(Z322="Duopoly that compete",5,IF(Z322="Too many players with High ROCE",5,0)))))</f>
        <v/>
      </c>
      <c r="AB322" s="30" t="inlineStr">
        <is>
          <t>No</t>
        </is>
      </c>
      <c r="AC322" s="30">
        <f>IF(AB322="No",5,0)</f>
        <v/>
      </c>
      <c r="AD322" s="30" t="inlineStr">
        <is>
          <t>Tailwind</t>
        </is>
      </c>
      <c r="AE322" s="30">
        <f>IF(AD322="Tailwind",10,0)</f>
        <v/>
      </c>
      <c r="AF322" s="30" t="inlineStr">
        <is>
          <t>Structural (10 Years Consistency)</t>
        </is>
      </c>
      <c r="AG322" s="30">
        <f>IF(AF322="Structural (10 Years Consistency)",10,IF(AF322="Shallow Cyclical (2 to 3 years growth)",5,0))</f>
        <v/>
      </c>
      <c r="AH322" s="30" t="inlineStr">
        <is>
          <t>No</t>
        </is>
      </c>
      <c r="AI322" s="30">
        <f>IF(AH322="Yes due to Product Mix change or Operating Leverage",10,IF(AH322="Yes, these are peak margins",-5,IF(AH322="No",5,0)))</f>
        <v/>
      </c>
      <c r="AJ322" s="30" t="inlineStr">
        <is>
          <t>Stable</t>
        </is>
      </c>
      <c r="AK322" s="30">
        <f>IF(AJ322="Stable",10,0)</f>
        <v/>
      </c>
      <c r="AL322" s="30" t="inlineStr">
        <is>
          <t>Yes</t>
        </is>
      </c>
      <c r="AM322" s="30">
        <f>IF(AL322="Yes",10,0)</f>
        <v/>
      </c>
      <c r="AN322" s="30" t="inlineStr">
        <is>
          <t>B2B</t>
        </is>
      </c>
      <c r="AO322" s="30">
        <f>IF(AN322="B2C",10,IF(AN322="B2B",5,0))</f>
        <v/>
      </c>
      <c r="AP322" s="30" t="inlineStr">
        <is>
          <t>No</t>
        </is>
      </c>
      <c r="AQ322" s="30">
        <f>IF(AP322="Yes",10,0)</f>
        <v/>
      </c>
      <c r="AR322" s="30" t="inlineStr">
        <is>
          <t>Higher One Time, Lower Annuity</t>
        </is>
      </c>
      <c r="AS322" s="30">
        <f>IF(AR322="Fully Annuity",10,IF(AR322="Higher Annuity, Lower One Time",5,IF(AR322="Higher One Time, Lower Annuity",3,0)))</f>
        <v/>
      </c>
      <c r="AT322" s="30" t="inlineStr">
        <is>
          <t>Good</t>
        </is>
      </c>
      <c r="AU322" s="30">
        <f>IF(AT322="Good",10,0)</f>
        <v/>
      </c>
      <c r="AV322" s="30" t="inlineStr">
        <is>
          <t>Yes for more than 2 years</t>
        </is>
      </c>
      <c r="AW322" s="30">
        <f>IF(AV322="Yes for more than 2 years",10,IF(AV322="Yes only for next 1 to 2 years",5,0))</f>
        <v/>
      </c>
      <c r="AX322" s="30" t="inlineStr">
        <is>
          <t>20 to 40</t>
        </is>
      </c>
      <c r="AY322" s="30">
        <f>IF(AX322="Above 40",20,IF(AX322="20 to 40",10,IF(AX322="0 to 20",-5,0)))</f>
        <v/>
      </c>
      <c r="AZ322" s="30" t="inlineStr">
        <is>
          <t>Between 50 to 75</t>
        </is>
      </c>
      <c r="BA322" s="30">
        <f>IF(AZ322="Between 50 to 75",10,IF(AZ322="Above 75",0,0))</f>
        <v/>
      </c>
      <c r="BB322" s="30" t="inlineStr">
        <is>
          <t>Stage 1</t>
        </is>
      </c>
      <c r="BC322" s="30">
        <f>IF(BB322="Stage 2",20,IF(BB322="Stage 1",0,IF(BB322="Stage 3",5,IF(BB322="Stage 4",-5,0))))</f>
        <v/>
      </c>
      <c r="BD322" s="30" t="inlineStr">
        <is>
          <t>Negative Trend</t>
        </is>
      </c>
      <c r="BE322" s="30">
        <f>IF(BD322="Positive Trend",20,IF(BD322="Negative Trend",-10,0))</f>
        <v/>
      </c>
      <c r="BF322" s="30" t="inlineStr">
        <is>
          <t>Uptrend</t>
        </is>
      </c>
      <c r="BG322" s="30">
        <f>IF(BF322="Uptrend",10,IF(BF322="Sideways",5,0))</f>
        <v/>
      </c>
      <c r="BH322" s="30" t="inlineStr">
        <is>
          <t>Uptrend</t>
        </is>
      </c>
      <c r="BI322" s="30">
        <f>IF(BH322="Uptrend",10,IF(BH322="Sideways",5,0))</f>
        <v/>
      </c>
      <c r="BJ322" s="30" t="inlineStr">
        <is>
          <t>Close to 52 week high or retracement</t>
        </is>
      </c>
      <c r="BK322" s="30">
        <f>IF(BJ322="Overhead supply in last 2 years in last 2 years",-5,IF(BJ322="Close to 52 week high or retracement",5,IF(BJ322="Blue sky scenario",10,IF(BJ322="Long term Downtrend",-10,0))))</f>
        <v/>
      </c>
      <c r="BL322" s="30" t="inlineStr">
        <is>
          <t>Yes</t>
        </is>
      </c>
      <c r="BM322" s="30">
        <f>IF(BL322="Yes",10,0)</f>
        <v/>
      </c>
      <c r="BN322" s="30" t="inlineStr">
        <is>
          <t>More than 20%</t>
        </is>
      </c>
      <c r="BO322" s="30">
        <f>IF(BN322="More than 20%",10,IF(BN322="Between 12 to 20%",5,IF(BN322="Less than 12%",0,0)))</f>
        <v/>
      </c>
      <c r="BP322" s="30" t="inlineStr">
        <is>
          <t>No</t>
        </is>
      </c>
      <c r="BQ322" s="30">
        <f>IF(BP322="No",10,0)</f>
        <v/>
      </c>
      <c r="BR322" s="30" t="inlineStr">
        <is>
          <t>No</t>
        </is>
      </c>
      <c r="BS322" s="30">
        <f>IF(BR322="NO",5,0)</f>
        <v/>
      </c>
      <c r="BT322" s="30" t="inlineStr">
        <is>
          <t>Less than 1.5</t>
        </is>
      </c>
      <c r="BU322" s="30">
        <f>IF(BT322="Above 2",0,IF(BT322="Between 1.5 to 2",5,IF(BT322="Less than 1.5",10,0)))</f>
        <v/>
      </c>
      <c r="BV322" s="30" t="inlineStr">
        <is>
          <t>Above 70%</t>
        </is>
      </c>
      <c r="BW322" s="30">
        <f>IF(BV322="Above 70%",10,IF(BV322="Between 50% to 70%",5,IF(BV322="Less than 50%",0,IF(BV322="Negative",-10,IF(BV322="Less than 50% and Borrowings are increasing",-5,0)))))</f>
        <v/>
      </c>
      <c r="BX322" s="30" t="inlineStr">
        <is>
          <t>Less than 0.7</t>
        </is>
      </c>
      <c r="BY322" s="30">
        <f>IF(BX322="More than 1.2",-10,IF(BX322="Between 0.7 to 1.2",0,IF(BX322="Less than 0.7",10,0)))</f>
        <v/>
      </c>
      <c r="BZ322" s="30" t="inlineStr">
        <is>
          <t>No</t>
        </is>
      </c>
      <c r="CA322" s="30">
        <f>IF(BZ322="Yes",-10,0)</f>
        <v/>
      </c>
      <c r="CB322" s="30" t="inlineStr">
        <is>
          <t>Less than 15%</t>
        </is>
      </c>
      <c r="CC322" s="30">
        <f>IF(CB322="More than 15%",-10,IF(CB322="Less than 15%",10,0))</f>
        <v/>
      </c>
      <c r="CD322" s="30" t="inlineStr">
        <is>
          <t>No</t>
        </is>
      </c>
      <c r="CE322" s="30">
        <f>IF(CD322="Yes, more than 10%",-10,IF(CD322="No",10,0))</f>
        <v/>
      </c>
    </row>
    <row r="323">
      <c r="A323" s="30">
        <f>IF(B323=0,"",RANK(B323,$B$2:$B$361,0))</f>
        <v/>
      </c>
      <c r="B323" s="31">
        <f>SUM(N323,Y323,AA323,AC323,AE323,AG323,AI323,AK323,AM323,AO323,AQ323,AS323,AU323,AW323,AY323,BA323,BC323,BE323,BG323,BI323,BK323,BM323,BO323,BQ323,BS323,BU323,BW323,BY323,CA323,CC323,CE323)</f>
        <v/>
      </c>
      <c r="C323" s="30" t="inlineStr">
        <is>
          <t>KRYSTAL</t>
        </is>
      </c>
      <c r="D323" s="30" t="inlineStr">
        <is>
          <t>Krystal Integrated Services Ltd</t>
        </is>
      </c>
      <c r="E323" s="30" t="inlineStr">
        <is>
          <t>miscellaneous</t>
        </is>
      </c>
      <c r="F323" s="30" t="inlineStr">
        <is>
          <t>miscellaneous</t>
        </is>
      </c>
      <c r="G323" s="30" t="inlineStr">
        <is>
          <t>smallcap</t>
        </is>
      </c>
      <c r="H323" s="31" t="n">
        <v>804.92</v>
      </c>
      <c r="I323" s="31" t="n">
        <v>600.3</v>
      </c>
      <c r="J323" s="31" t="n">
        <v>4.2</v>
      </c>
      <c r="K323" s="31" t="n">
        <v>69077</v>
      </c>
      <c r="L323" s="30" t="n">
        <v>5</v>
      </c>
      <c r="M323" s="30" t="inlineStr">
        <is>
          <t>Outperforming</t>
        </is>
      </c>
      <c r="N323" s="31">
        <f>IF(M323="Underperforming",-5,IF(L323&gt;=95,15,IF(L323&gt;=90,10,IF(L323&gt;=80,5,0))))</f>
        <v/>
      </c>
      <c r="O323" s="31" t="n">
        <v>53.97</v>
      </c>
      <c r="P323" s="31" t="n">
        <v>14.92</v>
      </c>
      <c r="Q323" s="31" t="n">
        <v>479.19</v>
      </c>
      <c r="R323" s="30" t="inlineStr">
        <is>
          <t>Earnings / Momentum Support</t>
        </is>
      </c>
      <c r="S323" s="30" t="inlineStr">
        <is>
          <t>Nifty 50</t>
        </is>
      </c>
      <c r="T323" s="31" t="n">
        <v>-4.09</v>
      </c>
      <c r="U323" s="31" t="n">
        <v>1.78</v>
      </c>
      <c r="V323" s="31" t="n">
        <v>6.12</v>
      </c>
      <c r="W323" s="31" t="n">
        <v>2.73</v>
      </c>
      <c r="X323" s="30" t="inlineStr">
        <is>
          <t>Growing Industry</t>
        </is>
      </c>
      <c r="Y323" s="30">
        <f>IF(X323="Growing Industry",10,IF(X323="Cyclical in an Upturn",5,0))</f>
        <v/>
      </c>
      <c r="Z323" s="30" t="inlineStr">
        <is>
          <t>Too Many Players with High ROCE</t>
        </is>
      </c>
      <c r="AA323" s="30">
        <f>IF(Z323="Monopoly",10,IF(Z323="Oligopoly",5,IF(Z323="Duopoly that cooperate",10,IF(Z323="Duopoly that compete",5,IF(Z323="Too many players with High ROCE",5,0)))))</f>
        <v/>
      </c>
      <c r="AB323" s="30" t="inlineStr">
        <is>
          <t>No</t>
        </is>
      </c>
      <c r="AC323" s="30">
        <f>IF(AB323="No",5,0)</f>
        <v/>
      </c>
      <c r="AD323" s="30" t="inlineStr">
        <is>
          <t>Tailwind</t>
        </is>
      </c>
      <c r="AE323" s="30">
        <f>IF(AD323="Tailwind",10,0)</f>
        <v/>
      </c>
      <c r="AF323" s="30" t="inlineStr">
        <is>
          <t>Structural (10 Years Consistency)</t>
        </is>
      </c>
      <c r="AG323" s="30">
        <f>IF(AF323="Structural (10 Years Consistency)",10,IF(AF323="Shallow Cyclical (2 to 3 years growth)",5,0))</f>
        <v/>
      </c>
      <c r="AH323" s="30" t="inlineStr">
        <is>
          <t>No</t>
        </is>
      </c>
      <c r="AI323" s="30">
        <f>IF(AH323="Yes due to Product Mix change or Operating Leverage",10,IF(AH323="Yes, these are peak margins",-5,IF(AH323="No",5,0)))</f>
        <v/>
      </c>
      <c r="AJ323" s="30" t="inlineStr">
        <is>
          <t>Stable</t>
        </is>
      </c>
      <c r="AK323" s="30">
        <f>IF(AJ323="Stable",10,0)</f>
        <v/>
      </c>
      <c r="AL323" s="30" t="inlineStr">
        <is>
          <t>Yes</t>
        </is>
      </c>
      <c r="AM323" s="30">
        <f>IF(AL323="Yes",10,0)</f>
        <v/>
      </c>
      <c r="AN323" s="30" t="inlineStr">
        <is>
          <t>B2B</t>
        </is>
      </c>
      <c r="AO323" s="30">
        <f>IF(AN323="B2C",10,IF(AN323="B2B",5,0))</f>
        <v/>
      </c>
      <c r="AP323" s="30" t="inlineStr">
        <is>
          <t>No</t>
        </is>
      </c>
      <c r="AQ323" s="30">
        <f>IF(AP323="Yes",10,0)</f>
        <v/>
      </c>
      <c r="AR323" s="30" t="inlineStr">
        <is>
          <t>Higher One Time, Lower Annuity</t>
        </is>
      </c>
      <c r="AS323" s="30">
        <f>IF(AR323="Fully Annuity",10,IF(AR323="Higher Annuity, Lower One Time",5,IF(AR323="Higher One Time, Lower Annuity",3,0)))</f>
        <v/>
      </c>
      <c r="AT323" s="30" t="inlineStr">
        <is>
          <t>Good</t>
        </is>
      </c>
      <c r="AU323" s="30">
        <f>IF(AT323="Good",10,0)</f>
        <v/>
      </c>
      <c r="AV323" s="30" t="inlineStr">
        <is>
          <t>Yes for more than 2 years</t>
        </is>
      </c>
      <c r="AW323" s="30">
        <f>IF(AV323="Yes for more than 2 years",10,IF(AV323="Yes only for next 1 to 2 years",5,0))</f>
        <v/>
      </c>
      <c r="AX323" s="30" t="inlineStr">
        <is>
          <t>0 to 20</t>
        </is>
      </c>
      <c r="AY323" s="30">
        <f>IF(AX323="Above 40",20,IF(AX323="20 to 40",10,IF(AX323="0 to 20",-5,0)))</f>
        <v/>
      </c>
      <c r="AZ323" s="30" t="inlineStr">
        <is>
          <t>Between 50 to 75</t>
        </is>
      </c>
      <c r="BA323" s="30">
        <f>IF(AZ323="Between 50 to 75",10,IF(AZ323="Above 75",0,0))</f>
        <v/>
      </c>
      <c r="BB323" s="30" t="inlineStr">
        <is>
          <t>Stage 1</t>
        </is>
      </c>
      <c r="BC323" s="30">
        <f>IF(BB323="Stage 2",20,IF(BB323="Stage 1",0,IF(BB323="Stage 3",5,IF(BB323="Stage 4",-5,0))))</f>
        <v/>
      </c>
      <c r="BD323" s="30" t="inlineStr">
        <is>
          <t>Positive Trend</t>
        </is>
      </c>
      <c r="BE323" s="30">
        <f>IF(BD323="Positive Trend",20,IF(BD323="Negative Trend",-10,0))</f>
        <v/>
      </c>
      <c r="BF323" s="30" t="inlineStr">
        <is>
          <t>Uptrend</t>
        </is>
      </c>
      <c r="BG323" s="30">
        <f>IF(BF323="Uptrend",10,IF(BF323="Sideways",5,0))</f>
        <v/>
      </c>
      <c r="BH323" s="30" t="inlineStr">
        <is>
          <t>Uptrend</t>
        </is>
      </c>
      <c r="BI323" s="30">
        <f>IF(BH323="Uptrend",10,IF(BH323="Sideways",5,0))</f>
        <v/>
      </c>
      <c r="BJ323" s="30" t="inlineStr">
        <is>
          <t>Close to 52 week high or retracement</t>
        </is>
      </c>
      <c r="BK323" s="30">
        <f>IF(BJ323="Overhead supply in last 2 years in last 2 years",-5,IF(BJ323="Close to 52 week high or retracement",5,IF(BJ323="Blue sky scenario",10,IF(BJ323="Long term Downtrend",-10,0))))</f>
        <v/>
      </c>
      <c r="BL323" s="30" t="inlineStr">
        <is>
          <t>Yes</t>
        </is>
      </c>
      <c r="BM323" s="30">
        <f>IF(BL323="Yes",10,0)</f>
        <v/>
      </c>
      <c r="BN323" s="30" t="inlineStr">
        <is>
          <t>Less than 12%</t>
        </is>
      </c>
      <c r="BO323" s="30">
        <f>IF(BN323="More than 20%",10,IF(BN323="Between 12 to 20%",5,IF(BN323="Less than 12%",0,0)))</f>
        <v/>
      </c>
      <c r="BP323" s="30" t="inlineStr">
        <is>
          <t>No</t>
        </is>
      </c>
      <c r="BQ323" s="30">
        <f>IF(BP323="No",10,0)</f>
        <v/>
      </c>
      <c r="BR323" s="30" t="inlineStr">
        <is>
          <t>No</t>
        </is>
      </c>
      <c r="BS323" s="30">
        <f>IF(BR323="NO",5,0)</f>
        <v/>
      </c>
      <c r="BT323" s="30" t="inlineStr">
        <is>
          <t>Less than 1.5</t>
        </is>
      </c>
      <c r="BU323" s="30">
        <f>IF(BT323="Above 2",0,IF(BT323="Between 1.5 to 2",5,IF(BT323="Less than 1.5",10,0)))</f>
        <v/>
      </c>
      <c r="BV323" s="30" t="inlineStr">
        <is>
          <t>Less than 50%</t>
        </is>
      </c>
      <c r="BW323" s="30">
        <f>IF(BV323="Above 70%",10,IF(BV323="Between 50% to 70%",5,IF(BV323="Less than 50%",0,IF(BV323="Negative",-10,IF(BV323="Less than 50% and Borrowings are increasing",-5,0)))))</f>
        <v/>
      </c>
      <c r="BX323" s="30" t="inlineStr">
        <is>
          <t>Less than 0.7</t>
        </is>
      </c>
      <c r="BY323" s="30">
        <f>IF(BX323="More than 1.2",-10,IF(BX323="Between 0.7 to 1.2",0,IF(BX323="Less than 0.7",10,0)))</f>
        <v/>
      </c>
      <c r="BZ323" s="30" t="inlineStr">
        <is>
          <t>No</t>
        </is>
      </c>
      <c r="CA323" s="30">
        <f>IF(BZ323="Yes",-10,0)</f>
        <v/>
      </c>
      <c r="CB323" s="30" t="inlineStr">
        <is>
          <t>Less than 15%</t>
        </is>
      </c>
      <c r="CC323" s="30">
        <f>IF(CB323="More than 15%",-10,IF(CB323="Less than 15%",10,0))</f>
        <v/>
      </c>
      <c r="CD323" s="30" t="inlineStr">
        <is>
          <t>No</t>
        </is>
      </c>
      <c r="CE323" s="30">
        <f>IF(CD323="Yes, more than 10%",-10,IF(CD323="No",10,0))</f>
        <v/>
      </c>
    </row>
    <row r="324">
      <c r="A324" s="30">
        <f>IF(B324=0,"",RANK(B324,$B$2:$B$361,0))</f>
        <v/>
      </c>
      <c r="B324" s="31">
        <f>SUM(N324,Y324,AA324,AC324,AE324,AG324,AI324,AK324,AM324,AO324,AQ324,AS324,AU324,AW324,AY324,BA324,BC324,BE324,BG324,BI324,BK324,BM324,BO324,BQ324,BS324,BU324,BW324,BY324,CA324,CC324,CE324)</f>
        <v/>
      </c>
      <c r="C324" s="30" t="inlineStr">
        <is>
          <t>AVANTEL</t>
        </is>
      </c>
      <c r="D324" s="30" t="inlineStr">
        <is>
          <t>Avantel Ltd</t>
        </is>
      </c>
      <c r="E324" s="30" t="inlineStr">
        <is>
          <t>aerospace &amp; defence</t>
        </is>
      </c>
      <c r="F324" s="30" t="inlineStr">
        <is>
          <t>telecommunications - equipment</t>
        </is>
      </c>
      <c r="G324" s="30" t="inlineStr">
        <is>
          <t>smallcap</t>
        </is>
      </c>
      <c r="H324" s="31" t="n">
        <v>4501.67</v>
      </c>
      <c r="I324" s="31" t="n">
        <v>174.81</v>
      </c>
      <c r="J324" s="31" t="n">
        <v>3.18</v>
      </c>
      <c r="K324" s="31" t="n">
        <v>3257366</v>
      </c>
      <c r="L324" s="30" t="n">
        <v>46</v>
      </c>
      <c r="M324" s="30" t="inlineStr">
        <is>
          <t>Outperforming</t>
        </is>
      </c>
      <c r="N324" s="31">
        <f>IF(M324="Underperforming",-5,IF(L324&gt;=95,15,IF(L324&gt;=90,10,IF(L324&gt;=80,5,0))))</f>
        <v/>
      </c>
      <c r="O324" s="31" t="n">
        <v>58.45</v>
      </c>
      <c r="P324" s="31" t="n">
        <v>13.34</v>
      </c>
      <c r="Q324" s="31" t="n">
        <v>127.57</v>
      </c>
      <c r="R324" s="30" t="inlineStr">
        <is>
          <t>Earnings / Momentum Support</t>
        </is>
      </c>
      <c r="S324" s="30" t="inlineStr">
        <is>
          <t>Nifty 50</t>
        </is>
      </c>
      <c r="T324" s="31" t="n">
        <v>-4.09</v>
      </c>
      <c r="U324" s="31" t="n">
        <v>12.98</v>
      </c>
      <c r="V324" s="31" t="n">
        <v>17.79</v>
      </c>
      <c r="W324" s="31" t="n">
        <v>11.99</v>
      </c>
      <c r="X324" s="30" t="inlineStr">
        <is>
          <t>Growing Industry</t>
        </is>
      </c>
      <c r="Y324" s="30">
        <f>IF(X324="Growing Industry",10,IF(X324="Cyclical in an Upturn",5,0))</f>
        <v/>
      </c>
      <c r="Z324" s="30" t="inlineStr">
        <is>
          <t>Oligopoly</t>
        </is>
      </c>
      <c r="AA324" s="30">
        <f>IF(Z324="Monopoly",10,IF(Z324="Oligopoly",5,IF(Z324="Duopoly that cooperate",10,IF(Z324="Duopoly that compete",5,IF(Z324="Too many players with High ROCE",5,0)))))</f>
        <v/>
      </c>
      <c r="AB324" s="30" t="inlineStr">
        <is>
          <t>Yes</t>
        </is>
      </c>
      <c r="AC324" s="30">
        <f>IF(AB324="No",5,0)</f>
        <v/>
      </c>
      <c r="AD324" s="30" t="inlineStr">
        <is>
          <t>Tailwind</t>
        </is>
      </c>
      <c r="AE324" s="30">
        <f>IF(AD324="Tailwind",10,0)</f>
        <v/>
      </c>
      <c r="AF324" s="30" t="inlineStr">
        <is>
          <t>Structural (10 Years Consistency)</t>
        </is>
      </c>
      <c r="AG324" s="30">
        <f>IF(AF324="Structural (10 Years Consistency)",10,IF(AF324="Shallow Cyclical (2 to 3 years growth)",5,0))</f>
        <v/>
      </c>
      <c r="AH324" s="30" t="inlineStr">
        <is>
          <t>No</t>
        </is>
      </c>
      <c r="AI324" s="30">
        <f>IF(AH324="Yes due to Product Mix change or Operating Leverage",10,IF(AH324="Yes, these are peak margins",-5,IF(AH324="No",5,0)))</f>
        <v/>
      </c>
      <c r="AJ324" s="30" t="inlineStr">
        <is>
          <t>Stable</t>
        </is>
      </c>
      <c r="AK324" s="30">
        <f>IF(AJ324="Stable",10,0)</f>
        <v/>
      </c>
      <c r="AL324" s="30" t="inlineStr">
        <is>
          <t>Yes</t>
        </is>
      </c>
      <c r="AM324" s="30">
        <f>IF(AL324="Yes",10,0)</f>
        <v/>
      </c>
      <c r="AN324" s="30" t="inlineStr">
        <is>
          <t>B2B</t>
        </is>
      </c>
      <c r="AO324" s="30">
        <f>IF(AN324="B2C",10,IF(AN324="B2B",5,0))</f>
        <v/>
      </c>
      <c r="AP324" s="30" t="inlineStr">
        <is>
          <t>No</t>
        </is>
      </c>
      <c r="AQ324" s="30">
        <f>IF(AP324="Yes",10,0)</f>
        <v/>
      </c>
      <c r="AR324" s="30" t="inlineStr">
        <is>
          <t>Higher One Time, Lower Annuity</t>
        </is>
      </c>
      <c r="AS324" s="30">
        <f>IF(AR324="Fully Annuity",10,IF(AR324="Higher Annuity, Lower One Time",5,IF(AR324="Higher One Time, Lower Annuity",3,0)))</f>
        <v/>
      </c>
      <c r="AT324" s="30" t="inlineStr">
        <is>
          <t>Good</t>
        </is>
      </c>
      <c r="AU324" s="30">
        <f>IF(AT324="Good",10,0)</f>
        <v/>
      </c>
      <c r="AV324" s="30" t="inlineStr">
        <is>
          <t>Yes for more than 2 years</t>
        </is>
      </c>
      <c r="AW324" s="30">
        <f>IF(AV324="Yes for more than 2 years",10,IF(AV324="Yes only for next 1 to 2 years",5,0))</f>
        <v/>
      </c>
      <c r="AX324" s="30" t="inlineStr">
        <is>
          <t>0 to 20</t>
        </is>
      </c>
      <c r="AY324" s="30">
        <f>IF(AX324="Above 40",20,IF(AX324="20 to 40",10,IF(AX324="0 to 20",-5,0)))</f>
        <v/>
      </c>
      <c r="AZ324" s="30" t="inlineStr">
        <is>
          <t>Between 50 to 75</t>
        </is>
      </c>
      <c r="BA324" s="30">
        <f>IF(AZ324="Between 50 to 75",10,IF(AZ324="Above 75",0,0))</f>
        <v/>
      </c>
      <c r="BB324" s="30" t="inlineStr">
        <is>
          <t>Stage 2</t>
        </is>
      </c>
      <c r="BC324" s="30">
        <f>IF(BB324="Stage 2",20,IF(BB324="Stage 1",0,IF(BB324="Stage 3",5,IF(BB324="Stage 4",-5,0))))</f>
        <v/>
      </c>
      <c r="BD324" s="30" t="inlineStr">
        <is>
          <t>Positive Trend</t>
        </is>
      </c>
      <c r="BE324" s="30">
        <f>IF(BD324="Positive Trend",20,IF(BD324="Negative Trend",-10,0))</f>
        <v/>
      </c>
      <c r="BF324" s="30" t="inlineStr">
        <is>
          <t>Uptrend</t>
        </is>
      </c>
      <c r="BG324" s="30">
        <f>IF(BF324="Uptrend",10,IF(BF324="Sideways",5,0))</f>
        <v/>
      </c>
      <c r="BH324" s="30" t="inlineStr">
        <is>
          <t>Uptrend</t>
        </is>
      </c>
      <c r="BI324" s="30">
        <f>IF(BH324="Uptrend",10,IF(BH324="Sideways",5,0))</f>
        <v/>
      </c>
      <c r="BJ324" s="30" t="inlineStr">
        <is>
          <t>Close to 52 week high or retracement</t>
        </is>
      </c>
      <c r="BK324" s="30">
        <f>IF(BJ324="Overhead supply in last 2 years in last 2 years",-5,IF(BJ324="Close to 52 week high or retracement",5,IF(BJ324="Blue sky scenario",10,IF(BJ324="Long term Downtrend",-10,0))))</f>
        <v/>
      </c>
      <c r="BL324" s="30" t="inlineStr">
        <is>
          <t>Yes</t>
        </is>
      </c>
      <c r="BM324" s="30">
        <f>IF(BL324="Yes",10,0)</f>
        <v/>
      </c>
      <c r="BN324" s="30" t="inlineStr">
        <is>
          <t>Less than 12%</t>
        </is>
      </c>
      <c r="BO324" s="30">
        <f>IF(BN324="More than 20%",10,IF(BN324="Between 12 to 20%",5,IF(BN324="Less than 12%",0,0)))</f>
        <v/>
      </c>
      <c r="BP324" s="30" t="inlineStr">
        <is>
          <t>No</t>
        </is>
      </c>
      <c r="BQ324" s="30">
        <f>IF(BP324="No",10,0)</f>
        <v/>
      </c>
      <c r="BR324" s="30" t="inlineStr">
        <is>
          <t>Yes</t>
        </is>
      </c>
      <c r="BS324" s="30">
        <f>IF(BR324="NO",5,0)</f>
        <v/>
      </c>
      <c r="BT324" s="30" t="inlineStr">
        <is>
          <t>Above 2</t>
        </is>
      </c>
      <c r="BU324" s="30">
        <f>IF(BT324="Above 2",0,IF(BT324="Between 1.5 to 2",5,IF(BT324="Less than 1.5",10,0)))</f>
        <v/>
      </c>
      <c r="BV324" s="30" t="inlineStr">
        <is>
          <t>Less than 50%</t>
        </is>
      </c>
      <c r="BW324" s="30">
        <f>IF(BV324="Above 70%",10,IF(BV324="Between 50% to 70%",5,IF(BV324="Less than 50%",0,IF(BV324="Negative",-10,IF(BV324="Less than 50% and Borrowings are increasing",-5,0)))))</f>
        <v/>
      </c>
      <c r="BX324" s="30" t="inlineStr">
        <is>
          <t>Less than 0.7</t>
        </is>
      </c>
      <c r="BY324" s="30">
        <f>IF(BX324="More than 1.2",-10,IF(BX324="Between 0.7 to 1.2",0,IF(BX324="Less than 0.7",10,0)))</f>
        <v/>
      </c>
      <c r="BZ324" s="30" t="inlineStr">
        <is>
          <t>No</t>
        </is>
      </c>
      <c r="CA324" s="30">
        <f>IF(BZ324="Yes",-10,0)</f>
        <v/>
      </c>
      <c r="CB324" s="30" t="inlineStr">
        <is>
          <t>Less than 15%</t>
        </is>
      </c>
      <c r="CC324" s="30">
        <f>IF(CB324="More than 15%",-10,IF(CB324="Less than 15%",10,0))</f>
        <v/>
      </c>
      <c r="CD324" s="30" t="inlineStr">
        <is>
          <t>No</t>
        </is>
      </c>
      <c r="CE324" s="30">
        <f>IF(CD324="Yes, more than 10%",-10,IF(CD324="No",10,0))</f>
        <v/>
      </c>
    </row>
    <row r="325">
      <c r="A325" s="30">
        <f>IF(B325=0,"",RANK(B325,$B$2:$B$361,0))</f>
        <v/>
      </c>
      <c r="B325" s="31">
        <f>SUM(N325,Y325,AA325,AC325,AE325,AG325,AI325,AK325,AM325,AO325,AQ325,AS325,AU325,AW325,AY325,BA325,BC325,BE325,BG325,BI325,BK325,BM325,BO325,BQ325,BS325,BU325,BW325,BY325,CA325,CC325,CE325)</f>
        <v/>
      </c>
      <c r="C325" s="32" t="inlineStr">
        <is>
          <t>AUTOAXLES</t>
        </is>
      </c>
      <c r="D325" s="32" t="inlineStr">
        <is>
          <t>Automotive Axles Limited</t>
        </is>
      </c>
      <c r="E325" s="30" t="inlineStr">
        <is>
          <t>auto</t>
        </is>
      </c>
      <c r="F325" s="30" t="inlineStr">
        <is>
          <t>auto ancillaries</t>
        </is>
      </c>
      <c r="G325" s="30" t="inlineStr">
        <is>
          <t>smallcap</t>
        </is>
      </c>
      <c r="H325" s="31" t="n">
        <v>2682.22</v>
      </c>
      <c r="I325" s="31" t="n">
        <v>1800.1</v>
      </c>
      <c r="J325" s="31" t="n">
        <v>1.42</v>
      </c>
      <c r="K325" s="31" t="n">
        <v>7506</v>
      </c>
      <c r="L325" s="30" t="n">
        <v>4</v>
      </c>
      <c r="M325" s="30" t="inlineStr">
        <is>
          <t>Underperforming</t>
        </is>
      </c>
      <c r="N325" s="31">
        <f>IF(M325="Underperforming",-5,IF(L325&gt;=95,15,IF(L325&gt;=90,10,IF(L325&gt;=80,5,0))))</f>
        <v/>
      </c>
      <c r="O325" s="31" t="n">
        <v>50.84</v>
      </c>
      <c r="P325" s="31" t="n">
        <v>11.19</v>
      </c>
      <c r="Q325" s="31" t="n">
        <v>1483.61</v>
      </c>
      <c r="R325" s="30" t="inlineStr">
        <is>
          <t>Earnings / Momentum Support</t>
        </is>
      </c>
      <c r="S325" s="30" t="inlineStr">
        <is>
          <t>Nifty Auto</t>
        </is>
      </c>
      <c r="T325" s="31" t="n">
        <v>12.86</v>
      </c>
      <c r="U325" s="31" t="n">
        <v>2.79</v>
      </c>
      <c r="V325" s="31" t="n">
        <v>-8.92</v>
      </c>
      <c r="W325" s="31" t="n">
        <v>2.37</v>
      </c>
      <c r="X325" s="30" t="inlineStr">
        <is>
          <t>Growing Industry</t>
        </is>
      </c>
      <c r="Y325" s="30">
        <f>IF(X325="Growing Industry",10,IF(X325="Cyclical in an Upturn",5,0))</f>
        <v/>
      </c>
      <c r="Z325" s="30" t="inlineStr">
        <is>
          <t>Too Many Players with High ROCE</t>
        </is>
      </c>
      <c r="AA325" s="30">
        <f>IF(Z325="Monopoly",10,IF(Z325="Oligopoly",5,IF(Z325="Duopoly that cooperate",10,IF(Z325="Duopoly that compete",5,IF(Z325="Too many players with High ROCE",5,0)))))</f>
        <v/>
      </c>
      <c r="AB325" s="30" t="inlineStr">
        <is>
          <t>No</t>
        </is>
      </c>
      <c r="AC325" s="30">
        <f>IF(AB325="No",5,0)</f>
        <v/>
      </c>
      <c r="AD325" s="30" t="inlineStr">
        <is>
          <t>Headwind</t>
        </is>
      </c>
      <c r="AE325" s="30">
        <f>IF(AD325="Tailwind",10,0)</f>
        <v/>
      </c>
      <c r="AF325" s="30" t="inlineStr">
        <is>
          <t>Structural (10 Years Consistency)</t>
        </is>
      </c>
      <c r="AG325" s="30">
        <f>IF(AF325="Structural (10 Years Consistency)",10,IF(AF325="Shallow Cyclical (2 to 3 years growth)",5,0))</f>
        <v/>
      </c>
      <c r="AH325" s="30" t="inlineStr">
        <is>
          <t>No</t>
        </is>
      </c>
      <c r="AI325" s="30">
        <f>IF(AH325="Yes due to Product Mix change or Operating Leverage",10,IF(AH325="Yes, these are peak margins",-5,IF(AH325="No",5,0)))</f>
        <v/>
      </c>
      <c r="AJ325" s="30" t="inlineStr">
        <is>
          <t>Stable</t>
        </is>
      </c>
      <c r="AK325" s="30">
        <f>IF(AJ325="Stable",10,0)</f>
        <v/>
      </c>
      <c r="AL325" s="30" t="inlineStr">
        <is>
          <t>Yes</t>
        </is>
      </c>
      <c r="AM325" s="30">
        <f>IF(AL325="Yes",10,0)</f>
        <v/>
      </c>
      <c r="AN325" s="30" t="inlineStr">
        <is>
          <t>B2B</t>
        </is>
      </c>
      <c r="AO325" s="30">
        <f>IF(AN325="B2C",10,IF(AN325="B2B",5,0))</f>
        <v/>
      </c>
      <c r="AP325" s="30" t="inlineStr">
        <is>
          <t>No</t>
        </is>
      </c>
      <c r="AQ325" s="30">
        <f>IF(AP325="Yes",10,0)</f>
        <v/>
      </c>
      <c r="AR325" s="30" t="inlineStr">
        <is>
          <t>Higher One Time, Lower Annuity</t>
        </is>
      </c>
      <c r="AS325" s="30">
        <f>IF(AR325="Fully Annuity",10,IF(AR325="Higher Annuity, Lower One Time",5,IF(AR325="Higher One Time, Lower Annuity",3,0)))</f>
        <v/>
      </c>
      <c r="AT325" s="30" t="inlineStr">
        <is>
          <t>Good</t>
        </is>
      </c>
      <c r="AU325" s="30">
        <f>IF(AT325="Good",10,0)</f>
        <v/>
      </c>
      <c r="AV325" s="30" t="inlineStr">
        <is>
          <t>Yes for more than 2 years</t>
        </is>
      </c>
      <c r="AW325" s="30">
        <f>IF(AV325="Yes for more than 2 years",10,IF(AV325="Yes only for next 1 to 2 years",5,0))</f>
        <v/>
      </c>
      <c r="AX325" s="30" t="inlineStr">
        <is>
          <t>0 to 20</t>
        </is>
      </c>
      <c r="AY325" s="30">
        <f>IF(AX325="Above 40",20,IF(AX325="20 to 40",10,IF(AX325="0 to 20",-5,0)))</f>
        <v/>
      </c>
      <c r="AZ325" s="30" t="inlineStr">
        <is>
          <t>Between 50 to 75</t>
        </is>
      </c>
      <c r="BA325" s="30">
        <f>IF(AZ325="Between 50 to 75",10,IF(AZ325="Above 75",0,0))</f>
        <v/>
      </c>
      <c r="BB325" s="30" t="inlineStr">
        <is>
          <t>Stage 1</t>
        </is>
      </c>
      <c r="BC325" s="30">
        <f>IF(BB325="Stage 2",20,IF(BB325="Stage 1",0,IF(BB325="Stage 3",5,IF(BB325="Stage 4",-5,0))))</f>
        <v/>
      </c>
      <c r="BD325" s="30" t="inlineStr">
        <is>
          <t>Positive Trend</t>
        </is>
      </c>
      <c r="BE325" s="30">
        <f>IF(BD325="Positive Trend",20,IF(BD325="Negative Trend",-10,0))</f>
        <v/>
      </c>
      <c r="BF325" s="30" t="inlineStr">
        <is>
          <t>Uptrend</t>
        </is>
      </c>
      <c r="BG325" s="30">
        <f>IF(BF325="Uptrend",10,IF(BF325="Sideways",5,0))</f>
        <v/>
      </c>
      <c r="BH325" s="30" t="inlineStr">
        <is>
          <t>Uptrend</t>
        </is>
      </c>
      <c r="BI325" s="30">
        <f>IF(BH325="Uptrend",10,IF(BH325="Sideways",5,0))</f>
        <v/>
      </c>
      <c r="BJ325" s="30" t="inlineStr">
        <is>
          <t>Close to 52 week high or retracement</t>
        </is>
      </c>
      <c r="BK325" s="30">
        <f>IF(BJ325="Overhead supply in last 2 years in last 2 years",-5,IF(BJ325="Close to 52 week high or retracement",5,IF(BJ325="Blue sky scenario",10,IF(BJ325="Long term Downtrend",-10,0))))</f>
        <v/>
      </c>
      <c r="BL325" s="30" t="inlineStr">
        <is>
          <t>Yes</t>
        </is>
      </c>
      <c r="BM325" s="30">
        <f>IF(BL325="Yes",10,0)</f>
        <v/>
      </c>
      <c r="BN325" s="30" t="inlineStr">
        <is>
          <t>Between 12 to 20%</t>
        </is>
      </c>
      <c r="BO325" s="30">
        <f>IF(BN325="More than 20%",10,IF(BN325="Between 12 to 20%",5,IF(BN325="Less than 12%",0,0)))</f>
        <v/>
      </c>
      <c r="BP325" s="30" t="inlineStr">
        <is>
          <t>No</t>
        </is>
      </c>
      <c r="BQ325" s="30">
        <f>IF(BP325="No",10,0)</f>
        <v/>
      </c>
      <c r="BR325" s="30" t="inlineStr">
        <is>
          <t>No</t>
        </is>
      </c>
      <c r="BS325" s="30">
        <f>IF(BR325="NO",5,0)</f>
        <v/>
      </c>
      <c r="BT325" s="30" t="inlineStr">
        <is>
          <t>Less than 1.5</t>
        </is>
      </c>
      <c r="BU325" s="30">
        <f>IF(BT325="Above 2",0,IF(BT325="Between 1.5 to 2",5,IF(BT325="Less than 1.5",10,0)))</f>
        <v/>
      </c>
      <c r="BV325" s="30" t="inlineStr">
        <is>
          <t>Above 70%</t>
        </is>
      </c>
      <c r="BW325" s="30">
        <f>IF(BV325="Above 70%",10,IF(BV325="Between 50% to 70%",5,IF(BV325="Less than 50%",0,IF(BV325="Negative",-10,IF(BV325="Less than 50% and Borrowings are increasing",-5,0)))))</f>
        <v/>
      </c>
      <c r="BX325" s="30" t="inlineStr">
        <is>
          <t>Less than 0.7</t>
        </is>
      </c>
      <c r="BY325" s="30">
        <f>IF(BX325="More than 1.2",-10,IF(BX325="Between 0.7 to 1.2",0,IF(BX325="Less than 0.7",10,0)))</f>
        <v/>
      </c>
      <c r="BZ325" s="30" t="inlineStr">
        <is>
          <t>No</t>
        </is>
      </c>
      <c r="CA325" s="30">
        <f>IF(BZ325="Yes",-10,0)</f>
        <v/>
      </c>
      <c r="CB325" s="30" t="inlineStr">
        <is>
          <t>Less than 15%</t>
        </is>
      </c>
      <c r="CC325" s="30">
        <f>IF(CB325="More than 15%",-10,IF(CB325="Less than 15%",10,0))</f>
        <v/>
      </c>
      <c r="CD325" s="30" t="inlineStr">
        <is>
          <t>No</t>
        </is>
      </c>
      <c r="CE325" s="30">
        <f>IF(CD325="Yes, more than 10%",-10,IF(CD325="No",10,0))</f>
        <v/>
      </c>
    </row>
    <row r="326">
      <c r="A326" s="30">
        <f>IF(B326=0,"",RANK(B326,$B$2:$B$361,0))</f>
        <v/>
      </c>
      <c r="B326" s="31">
        <f>SUM(N326,Y326,AA326,AC326,AE326,AG326,AI326,AK326,AM326,AO326,AQ326,AS326,AU326,AW326,AY326,BA326,BC326,BE326,BG326,BI326,BK326,BM326,BO326,BQ326,BS326,BU326,BW326,BY326,CA326,CC326,CE326)</f>
        <v/>
      </c>
      <c r="C326" s="30" t="inlineStr">
        <is>
          <t>KAPSTON</t>
        </is>
      </c>
      <c r="D326" s="30" t="inlineStr">
        <is>
          <t>Kapston Services Ltd</t>
        </is>
      </c>
      <c r="E326" s="30" t="inlineStr">
        <is>
          <t>miscellaneous</t>
        </is>
      </c>
      <c r="F326" s="30" t="inlineStr">
        <is>
          <t>miscellaneous</t>
        </is>
      </c>
      <c r="G326" s="30" t="inlineStr">
        <is>
          <t>smallcap</t>
        </is>
      </c>
      <c r="H326" s="31" t="n">
        <v>1045.65</v>
      </c>
      <c r="I326" s="31" t="n">
        <v>345</v>
      </c>
      <c r="J326" s="31" t="n">
        <v>0.41</v>
      </c>
      <c r="K326" s="31" t="n">
        <v>23772</v>
      </c>
      <c r="L326" s="30" t="n">
        <v>48</v>
      </c>
      <c r="M326" s="30" t="inlineStr">
        <is>
          <t>Outperforming</t>
        </is>
      </c>
      <c r="N326" s="31">
        <f>IF(M326="Underperforming",-5,IF(L326&gt;=95,15,IF(L326&gt;=90,10,IF(L326&gt;=80,5,0))))</f>
        <v/>
      </c>
      <c r="O326" s="31" t="n">
        <v>55.58</v>
      </c>
      <c r="P326" s="31" t="n">
        <v>11.37</v>
      </c>
      <c r="Q326" s="31" t="n">
        <v>254.02</v>
      </c>
      <c r="R326" s="30" t="inlineStr">
        <is>
          <t>Earnings / Momentum Support</t>
        </is>
      </c>
      <c r="S326" s="30" t="inlineStr">
        <is>
          <t>Nifty 50</t>
        </is>
      </c>
      <c r="T326" s="31" t="n">
        <v>-4.09</v>
      </c>
      <c r="U326" s="31" t="n">
        <v>42.54</v>
      </c>
      <c r="V326" s="31" t="n">
        <v>48.62</v>
      </c>
      <c r="W326" s="31" t="n">
        <v>12.38</v>
      </c>
      <c r="X326" s="30" t="inlineStr">
        <is>
          <t>Growing Industry</t>
        </is>
      </c>
      <c r="Y326" s="30">
        <f>IF(X326="Growing Industry",10,IF(X326="Cyclical in an Upturn",5,0))</f>
        <v/>
      </c>
      <c r="Z326" s="30" t="inlineStr">
        <is>
          <t>Too Many Players with High ROCE</t>
        </is>
      </c>
      <c r="AA326" s="30">
        <f>IF(Z326="Monopoly",10,IF(Z326="Oligopoly",5,IF(Z326="Duopoly that cooperate",10,IF(Z326="Duopoly that compete",5,IF(Z326="Too many players with High ROCE",5,0)))))</f>
        <v/>
      </c>
      <c r="AB326" s="30" t="inlineStr">
        <is>
          <t>No</t>
        </is>
      </c>
      <c r="AC326" s="30">
        <f>IF(AB326="No",5,0)</f>
        <v/>
      </c>
      <c r="AD326" s="30" t="inlineStr">
        <is>
          <t>Tailwind</t>
        </is>
      </c>
      <c r="AE326" s="30">
        <f>IF(AD326="Tailwind",10,0)</f>
        <v/>
      </c>
      <c r="AF326" s="30" t="inlineStr">
        <is>
          <t>Structural (10 Years Consistency)</t>
        </is>
      </c>
      <c r="AG326" s="30">
        <f>IF(AF326="Structural (10 Years Consistency)",10,IF(AF326="Shallow Cyclical (2 to 3 years growth)",5,0))</f>
        <v/>
      </c>
      <c r="AH326" s="30" t="inlineStr">
        <is>
          <t>No</t>
        </is>
      </c>
      <c r="AI326" s="30">
        <f>IF(AH326="Yes due to Product Mix change or Operating Leverage",10,IF(AH326="Yes, these are peak margins",-5,IF(AH326="No",5,0)))</f>
        <v/>
      </c>
      <c r="AJ326" s="30" t="inlineStr">
        <is>
          <t>Stable</t>
        </is>
      </c>
      <c r="AK326" s="30">
        <f>IF(AJ326="Stable",10,0)</f>
        <v/>
      </c>
      <c r="AL326" s="30" t="inlineStr">
        <is>
          <t>Yes</t>
        </is>
      </c>
      <c r="AM326" s="30">
        <f>IF(AL326="Yes",10,0)</f>
        <v/>
      </c>
      <c r="AN326" s="30" t="inlineStr">
        <is>
          <t>B2B</t>
        </is>
      </c>
      <c r="AO326" s="30">
        <f>IF(AN326="B2C",10,IF(AN326="B2B",5,0))</f>
        <v/>
      </c>
      <c r="AP326" s="30" t="inlineStr">
        <is>
          <t>No</t>
        </is>
      </c>
      <c r="AQ326" s="30">
        <f>IF(AP326="Yes",10,0)</f>
        <v/>
      </c>
      <c r="AR326" s="30" t="inlineStr">
        <is>
          <t>Higher One Time, Lower Annuity</t>
        </is>
      </c>
      <c r="AS326" s="30">
        <f>IF(AR326="Fully Annuity",10,IF(AR326="Higher Annuity, Lower One Time",5,IF(AR326="Higher One Time, Lower Annuity",3,0)))</f>
        <v/>
      </c>
      <c r="AT326" s="30" t="inlineStr">
        <is>
          <t>Good</t>
        </is>
      </c>
      <c r="AU326" s="30">
        <f>IF(AT326="Good",10,0)</f>
        <v/>
      </c>
      <c r="AV326" s="30" t="inlineStr">
        <is>
          <t>Yes for more than 2 years</t>
        </is>
      </c>
      <c r="AW326" s="30">
        <f>IF(AV326="Yes for more than 2 years",10,IF(AV326="Yes only for next 1 to 2 years",5,0))</f>
        <v/>
      </c>
      <c r="AX326" s="30" t="inlineStr">
        <is>
          <t>0 to 20</t>
        </is>
      </c>
      <c r="AY326" s="30">
        <f>IF(AX326="Above 40",20,IF(AX326="20 to 40",10,IF(AX326="0 to 20",-5,0)))</f>
        <v/>
      </c>
      <c r="AZ326" s="30" t="inlineStr">
        <is>
          <t>Between 50 to 75</t>
        </is>
      </c>
      <c r="BA326" s="30">
        <f>IF(AZ326="Between 50 to 75",10,IF(AZ326="Above 75",0,0))</f>
        <v/>
      </c>
      <c r="BB326" s="30" t="inlineStr">
        <is>
          <t>Stage 2</t>
        </is>
      </c>
      <c r="BC326" s="30">
        <f>IF(BB326="Stage 2",20,IF(BB326="Stage 1",0,IF(BB326="Stage 3",5,IF(BB326="Stage 4",-5,0))))</f>
        <v/>
      </c>
      <c r="BD326" s="30" t="inlineStr">
        <is>
          <t>Positive Trend</t>
        </is>
      </c>
      <c r="BE326" s="30">
        <f>IF(BD326="Positive Trend",20,IF(BD326="Negative Trend",-10,0))</f>
        <v/>
      </c>
      <c r="BF326" s="30" t="inlineStr">
        <is>
          <t>Uptrend</t>
        </is>
      </c>
      <c r="BG326" s="30">
        <f>IF(BF326="Uptrend",10,IF(BF326="Sideways",5,0))</f>
        <v/>
      </c>
      <c r="BH326" s="30" t="inlineStr">
        <is>
          <t>Uptrend</t>
        </is>
      </c>
      <c r="BI326" s="30">
        <f>IF(BH326="Uptrend",10,IF(BH326="Sideways",5,0))</f>
        <v/>
      </c>
      <c r="BJ326" s="30" t="inlineStr">
        <is>
          <t>Close to 52 week high or retracement</t>
        </is>
      </c>
      <c r="BK326" s="30">
        <f>IF(BJ326="Overhead supply in last 2 years in last 2 years",-5,IF(BJ326="Close to 52 week high or retracement",5,IF(BJ326="Blue sky scenario",10,IF(BJ326="Long term Downtrend",-10,0))))</f>
        <v/>
      </c>
      <c r="BL326" s="30" t="inlineStr">
        <is>
          <t>Yes</t>
        </is>
      </c>
      <c r="BM326" s="30">
        <f>IF(BL326="Yes",10,0)</f>
        <v/>
      </c>
      <c r="BN326" s="30" t="inlineStr">
        <is>
          <t>More than 20%</t>
        </is>
      </c>
      <c r="BO326" s="30">
        <f>IF(BN326="More than 20%",10,IF(BN326="Between 12 to 20%",5,IF(BN326="Less than 12%",0,0)))</f>
        <v/>
      </c>
      <c r="BP326" s="30" t="inlineStr">
        <is>
          <t>No</t>
        </is>
      </c>
      <c r="BQ326" s="30">
        <f>IF(BP326="No",10,0)</f>
        <v/>
      </c>
      <c r="BR326" s="30" t="inlineStr">
        <is>
          <t>No</t>
        </is>
      </c>
      <c r="BS326" s="30">
        <f>IF(BR326="NO",5,0)</f>
        <v/>
      </c>
      <c r="BT326" s="30" t="inlineStr">
        <is>
          <t>Between 1.5 to 2</t>
        </is>
      </c>
      <c r="BU326" s="30">
        <f>IF(BT326="Above 2",0,IF(BT326="Between 1.5 to 2",5,IF(BT326="Less than 1.5",10,0)))</f>
        <v/>
      </c>
      <c r="BV326" s="30" t="inlineStr">
        <is>
          <t>Less than 50% and Borrowings are increasing</t>
        </is>
      </c>
      <c r="BW326" s="30">
        <f>IF(BV326="Above 70%",10,IF(BV326="Between 50% to 70%",5,IF(BV326="Less than 50%",0,IF(BV326="Negative",-10,IF(BV326="Less than 50% and Borrowings are increasing",-5,0)))))</f>
        <v/>
      </c>
      <c r="BX326" s="30" t="inlineStr">
        <is>
          <t>More than 1.2</t>
        </is>
      </c>
      <c r="BY326" s="30">
        <f>IF(BX326="More than 1.2",-10,IF(BX326="Between 0.7 to 1.2",0,IF(BX326="Less than 0.7",10,0)))</f>
        <v/>
      </c>
      <c r="BZ326" s="30" t="inlineStr">
        <is>
          <t>No</t>
        </is>
      </c>
      <c r="CA326" s="30">
        <f>IF(BZ326="Yes",-10,0)</f>
        <v/>
      </c>
      <c r="CB326" s="30" t="inlineStr">
        <is>
          <t>Less than 15%</t>
        </is>
      </c>
      <c r="CC326" s="30">
        <f>IF(CB326="More than 15%",-10,IF(CB326="Less than 15%",10,0))</f>
        <v/>
      </c>
      <c r="CD326" s="30" t="inlineStr">
        <is>
          <t>No</t>
        </is>
      </c>
      <c r="CE326" s="30">
        <f>IF(CD326="Yes, more than 10%",-10,IF(CD326="No",10,0))</f>
        <v/>
      </c>
    </row>
    <row r="327">
      <c r="A327" s="30">
        <f>IF(B327=0,"",RANK(B327,$B$2:$B$361,0))</f>
        <v/>
      </c>
      <c r="B327" s="31">
        <f>SUM(N327,Y327,AA327,AC327,AE327,AG327,AI327,AK327,AM327,AO327,AQ327,AS327,AU327,AW327,AY327,BA327,BC327,BE327,BG327,BI327,BK327,BM327,BO327,BQ327,BS327,BU327,BW327,BY327,CA327,CC327,CE327)</f>
        <v/>
      </c>
      <c r="C327" s="30" t="inlineStr">
        <is>
          <t>TEGA</t>
        </is>
      </c>
      <c r="D327" s="30" t="inlineStr">
        <is>
          <t>Tega Industries Ltd</t>
        </is>
      </c>
      <c r="E327" s="30" t="inlineStr">
        <is>
          <t>industrials</t>
        </is>
      </c>
      <c r="F327" s="30" t="inlineStr">
        <is>
          <t>engineering</t>
        </is>
      </c>
      <c r="G327" s="30" t="inlineStr">
        <is>
          <t>midcap</t>
        </is>
      </c>
      <c r="H327" s="31" t="n">
        <v>13753.63</v>
      </c>
      <c r="I327" s="31" t="n">
        <v>1833.5</v>
      </c>
      <c r="J327" s="31" t="n">
        <v>0.15</v>
      </c>
      <c r="K327" s="31" t="n">
        <v>38433</v>
      </c>
      <c r="L327" s="30" t="n">
        <v>21</v>
      </c>
      <c r="M327" s="30" t="inlineStr">
        <is>
          <t>Outperforming</t>
        </is>
      </c>
      <c r="N327" s="31">
        <f>IF(M327="Underperforming",-5,IF(L327&gt;=95,15,IF(L327&gt;=90,10,IF(L327&gt;=80,5,0))))</f>
        <v/>
      </c>
      <c r="O327" s="31" t="n">
        <v>55.25</v>
      </c>
      <c r="P327" s="31" t="n">
        <v>9.31</v>
      </c>
      <c r="Q327" s="31" t="n">
        <v>1444.17</v>
      </c>
      <c r="R327" s="30" t="inlineStr">
        <is>
          <t>Earnings / Momentum Support</t>
        </is>
      </c>
      <c r="S327" s="30" t="inlineStr">
        <is>
          <t>Nifty 50</t>
        </is>
      </c>
      <c r="T327" s="31" t="n">
        <v>-4.09</v>
      </c>
      <c r="U327" s="31" t="n">
        <v>21.64</v>
      </c>
      <c r="V327" s="31" t="n">
        <v>26.82</v>
      </c>
      <c r="W327" s="31" t="n">
        <v>6.3</v>
      </c>
      <c r="X327" s="30" t="inlineStr">
        <is>
          <t>Cyclical in an Upturn</t>
        </is>
      </c>
      <c r="Y327" s="30">
        <f>IF(X327="Growing Industry",10,IF(X327="Cyclical in an Upturn",5,0))</f>
        <v/>
      </c>
      <c r="Z327" s="30" t="inlineStr">
        <is>
          <t>Too Many Players with High ROCE</t>
        </is>
      </c>
      <c r="AA327" s="30">
        <f>IF(Z327="Monopoly",10,IF(Z327="Oligopoly",5,IF(Z327="Duopoly that cooperate",10,IF(Z327="Duopoly that compete",5,IF(Z327="Too many players with High ROCE",5,0)))))</f>
        <v/>
      </c>
      <c r="AB327" s="30" t="inlineStr">
        <is>
          <t>No</t>
        </is>
      </c>
      <c r="AC327" s="30">
        <f>IF(AB327="No",5,0)</f>
        <v/>
      </c>
      <c r="AD327" s="30" t="inlineStr">
        <is>
          <t>Headwind</t>
        </is>
      </c>
      <c r="AE327" s="30">
        <f>IF(AD327="Tailwind",10,0)</f>
        <v/>
      </c>
      <c r="AF327" s="30" t="inlineStr">
        <is>
          <t>Structural (10 Years Consistency)</t>
        </is>
      </c>
      <c r="AG327" s="30">
        <f>IF(AF327="Structural (10 Years Consistency)",10,IF(AF327="Shallow Cyclical (2 to 3 years growth)",5,0))</f>
        <v/>
      </c>
      <c r="AH327" s="30" t="inlineStr">
        <is>
          <t>No</t>
        </is>
      </c>
      <c r="AI327" s="30">
        <f>IF(AH327="Yes due to Product Mix change or Operating Leverage",10,IF(AH327="Yes, these are peak margins",-5,IF(AH327="No",5,0)))</f>
        <v/>
      </c>
      <c r="AJ327" s="30" t="inlineStr">
        <is>
          <t>Stable</t>
        </is>
      </c>
      <c r="AK327" s="30">
        <f>IF(AJ327="Stable",10,0)</f>
        <v/>
      </c>
      <c r="AL327" s="30" t="inlineStr">
        <is>
          <t>Yes</t>
        </is>
      </c>
      <c r="AM327" s="30">
        <f>IF(AL327="Yes",10,0)</f>
        <v/>
      </c>
      <c r="AN327" s="30" t="inlineStr">
        <is>
          <t>B2B</t>
        </is>
      </c>
      <c r="AO327" s="30">
        <f>IF(AN327="B2C",10,IF(AN327="B2B",5,0))</f>
        <v/>
      </c>
      <c r="AP327" s="30" t="inlineStr">
        <is>
          <t>No</t>
        </is>
      </c>
      <c r="AQ327" s="30">
        <f>IF(AP327="Yes",10,0)</f>
        <v/>
      </c>
      <c r="AR327" s="30" t="inlineStr">
        <is>
          <t>Higher One Time, Lower Annuity</t>
        </is>
      </c>
      <c r="AS327" s="30">
        <f>IF(AR327="Fully Annuity",10,IF(AR327="Higher Annuity, Lower One Time",5,IF(AR327="Higher One Time, Lower Annuity",3,0)))</f>
        <v/>
      </c>
      <c r="AT327" s="30" t="inlineStr">
        <is>
          <t>Good</t>
        </is>
      </c>
      <c r="AU327" s="30">
        <f>IF(AT327="Good",10,0)</f>
        <v/>
      </c>
      <c r="AV327" s="30" t="inlineStr">
        <is>
          <t>Yes for more than 2 years</t>
        </is>
      </c>
      <c r="AW327" s="30">
        <f>IF(AV327="Yes for more than 2 years",10,IF(AV327="Yes only for next 1 to 2 years",5,0))</f>
        <v/>
      </c>
      <c r="AX327" s="30" t="inlineStr">
        <is>
          <t>0 to 20</t>
        </is>
      </c>
      <c r="AY327" s="30">
        <f>IF(AX327="Above 40",20,IF(AX327="20 to 40",10,IF(AX327="0 to 20",-5,0)))</f>
        <v/>
      </c>
      <c r="AZ327" s="30" t="inlineStr">
        <is>
          <t>Between 50 to 75</t>
        </is>
      </c>
      <c r="BA327" s="30">
        <f>IF(AZ327="Between 50 to 75",10,IF(AZ327="Above 75",0,0))</f>
        <v/>
      </c>
      <c r="BB327" s="30" t="inlineStr">
        <is>
          <t>Stage 2</t>
        </is>
      </c>
      <c r="BC327" s="30">
        <f>IF(BB327="Stage 2",20,IF(BB327="Stage 1",0,IF(BB327="Stage 3",5,IF(BB327="Stage 4",-5,0))))</f>
        <v/>
      </c>
      <c r="BD327" s="30" t="inlineStr">
        <is>
          <t>Positive Trend</t>
        </is>
      </c>
      <c r="BE327" s="30">
        <f>IF(BD327="Positive Trend",20,IF(BD327="Negative Trend",-10,0))</f>
        <v/>
      </c>
      <c r="BF327" s="30" t="inlineStr">
        <is>
          <t>Uptrend</t>
        </is>
      </c>
      <c r="BG327" s="30">
        <f>IF(BF327="Uptrend",10,IF(BF327="Sideways",5,0))</f>
        <v/>
      </c>
      <c r="BH327" s="30" t="inlineStr">
        <is>
          <t>Uptrend</t>
        </is>
      </c>
      <c r="BI327" s="30">
        <f>IF(BH327="Uptrend",10,IF(BH327="Sideways",5,0))</f>
        <v/>
      </c>
      <c r="BJ327" s="30" t="inlineStr">
        <is>
          <t>Close to 52 week high or retracement</t>
        </is>
      </c>
      <c r="BK327" s="30">
        <f>IF(BJ327="Overhead supply in last 2 years in last 2 years",-5,IF(BJ327="Close to 52 week high or retracement",5,IF(BJ327="Blue sky scenario",10,IF(BJ327="Long term Downtrend",-10,0))))</f>
        <v/>
      </c>
      <c r="BL327" s="30" t="inlineStr">
        <is>
          <t>Yes</t>
        </is>
      </c>
      <c r="BM327" s="30">
        <f>IF(BL327="Yes",10,0)</f>
        <v/>
      </c>
      <c r="BN327" s="30" t="inlineStr">
        <is>
          <t>Less than 12%</t>
        </is>
      </c>
      <c r="BO327" s="30">
        <f>IF(BN327="More than 20%",10,IF(BN327="Between 12 to 20%",5,IF(BN327="Less than 12%",0,0)))</f>
        <v/>
      </c>
      <c r="BP327" s="30" t="inlineStr">
        <is>
          <t>No</t>
        </is>
      </c>
      <c r="BQ327" s="30">
        <f>IF(BP327="No",10,0)</f>
        <v/>
      </c>
      <c r="BR327" s="30" t="inlineStr">
        <is>
          <t>Yes</t>
        </is>
      </c>
      <c r="BS327" s="30">
        <f>IF(BR327="NO",5,0)</f>
        <v/>
      </c>
      <c r="BT327" s="30" t="inlineStr">
        <is>
          <t>Above 2</t>
        </is>
      </c>
      <c r="BU327" s="30">
        <f>IF(BT327="Above 2",0,IF(BT327="Between 1.5 to 2",5,IF(BT327="Less than 1.5",10,0)))</f>
        <v/>
      </c>
      <c r="BV327" s="30" t="inlineStr">
        <is>
          <t>Above 70%</t>
        </is>
      </c>
      <c r="BW327" s="30">
        <f>IF(BV327="Above 70%",10,IF(BV327="Between 50% to 70%",5,IF(BV327="Less than 50%",0,IF(BV327="Negative",-10,IF(BV327="Less than 50% and Borrowings are increasing",-5,0)))))</f>
        <v/>
      </c>
      <c r="BX327" s="30" t="inlineStr">
        <is>
          <t>Less than 0.7</t>
        </is>
      </c>
      <c r="BY327" s="30">
        <f>IF(BX327="More than 1.2",-10,IF(BX327="Between 0.7 to 1.2",0,IF(BX327="Less than 0.7",10,0)))</f>
        <v/>
      </c>
      <c r="BZ327" s="30" t="inlineStr">
        <is>
          <t>No</t>
        </is>
      </c>
      <c r="CA327" s="30">
        <f>IF(BZ327="Yes",-10,0)</f>
        <v/>
      </c>
      <c r="CB327" s="30" t="inlineStr">
        <is>
          <t>Less than 15%</t>
        </is>
      </c>
      <c r="CC327" s="30">
        <f>IF(CB327="More than 15%",-10,IF(CB327="Less than 15%",10,0))</f>
        <v/>
      </c>
      <c r="CD327" s="30" t="inlineStr">
        <is>
          <t>No</t>
        </is>
      </c>
      <c r="CE327" s="30">
        <f>IF(CD327="Yes, more than 10%",-10,IF(CD327="No",10,0))</f>
        <v/>
      </c>
    </row>
    <row r="328">
      <c r="A328" s="30">
        <f>IF(B328=0,"",RANK(B328,$B$2:$B$361,0))</f>
        <v/>
      </c>
      <c r="B328" s="31">
        <f>SUM(N328,Y328,AA328,AC328,AE328,AG328,AI328,AK328,AM328,AO328,AQ328,AS328,AU328,AW328,AY328,BA328,BC328,BE328,BG328,BI328,BK328,BM328,BO328,BQ328,BS328,BU328,BW328,BY328,CA328,CC328,CE328)</f>
        <v/>
      </c>
      <c r="C328" s="32" t="inlineStr">
        <is>
          <t>RATNAVEER</t>
        </is>
      </c>
      <c r="D328" s="32" t="inlineStr">
        <is>
          <t>Ratnaveer Precision Engineering Ltd</t>
        </is>
      </c>
      <c r="E328" s="30" t="inlineStr">
        <is>
          <t>metals &amp; mining</t>
        </is>
      </c>
      <c r="F328" s="30" t="inlineStr">
        <is>
          <t>steel - medium / small</t>
        </is>
      </c>
      <c r="G328" s="30" t="inlineStr">
        <is>
          <t>smallcap</t>
        </is>
      </c>
      <c r="H328" s="31" t="n">
        <v>1179.54</v>
      </c>
      <c r="I328" s="31" t="n">
        <v>181.17</v>
      </c>
      <c r="J328" s="31" t="n">
        <v>9.710000000000001</v>
      </c>
      <c r="K328" s="31" t="n">
        <v>13060864</v>
      </c>
      <c r="L328" s="30" t="n">
        <v>39</v>
      </c>
      <c r="M328" s="30" t="inlineStr">
        <is>
          <t>Underperforming</t>
        </is>
      </c>
      <c r="N328" s="31">
        <f>IF(M328="Underperforming",-5,IF(L328&gt;=95,15,IF(L328&gt;=90,10,IF(L328&gt;=80,5,0))))</f>
        <v/>
      </c>
      <c r="O328" s="31" t="n">
        <v>60.28</v>
      </c>
      <c r="P328" s="31" t="n">
        <v>43.4</v>
      </c>
      <c r="Q328" s="31" t="n">
        <v>127.49</v>
      </c>
      <c r="R328" s="30" t="inlineStr">
        <is>
          <t>Near 52W High Breakout</t>
        </is>
      </c>
      <c r="S328" s="30" t="inlineStr">
        <is>
          <t>Nifty Metal</t>
        </is>
      </c>
      <c r="T328" s="31" t="n">
        <v>42.38</v>
      </c>
      <c r="U328" s="31" t="n">
        <v>18.88</v>
      </c>
      <c r="V328" s="31" t="n">
        <v>-16.51</v>
      </c>
      <c r="W328" s="31" t="n">
        <v>10.43</v>
      </c>
      <c r="X328" s="30" t="inlineStr">
        <is>
          <t>Cyclical in an Upturn</t>
        </is>
      </c>
      <c r="Y328" s="30">
        <f>IF(X328="Growing Industry",10,IF(X328="Cyclical in an Upturn",5,0))</f>
        <v/>
      </c>
      <c r="Z328" s="30" t="inlineStr">
        <is>
          <t>Too Many Players with High ROCE</t>
        </is>
      </c>
      <c r="AA328" s="30">
        <f>IF(Z328="Monopoly",10,IF(Z328="Oligopoly",5,IF(Z328="Duopoly that cooperate",10,IF(Z328="Duopoly that compete",5,IF(Z328="Too many players with High ROCE",5,0)))))</f>
        <v/>
      </c>
      <c r="AB328" s="30" t="inlineStr">
        <is>
          <t>No</t>
        </is>
      </c>
      <c r="AC328" s="30">
        <f>IF(AB328="No",5,0)</f>
        <v/>
      </c>
      <c r="AD328" s="30" t="inlineStr">
        <is>
          <t>Tailwind</t>
        </is>
      </c>
      <c r="AE328" s="30">
        <f>IF(AD328="Tailwind",10,0)</f>
        <v/>
      </c>
      <c r="AF328" s="30" t="inlineStr">
        <is>
          <t>Cyclical</t>
        </is>
      </c>
      <c r="AG328" s="30">
        <f>IF(AF328="Structural (10 Years Consistency)",10,IF(AF328="Shallow Cyclical (2 to 3 years growth)",5,0))</f>
        <v/>
      </c>
      <c r="AH328" s="30" t="inlineStr">
        <is>
          <t>No</t>
        </is>
      </c>
      <c r="AI328" s="30">
        <f>IF(AH328="Yes due to Product Mix change or Operating Leverage",10,IF(AH328="Yes, these are peak margins",-5,IF(AH328="No",5,0)))</f>
        <v/>
      </c>
      <c r="AJ328" s="30" t="inlineStr">
        <is>
          <t>Volatile</t>
        </is>
      </c>
      <c r="AK328" s="30">
        <f>IF(AJ328="Stable",10,0)</f>
        <v/>
      </c>
      <c r="AL328" s="30" t="inlineStr">
        <is>
          <t>Yes</t>
        </is>
      </c>
      <c r="AM328" s="30">
        <f>IF(AL328="Yes",10,0)</f>
        <v/>
      </c>
      <c r="AN328" s="30" t="inlineStr">
        <is>
          <t>B2B</t>
        </is>
      </c>
      <c r="AO328" s="30">
        <f>IF(AN328="B2C",10,IF(AN328="B2B",5,0))</f>
        <v/>
      </c>
      <c r="AP328" s="30" t="inlineStr">
        <is>
          <t>Yes</t>
        </is>
      </c>
      <c r="AQ328" s="30">
        <f>IF(AP328="Yes",10,0)</f>
        <v/>
      </c>
      <c r="AR328" s="30" t="inlineStr">
        <is>
          <t>Higher One Time, Lower Annuity</t>
        </is>
      </c>
      <c r="AS328" s="30">
        <f>IF(AR328="Fully Annuity",10,IF(AR328="Higher Annuity, Lower One Time",5,IF(AR328="Higher One Time, Lower Annuity",3,0)))</f>
        <v/>
      </c>
      <c r="AT328" s="30" t="inlineStr">
        <is>
          <t>Good</t>
        </is>
      </c>
      <c r="AU328" s="30">
        <f>IF(AT328="Good",10,0)</f>
        <v/>
      </c>
      <c r="AV328" s="30" t="inlineStr">
        <is>
          <t>Yes for more than 2 years</t>
        </is>
      </c>
      <c r="AW328" s="30">
        <f>IF(AV328="Yes for more than 2 years",10,IF(AV328="Yes only for next 1 to 2 years",5,0))</f>
        <v/>
      </c>
      <c r="AX328" s="30" t="inlineStr">
        <is>
          <t>Above 40</t>
        </is>
      </c>
      <c r="AY328" s="30">
        <f>IF(AX328="Above 40",20,IF(AX328="20 to 40",10,IF(AX328="0 to 20",-5,0)))</f>
        <v/>
      </c>
      <c r="AZ328" s="30" t="inlineStr">
        <is>
          <t>Between 50 to 75</t>
        </is>
      </c>
      <c r="BA328" s="30">
        <f>IF(AZ328="Between 50 to 75",10,IF(AZ328="Above 75",0,0))</f>
        <v/>
      </c>
      <c r="BB328" s="30" t="inlineStr">
        <is>
          <t>Stage 2</t>
        </is>
      </c>
      <c r="BC328" s="30">
        <f>IF(BB328="Stage 2",20,IF(BB328="Stage 1",0,IF(BB328="Stage 3",5,IF(BB328="Stage 4",-5,0))))</f>
        <v/>
      </c>
      <c r="BD328" s="30" t="inlineStr">
        <is>
          <t>Negative Trend</t>
        </is>
      </c>
      <c r="BE328" s="30">
        <f>IF(BD328="Positive Trend",20,IF(BD328="Negative Trend",-10,0))</f>
        <v/>
      </c>
      <c r="BF328" s="30" t="inlineStr">
        <is>
          <t>Uptrend</t>
        </is>
      </c>
      <c r="BG328" s="30">
        <f>IF(BF328="Uptrend",10,IF(BF328="Sideways",5,0))</f>
        <v/>
      </c>
      <c r="BH328" s="30" t="inlineStr">
        <is>
          <t>Uptrend</t>
        </is>
      </c>
      <c r="BI328" s="30">
        <f>IF(BH328="Uptrend",10,IF(BH328="Sideways",5,0))</f>
        <v/>
      </c>
      <c r="BJ328" s="30" t="inlineStr">
        <is>
          <t>Close to 52 week high or retracement</t>
        </is>
      </c>
      <c r="BK328" s="30">
        <f>IF(BJ328="Overhead supply in last 2 years in last 2 years",-5,IF(BJ328="Close to 52 week high or retracement",5,IF(BJ328="Blue sky scenario",10,IF(BJ328="Long term Downtrend",-10,0))))</f>
        <v/>
      </c>
      <c r="BL328" s="30" t="inlineStr">
        <is>
          <t>Yes</t>
        </is>
      </c>
      <c r="BM328" s="30">
        <f>IF(BL328="Yes",10,0)</f>
        <v/>
      </c>
      <c r="BN328" s="30" t="inlineStr">
        <is>
          <t>More than 20%</t>
        </is>
      </c>
      <c r="BO328" s="30">
        <f>IF(BN328="More than 20%",10,IF(BN328="Between 12 to 20%",5,IF(BN328="Less than 12%",0,0)))</f>
        <v/>
      </c>
      <c r="BP328" s="30" t="inlineStr">
        <is>
          <t>No</t>
        </is>
      </c>
      <c r="BQ328" s="30">
        <f>IF(BP328="No",10,0)</f>
        <v/>
      </c>
      <c r="BR328" s="30" t="inlineStr">
        <is>
          <t>No</t>
        </is>
      </c>
      <c r="BS328" s="30">
        <f>IF(BR328="NO",5,0)</f>
        <v/>
      </c>
      <c r="BT328" s="30" t="inlineStr">
        <is>
          <t>Less than 1.5</t>
        </is>
      </c>
      <c r="BU328" s="30">
        <f>IF(BT328="Above 2",0,IF(BT328="Between 1.5 to 2",5,IF(BT328="Less than 1.5",10,0)))</f>
        <v/>
      </c>
      <c r="BV328" s="30" t="inlineStr">
        <is>
          <t>Negative</t>
        </is>
      </c>
      <c r="BW328" s="30">
        <f>IF(BV328="Above 70%",10,IF(BV328="Between 50% to 70%",5,IF(BV328="Less than 50%",0,IF(BV328="Negative",-10,IF(BV328="Less than 50% and Borrowings are increasing",-5,0)))))</f>
        <v/>
      </c>
      <c r="BX328" s="30" t="inlineStr">
        <is>
          <t>Less than 0.7</t>
        </is>
      </c>
      <c r="BY328" s="30">
        <f>IF(BX328="More than 1.2",-10,IF(BX328="Between 0.7 to 1.2",0,IF(BX328="Less than 0.7",10,0)))</f>
        <v/>
      </c>
      <c r="BZ328" s="30" t="inlineStr">
        <is>
          <t>No</t>
        </is>
      </c>
      <c r="CA328" s="30">
        <f>IF(BZ328="Yes",-10,0)</f>
        <v/>
      </c>
      <c r="CB328" s="30" t="inlineStr">
        <is>
          <t>Less than 15%</t>
        </is>
      </c>
      <c r="CC328" s="30">
        <f>IF(CB328="More than 15%",-10,IF(CB328="Less than 15%",10,0))</f>
        <v/>
      </c>
      <c r="CD328" s="30" t="inlineStr">
        <is>
          <t>No</t>
        </is>
      </c>
      <c r="CE328" s="30">
        <f>IF(CD328="Yes, more than 10%",-10,IF(CD328="No",10,0))</f>
        <v/>
      </c>
    </row>
    <row r="329">
      <c r="A329" s="30">
        <f>IF(B329=0,"",RANK(B329,$B$2:$B$361,0))</f>
        <v/>
      </c>
      <c r="B329" s="31">
        <f>SUM(N329,Y329,AA329,AC329,AE329,AG329,AI329,AK329,AM329,AO329,AQ329,AS329,AU329,AW329,AY329,BA329,BC329,BE329,BG329,BI329,BK329,BM329,BO329,BQ329,BS329,BU329,BW329,BY329,CA329,CC329,CE329)</f>
        <v/>
      </c>
      <c r="C329" s="32" t="inlineStr">
        <is>
          <t>HAL</t>
        </is>
      </c>
      <c r="D329" s="32" t="inlineStr">
        <is>
          <t>Hindustan Aeronautics Ltd</t>
        </is>
      </c>
      <c r="E329" s="30" t="inlineStr">
        <is>
          <t>aerospace &amp; defence</t>
        </is>
      </c>
      <c r="F329" s="30" t="inlineStr">
        <is>
          <t>engineering</t>
        </is>
      </c>
      <c r="G329" s="30" t="inlineStr">
        <is>
          <t>largecap</t>
        </is>
      </c>
      <c r="H329" s="31" t="n">
        <v>284617.26</v>
      </c>
      <c r="I329" s="31" t="n">
        <v>4460.5</v>
      </c>
      <c r="J329" s="31" t="n">
        <v>4.81</v>
      </c>
      <c r="K329" s="31" t="n">
        <v>1421845</v>
      </c>
      <c r="L329" s="30" t="n">
        <v>4</v>
      </c>
      <c r="M329" s="30" t="inlineStr">
        <is>
          <t>Underperforming</t>
        </is>
      </c>
      <c r="N329" s="31">
        <f>IF(M329="Underperforming",-5,IF(L329&gt;=95,15,IF(L329&gt;=90,10,IF(L329&gt;=80,5,0))))</f>
        <v/>
      </c>
      <c r="O329" s="31" t="n">
        <v>54.54</v>
      </c>
      <c r="P329" s="31" t="n">
        <v>19.08</v>
      </c>
      <c r="Q329" s="31" t="n">
        <v>3989.71</v>
      </c>
      <c r="R329" s="30" t="inlineStr">
        <is>
          <t>Earnings / Momentum Support</t>
        </is>
      </c>
      <c r="S329" s="30" t="inlineStr">
        <is>
          <t>Nifty 50</t>
        </is>
      </c>
      <c r="T329" s="31" t="n">
        <v>-4.09</v>
      </c>
      <c r="U329" s="31" t="n">
        <v>-9.26</v>
      </c>
      <c r="V329" s="31" t="n">
        <v>-5.39</v>
      </c>
      <c r="W329" s="31" t="n">
        <v>2.24</v>
      </c>
      <c r="X329" s="30" t="inlineStr">
        <is>
          <t>Growing Industry</t>
        </is>
      </c>
      <c r="Y329" s="30">
        <f>IF(X329="Growing Industry",10,IF(X329="Cyclical in an Upturn",5,0))</f>
        <v/>
      </c>
      <c r="Z329" s="30" t="inlineStr">
        <is>
          <t>Too Many Players with High ROCE</t>
        </is>
      </c>
      <c r="AA329" s="30">
        <f>IF(Z329="Monopoly",10,IF(Z329="Oligopoly",5,IF(Z329="Duopoly that cooperate",10,IF(Z329="Duopoly that compete",5,IF(Z329="Too many players with High ROCE",5,0)))))</f>
        <v/>
      </c>
      <c r="AB329" s="30" t="inlineStr">
        <is>
          <t>No</t>
        </is>
      </c>
      <c r="AC329" s="30">
        <f>IF(AB329="No",5,0)</f>
        <v/>
      </c>
      <c r="AD329" s="30" t="inlineStr">
        <is>
          <t>Tailwind</t>
        </is>
      </c>
      <c r="AE329" s="30">
        <f>IF(AD329="Tailwind",10,0)</f>
        <v/>
      </c>
      <c r="AF329" s="30" t="inlineStr">
        <is>
          <t>Structural (10 Years Consistency)</t>
        </is>
      </c>
      <c r="AG329" s="30">
        <f>IF(AF329="Structural (10 Years Consistency)",10,IF(AF329="Shallow Cyclical (2 to 3 years growth)",5,0))</f>
        <v/>
      </c>
      <c r="AH329" s="30" t="inlineStr">
        <is>
          <t>No</t>
        </is>
      </c>
      <c r="AI329" s="30">
        <f>IF(AH329="Yes due to Product Mix change or Operating Leverage",10,IF(AH329="Yes, these are peak margins",-5,IF(AH329="No",5,0)))</f>
        <v/>
      </c>
      <c r="AJ329" s="30" t="inlineStr">
        <is>
          <t>Stable</t>
        </is>
      </c>
      <c r="AK329" s="30">
        <f>IF(AJ329="Stable",10,0)</f>
        <v/>
      </c>
      <c r="AL329" s="30" t="inlineStr">
        <is>
          <t>Yes</t>
        </is>
      </c>
      <c r="AM329" s="30">
        <f>IF(AL329="Yes",10,0)</f>
        <v/>
      </c>
      <c r="AN329" s="30" t="inlineStr">
        <is>
          <t>B2B</t>
        </is>
      </c>
      <c r="AO329" s="30">
        <f>IF(AN329="B2C",10,IF(AN329="B2B",5,0))</f>
        <v/>
      </c>
      <c r="AP329" s="30" t="inlineStr">
        <is>
          <t>No</t>
        </is>
      </c>
      <c r="AQ329" s="30">
        <f>IF(AP329="Yes",10,0)</f>
        <v/>
      </c>
      <c r="AR329" s="30" t="inlineStr">
        <is>
          <t>Higher One Time, Lower Annuity</t>
        </is>
      </c>
      <c r="AS329" s="30">
        <f>IF(AR329="Fully Annuity",10,IF(AR329="Higher Annuity, Lower One Time",5,IF(AR329="Higher One Time, Lower Annuity",3,0)))</f>
        <v/>
      </c>
      <c r="AT329" s="30" t="inlineStr">
        <is>
          <t>Good</t>
        </is>
      </c>
      <c r="AU329" s="30">
        <f>IF(AT329="Good",10,0)</f>
        <v/>
      </c>
      <c r="AV329" s="30" t="inlineStr">
        <is>
          <t>Yes for more than 2 years</t>
        </is>
      </c>
      <c r="AW329" s="30">
        <f>IF(AV329="Yes for more than 2 years",10,IF(AV329="Yes only for next 1 to 2 years",5,0))</f>
        <v/>
      </c>
      <c r="AX329" s="30" t="inlineStr">
        <is>
          <t>0 to 20</t>
        </is>
      </c>
      <c r="AY329" s="30">
        <f>IF(AX329="Above 40",20,IF(AX329="20 to 40",10,IF(AX329="0 to 20",-5,0)))</f>
        <v/>
      </c>
      <c r="AZ329" s="30" t="inlineStr">
        <is>
          <t>Between 50 to 75</t>
        </is>
      </c>
      <c r="BA329" s="30">
        <f>IF(AZ329="Between 50 to 75",10,IF(AZ329="Above 75",0,0))</f>
        <v/>
      </c>
      <c r="BB329" s="30" t="inlineStr">
        <is>
          <t>Stage 1</t>
        </is>
      </c>
      <c r="BC329" s="30">
        <f>IF(BB329="Stage 2",20,IF(BB329="Stage 1",0,IF(BB329="Stage 3",5,IF(BB329="Stage 4",-5,0))))</f>
        <v/>
      </c>
      <c r="BD329" s="30" t="inlineStr">
        <is>
          <t>Positive Trend</t>
        </is>
      </c>
      <c r="BE329" s="30">
        <f>IF(BD329="Positive Trend",20,IF(BD329="Negative Trend",-10,0))</f>
        <v/>
      </c>
      <c r="BF329" s="30" t="inlineStr">
        <is>
          <t>Uptrend</t>
        </is>
      </c>
      <c r="BG329" s="30">
        <f>IF(BF329="Uptrend",10,IF(BF329="Sideways",5,0))</f>
        <v/>
      </c>
      <c r="BH329" s="30" t="inlineStr">
        <is>
          <t>Uptrend</t>
        </is>
      </c>
      <c r="BI329" s="30">
        <f>IF(BH329="Uptrend",10,IF(BH329="Sideways",5,0))</f>
        <v/>
      </c>
      <c r="BJ329" s="30" t="inlineStr">
        <is>
          <t>Close to 52 week high or retracement</t>
        </is>
      </c>
      <c r="BK329" s="30">
        <f>IF(BJ329="Overhead supply in last 2 years in last 2 years",-5,IF(BJ329="Close to 52 week high or retracement",5,IF(BJ329="Blue sky scenario",10,IF(BJ329="Long term Downtrend",-10,0))))</f>
        <v/>
      </c>
      <c r="BL329" s="30" t="inlineStr">
        <is>
          <t>Yes</t>
        </is>
      </c>
      <c r="BM329" s="30">
        <f>IF(BL329="Yes",10,0)</f>
        <v/>
      </c>
      <c r="BN329" s="30" t="inlineStr">
        <is>
          <t>Less than 12%</t>
        </is>
      </c>
      <c r="BO329" s="30">
        <f>IF(BN329="More than 20%",10,IF(BN329="Between 12 to 20%",5,IF(BN329="Less than 12%",0,0)))</f>
        <v/>
      </c>
      <c r="BP329" s="30" t="inlineStr">
        <is>
          <t>No</t>
        </is>
      </c>
      <c r="BQ329" s="30">
        <f>IF(BP329="No",10,0)</f>
        <v/>
      </c>
      <c r="BR329" s="30" t="inlineStr">
        <is>
          <t>No</t>
        </is>
      </c>
      <c r="BS329" s="30">
        <f>IF(BR329="NO",5,0)</f>
        <v/>
      </c>
      <c r="BT329" s="30" t="inlineStr">
        <is>
          <t>Above 2</t>
        </is>
      </c>
      <c r="BU329" s="30">
        <f>IF(BT329="Above 2",0,IF(BT329="Between 1.5 to 2",5,IF(BT329="Less than 1.5",10,0)))</f>
        <v/>
      </c>
      <c r="BV329" s="30" t="inlineStr">
        <is>
          <t>Above 70%</t>
        </is>
      </c>
      <c r="BW329" s="30">
        <f>IF(BV329="Above 70%",10,IF(BV329="Between 50% to 70%",5,IF(BV329="Less than 50%",0,IF(BV329="Negative",-10,IF(BV329="Less than 50% and Borrowings are increasing",-5,0)))))</f>
        <v/>
      </c>
      <c r="BX329" s="30" t="inlineStr">
        <is>
          <t>Less than 0.7</t>
        </is>
      </c>
      <c r="BY329" s="30">
        <f>IF(BX329="More than 1.2",-10,IF(BX329="Between 0.7 to 1.2",0,IF(BX329="Less than 0.7",10,0)))</f>
        <v/>
      </c>
      <c r="BZ329" s="30" t="inlineStr">
        <is>
          <t>No</t>
        </is>
      </c>
      <c r="CA329" s="30">
        <f>IF(BZ329="Yes",-10,0)</f>
        <v/>
      </c>
      <c r="CB329" s="30" t="inlineStr">
        <is>
          <t>Less than 15%</t>
        </is>
      </c>
      <c r="CC329" s="30">
        <f>IF(CB329="More than 15%",-10,IF(CB329="Less than 15%",10,0))</f>
        <v/>
      </c>
      <c r="CD329" s="30" t="inlineStr">
        <is>
          <t>No</t>
        </is>
      </c>
      <c r="CE329" s="30">
        <f>IF(CD329="Yes, more than 10%",-10,IF(CD329="No",10,0))</f>
        <v/>
      </c>
    </row>
    <row r="330">
      <c r="A330" s="30">
        <f>IF(B330=0,"",RANK(B330,$B$2:$B$361,0))</f>
        <v/>
      </c>
      <c r="B330" s="31">
        <f>SUM(N330,Y330,AA330,AC330,AE330,AG330,AI330,AK330,AM330,AO330,AQ330,AS330,AU330,AW330,AY330,BA330,BC330,BE330,BG330,BI330,BK330,BM330,BO330,BQ330,BS330,BU330,BW330,BY330,CA330,CC330,CE330)</f>
        <v/>
      </c>
      <c r="C330" s="30" t="inlineStr">
        <is>
          <t>DMART</t>
        </is>
      </c>
      <c r="D330" s="30" t="inlineStr">
        <is>
          <t>Avenue Supermarts Ltd</t>
        </is>
      </c>
      <c r="E330" s="30" t="inlineStr">
        <is>
          <t>consumer discretionary</t>
        </is>
      </c>
      <c r="F330" s="30" t="inlineStr">
        <is>
          <t>trading</t>
        </is>
      </c>
      <c r="G330" s="30" t="inlineStr">
        <is>
          <t>largecap</t>
        </is>
      </c>
      <c r="H330" s="31" t="n">
        <v>273907.59</v>
      </c>
      <c r="I330" s="31" t="n">
        <v>4287.5</v>
      </c>
      <c r="J330" s="31" t="n">
        <v>2.05</v>
      </c>
      <c r="K330" s="31" t="n">
        <v>1183530</v>
      </c>
      <c r="L330" s="30" t="n">
        <v>7</v>
      </c>
      <c r="M330" s="30" t="inlineStr">
        <is>
          <t>Outperforming</t>
        </is>
      </c>
      <c r="N330" s="31">
        <f>IF(M330="Underperforming",-5,IF(L330&gt;=95,15,IF(L330&gt;=90,10,IF(L330&gt;=80,5,0))))</f>
        <v/>
      </c>
      <c r="O330" s="31" t="n">
        <v>54.22</v>
      </c>
      <c r="P330" s="31" t="n">
        <v>13.69</v>
      </c>
      <c r="Q330" s="31" t="n">
        <v>3923.74</v>
      </c>
      <c r="R330" s="30" t="inlineStr">
        <is>
          <t>Earnings / Momentum Support</t>
        </is>
      </c>
      <c r="S330" s="30" t="inlineStr">
        <is>
          <t>Nifty 50</t>
        </is>
      </c>
      <c r="T330" s="31" t="n">
        <v>-4.09</v>
      </c>
      <c r="U330" s="31" t="n">
        <v>-0.3</v>
      </c>
      <c r="V330" s="31" t="n">
        <v>3.95</v>
      </c>
      <c r="W330" s="31" t="n">
        <v>3.43</v>
      </c>
      <c r="X330" s="30" t="inlineStr">
        <is>
          <t>Growing Industry</t>
        </is>
      </c>
      <c r="Y330" s="30">
        <f>IF(X330="Growing Industry",10,IF(X330="Cyclical in an Upturn",5,0))</f>
        <v/>
      </c>
      <c r="Z330" s="30" t="inlineStr">
        <is>
          <t>Too Many Players with High ROCE</t>
        </is>
      </c>
      <c r="AA330" s="30">
        <f>IF(Z330="Monopoly",10,IF(Z330="Oligopoly",5,IF(Z330="Duopoly that cooperate",10,IF(Z330="Duopoly that compete",5,IF(Z330="Too many players with High ROCE",5,0)))))</f>
        <v/>
      </c>
      <c r="AB330" s="30" t="inlineStr">
        <is>
          <t>No</t>
        </is>
      </c>
      <c r="AC330" s="30">
        <f>IF(AB330="No",5,0)</f>
        <v/>
      </c>
      <c r="AD330" s="30" t="inlineStr">
        <is>
          <t>Tailwind</t>
        </is>
      </c>
      <c r="AE330" s="30">
        <f>IF(AD330="Tailwind",10,0)</f>
        <v/>
      </c>
      <c r="AF330" s="30" t="inlineStr">
        <is>
          <t>Structural (10 Years Consistency)</t>
        </is>
      </c>
      <c r="AG330" s="30">
        <f>IF(AF330="Structural (10 Years Consistency)",10,IF(AF330="Shallow Cyclical (2 to 3 years growth)",5,0))</f>
        <v/>
      </c>
      <c r="AH330" s="30" t="inlineStr">
        <is>
          <t>No</t>
        </is>
      </c>
      <c r="AI330" s="30">
        <f>IF(AH330="Yes due to Product Mix change or Operating Leverage",10,IF(AH330="Yes, these are peak margins",-5,IF(AH330="No",5,0)))</f>
        <v/>
      </c>
      <c r="AJ330" s="30" t="inlineStr">
        <is>
          <t>Stable</t>
        </is>
      </c>
      <c r="AK330" s="30">
        <f>IF(AJ330="Stable",10,0)</f>
        <v/>
      </c>
      <c r="AL330" s="30" t="inlineStr">
        <is>
          <t>Yes</t>
        </is>
      </c>
      <c r="AM330" s="30">
        <f>IF(AL330="Yes",10,0)</f>
        <v/>
      </c>
      <c r="AN330" s="30" t="inlineStr">
        <is>
          <t>B2B</t>
        </is>
      </c>
      <c r="AO330" s="30">
        <f>IF(AN330="B2C",10,IF(AN330="B2B",5,0))</f>
        <v/>
      </c>
      <c r="AP330" s="30" t="inlineStr">
        <is>
          <t>No</t>
        </is>
      </c>
      <c r="AQ330" s="30">
        <f>IF(AP330="Yes",10,0)</f>
        <v/>
      </c>
      <c r="AR330" s="30" t="inlineStr">
        <is>
          <t>Higher One Time, Lower Annuity</t>
        </is>
      </c>
      <c r="AS330" s="30">
        <f>IF(AR330="Fully Annuity",10,IF(AR330="Higher Annuity, Lower One Time",5,IF(AR330="Higher One Time, Lower Annuity",3,0)))</f>
        <v/>
      </c>
      <c r="AT330" s="30" t="inlineStr">
        <is>
          <t>Good</t>
        </is>
      </c>
      <c r="AU330" s="30">
        <f>IF(AT330="Good",10,0)</f>
        <v/>
      </c>
      <c r="AV330" s="30" t="inlineStr">
        <is>
          <t>Yes for more than 2 years</t>
        </is>
      </c>
      <c r="AW330" s="30">
        <f>IF(AV330="Yes for more than 2 years",10,IF(AV330="Yes only for next 1 to 2 years",5,0))</f>
        <v/>
      </c>
      <c r="AX330" s="30" t="inlineStr">
        <is>
          <t>0 to 20</t>
        </is>
      </c>
      <c r="AY330" s="30">
        <f>IF(AX330="Above 40",20,IF(AX330="20 to 40",10,IF(AX330="0 to 20",-5,0)))</f>
        <v/>
      </c>
      <c r="AZ330" s="30" t="inlineStr">
        <is>
          <t>Between 50 to 75</t>
        </is>
      </c>
      <c r="BA330" s="30">
        <f>IF(AZ330="Between 50 to 75",10,IF(AZ330="Above 75",0,0))</f>
        <v/>
      </c>
      <c r="BB330" s="30" t="inlineStr">
        <is>
          <t>Stage 1</t>
        </is>
      </c>
      <c r="BC330" s="30">
        <f>IF(BB330="Stage 2",20,IF(BB330="Stage 1",0,IF(BB330="Stage 3",5,IF(BB330="Stage 4",-5,0))))</f>
        <v/>
      </c>
      <c r="BD330" s="30" t="inlineStr">
        <is>
          <t>Positive Trend</t>
        </is>
      </c>
      <c r="BE330" s="30">
        <f>IF(BD330="Positive Trend",20,IF(BD330="Negative Trend",-10,0))</f>
        <v/>
      </c>
      <c r="BF330" s="30" t="inlineStr">
        <is>
          <t>Uptrend</t>
        </is>
      </c>
      <c r="BG330" s="30">
        <f>IF(BF330="Uptrend",10,IF(BF330="Sideways",5,0))</f>
        <v/>
      </c>
      <c r="BH330" s="30" t="inlineStr">
        <is>
          <t>Uptrend</t>
        </is>
      </c>
      <c r="BI330" s="30">
        <f>IF(BH330="Uptrend",10,IF(BH330="Sideways",5,0))</f>
        <v/>
      </c>
      <c r="BJ330" s="30" t="inlineStr">
        <is>
          <t>Close to 52 week high or retracement</t>
        </is>
      </c>
      <c r="BK330" s="30">
        <f>IF(BJ330="Overhead supply in last 2 years in last 2 years",-5,IF(BJ330="Close to 52 week high or retracement",5,IF(BJ330="Blue sky scenario",10,IF(BJ330="Long term Downtrend",-10,0))))</f>
        <v/>
      </c>
      <c r="BL330" s="30" t="inlineStr">
        <is>
          <t>Yes</t>
        </is>
      </c>
      <c r="BM330" s="30">
        <f>IF(BL330="Yes",10,0)</f>
        <v/>
      </c>
      <c r="BN330" s="30" t="inlineStr">
        <is>
          <t>Between 12 to 20%</t>
        </is>
      </c>
      <c r="BO330" s="30">
        <f>IF(BN330="More than 20%",10,IF(BN330="Between 12 to 20%",5,IF(BN330="Less than 12%",0,0)))</f>
        <v/>
      </c>
      <c r="BP330" s="30" t="inlineStr">
        <is>
          <t>No</t>
        </is>
      </c>
      <c r="BQ330" s="30">
        <f>IF(BP330="No",10,0)</f>
        <v/>
      </c>
      <c r="BR330" s="30" t="inlineStr">
        <is>
          <t>Yes</t>
        </is>
      </c>
      <c r="BS330" s="30">
        <f>IF(BR330="NO",5,0)</f>
        <v/>
      </c>
      <c r="BT330" s="30" t="inlineStr">
        <is>
          <t>Above 2</t>
        </is>
      </c>
      <c r="BU330" s="30">
        <f>IF(BT330="Above 2",0,IF(BT330="Between 1.5 to 2",5,IF(BT330="Less than 1.5",10,0)))</f>
        <v/>
      </c>
      <c r="BV330" s="30" t="inlineStr">
        <is>
          <t>Between 50% to 70%</t>
        </is>
      </c>
      <c r="BW330" s="30">
        <f>IF(BV330="Above 70%",10,IF(BV330="Between 50% to 70%",5,IF(BV330="Less than 50%",0,IF(BV330="Negative",-10,IF(BV330="Less than 50% and Borrowings are increasing",-5,0)))))</f>
        <v/>
      </c>
      <c r="BX330" s="30" t="inlineStr">
        <is>
          <t>Less than 0.7</t>
        </is>
      </c>
      <c r="BY330" s="30">
        <f>IF(BX330="More than 1.2",-10,IF(BX330="Between 0.7 to 1.2",0,IF(BX330="Less than 0.7",10,0)))</f>
        <v/>
      </c>
      <c r="BZ330" s="30" t="inlineStr">
        <is>
          <t>No</t>
        </is>
      </c>
      <c r="CA330" s="30">
        <f>IF(BZ330="Yes",-10,0)</f>
        <v/>
      </c>
      <c r="CB330" s="30" t="inlineStr">
        <is>
          <t>Less than 15%</t>
        </is>
      </c>
      <c r="CC330" s="30">
        <f>IF(CB330="More than 15%",-10,IF(CB330="Less than 15%",10,0))</f>
        <v/>
      </c>
      <c r="CD330" s="30" t="inlineStr">
        <is>
          <t>No</t>
        </is>
      </c>
      <c r="CE330" s="30">
        <f>IF(CD330="Yes, more than 10%",-10,IF(CD330="No",10,0))</f>
        <v/>
      </c>
    </row>
    <row r="331">
      <c r="A331" s="30">
        <f>IF(B331=0,"",RANK(B331,$B$2:$B$361,0))</f>
        <v/>
      </c>
      <c r="B331" s="31">
        <f>SUM(N331,Y331,AA331,AC331,AE331,AG331,AI331,AK331,AM331,AO331,AQ331,AS331,AU331,AW331,AY331,BA331,BC331,BE331,BG331,BI331,BK331,BM331,BO331,BQ331,BS331,BU331,BW331,BY331,CA331,CC331,CE331)</f>
        <v/>
      </c>
      <c r="C331" s="30" t="inlineStr">
        <is>
          <t>SIMPLEXINF</t>
        </is>
      </c>
      <c r="D331" s="30" t="inlineStr">
        <is>
          <t>Simplex Infrastructures Limited</t>
        </is>
      </c>
      <c r="E331" s="30" t="inlineStr">
        <is>
          <t>realty</t>
        </is>
      </c>
      <c r="F331" s="30" t="inlineStr">
        <is>
          <t>construction</t>
        </is>
      </c>
      <c r="G331" s="30" t="inlineStr">
        <is>
          <t>smallcap</t>
        </is>
      </c>
      <c r="H331" s="31" t="n">
        <v>2198.06</v>
      </c>
      <c r="I331" s="31" t="n">
        <v>281.85</v>
      </c>
      <c r="J331" s="31" t="n">
        <v>1.42</v>
      </c>
      <c r="K331" s="31" t="n">
        <v>435735</v>
      </c>
      <c r="L331" s="30" t="n">
        <v>72</v>
      </c>
      <c r="M331" s="30" t="inlineStr">
        <is>
          <t>Outperforming</t>
        </is>
      </c>
      <c r="N331" s="31">
        <f>IF(M331="Underperforming",-5,IF(L331&gt;=95,15,IF(L331&gt;=90,10,IF(L331&gt;=80,5,0))))</f>
        <v/>
      </c>
      <c r="O331" s="31" t="n">
        <v>61.73</v>
      </c>
      <c r="P331" s="31" t="n">
        <v>19.67</v>
      </c>
      <c r="Q331" s="31" t="n">
        <v>190.78</v>
      </c>
      <c r="R331" s="30" t="inlineStr">
        <is>
          <t>Earnings / Momentum Support</t>
        </is>
      </c>
      <c r="S331" s="30" t="inlineStr">
        <is>
          <t>Nifty Realty</t>
        </is>
      </c>
      <c r="T331" s="31" t="n">
        <v>-19.64</v>
      </c>
      <c r="U331" s="31" t="n">
        <v>4.76</v>
      </c>
      <c r="V331" s="31" t="n">
        <v>30.36</v>
      </c>
      <c r="W331" s="31" t="n">
        <v>20.68</v>
      </c>
      <c r="X331" s="30" t="inlineStr">
        <is>
          <t>Growing Industry</t>
        </is>
      </c>
      <c r="Y331" s="30">
        <f>IF(X331="Growing Industry",10,IF(X331="Cyclical in an Upturn",5,0))</f>
        <v/>
      </c>
      <c r="Z331" s="30" t="inlineStr">
        <is>
          <t>Too Many Players with High ROCE</t>
        </is>
      </c>
      <c r="AA331" s="30">
        <f>IF(Z331="Monopoly",10,IF(Z331="Oligopoly",5,IF(Z331="Duopoly that cooperate",10,IF(Z331="Duopoly that compete",5,IF(Z331="Too many players with High ROCE",5,0)))))</f>
        <v/>
      </c>
      <c r="AB331" s="30" t="inlineStr">
        <is>
          <t>No</t>
        </is>
      </c>
      <c r="AC331" s="30">
        <f>IF(AB331="No",5,0)</f>
        <v/>
      </c>
      <c r="AD331" s="30" t="inlineStr">
        <is>
          <t>Tailwind</t>
        </is>
      </c>
      <c r="AE331" s="30">
        <f>IF(AD331="Tailwind",10,0)</f>
        <v/>
      </c>
      <c r="AF331" s="30" t="inlineStr">
        <is>
          <t>Structural (10 Years Consistency)</t>
        </is>
      </c>
      <c r="AG331" s="30">
        <f>IF(AF331="Structural (10 Years Consistency)",10,IF(AF331="Shallow Cyclical (2 to 3 years growth)",5,0))</f>
        <v/>
      </c>
      <c r="AH331" s="30" t="inlineStr">
        <is>
          <t>No</t>
        </is>
      </c>
      <c r="AI331" s="30">
        <f>IF(AH331="Yes due to Product Mix change or Operating Leverage",10,IF(AH331="Yes, these are peak margins",-5,IF(AH331="No",5,0)))</f>
        <v/>
      </c>
      <c r="AJ331" s="30" t="inlineStr">
        <is>
          <t>Stable</t>
        </is>
      </c>
      <c r="AK331" s="30">
        <f>IF(AJ331="Stable",10,0)</f>
        <v/>
      </c>
      <c r="AL331" s="30" t="inlineStr">
        <is>
          <t>Yes</t>
        </is>
      </c>
      <c r="AM331" s="30">
        <f>IF(AL331="Yes",10,0)</f>
        <v/>
      </c>
      <c r="AN331" s="30" t="inlineStr">
        <is>
          <t>B2B</t>
        </is>
      </c>
      <c r="AO331" s="30">
        <f>IF(AN331="B2C",10,IF(AN331="B2B",5,0))</f>
        <v/>
      </c>
      <c r="AP331" s="30" t="inlineStr">
        <is>
          <t>No</t>
        </is>
      </c>
      <c r="AQ331" s="30">
        <f>IF(AP331="Yes",10,0)</f>
        <v/>
      </c>
      <c r="AR331" s="30" t="inlineStr">
        <is>
          <t>Higher One Time, Lower Annuity</t>
        </is>
      </c>
      <c r="AS331" s="30">
        <f>IF(AR331="Fully Annuity",10,IF(AR331="Higher Annuity, Lower One Time",5,IF(AR331="Higher One Time, Lower Annuity",3,0)))</f>
        <v/>
      </c>
      <c r="AT331" s="30" t="inlineStr">
        <is>
          <t>Good</t>
        </is>
      </c>
      <c r="AU331" s="30">
        <f>IF(AT331="Good",10,0)</f>
        <v/>
      </c>
      <c r="AV331" s="30" t="inlineStr">
        <is>
          <t>Yes for more than 2 years</t>
        </is>
      </c>
      <c r="AW331" s="30">
        <f>IF(AV331="Yes for more than 2 years",10,IF(AV331="Yes only for next 1 to 2 years",5,0))</f>
        <v/>
      </c>
      <c r="AX331" s="30" t="inlineStr">
        <is>
          <t>0 to 20</t>
        </is>
      </c>
      <c r="AY331" s="30">
        <f>IF(AX331="Above 40",20,IF(AX331="20 to 40",10,IF(AX331="0 to 20",-5,0)))</f>
        <v/>
      </c>
      <c r="AZ331" s="30" t="inlineStr">
        <is>
          <t>Between 50 to 75</t>
        </is>
      </c>
      <c r="BA331" s="30">
        <f>IF(AZ331="Between 50 to 75",10,IF(AZ331="Above 75",0,0))</f>
        <v/>
      </c>
      <c r="BB331" s="30" t="inlineStr">
        <is>
          <t>Stage 2</t>
        </is>
      </c>
      <c r="BC331" s="30">
        <f>IF(BB331="Stage 2",20,IF(BB331="Stage 1",0,IF(BB331="Stage 3",5,IF(BB331="Stage 4",-5,0))))</f>
        <v/>
      </c>
      <c r="BD331" s="30" t="inlineStr">
        <is>
          <t>Positive Trend</t>
        </is>
      </c>
      <c r="BE331" s="30">
        <f>IF(BD331="Positive Trend",20,IF(BD331="Negative Trend",-10,0))</f>
        <v/>
      </c>
      <c r="BF331" s="30" t="inlineStr">
        <is>
          <t>Uptrend</t>
        </is>
      </c>
      <c r="BG331" s="30">
        <f>IF(BF331="Uptrend",10,IF(BF331="Sideways",5,0))</f>
        <v/>
      </c>
      <c r="BH331" s="30" t="inlineStr">
        <is>
          <t>Uptrend</t>
        </is>
      </c>
      <c r="BI331" s="30">
        <f>IF(BH331="Uptrend",10,IF(BH331="Sideways",5,0))</f>
        <v/>
      </c>
      <c r="BJ331" s="30" t="inlineStr">
        <is>
          <t>Close to 52 week high or retracement</t>
        </is>
      </c>
      <c r="BK331" s="30">
        <f>IF(BJ331="Overhead supply in last 2 years in last 2 years",-5,IF(BJ331="Close to 52 week high or retracement",5,IF(BJ331="Blue sky scenario",10,IF(BJ331="Long term Downtrend",-10,0))))</f>
        <v/>
      </c>
      <c r="BL331" s="30" t="inlineStr">
        <is>
          <t>Yes</t>
        </is>
      </c>
      <c r="BM331" s="30">
        <f>IF(BL331="Yes",10,0)</f>
        <v/>
      </c>
      <c r="BN331" s="30" t="inlineStr">
        <is>
          <t>Less than 12%</t>
        </is>
      </c>
      <c r="BO331" s="30">
        <f>IF(BN331="More than 20%",10,IF(BN331="Between 12 to 20%",5,IF(BN331="Less than 12%",0,0)))</f>
        <v/>
      </c>
      <c r="BP331" s="30" t="inlineStr">
        <is>
          <t>No</t>
        </is>
      </c>
      <c r="BQ331" s="30">
        <f>IF(BP331="No",10,0)</f>
        <v/>
      </c>
      <c r="BR331" s="30" t="inlineStr">
        <is>
          <t>Yes</t>
        </is>
      </c>
      <c r="BS331" s="30">
        <f>IF(BR331="NO",5,0)</f>
        <v/>
      </c>
      <c r="BT331" s="30" t="inlineStr">
        <is>
          <t>Above 2</t>
        </is>
      </c>
      <c r="BU331" s="30">
        <f>IF(BT331="Above 2",0,IF(BT331="Between 1.5 to 2",5,IF(BT331="Less than 1.5",10,0)))</f>
        <v/>
      </c>
      <c r="BV331" s="30" t="inlineStr">
        <is>
          <t>Above 70%</t>
        </is>
      </c>
      <c r="BW331" s="30">
        <f>IF(BV331="Above 70%",10,IF(BV331="Between 50% to 70%",5,IF(BV331="Less than 50%",0,IF(BV331="Negative",-10,IF(BV331="Less than 50% and Borrowings are increasing",-5,0)))))</f>
        <v/>
      </c>
      <c r="BX331" s="30" t="inlineStr">
        <is>
          <t>More than 1.2</t>
        </is>
      </c>
      <c r="BY331" s="30">
        <f>IF(BX331="More than 1.2",-10,IF(BX331="Between 0.7 to 1.2",0,IF(BX331="Less than 0.7",10,0)))</f>
        <v/>
      </c>
      <c r="BZ331" s="30" t="inlineStr">
        <is>
          <t>No</t>
        </is>
      </c>
      <c r="CA331" s="30">
        <f>IF(BZ331="Yes",-10,0)</f>
        <v/>
      </c>
      <c r="CB331" s="30" t="inlineStr">
        <is>
          <t>Less than 15%</t>
        </is>
      </c>
      <c r="CC331" s="30">
        <f>IF(CB331="More than 15%",-10,IF(CB331="Less than 15%",10,0))</f>
        <v/>
      </c>
      <c r="CD331" s="30" t="inlineStr">
        <is>
          <t>No</t>
        </is>
      </c>
      <c r="CE331" s="30">
        <f>IF(CD331="Yes, more than 10%",-10,IF(CD331="No",10,0))</f>
        <v/>
      </c>
    </row>
    <row r="332">
      <c r="A332" s="30">
        <f>IF(B332=0,"",RANK(B332,$B$2:$B$361,0))</f>
        <v/>
      </c>
      <c r="B332" s="31">
        <f>SUM(N332,Y332,AA332,AC332,AE332,AG332,AI332,AK332,AM332,AO332,AQ332,AS332,AU332,AW332,AY332,BA332,BC332,BE332,BG332,BI332,BK332,BM332,BO332,BQ332,BS332,BU332,BW332,BY332,CA332,CC332,CE332)</f>
        <v/>
      </c>
      <c r="C332" s="30" t="inlineStr">
        <is>
          <t>MAXESTATES</t>
        </is>
      </c>
      <c r="D332" s="30" t="inlineStr">
        <is>
          <t>Max Estates Ltd</t>
        </is>
      </c>
      <c r="E332" s="30" t="inlineStr">
        <is>
          <t>realty</t>
        </is>
      </c>
      <c r="F332" s="30" t="inlineStr">
        <is>
          <t>construction</t>
        </is>
      </c>
      <c r="G332" s="30" t="inlineStr">
        <is>
          <t>midcap</t>
        </is>
      </c>
      <c r="H332" s="31" t="n">
        <v>7463.74</v>
      </c>
      <c r="I332" s="31" t="n">
        <v>460.5</v>
      </c>
      <c r="J332" s="31" t="n">
        <v>0.84</v>
      </c>
      <c r="K332" s="31" t="n">
        <v>54779</v>
      </c>
      <c r="L332" s="30" t="n">
        <v>11</v>
      </c>
      <c r="M332" s="30" t="inlineStr">
        <is>
          <t>Outperforming</t>
        </is>
      </c>
      <c r="N332" s="31">
        <f>IF(M332="Underperforming",-5,IF(L332&gt;=95,15,IF(L332&gt;=90,10,IF(L332&gt;=80,5,0))))</f>
        <v/>
      </c>
      <c r="O332" s="31" t="n">
        <v>60.81</v>
      </c>
      <c r="P332" s="31" t="n">
        <v>14.33</v>
      </c>
      <c r="Q332" s="31" t="n">
        <v>356.47</v>
      </c>
      <c r="R332" s="30" t="inlineStr">
        <is>
          <t>Earnings / Momentum Support</t>
        </is>
      </c>
      <c r="S332" s="30" t="inlineStr">
        <is>
          <t>Nifty Realty</t>
        </is>
      </c>
      <c r="T332" s="31" t="n">
        <v>-19.64</v>
      </c>
      <c r="U332" s="31" t="n">
        <v>-8.07</v>
      </c>
      <c r="V332" s="31" t="n">
        <v>14.39</v>
      </c>
      <c r="W332" s="31" t="n">
        <v>4.26</v>
      </c>
      <c r="X332" s="30" t="inlineStr">
        <is>
          <t>Growing Industry</t>
        </is>
      </c>
      <c r="Y332" s="30">
        <f>IF(X332="Growing Industry",10,IF(X332="Cyclical in an Upturn",5,0))</f>
        <v/>
      </c>
      <c r="Z332" s="30" t="inlineStr">
        <is>
          <t>Too Many Players with High ROCE</t>
        </is>
      </c>
      <c r="AA332" s="30">
        <f>IF(Z332="Monopoly",10,IF(Z332="Oligopoly",5,IF(Z332="Duopoly that cooperate",10,IF(Z332="Duopoly that compete",5,IF(Z332="Too many players with High ROCE",5,0)))))</f>
        <v/>
      </c>
      <c r="AB332" s="30" t="inlineStr">
        <is>
          <t>No</t>
        </is>
      </c>
      <c r="AC332" s="30">
        <f>IF(AB332="No",5,0)</f>
        <v/>
      </c>
      <c r="AD332" s="30" t="inlineStr">
        <is>
          <t>Tailwind</t>
        </is>
      </c>
      <c r="AE332" s="30">
        <f>IF(AD332="Tailwind",10,0)</f>
        <v/>
      </c>
      <c r="AF332" s="30" t="inlineStr">
        <is>
          <t>Structural (10 Years Consistency)</t>
        </is>
      </c>
      <c r="AG332" s="30">
        <f>IF(AF332="Structural (10 Years Consistency)",10,IF(AF332="Shallow Cyclical (2 to 3 years growth)",5,0))</f>
        <v/>
      </c>
      <c r="AH332" s="30" t="inlineStr">
        <is>
          <t>No</t>
        </is>
      </c>
      <c r="AI332" s="30">
        <f>IF(AH332="Yes due to Product Mix change or Operating Leverage",10,IF(AH332="Yes, these are peak margins",-5,IF(AH332="No",5,0)))</f>
        <v/>
      </c>
      <c r="AJ332" s="30" t="inlineStr">
        <is>
          <t>Stable</t>
        </is>
      </c>
      <c r="AK332" s="30">
        <f>IF(AJ332="Stable",10,0)</f>
        <v/>
      </c>
      <c r="AL332" s="30" t="inlineStr">
        <is>
          <t>Yes</t>
        </is>
      </c>
      <c r="AM332" s="30">
        <f>IF(AL332="Yes",10,0)</f>
        <v/>
      </c>
      <c r="AN332" s="30" t="inlineStr">
        <is>
          <t>B2B</t>
        </is>
      </c>
      <c r="AO332" s="30">
        <f>IF(AN332="B2C",10,IF(AN332="B2B",5,0))</f>
        <v/>
      </c>
      <c r="AP332" s="30" t="inlineStr">
        <is>
          <t>No</t>
        </is>
      </c>
      <c r="AQ332" s="30">
        <f>IF(AP332="Yes",10,0)</f>
        <v/>
      </c>
      <c r="AR332" s="30" t="inlineStr">
        <is>
          <t>Higher One Time, Lower Annuity</t>
        </is>
      </c>
      <c r="AS332" s="30">
        <f>IF(AR332="Fully Annuity",10,IF(AR332="Higher Annuity, Lower One Time",5,IF(AR332="Higher One Time, Lower Annuity",3,0)))</f>
        <v/>
      </c>
      <c r="AT332" s="30" t="inlineStr">
        <is>
          <t>Good</t>
        </is>
      </c>
      <c r="AU332" s="30">
        <f>IF(AT332="Good",10,0)</f>
        <v/>
      </c>
      <c r="AV332" s="30" t="inlineStr">
        <is>
          <t>Yes for more than 2 years</t>
        </is>
      </c>
      <c r="AW332" s="30">
        <f>IF(AV332="Yes for more than 2 years",10,IF(AV332="Yes only for next 1 to 2 years",5,0))</f>
        <v/>
      </c>
      <c r="AX332" s="30" t="inlineStr">
        <is>
          <t>0 to 20</t>
        </is>
      </c>
      <c r="AY332" s="30">
        <f>IF(AX332="Above 40",20,IF(AX332="20 to 40",10,IF(AX332="0 to 20",-5,0)))</f>
        <v/>
      </c>
      <c r="AZ332" s="30" t="inlineStr">
        <is>
          <t>Between 50 to 75</t>
        </is>
      </c>
      <c r="BA332" s="30">
        <f>IF(AZ332="Between 50 to 75",10,IF(AZ332="Above 75",0,0))</f>
        <v/>
      </c>
      <c r="BB332" s="30" t="inlineStr">
        <is>
          <t>Stage 2</t>
        </is>
      </c>
      <c r="BC332" s="30">
        <f>IF(BB332="Stage 2",20,IF(BB332="Stage 1",0,IF(BB332="Stage 3",5,IF(BB332="Stage 4",-5,0))))</f>
        <v/>
      </c>
      <c r="BD332" s="30" t="inlineStr">
        <is>
          <t>Positive Trend</t>
        </is>
      </c>
      <c r="BE332" s="30">
        <f>IF(BD332="Positive Trend",20,IF(BD332="Negative Trend",-10,0))</f>
        <v/>
      </c>
      <c r="BF332" s="30" t="inlineStr">
        <is>
          <t>Uptrend</t>
        </is>
      </c>
      <c r="BG332" s="30">
        <f>IF(BF332="Uptrend",10,IF(BF332="Sideways",5,0))</f>
        <v/>
      </c>
      <c r="BH332" s="30" t="inlineStr">
        <is>
          <t>Uptrend</t>
        </is>
      </c>
      <c r="BI332" s="30">
        <f>IF(BH332="Uptrend",10,IF(BH332="Sideways",5,0))</f>
        <v/>
      </c>
      <c r="BJ332" s="30" t="inlineStr">
        <is>
          <t>Close to 52 week high or retracement</t>
        </is>
      </c>
      <c r="BK332" s="30">
        <f>IF(BJ332="Overhead supply in last 2 years in last 2 years",-5,IF(BJ332="Close to 52 week high or retracement",5,IF(BJ332="Blue sky scenario",10,IF(BJ332="Long term Downtrend",-10,0))))</f>
        <v/>
      </c>
      <c r="BL332" s="30" t="inlineStr">
        <is>
          <t>Yes</t>
        </is>
      </c>
      <c r="BM332" s="30">
        <f>IF(BL332="Yes",10,0)</f>
        <v/>
      </c>
      <c r="BN332" s="30" t="inlineStr">
        <is>
          <t>More than 20%</t>
        </is>
      </c>
      <c r="BO332" s="30">
        <f>IF(BN332="More than 20%",10,IF(BN332="Between 12 to 20%",5,IF(BN332="Less than 12%",0,0)))</f>
        <v/>
      </c>
      <c r="BP332" s="30" t="inlineStr">
        <is>
          <t>No</t>
        </is>
      </c>
      <c r="BQ332" s="30">
        <f>IF(BP332="No",10,0)</f>
        <v/>
      </c>
      <c r="BR332" s="30" t="inlineStr">
        <is>
          <t>Yes</t>
        </is>
      </c>
      <c r="BS332" s="30">
        <f>IF(BR332="NO",5,0)</f>
        <v/>
      </c>
      <c r="BT332" s="30" t="inlineStr">
        <is>
          <t>Above 2</t>
        </is>
      </c>
      <c r="BU332" s="30">
        <f>IF(BT332="Above 2",0,IF(BT332="Between 1.5 to 2",5,IF(BT332="Less than 1.5",10,0)))</f>
        <v/>
      </c>
      <c r="BV332" s="30" t="inlineStr">
        <is>
          <t>Negative</t>
        </is>
      </c>
      <c r="BW332" s="30">
        <f>IF(BV332="Above 70%",10,IF(BV332="Between 50% to 70%",5,IF(BV332="Less than 50%",0,IF(BV332="Negative",-10,IF(BV332="Less than 50% and Borrowings are increasing",-5,0)))))</f>
        <v/>
      </c>
      <c r="BX332" s="30" t="inlineStr">
        <is>
          <t>Between 0.7 to 1.2</t>
        </is>
      </c>
      <c r="BY332" s="30">
        <f>IF(BX332="More than 1.2",-10,IF(BX332="Between 0.7 to 1.2",0,IF(BX332="Less than 0.7",10,0)))</f>
        <v/>
      </c>
      <c r="BZ332" s="30" t="inlineStr">
        <is>
          <t>No</t>
        </is>
      </c>
      <c r="CA332" s="30">
        <f>IF(BZ332="Yes",-10,0)</f>
        <v/>
      </c>
      <c r="CB332" s="30" t="inlineStr">
        <is>
          <t>Less than 15%</t>
        </is>
      </c>
      <c r="CC332" s="30">
        <f>IF(CB332="More than 15%",-10,IF(CB332="Less than 15%",10,0))</f>
        <v/>
      </c>
      <c r="CD332" s="30" t="inlineStr">
        <is>
          <t>No</t>
        </is>
      </c>
      <c r="CE332" s="30">
        <f>IF(CD332="Yes, more than 10%",-10,IF(CD332="No",10,0))</f>
        <v/>
      </c>
    </row>
    <row r="333">
      <c r="A333" s="30">
        <f>IF(B333=0,"",RANK(B333,$B$2:$B$361,0))</f>
        <v/>
      </c>
      <c r="B333" s="31">
        <f>SUM(N333,Y333,AA333,AC333,AE333,AG333,AI333,AK333,AM333,AO333,AQ333,AS333,AU333,AW333,AY333,BA333,BC333,BE333,BG333,BI333,BK333,BM333,BO333,BQ333,BS333,BU333,BW333,BY333,CA333,CC333,CE333)</f>
        <v/>
      </c>
      <c r="C333" s="30" t="inlineStr">
        <is>
          <t>SBC</t>
        </is>
      </c>
      <c r="D333" s="30" t="inlineStr">
        <is>
          <t>SBC Exports Ltd</t>
        </is>
      </c>
      <c r="E333" s="30" t="inlineStr">
        <is>
          <t>textiles</t>
        </is>
      </c>
      <c r="F333" s="30" t="inlineStr">
        <is>
          <t>textiles - products</t>
        </is>
      </c>
      <c r="G333" s="30" t="inlineStr">
        <is>
          <t>smallcap</t>
        </is>
      </c>
      <c r="H333" s="31" t="n">
        <v>1774.28</v>
      </c>
      <c r="I333" s="31" t="n">
        <v>37.5</v>
      </c>
      <c r="J333" s="31" t="n">
        <v>0.64</v>
      </c>
      <c r="K333" s="31" t="n">
        <v>17483750</v>
      </c>
      <c r="L333" s="30" t="n">
        <v>81</v>
      </c>
      <c r="M333" s="30" t="inlineStr">
        <is>
          <t>Outperforming</t>
        </is>
      </c>
      <c r="N333" s="31">
        <f>IF(M333="Underperforming",-5,IF(L333&gt;=95,15,IF(L333&gt;=90,10,IF(L333&gt;=80,5,0))))</f>
        <v/>
      </c>
      <c r="O333" s="31" t="n">
        <v>71.54000000000001</v>
      </c>
      <c r="P333" s="31" t="n">
        <v>24.14</v>
      </c>
      <c r="Q333" s="31" t="n">
        <v>33.02</v>
      </c>
      <c r="R333" s="30" t="inlineStr">
        <is>
          <t>Near 52W High Breakout</t>
        </is>
      </c>
      <c r="S333" s="30" t="inlineStr">
        <is>
          <t>Nifty 50</t>
        </is>
      </c>
      <c r="T333" s="31" t="n">
        <v>-4.09</v>
      </c>
      <c r="U333" s="31" t="n">
        <v>157.73</v>
      </c>
      <c r="V333" s="31" t="n">
        <v>168.72</v>
      </c>
      <c r="W333" s="31" t="n">
        <v>25.65</v>
      </c>
      <c r="X333" s="30" t="inlineStr">
        <is>
          <t>Growing Industry</t>
        </is>
      </c>
      <c r="Y333" s="30">
        <f>IF(X333="Growing Industry",10,IF(X333="Cyclical in an Upturn",5,0))</f>
        <v/>
      </c>
      <c r="Z333" s="30" t="inlineStr">
        <is>
          <t>Too Many Players with High ROCE</t>
        </is>
      </c>
      <c r="AA333" s="30">
        <f>IF(Z333="Monopoly",10,IF(Z333="Oligopoly",5,IF(Z333="Duopoly that cooperate",10,IF(Z333="Duopoly that compete",5,IF(Z333="Too many players with High ROCE",5,0)))))</f>
        <v/>
      </c>
      <c r="AB333" s="30" t="inlineStr">
        <is>
          <t>No</t>
        </is>
      </c>
      <c r="AC333" s="30">
        <f>IF(AB333="No",5,0)</f>
        <v/>
      </c>
      <c r="AD333" s="30" t="inlineStr">
        <is>
          <t>Tailwind</t>
        </is>
      </c>
      <c r="AE333" s="30">
        <f>IF(AD333="Tailwind",10,0)</f>
        <v/>
      </c>
      <c r="AF333" s="30" t="inlineStr">
        <is>
          <t>Structural (10 Years Consistency)</t>
        </is>
      </c>
      <c r="AG333" s="30">
        <f>IF(AF333="Structural (10 Years Consistency)",10,IF(AF333="Shallow Cyclical (2 to 3 years growth)",5,0))</f>
        <v/>
      </c>
      <c r="AH333" s="30" t="inlineStr">
        <is>
          <t>No</t>
        </is>
      </c>
      <c r="AI333" s="30">
        <f>IF(AH333="Yes due to Product Mix change or Operating Leverage",10,IF(AH333="Yes, these are peak margins",-5,IF(AH333="No",5,0)))</f>
        <v/>
      </c>
      <c r="AJ333" s="30" t="inlineStr">
        <is>
          <t>Stable</t>
        </is>
      </c>
      <c r="AK333" s="30">
        <f>IF(AJ333="Stable",10,0)</f>
        <v/>
      </c>
      <c r="AL333" s="30" t="inlineStr">
        <is>
          <t>Yes</t>
        </is>
      </c>
      <c r="AM333" s="30">
        <f>IF(AL333="Yes",10,0)</f>
        <v/>
      </c>
      <c r="AN333" s="30" t="inlineStr">
        <is>
          <t>B2B</t>
        </is>
      </c>
      <c r="AO333" s="30">
        <f>IF(AN333="B2C",10,IF(AN333="B2B",5,0))</f>
        <v/>
      </c>
      <c r="AP333" s="30" t="inlineStr">
        <is>
          <t>Yes</t>
        </is>
      </c>
      <c r="AQ333" s="30">
        <f>IF(AP333="Yes",10,0)</f>
        <v/>
      </c>
      <c r="AR333" s="30" t="inlineStr">
        <is>
          <t>Higher One Time, Lower Annuity</t>
        </is>
      </c>
      <c r="AS333" s="30">
        <f>IF(AR333="Fully Annuity",10,IF(AR333="Higher Annuity, Lower One Time",5,IF(AR333="Higher One Time, Lower Annuity",3,0)))</f>
        <v/>
      </c>
      <c r="AT333" s="30" t="inlineStr">
        <is>
          <t>Good</t>
        </is>
      </c>
      <c r="AU333" s="30">
        <f>IF(AT333="Good",10,0)</f>
        <v/>
      </c>
      <c r="AV333" s="30" t="inlineStr">
        <is>
          <t>Yes for more than 2 years</t>
        </is>
      </c>
      <c r="AW333" s="30">
        <f>IF(AV333="Yes for more than 2 years",10,IF(AV333="Yes only for next 1 to 2 years",5,0))</f>
        <v/>
      </c>
      <c r="AX333" s="30" t="inlineStr">
        <is>
          <t>20 to 40</t>
        </is>
      </c>
      <c r="AY333" s="30">
        <f>IF(AX333="Above 40",20,IF(AX333="20 to 40",10,IF(AX333="0 to 20",-5,0)))</f>
        <v/>
      </c>
      <c r="AZ333" s="30" t="inlineStr">
        <is>
          <t>Between 50 to 75</t>
        </is>
      </c>
      <c r="BA333" s="30">
        <f>IF(AZ333="Between 50 to 75",10,IF(AZ333="Above 75",0,0))</f>
        <v/>
      </c>
      <c r="BB333" s="30" t="inlineStr">
        <is>
          <t>Stage 2</t>
        </is>
      </c>
      <c r="BC333" s="30">
        <f>IF(BB333="Stage 2",20,IF(BB333="Stage 1",0,IF(BB333="Stage 3",5,IF(BB333="Stage 4",-5,0))))</f>
        <v/>
      </c>
      <c r="BD333" s="30" t="inlineStr">
        <is>
          <t>Negative Trend</t>
        </is>
      </c>
      <c r="BE333" s="30">
        <f>IF(BD333="Positive Trend",20,IF(BD333="Negative Trend",-10,0))</f>
        <v/>
      </c>
      <c r="BF333" s="30" t="inlineStr">
        <is>
          <t>Uptrend</t>
        </is>
      </c>
      <c r="BG333" s="30">
        <f>IF(BF333="Uptrend",10,IF(BF333="Sideways",5,0))</f>
        <v/>
      </c>
      <c r="BH333" s="30" t="inlineStr">
        <is>
          <t>Uptrend</t>
        </is>
      </c>
      <c r="BI333" s="30">
        <f>IF(BH333="Uptrend",10,IF(BH333="Sideways",5,0))</f>
        <v/>
      </c>
      <c r="BJ333" s="30" t="inlineStr">
        <is>
          <t>Blue sky scenario</t>
        </is>
      </c>
      <c r="BK333" s="30">
        <f>IF(BJ333="Overhead supply in last 2 years in last 2 years",-5,IF(BJ333="Close to 52 week high or retracement",5,IF(BJ333="Blue sky scenario",10,IF(BJ333="Long term Downtrend",-10,0))))</f>
        <v/>
      </c>
      <c r="BL333" s="30" t="inlineStr">
        <is>
          <t>Yes</t>
        </is>
      </c>
      <c r="BM333" s="30">
        <f>IF(BL333="Yes",10,0)</f>
        <v/>
      </c>
      <c r="BN333" s="30" t="inlineStr">
        <is>
          <t>More than 20%</t>
        </is>
      </c>
      <c r="BO333" s="30">
        <f>IF(BN333="More than 20%",10,IF(BN333="Between 12 to 20%",5,IF(BN333="Less than 12%",0,0)))</f>
        <v/>
      </c>
      <c r="BP333" s="30" t="inlineStr">
        <is>
          <t>No</t>
        </is>
      </c>
      <c r="BQ333" s="30">
        <f>IF(BP333="No",10,0)</f>
        <v/>
      </c>
      <c r="BR333" s="30" t="inlineStr">
        <is>
          <t>Yes</t>
        </is>
      </c>
      <c r="BS333" s="30">
        <f>IF(BR333="NO",5,0)</f>
        <v/>
      </c>
      <c r="BT333" s="30" t="inlineStr">
        <is>
          <t>Between 1.5 to 2</t>
        </is>
      </c>
      <c r="BU333" s="30">
        <f>IF(BT333="Above 2",0,IF(BT333="Between 1.5 to 2",5,IF(BT333="Less than 1.5",10,0)))</f>
        <v/>
      </c>
      <c r="BV333" s="30" t="inlineStr">
        <is>
          <t>Negative</t>
        </is>
      </c>
      <c r="BW333" s="30">
        <f>IF(BV333="Above 70%",10,IF(BV333="Between 50% to 70%",5,IF(BV333="Less than 50%",0,IF(BV333="Negative",-10,IF(BV333="Less than 50% and Borrowings are increasing",-5,0)))))</f>
        <v/>
      </c>
      <c r="BX333" s="30" t="inlineStr">
        <is>
          <t>More than 1.2</t>
        </is>
      </c>
      <c r="BY333" s="30">
        <f>IF(BX333="More than 1.2",-10,IF(BX333="Between 0.7 to 1.2",0,IF(BX333="Less than 0.7",10,0)))</f>
        <v/>
      </c>
      <c r="BZ333" s="30" t="inlineStr">
        <is>
          <t>No</t>
        </is>
      </c>
      <c r="CA333" s="30">
        <f>IF(BZ333="Yes",-10,0)</f>
        <v/>
      </c>
      <c r="CB333" s="30" t="inlineStr">
        <is>
          <t>Less than 15%</t>
        </is>
      </c>
      <c r="CC333" s="30">
        <f>IF(CB333="More than 15%",-10,IF(CB333="Less than 15%",10,0))</f>
        <v/>
      </c>
      <c r="CD333" s="30" t="inlineStr">
        <is>
          <t>No</t>
        </is>
      </c>
      <c r="CE333" s="30">
        <f>IF(CD333="Yes, more than 10%",-10,IF(CD333="No",10,0))</f>
        <v/>
      </c>
    </row>
    <row r="334">
      <c r="A334" s="30">
        <f>IF(B334=0,"",RANK(B334,$B$2:$B$361,0))</f>
        <v/>
      </c>
      <c r="B334" s="31">
        <f>SUM(N334,Y334,AA334,AC334,AE334,AG334,AI334,AK334,AM334,AO334,AQ334,AS334,AU334,AW334,AY334,BA334,BC334,BE334,BG334,BI334,BK334,BM334,BO334,BQ334,BS334,BU334,BW334,BY334,CA334,CC334,CE334)</f>
        <v/>
      </c>
      <c r="C334" s="30" t="inlineStr">
        <is>
          <t>GRASIM</t>
        </is>
      </c>
      <c r="D334" s="30" t="inlineStr">
        <is>
          <t>Grasim Industries Limited</t>
        </is>
      </c>
      <c r="E334" s="30" t="inlineStr">
        <is>
          <t>textiles</t>
        </is>
      </c>
      <c r="F334" s="30" t="inlineStr">
        <is>
          <t>textiles - manmade</t>
        </is>
      </c>
      <c r="G334" s="30" t="inlineStr">
        <is>
          <t>largecap</t>
        </is>
      </c>
      <c r="H334" s="31" t="n">
        <v>213722.72</v>
      </c>
      <c r="I334" s="31" t="n">
        <v>3150.4</v>
      </c>
      <c r="J334" s="31" t="n">
        <v>0.32</v>
      </c>
      <c r="K334" s="31" t="n">
        <v>395269</v>
      </c>
      <c r="L334" s="30" t="n">
        <v>26</v>
      </c>
      <c r="M334" s="30" t="inlineStr">
        <is>
          <t>Outperforming</t>
        </is>
      </c>
      <c r="N334" s="31">
        <f>IF(M334="Underperforming",-5,IF(L334&gt;=95,15,IF(L334&gt;=90,10,IF(L334&gt;=80,5,0))))</f>
        <v/>
      </c>
      <c r="O334" s="31" t="n">
        <v>66.3</v>
      </c>
      <c r="P334" s="31" t="n">
        <v>24.12</v>
      </c>
      <c r="Q334" s="31" t="n">
        <v>2751.06</v>
      </c>
      <c r="R334" s="30" t="inlineStr">
        <is>
          <t>Near 52W High Breakout</t>
        </is>
      </c>
      <c r="S334" s="30" t="inlineStr">
        <is>
          <t>Nifty 50</t>
        </is>
      </c>
      <c r="T334" s="31" t="n">
        <v>-4.09</v>
      </c>
      <c r="U334" s="31" t="n">
        <v>16.56</v>
      </c>
      <c r="V334" s="31" t="n">
        <v>21.53</v>
      </c>
      <c r="W334" s="31" t="n">
        <v>7.61</v>
      </c>
      <c r="X334" s="30" t="inlineStr">
        <is>
          <t>Growing Industry</t>
        </is>
      </c>
      <c r="Y334" s="30">
        <f>IF(X334="Growing Industry",10,IF(X334="Cyclical in an Upturn",5,0))</f>
        <v/>
      </c>
      <c r="Z334" s="30" t="inlineStr">
        <is>
          <t>Too Many Players with High ROCE</t>
        </is>
      </c>
      <c r="AA334" s="30">
        <f>IF(Z334="Monopoly",10,IF(Z334="Oligopoly",5,IF(Z334="Duopoly that cooperate",10,IF(Z334="Duopoly that compete",5,IF(Z334="Too many players with High ROCE",5,0)))))</f>
        <v/>
      </c>
      <c r="AB334" s="30" t="inlineStr">
        <is>
          <t>No</t>
        </is>
      </c>
      <c r="AC334" s="30">
        <f>IF(AB334="No",5,0)</f>
        <v/>
      </c>
      <c r="AD334" s="30" t="inlineStr">
        <is>
          <t>Tailwind</t>
        </is>
      </c>
      <c r="AE334" s="30">
        <f>IF(AD334="Tailwind",10,0)</f>
        <v/>
      </c>
      <c r="AF334" s="30" t="inlineStr">
        <is>
          <t>Structural (10 Years Consistency)</t>
        </is>
      </c>
      <c r="AG334" s="30">
        <f>IF(AF334="Structural (10 Years Consistency)",10,IF(AF334="Shallow Cyclical (2 to 3 years growth)",5,0))</f>
        <v/>
      </c>
      <c r="AH334" s="30" t="inlineStr">
        <is>
          <t>No</t>
        </is>
      </c>
      <c r="AI334" s="30">
        <f>IF(AH334="Yes due to Product Mix change or Operating Leverage",10,IF(AH334="Yes, these are peak margins",-5,IF(AH334="No",5,0)))</f>
        <v/>
      </c>
      <c r="AJ334" s="30" t="inlineStr">
        <is>
          <t>Stable</t>
        </is>
      </c>
      <c r="AK334" s="30">
        <f>IF(AJ334="Stable",10,0)</f>
        <v/>
      </c>
      <c r="AL334" s="30" t="inlineStr">
        <is>
          <t>Yes</t>
        </is>
      </c>
      <c r="AM334" s="30">
        <f>IF(AL334="Yes",10,0)</f>
        <v/>
      </c>
      <c r="AN334" s="30" t="inlineStr">
        <is>
          <t>B2B</t>
        </is>
      </c>
      <c r="AO334" s="30">
        <f>IF(AN334="B2C",10,IF(AN334="B2B",5,0))</f>
        <v/>
      </c>
      <c r="AP334" s="30" t="inlineStr">
        <is>
          <t>Yes</t>
        </is>
      </c>
      <c r="AQ334" s="30">
        <f>IF(AP334="Yes",10,0)</f>
        <v/>
      </c>
      <c r="AR334" s="30" t="inlineStr">
        <is>
          <t>Higher One Time, Lower Annuity</t>
        </is>
      </c>
      <c r="AS334" s="30">
        <f>IF(AR334="Fully Annuity",10,IF(AR334="Higher Annuity, Lower One Time",5,IF(AR334="Higher One Time, Lower Annuity",3,0)))</f>
        <v/>
      </c>
      <c r="AT334" s="30" t="inlineStr">
        <is>
          <t>Good</t>
        </is>
      </c>
      <c r="AU334" s="30">
        <f>IF(AT334="Good",10,0)</f>
        <v/>
      </c>
      <c r="AV334" s="30" t="inlineStr">
        <is>
          <t>Yes for more than 2 years</t>
        </is>
      </c>
      <c r="AW334" s="30">
        <f>IF(AV334="Yes for more than 2 years",10,IF(AV334="Yes only for next 1 to 2 years",5,0))</f>
        <v/>
      </c>
      <c r="AX334" s="30" t="inlineStr">
        <is>
          <t>20 to 40</t>
        </is>
      </c>
      <c r="AY334" s="30">
        <f>IF(AX334="Above 40",20,IF(AX334="20 to 40",10,IF(AX334="0 to 20",-5,0)))</f>
        <v/>
      </c>
      <c r="AZ334" s="30" t="inlineStr">
        <is>
          <t>Between 50 to 75</t>
        </is>
      </c>
      <c r="BA334" s="30">
        <f>IF(AZ334="Between 50 to 75",10,IF(AZ334="Above 75",0,0))</f>
        <v/>
      </c>
      <c r="BB334" s="30" t="inlineStr">
        <is>
          <t>Stage 2</t>
        </is>
      </c>
      <c r="BC334" s="30">
        <f>IF(BB334="Stage 2",20,IF(BB334="Stage 1",0,IF(BB334="Stage 3",5,IF(BB334="Stage 4",-5,0))))</f>
        <v/>
      </c>
      <c r="BD334" s="30" t="inlineStr">
        <is>
          <t>Negative Trend</t>
        </is>
      </c>
      <c r="BE334" s="30">
        <f>IF(BD334="Positive Trend",20,IF(BD334="Negative Trend",-10,0))</f>
        <v/>
      </c>
      <c r="BF334" s="30" t="inlineStr">
        <is>
          <t>Uptrend</t>
        </is>
      </c>
      <c r="BG334" s="30">
        <f>IF(BF334="Uptrend",10,IF(BF334="Sideways",5,0))</f>
        <v/>
      </c>
      <c r="BH334" s="30" t="inlineStr">
        <is>
          <t>Uptrend</t>
        </is>
      </c>
      <c r="BI334" s="30">
        <f>IF(BH334="Uptrend",10,IF(BH334="Sideways",5,0))</f>
        <v/>
      </c>
      <c r="BJ334" s="30" t="inlineStr">
        <is>
          <t>Blue sky scenario</t>
        </is>
      </c>
      <c r="BK334" s="30">
        <f>IF(BJ334="Overhead supply in last 2 years in last 2 years",-5,IF(BJ334="Close to 52 week high or retracement",5,IF(BJ334="Blue sky scenario",10,IF(BJ334="Long term Downtrend",-10,0))))</f>
        <v/>
      </c>
      <c r="BL334" s="30" t="inlineStr">
        <is>
          <t>Yes</t>
        </is>
      </c>
      <c r="BM334" s="30">
        <f>IF(BL334="Yes",10,0)</f>
        <v/>
      </c>
      <c r="BN334" s="30" t="inlineStr">
        <is>
          <t>More than 20%</t>
        </is>
      </c>
      <c r="BO334" s="30">
        <f>IF(BN334="More than 20%",10,IF(BN334="Between 12 to 20%",5,IF(BN334="Less than 12%",0,0)))</f>
        <v/>
      </c>
      <c r="BP334" s="30" t="inlineStr">
        <is>
          <t>No</t>
        </is>
      </c>
      <c r="BQ334" s="30">
        <f>IF(BP334="No",10,0)</f>
        <v/>
      </c>
      <c r="BR334" s="30" t="inlineStr">
        <is>
          <t>Yes</t>
        </is>
      </c>
      <c r="BS334" s="30">
        <f>IF(BR334="NO",5,0)</f>
        <v/>
      </c>
      <c r="BT334" s="30" t="inlineStr">
        <is>
          <t>Less than 1.5</t>
        </is>
      </c>
      <c r="BU334" s="30">
        <f>IF(BT334="Above 2",0,IF(BT334="Between 1.5 to 2",5,IF(BT334="Less than 1.5",10,0)))</f>
        <v/>
      </c>
      <c r="BV334" s="30" t="inlineStr">
        <is>
          <t>Negative</t>
        </is>
      </c>
      <c r="BW334" s="30">
        <f>IF(BV334="Above 70%",10,IF(BV334="Between 50% to 70%",5,IF(BV334="Less than 50%",0,IF(BV334="Negative",-10,IF(BV334="Less than 50% and Borrowings are increasing",-5,0)))))</f>
        <v/>
      </c>
      <c r="BX334" s="30" t="inlineStr">
        <is>
          <t>More than 1.2</t>
        </is>
      </c>
      <c r="BY334" s="30">
        <f>IF(BX334="More than 1.2",-10,IF(BX334="Between 0.7 to 1.2",0,IF(BX334="Less than 0.7",10,0)))</f>
        <v/>
      </c>
      <c r="BZ334" s="30" t="inlineStr">
        <is>
          <t>No</t>
        </is>
      </c>
      <c r="CA334" s="30">
        <f>IF(BZ334="Yes",-10,0)</f>
        <v/>
      </c>
      <c r="CB334" s="30" t="inlineStr">
        <is>
          <t>Less than 15%</t>
        </is>
      </c>
      <c r="CC334" s="30">
        <f>IF(CB334="More than 15%",-10,IF(CB334="Less than 15%",10,0))</f>
        <v/>
      </c>
      <c r="CD334" s="30" t="inlineStr">
        <is>
          <t>No</t>
        </is>
      </c>
      <c r="CE334" s="30">
        <f>IF(CD334="Yes, more than 10%",-10,IF(CD334="No",10,0))</f>
        <v/>
      </c>
    </row>
    <row r="335">
      <c r="A335" s="30">
        <f>IF(B335=0,"",RANK(B335,$B$2:$B$361,0))</f>
        <v/>
      </c>
      <c r="B335" s="31">
        <f>SUM(N335,Y335,AA335,AC335,AE335,AG335,AI335,AK335,AM335,AO335,AQ335,AS335,AU335,AW335,AY335,BA335,BC335,BE335,BG335,BI335,BK335,BM335,BO335,BQ335,BS335,BU335,BW335,BY335,CA335,CC335,CE335)</f>
        <v/>
      </c>
      <c r="C335" s="30" t="inlineStr">
        <is>
          <t>MSPL</t>
        </is>
      </c>
      <c r="D335" s="30" t="inlineStr">
        <is>
          <t>Msp Steel &amp; Power Limited</t>
        </is>
      </c>
      <c r="E335" s="30" t="inlineStr">
        <is>
          <t>metals &amp; mining</t>
        </is>
      </c>
      <c r="F335" s="30" t="inlineStr">
        <is>
          <t>steel - medium / small</t>
        </is>
      </c>
      <c r="G335" s="30" t="inlineStr">
        <is>
          <t>smallcap</t>
        </is>
      </c>
      <c r="H335" s="31" t="n">
        <v>2407.75</v>
      </c>
      <c r="I335" s="31" t="n">
        <v>41.98</v>
      </c>
      <c r="J335" s="31" t="n">
        <v>-1.18</v>
      </c>
      <c r="K335" s="31" t="n">
        <v>5650507</v>
      </c>
      <c r="L335" s="30" t="n">
        <v>70</v>
      </c>
      <c r="M335" s="30" t="inlineStr">
        <is>
          <t>Outperforming</t>
        </is>
      </c>
      <c r="N335" s="31">
        <f>IF(M335="Underperforming",-5,IF(L335&gt;=95,15,IF(L335&gt;=90,10,IF(L335&gt;=80,5,0))))</f>
        <v/>
      </c>
      <c r="O335" s="31" t="n">
        <v>64.02</v>
      </c>
      <c r="P335" s="31" t="n">
        <v>22.17</v>
      </c>
      <c r="Q335" s="31" t="n">
        <v>32.43</v>
      </c>
      <c r="R335" s="30" t="inlineStr">
        <is>
          <t>Volume Spike &amp; Near 52W High Breakout</t>
        </is>
      </c>
      <c r="S335" s="30" t="inlineStr">
        <is>
          <t>Nifty Metal</t>
        </is>
      </c>
      <c r="T335" s="31" t="n">
        <v>42.38</v>
      </c>
      <c r="U335" s="31" t="n">
        <v>55.14</v>
      </c>
      <c r="V335" s="31" t="n">
        <v>8.960000000000001</v>
      </c>
      <c r="W335" s="31" t="n">
        <v>19.66</v>
      </c>
      <c r="X335" s="30" t="inlineStr">
        <is>
          <t>Cyclical in an Upturn</t>
        </is>
      </c>
      <c r="Y335" s="30">
        <f>IF(X335="Growing Industry",10,IF(X335="Cyclical in an Upturn",5,0))</f>
        <v/>
      </c>
      <c r="Z335" s="30" t="inlineStr">
        <is>
          <t>Too Many Players with High ROCE</t>
        </is>
      </c>
      <c r="AA335" s="30">
        <f>IF(Z335="Monopoly",10,IF(Z335="Oligopoly",5,IF(Z335="Duopoly that cooperate",10,IF(Z335="Duopoly that compete",5,IF(Z335="Too many players with High ROCE",5,0)))))</f>
        <v/>
      </c>
      <c r="AB335" s="30" t="inlineStr">
        <is>
          <t>No</t>
        </is>
      </c>
      <c r="AC335" s="30">
        <f>IF(AB335="No",5,0)</f>
        <v/>
      </c>
      <c r="AD335" s="30" t="inlineStr">
        <is>
          <t>Tailwind</t>
        </is>
      </c>
      <c r="AE335" s="30">
        <f>IF(AD335="Tailwind",10,0)</f>
        <v/>
      </c>
      <c r="AF335" s="30" t="inlineStr">
        <is>
          <t>Cyclical</t>
        </is>
      </c>
      <c r="AG335" s="30">
        <f>IF(AF335="Structural (10 Years Consistency)",10,IF(AF335="Shallow Cyclical (2 to 3 years growth)",5,0))</f>
        <v/>
      </c>
      <c r="AH335" s="30" t="inlineStr">
        <is>
          <t>No</t>
        </is>
      </c>
      <c r="AI335" s="30">
        <f>IF(AH335="Yes due to Product Mix change or Operating Leverage",10,IF(AH335="Yes, these are peak margins",-5,IF(AH335="No",5,0)))</f>
        <v/>
      </c>
      <c r="AJ335" s="30" t="inlineStr">
        <is>
          <t>Volatile</t>
        </is>
      </c>
      <c r="AK335" s="30">
        <f>IF(AJ335="Stable",10,0)</f>
        <v/>
      </c>
      <c r="AL335" s="30" t="inlineStr">
        <is>
          <t>Yes</t>
        </is>
      </c>
      <c r="AM335" s="30">
        <f>IF(AL335="Yes",10,0)</f>
        <v/>
      </c>
      <c r="AN335" s="30" t="inlineStr">
        <is>
          <t>B2B</t>
        </is>
      </c>
      <c r="AO335" s="30">
        <f>IF(AN335="B2C",10,IF(AN335="B2B",5,0))</f>
        <v/>
      </c>
      <c r="AP335" s="30" t="inlineStr">
        <is>
          <t>Yes</t>
        </is>
      </c>
      <c r="AQ335" s="30">
        <f>IF(AP335="Yes",10,0)</f>
        <v/>
      </c>
      <c r="AR335" s="30" t="inlineStr">
        <is>
          <t>Higher One Time, Lower Annuity</t>
        </is>
      </c>
      <c r="AS335" s="30">
        <f>IF(AR335="Fully Annuity",10,IF(AR335="Higher Annuity, Lower One Time",5,IF(AR335="Higher One Time, Lower Annuity",3,0)))</f>
        <v/>
      </c>
      <c r="AT335" s="30" t="inlineStr">
        <is>
          <t>Good</t>
        </is>
      </c>
      <c r="AU335" s="30">
        <f>IF(AT335="Good",10,0)</f>
        <v/>
      </c>
      <c r="AV335" s="30" t="inlineStr">
        <is>
          <t>Yes for more than 2 years</t>
        </is>
      </c>
      <c r="AW335" s="30">
        <f>IF(AV335="Yes for more than 2 years",10,IF(AV335="Yes only for next 1 to 2 years",5,0))</f>
        <v/>
      </c>
      <c r="AX335" s="30" t="inlineStr">
        <is>
          <t>20 to 40</t>
        </is>
      </c>
      <c r="AY335" s="30">
        <f>IF(AX335="Above 40",20,IF(AX335="20 to 40",10,IF(AX335="0 to 20",-5,0)))</f>
        <v/>
      </c>
      <c r="AZ335" s="30" t="inlineStr">
        <is>
          <t>Between 50 to 75</t>
        </is>
      </c>
      <c r="BA335" s="30">
        <f>IF(AZ335="Between 50 to 75",10,IF(AZ335="Above 75",0,0))</f>
        <v/>
      </c>
      <c r="BB335" s="30" t="inlineStr">
        <is>
          <t>Stage 2</t>
        </is>
      </c>
      <c r="BC335" s="30">
        <f>IF(BB335="Stage 2",20,IF(BB335="Stage 1",0,IF(BB335="Stage 3",5,IF(BB335="Stage 4",-5,0))))</f>
        <v/>
      </c>
      <c r="BD335" s="30" t="inlineStr">
        <is>
          <t>Negative Trend</t>
        </is>
      </c>
      <c r="BE335" s="30">
        <f>IF(BD335="Positive Trend",20,IF(BD335="Negative Trend",-10,0))</f>
        <v/>
      </c>
      <c r="BF335" s="30" t="inlineStr">
        <is>
          <t>Uptrend</t>
        </is>
      </c>
      <c r="BG335" s="30">
        <f>IF(BF335="Uptrend",10,IF(BF335="Sideways",5,0))</f>
        <v/>
      </c>
      <c r="BH335" s="30" t="inlineStr">
        <is>
          <t>Uptrend</t>
        </is>
      </c>
      <c r="BI335" s="30">
        <f>IF(BH335="Uptrend",10,IF(BH335="Sideways",5,0))</f>
        <v/>
      </c>
      <c r="BJ335" s="30" t="inlineStr">
        <is>
          <t>Close to 52 week high or retracement</t>
        </is>
      </c>
      <c r="BK335" s="30">
        <f>IF(BJ335="Overhead supply in last 2 years in last 2 years",-5,IF(BJ335="Close to 52 week high or retracement",5,IF(BJ335="Blue sky scenario",10,IF(BJ335="Long term Downtrend",-10,0))))</f>
        <v/>
      </c>
      <c r="BL335" s="30" t="inlineStr">
        <is>
          <t>Yes</t>
        </is>
      </c>
      <c r="BM335" s="30">
        <f>IF(BL335="Yes",10,0)</f>
        <v/>
      </c>
      <c r="BN335" s="30" t="inlineStr">
        <is>
          <t>More than 20%</t>
        </is>
      </c>
      <c r="BO335" s="30">
        <f>IF(BN335="More than 20%",10,IF(BN335="Between 12 to 20%",5,IF(BN335="Less than 12%",0,0)))</f>
        <v/>
      </c>
      <c r="BP335" s="30" t="inlineStr">
        <is>
          <t>No</t>
        </is>
      </c>
      <c r="BQ335" s="30">
        <f>IF(BP335="No",10,0)</f>
        <v/>
      </c>
      <c r="BR335" s="30" t="inlineStr">
        <is>
          <t>Yes</t>
        </is>
      </c>
      <c r="BS335" s="30">
        <f>IF(BR335="NO",5,0)</f>
        <v/>
      </c>
      <c r="BT335" s="30" t="inlineStr">
        <is>
          <t>Above 2</t>
        </is>
      </c>
      <c r="BU335" s="30">
        <f>IF(BT335="Above 2",0,IF(BT335="Between 1.5 to 2",5,IF(BT335="Less than 1.5",10,0)))</f>
        <v/>
      </c>
      <c r="BV335" s="30" t="inlineStr">
        <is>
          <t>Above 70%</t>
        </is>
      </c>
      <c r="BW335" s="30">
        <f>IF(BV335="Above 70%",10,IF(BV335="Between 50% to 70%",5,IF(BV335="Less than 50%",0,IF(BV335="Negative",-10,IF(BV335="Less than 50% and Borrowings are increasing",-5,0)))))</f>
        <v/>
      </c>
      <c r="BX335" s="30" t="inlineStr">
        <is>
          <t>Less than 0.7</t>
        </is>
      </c>
      <c r="BY335" s="30">
        <f>IF(BX335="More than 1.2",-10,IF(BX335="Between 0.7 to 1.2",0,IF(BX335="Less than 0.7",10,0)))</f>
        <v/>
      </c>
      <c r="BZ335" s="30" t="inlineStr">
        <is>
          <t>No</t>
        </is>
      </c>
      <c r="CA335" s="30">
        <f>IF(BZ335="Yes",-10,0)</f>
        <v/>
      </c>
      <c r="CB335" s="30" t="inlineStr">
        <is>
          <t>Less than 15%</t>
        </is>
      </c>
      <c r="CC335" s="30">
        <f>IF(CB335="More than 15%",-10,IF(CB335="Less than 15%",10,0))</f>
        <v/>
      </c>
      <c r="CD335" s="30" t="inlineStr">
        <is>
          <t>No</t>
        </is>
      </c>
      <c r="CE335" s="30">
        <f>IF(CD335="Yes, more than 10%",-10,IF(CD335="No",10,0))</f>
        <v/>
      </c>
    </row>
    <row r="336">
      <c r="A336" s="30">
        <f>IF(B336=0,"",RANK(B336,$B$2:$B$361,0))</f>
        <v/>
      </c>
      <c r="B336" s="31">
        <f>SUM(N336,Y336,AA336,AC336,AE336,AG336,AI336,AK336,AM336,AO336,AQ336,AS336,AU336,AW336,AY336,BA336,BC336,BE336,BG336,BI336,BK336,BM336,BO336,BQ336,BS336,BU336,BW336,BY336,CA336,CC336,CE336)</f>
        <v/>
      </c>
      <c r="C336" s="32" t="inlineStr">
        <is>
          <t>KAMDHENU</t>
        </is>
      </c>
      <c r="D336" s="32" t="inlineStr">
        <is>
          <t>Kamdhenu Limited</t>
        </is>
      </c>
      <c r="E336" s="30" t="inlineStr">
        <is>
          <t>metals &amp; mining</t>
        </is>
      </c>
      <c r="F336" s="30" t="inlineStr">
        <is>
          <t>steel - medium / small</t>
        </is>
      </c>
      <c r="G336" s="30" t="inlineStr">
        <is>
          <t>smallcap</t>
        </is>
      </c>
      <c r="H336" s="31" t="n">
        <v>879.48</v>
      </c>
      <c r="I336" s="31" t="n">
        <v>30.33</v>
      </c>
      <c r="J336" s="31" t="n">
        <v>-2.79</v>
      </c>
      <c r="K336" s="31" t="n">
        <v>2094547</v>
      </c>
      <c r="L336" s="30" t="n">
        <v>40</v>
      </c>
      <c r="M336" s="30" t="inlineStr">
        <is>
          <t>Underperforming</t>
        </is>
      </c>
      <c r="N336" s="31">
        <f>IF(M336="Underperforming",-5,IF(L336&gt;=95,15,IF(L336&gt;=90,10,IF(L336&gt;=80,5,0))))</f>
        <v/>
      </c>
      <c r="O336" s="31" t="n">
        <v>65.56</v>
      </c>
      <c r="P336" s="31" t="n">
        <v>19.78</v>
      </c>
      <c r="Q336" s="31" t="n">
        <v>21.73</v>
      </c>
      <c r="R336" s="30" t="inlineStr">
        <is>
          <t>Near 52W High Breakout</t>
        </is>
      </c>
      <c r="S336" s="30" t="inlineStr">
        <is>
          <t>Nifty Metal</t>
        </is>
      </c>
      <c r="T336" s="31" t="n">
        <v>42.38</v>
      </c>
      <c r="U336" s="31" t="n">
        <v>-1.32</v>
      </c>
      <c r="V336" s="31" t="n">
        <v>-30.69</v>
      </c>
      <c r="W336" s="31" t="n">
        <v>10.57</v>
      </c>
      <c r="X336" s="30" t="inlineStr">
        <is>
          <t>Cyclical in an Upturn</t>
        </is>
      </c>
      <c r="Y336" s="30">
        <f>IF(X336="Growing Industry",10,IF(X336="Cyclical in an Upturn",5,0))</f>
        <v/>
      </c>
      <c r="Z336" s="30" t="inlineStr">
        <is>
          <t>Too Many Players with High ROCE</t>
        </is>
      </c>
      <c r="AA336" s="30">
        <f>IF(Z336="Monopoly",10,IF(Z336="Oligopoly",5,IF(Z336="Duopoly that cooperate",10,IF(Z336="Duopoly that compete",5,IF(Z336="Too many players with High ROCE",5,0)))))</f>
        <v/>
      </c>
      <c r="AB336" s="30" t="inlineStr">
        <is>
          <t>No</t>
        </is>
      </c>
      <c r="AC336" s="30">
        <f>IF(AB336="No",5,0)</f>
        <v/>
      </c>
      <c r="AD336" s="30" t="inlineStr">
        <is>
          <t>Tailwind</t>
        </is>
      </c>
      <c r="AE336" s="30">
        <f>IF(AD336="Tailwind",10,0)</f>
        <v/>
      </c>
      <c r="AF336" s="30" t="inlineStr">
        <is>
          <t>Cyclical</t>
        </is>
      </c>
      <c r="AG336" s="30">
        <f>IF(AF336="Structural (10 Years Consistency)",10,IF(AF336="Shallow Cyclical (2 to 3 years growth)",5,0))</f>
        <v/>
      </c>
      <c r="AH336" s="30" t="inlineStr">
        <is>
          <t>No</t>
        </is>
      </c>
      <c r="AI336" s="30">
        <f>IF(AH336="Yes due to Product Mix change or Operating Leverage",10,IF(AH336="Yes, these are peak margins",-5,IF(AH336="No",5,0)))</f>
        <v/>
      </c>
      <c r="AJ336" s="30" t="inlineStr">
        <is>
          <t>Volatile</t>
        </is>
      </c>
      <c r="AK336" s="30">
        <f>IF(AJ336="Stable",10,0)</f>
        <v/>
      </c>
      <c r="AL336" s="30" t="inlineStr">
        <is>
          <t>Yes</t>
        </is>
      </c>
      <c r="AM336" s="30">
        <f>IF(AL336="Yes",10,0)</f>
        <v/>
      </c>
      <c r="AN336" s="30" t="inlineStr">
        <is>
          <t>B2B</t>
        </is>
      </c>
      <c r="AO336" s="30">
        <f>IF(AN336="B2C",10,IF(AN336="B2B",5,0))</f>
        <v/>
      </c>
      <c r="AP336" s="30" t="inlineStr">
        <is>
          <t>Yes</t>
        </is>
      </c>
      <c r="AQ336" s="30">
        <f>IF(AP336="Yes",10,0)</f>
        <v/>
      </c>
      <c r="AR336" s="30" t="inlineStr">
        <is>
          <t>Higher One Time, Lower Annuity</t>
        </is>
      </c>
      <c r="AS336" s="30">
        <f>IF(AR336="Fully Annuity",10,IF(AR336="Higher Annuity, Lower One Time",5,IF(AR336="Higher One Time, Lower Annuity",3,0)))</f>
        <v/>
      </c>
      <c r="AT336" s="30" t="inlineStr">
        <is>
          <t>Good</t>
        </is>
      </c>
      <c r="AU336" s="30">
        <f>IF(AT336="Good",10,0)</f>
        <v/>
      </c>
      <c r="AV336" s="30" t="inlineStr">
        <is>
          <t>Yes for more than 2 years</t>
        </is>
      </c>
      <c r="AW336" s="30">
        <f>IF(AV336="Yes for more than 2 years",10,IF(AV336="Yes only for next 1 to 2 years",5,0))</f>
        <v/>
      </c>
      <c r="AX336" s="30" t="inlineStr">
        <is>
          <t>0 to 20</t>
        </is>
      </c>
      <c r="AY336" s="30">
        <f>IF(AX336="Above 40",20,IF(AX336="20 to 40",10,IF(AX336="0 to 20",-5,0)))</f>
        <v/>
      </c>
      <c r="AZ336" s="30" t="inlineStr">
        <is>
          <t>Between 50 to 75</t>
        </is>
      </c>
      <c r="BA336" s="30">
        <f>IF(AZ336="Between 50 to 75",10,IF(AZ336="Above 75",0,0))</f>
        <v/>
      </c>
      <c r="BB336" s="30" t="inlineStr">
        <is>
          <t>Stage 2</t>
        </is>
      </c>
      <c r="BC336" s="30">
        <f>IF(BB336="Stage 2",20,IF(BB336="Stage 1",0,IF(BB336="Stage 3",5,IF(BB336="Stage 4",-5,0))))</f>
        <v/>
      </c>
      <c r="BD336" s="30" t="inlineStr">
        <is>
          <t>Positive Trend</t>
        </is>
      </c>
      <c r="BE336" s="30">
        <f>IF(BD336="Positive Trend",20,IF(BD336="Negative Trend",-10,0))</f>
        <v/>
      </c>
      <c r="BF336" s="30" t="inlineStr">
        <is>
          <t>Uptrend</t>
        </is>
      </c>
      <c r="BG336" s="30">
        <f>IF(BF336="Uptrend",10,IF(BF336="Sideways",5,0))</f>
        <v/>
      </c>
      <c r="BH336" s="30" t="inlineStr">
        <is>
          <t>Uptrend</t>
        </is>
      </c>
      <c r="BI336" s="30">
        <f>IF(BH336="Uptrend",10,IF(BH336="Sideways",5,0))</f>
        <v/>
      </c>
      <c r="BJ336" s="30" t="inlineStr">
        <is>
          <t>Close to 52 week high or retracement</t>
        </is>
      </c>
      <c r="BK336" s="30">
        <f>IF(BJ336="Overhead supply in last 2 years in last 2 years",-5,IF(BJ336="Close to 52 week high or retracement",5,IF(BJ336="Blue sky scenario",10,IF(BJ336="Long term Downtrend",-10,0))))</f>
        <v/>
      </c>
      <c r="BL336" s="30" t="inlineStr">
        <is>
          <t>Yes</t>
        </is>
      </c>
      <c r="BM336" s="30">
        <f>IF(BL336="Yes",10,0)</f>
        <v/>
      </c>
      <c r="BN336" s="30" t="inlineStr">
        <is>
          <t>Less than 12%</t>
        </is>
      </c>
      <c r="BO336" s="30">
        <f>IF(BN336="More than 20%",10,IF(BN336="Between 12 to 20%",5,IF(BN336="Less than 12%",0,0)))</f>
        <v/>
      </c>
      <c r="BP336" s="30" t="inlineStr">
        <is>
          <t>No</t>
        </is>
      </c>
      <c r="BQ336" s="30">
        <f>IF(BP336="No",10,0)</f>
        <v/>
      </c>
      <c r="BR336" s="30" t="inlineStr">
        <is>
          <t>No</t>
        </is>
      </c>
      <c r="BS336" s="30">
        <f>IF(BR336="NO",5,0)</f>
        <v/>
      </c>
      <c r="BT336" s="30" t="inlineStr">
        <is>
          <t>Above 2</t>
        </is>
      </c>
      <c r="BU336" s="30">
        <f>IF(BT336="Above 2",0,IF(BT336="Between 1.5 to 2",5,IF(BT336="Less than 1.5",10,0)))</f>
        <v/>
      </c>
      <c r="BV336" s="30" t="inlineStr">
        <is>
          <t>Between 50% to 70%</t>
        </is>
      </c>
      <c r="BW336" s="30">
        <f>IF(BV336="Above 70%",10,IF(BV336="Between 50% to 70%",5,IF(BV336="Less than 50%",0,IF(BV336="Negative",-10,IF(BV336="Less than 50% and Borrowings are increasing",-5,0)))))</f>
        <v/>
      </c>
      <c r="BX336" s="30" t="inlineStr">
        <is>
          <t>Less than 0.7</t>
        </is>
      </c>
      <c r="BY336" s="30">
        <f>IF(BX336="More than 1.2",-10,IF(BX336="Between 0.7 to 1.2",0,IF(BX336="Less than 0.7",10,0)))</f>
        <v/>
      </c>
      <c r="BZ336" s="30" t="inlineStr">
        <is>
          <t>No</t>
        </is>
      </c>
      <c r="CA336" s="30">
        <f>IF(BZ336="Yes",-10,0)</f>
        <v/>
      </c>
      <c r="CB336" s="30" t="inlineStr">
        <is>
          <t>Less than 15%</t>
        </is>
      </c>
      <c r="CC336" s="30">
        <f>IF(CB336="More than 15%",-10,IF(CB336="Less than 15%",10,0))</f>
        <v/>
      </c>
      <c r="CD336" s="30" t="inlineStr">
        <is>
          <t>No</t>
        </is>
      </c>
      <c r="CE336" s="30">
        <f>IF(CD336="Yes, more than 10%",-10,IF(CD336="No",10,0))</f>
        <v/>
      </c>
    </row>
    <row r="337">
      <c r="A337" s="30">
        <f>IF(B337=0,"",RANK(B337,$B$2:$B$361,0))</f>
        <v/>
      </c>
      <c r="B337" s="31">
        <f>SUM(N337,Y337,AA337,AC337,AE337,AG337,AI337,AK337,AM337,AO337,AQ337,AS337,AU337,AW337,AY337,BA337,BC337,BE337,BG337,BI337,BK337,BM337,BO337,BQ337,BS337,BU337,BW337,BY337,CA337,CC337,CE337)</f>
        <v/>
      </c>
      <c r="C337" s="30" t="inlineStr">
        <is>
          <t>SCHNEIDER</t>
        </is>
      </c>
      <c r="D337" s="30" t="inlineStr">
        <is>
          <t>Schneider Electric Infrastructure Limited</t>
        </is>
      </c>
      <c r="E337" s="30" t="inlineStr">
        <is>
          <t>industrials</t>
        </is>
      </c>
      <c r="F337" s="30" t="inlineStr">
        <is>
          <t>electric equipment</t>
        </is>
      </c>
      <c r="G337" s="30" t="inlineStr">
        <is>
          <t>largecap</t>
        </is>
      </c>
      <c r="H337" s="31" t="n">
        <v>28247.75</v>
      </c>
      <c r="I337" s="31" t="n">
        <v>1266.6</v>
      </c>
      <c r="J337" s="31" t="n">
        <v>7.21</v>
      </c>
      <c r="K337" s="31" t="n">
        <v>1156564</v>
      </c>
      <c r="L337" s="30" t="n">
        <v>74</v>
      </c>
      <c r="M337" s="30" t="inlineStr">
        <is>
          <t>Outperforming</t>
        </is>
      </c>
      <c r="N337" s="31">
        <f>IF(M337="Underperforming",-5,IF(L337&gt;=95,15,IF(L337&gt;=90,10,IF(L337&gt;=80,5,0))))</f>
        <v/>
      </c>
      <c r="O337" s="31" t="n">
        <v>64.22</v>
      </c>
      <c r="P337" s="31" t="n">
        <v>39.51</v>
      </c>
      <c r="Q337" s="31" t="n">
        <v>995.27</v>
      </c>
      <c r="R337" s="30" t="inlineStr">
        <is>
          <t>Volume Spike / Accumulation</t>
        </is>
      </c>
      <c r="S337" s="30" t="inlineStr">
        <is>
          <t>Nifty 50</t>
        </is>
      </c>
      <c r="T337" s="31" t="n">
        <v>-4.09</v>
      </c>
      <c r="U337" s="31" t="n">
        <v>67.67</v>
      </c>
      <c r="V337" s="31" t="n">
        <v>74.81999999999999</v>
      </c>
      <c r="W337" s="31" t="n">
        <v>21.33</v>
      </c>
      <c r="X337" s="30" t="inlineStr">
        <is>
          <t>Cyclical in an Upturn</t>
        </is>
      </c>
      <c r="Y337" s="30">
        <f>IF(X337="Growing Industry",10,IF(X337="Cyclical in an Upturn",5,0))</f>
        <v/>
      </c>
      <c r="Z337" s="30" t="inlineStr">
        <is>
          <t>Too Many Players with High ROCE</t>
        </is>
      </c>
      <c r="AA337" s="30">
        <f>IF(Z337="Monopoly",10,IF(Z337="Oligopoly",5,IF(Z337="Duopoly that cooperate",10,IF(Z337="Duopoly that compete",5,IF(Z337="Too many players with High ROCE",5,0)))))</f>
        <v/>
      </c>
      <c r="AB337" s="30" t="inlineStr">
        <is>
          <t>No</t>
        </is>
      </c>
      <c r="AC337" s="30">
        <f>IF(AB337="No",5,0)</f>
        <v/>
      </c>
      <c r="AD337" s="30" t="inlineStr">
        <is>
          <t>Tailwind</t>
        </is>
      </c>
      <c r="AE337" s="30">
        <f>IF(AD337="Tailwind",10,0)</f>
        <v/>
      </c>
      <c r="AF337" s="30" t="inlineStr">
        <is>
          <t>Structural (10 Years Consistency)</t>
        </is>
      </c>
      <c r="AG337" s="30">
        <f>IF(AF337="Structural (10 Years Consistency)",10,IF(AF337="Shallow Cyclical (2 to 3 years growth)",5,0))</f>
        <v/>
      </c>
      <c r="AH337" s="30" t="inlineStr">
        <is>
          <t>No</t>
        </is>
      </c>
      <c r="AI337" s="30">
        <f>IF(AH337="Yes due to Product Mix change or Operating Leverage",10,IF(AH337="Yes, these are peak margins",-5,IF(AH337="No",5,0)))</f>
        <v/>
      </c>
      <c r="AJ337" s="30" t="inlineStr">
        <is>
          <t>Stable</t>
        </is>
      </c>
      <c r="AK337" s="30">
        <f>IF(AJ337="Stable",10,0)</f>
        <v/>
      </c>
      <c r="AL337" s="30" t="inlineStr">
        <is>
          <t>Yes</t>
        </is>
      </c>
      <c r="AM337" s="30">
        <f>IF(AL337="Yes",10,0)</f>
        <v/>
      </c>
      <c r="AN337" s="30" t="inlineStr">
        <is>
          <t>B2B</t>
        </is>
      </c>
      <c r="AO337" s="30">
        <f>IF(AN337="B2C",10,IF(AN337="B2B",5,0))</f>
        <v/>
      </c>
      <c r="AP337" s="30" t="inlineStr">
        <is>
          <t>Yes</t>
        </is>
      </c>
      <c r="AQ337" s="30">
        <f>IF(AP337="Yes",10,0)</f>
        <v/>
      </c>
      <c r="AR337" s="30" t="inlineStr">
        <is>
          <t>Higher One Time, Lower Annuity</t>
        </is>
      </c>
      <c r="AS337" s="30">
        <f>IF(AR337="Fully Annuity",10,IF(AR337="Higher Annuity, Lower One Time",5,IF(AR337="Higher One Time, Lower Annuity",3,0)))</f>
        <v/>
      </c>
      <c r="AT337" s="30" t="inlineStr">
        <is>
          <t>Good</t>
        </is>
      </c>
      <c r="AU337" s="30">
        <f>IF(AT337="Good",10,0)</f>
        <v/>
      </c>
      <c r="AV337" s="30" t="inlineStr">
        <is>
          <t>Yes for more than 2 years</t>
        </is>
      </c>
      <c r="AW337" s="30">
        <f>IF(AV337="Yes for more than 2 years",10,IF(AV337="Yes only for next 1 to 2 years",5,0))</f>
        <v/>
      </c>
      <c r="AX337" s="30" t="inlineStr">
        <is>
          <t>20 to 40</t>
        </is>
      </c>
      <c r="AY337" s="30">
        <f>IF(AX337="Above 40",20,IF(AX337="20 to 40",10,IF(AX337="0 to 20",-5,0)))</f>
        <v/>
      </c>
      <c r="AZ337" s="30" t="inlineStr">
        <is>
          <t>Between 50 to 75</t>
        </is>
      </c>
      <c r="BA337" s="30">
        <f>IF(AZ337="Between 50 to 75",10,IF(AZ337="Above 75",0,0))</f>
        <v/>
      </c>
      <c r="BB337" s="30" t="inlineStr">
        <is>
          <t>Stage 2</t>
        </is>
      </c>
      <c r="BC337" s="30">
        <f>IF(BB337="Stage 2",20,IF(BB337="Stage 1",0,IF(BB337="Stage 3",5,IF(BB337="Stage 4",-5,0))))</f>
        <v/>
      </c>
      <c r="BD337" s="30" t="inlineStr">
        <is>
          <t>Negative Trend</t>
        </is>
      </c>
      <c r="BE337" s="30">
        <f>IF(BD337="Positive Trend",20,IF(BD337="Negative Trend",-10,0))</f>
        <v/>
      </c>
      <c r="BF337" s="30" t="inlineStr">
        <is>
          <t>Uptrend</t>
        </is>
      </c>
      <c r="BG337" s="30">
        <f>IF(BF337="Uptrend",10,IF(BF337="Sideways",5,0))</f>
        <v/>
      </c>
      <c r="BH337" s="30" t="inlineStr">
        <is>
          <t>Uptrend</t>
        </is>
      </c>
      <c r="BI337" s="30">
        <f>IF(BH337="Uptrend",10,IF(BH337="Sideways",5,0))</f>
        <v/>
      </c>
      <c r="BJ337" s="30" t="inlineStr">
        <is>
          <t>Close to 52 week high or retracement</t>
        </is>
      </c>
      <c r="BK337" s="30">
        <f>IF(BJ337="Overhead supply in last 2 years in last 2 years",-5,IF(BJ337="Close to 52 week high or retracement",5,IF(BJ337="Blue sky scenario",10,IF(BJ337="Long term Downtrend",-10,0))))</f>
        <v/>
      </c>
      <c r="BL337" s="30" t="inlineStr">
        <is>
          <t>Yes</t>
        </is>
      </c>
      <c r="BM337" s="30">
        <f>IF(BL337="Yes",10,0)</f>
        <v/>
      </c>
      <c r="BN337" s="30" t="inlineStr">
        <is>
          <t>Less than 12%</t>
        </is>
      </c>
      <c r="BO337" s="30">
        <f>IF(BN337="More than 20%",10,IF(BN337="Between 12 to 20%",5,IF(BN337="Less than 12%",0,0)))</f>
        <v/>
      </c>
      <c r="BP337" s="30" t="inlineStr">
        <is>
          <t>No</t>
        </is>
      </c>
      <c r="BQ337" s="30">
        <f>IF(BP337="No",10,0)</f>
        <v/>
      </c>
      <c r="BR337" s="30" t="inlineStr">
        <is>
          <t>Yes</t>
        </is>
      </c>
      <c r="BS337" s="30">
        <f>IF(BR337="NO",5,0)</f>
        <v/>
      </c>
      <c r="BT337" s="30" t="inlineStr">
        <is>
          <t>Above 2</t>
        </is>
      </c>
      <c r="BU337" s="30">
        <f>IF(BT337="Above 2",0,IF(BT337="Between 1.5 to 2",5,IF(BT337="Less than 1.5",10,0)))</f>
        <v/>
      </c>
      <c r="BV337" s="30" t="inlineStr">
        <is>
          <t>Between 50% to 70%</t>
        </is>
      </c>
      <c r="BW337" s="30">
        <f>IF(BV337="Above 70%",10,IF(BV337="Between 50% to 70%",5,IF(BV337="Less than 50%",0,IF(BV337="Negative",-10,IF(BV337="Less than 50% and Borrowings are increasing",-5,0)))))</f>
        <v/>
      </c>
      <c r="BX337" s="30" t="inlineStr">
        <is>
          <t>Between 0.7 to 1.2</t>
        </is>
      </c>
      <c r="BY337" s="30">
        <f>IF(BX337="More than 1.2",-10,IF(BX337="Between 0.7 to 1.2",0,IF(BX337="Less than 0.7",10,0)))</f>
        <v/>
      </c>
      <c r="BZ337" s="30" t="inlineStr">
        <is>
          <t>No</t>
        </is>
      </c>
      <c r="CA337" s="30">
        <f>IF(BZ337="Yes",-10,0)</f>
        <v/>
      </c>
      <c r="CB337" s="30" t="inlineStr">
        <is>
          <t>Less than 15%</t>
        </is>
      </c>
      <c r="CC337" s="30">
        <f>IF(CB337="More than 15%",-10,IF(CB337="Less than 15%",10,0))</f>
        <v/>
      </c>
      <c r="CD337" s="30" t="inlineStr">
        <is>
          <t>No</t>
        </is>
      </c>
      <c r="CE337" s="30">
        <f>IF(CD337="Yes, more than 10%",-10,IF(CD337="No",10,0))</f>
        <v/>
      </c>
    </row>
    <row r="338">
      <c r="A338" s="30">
        <f>IF(B338=0,"",RANK(B338,$B$2:$B$361,0))</f>
        <v/>
      </c>
      <c r="B338" s="31">
        <f>SUM(N338,Y338,AA338,AC338,AE338,AG338,AI338,AK338,AM338,AO338,AQ338,AS338,AU338,AW338,AY338,BA338,BC338,BE338,BG338,BI338,BK338,BM338,BO338,BQ338,BS338,BU338,BW338,BY338,CA338,CC338,CE338)</f>
        <v/>
      </c>
      <c r="C338" s="30" t="inlineStr">
        <is>
          <t>SGIL</t>
        </is>
      </c>
      <c r="D338" s="30" t="inlineStr">
        <is>
          <t>Synergy Green Industries Ltd</t>
        </is>
      </c>
      <c r="E338" s="30" t="inlineStr">
        <is>
          <t>industrials</t>
        </is>
      </c>
      <c r="F338" s="30" t="inlineStr">
        <is>
          <t>castings &amp; forgings</t>
        </is>
      </c>
      <c r="G338" s="30" t="inlineStr">
        <is>
          <t>smallcap</t>
        </is>
      </c>
      <c r="H338" s="31" t="n">
        <v>889.6799999999999</v>
      </c>
      <c r="I338" s="31" t="n">
        <v>587.8</v>
      </c>
      <c r="J338" s="31" t="n">
        <v>2.69</v>
      </c>
      <c r="K338" s="31" t="n">
        <v>10530</v>
      </c>
      <c r="L338" s="30" t="n">
        <v>14</v>
      </c>
      <c r="M338" s="30" t="inlineStr">
        <is>
          <t>Outperforming</t>
        </is>
      </c>
      <c r="N338" s="31">
        <f>IF(M338="Underperforming",-5,IF(L338&gt;=95,15,IF(L338&gt;=90,10,IF(L338&gt;=80,5,0))))</f>
        <v/>
      </c>
      <c r="O338" s="31" t="n">
        <v>59.83</v>
      </c>
      <c r="P338" s="31" t="n">
        <v>19.86</v>
      </c>
      <c r="Q338" s="31" t="n">
        <v>438.39</v>
      </c>
      <c r="R338" s="30" t="inlineStr">
        <is>
          <t>Near 52W High Breakout</t>
        </is>
      </c>
      <c r="S338" s="30" t="inlineStr">
        <is>
          <t>Nifty 50</t>
        </is>
      </c>
      <c r="T338" s="31" t="n">
        <v>-4.09</v>
      </c>
      <c r="U338" s="31" t="n">
        <v>6.21</v>
      </c>
      <c r="V338" s="31" t="n">
        <v>10.74</v>
      </c>
      <c r="W338" s="31" t="n">
        <v>5.01</v>
      </c>
      <c r="X338" s="30" t="inlineStr">
        <is>
          <t>Cyclical in an Upturn</t>
        </is>
      </c>
      <c r="Y338" s="30">
        <f>IF(X338="Growing Industry",10,IF(X338="Cyclical in an Upturn",5,0))</f>
        <v/>
      </c>
      <c r="Z338" s="30" t="inlineStr">
        <is>
          <t>Too Many Players with High ROCE</t>
        </is>
      </c>
      <c r="AA338" s="30">
        <f>IF(Z338="Monopoly",10,IF(Z338="Oligopoly",5,IF(Z338="Duopoly that cooperate",10,IF(Z338="Duopoly that compete",5,IF(Z338="Too many players with High ROCE",5,0)))))</f>
        <v/>
      </c>
      <c r="AB338" s="30" t="inlineStr">
        <is>
          <t>No</t>
        </is>
      </c>
      <c r="AC338" s="30">
        <f>IF(AB338="No",5,0)</f>
        <v/>
      </c>
      <c r="AD338" s="30" t="inlineStr">
        <is>
          <t>Tailwind</t>
        </is>
      </c>
      <c r="AE338" s="30">
        <f>IF(AD338="Tailwind",10,0)</f>
        <v/>
      </c>
      <c r="AF338" s="30" t="inlineStr">
        <is>
          <t>Structural (10 Years Consistency)</t>
        </is>
      </c>
      <c r="AG338" s="30">
        <f>IF(AF338="Structural (10 Years Consistency)",10,IF(AF338="Shallow Cyclical (2 to 3 years growth)",5,0))</f>
        <v/>
      </c>
      <c r="AH338" s="30" t="inlineStr">
        <is>
          <t>No</t>
        </is>
      </c>
      <c r="AI338" s="30">
        <f>IF(AH338="Yes due to Product Mix change or Operating Leverage",10,IF(AH338="Yes, these are peak margins",-5,IF(AH338="No",5,0)))</f>
        <v/>
      </c>
      <c r="AJ338" s="30" t="inlineStr">
        <is>
          <t>Stable</t>
        </is>
      </c>
      <c r="AK338" s="30">
        <f>IF(AJ338="Stable",10,0)</f>
        <v/>
      </c>
      <c r="AL338" s="30" t="inlineStr">
        <is>
          <t>Yes</t>
        </is>
      </c>
      <c r="AM338" s="30">
        <f>IF(AL338="Yes",10,0)</f>
        <v/>
      </c>
      <c r="AN338" s="30" t="inlineStr">
        <is>
          <t>B2B</t>
        </is>
      </c>
      <c r="AO338" s="30">
        <f>IF(AN338="B2C",10,IF(AN338="B2B",5,0))</f>
        <v/>
      </c>
      <c r="AP338" s="30" t="inlineStr">
        <is>
          <t>Yes</t>
        </is>
      </c>
      <c r="AQ338" s="30">
        <f>IF(AP338="Yes",10,0)</f>
        <v/>
      </c>
      <c r="AR338" s="30" t="inlineStr">
        <is>
          <t>Higher One Time, Lower Annuity</t>
        </is>
      </c>
      <c r="AS338" s="30">
        <f>IF(AR338="Fully Annuity",10,IF(AR338="Higher Annuity, Lower One Time",5,IF(AR338="Higher One Time, Lower Annuity",3,0)))</f>
        <v/>
      </c>
      <c r="AT338" s="30" t="inlineStr">
        <is>
          <t>Good</t>
        </is>
      </c>
      <c r="AU338" s="30">
        <f>IF(AT338="Good",10,0)</f>
        <v/>
      </c>
      <c r="AV338" s="30" t="inlineStr">
        <is>
          <t>Yes for more than 2 years</t>
        </is>
      </c>
      <c r="AW338" s="30">
        <f>IF(AV338="Yes for more than 2 years",10,IF(AV338="Yes only for next 1 to 2 years",5,0))</f>
        <v/>
      </c>
      <c r="AX338" s="30" t="inlineStr">
        <is>
          <t>0 to 20</t>
        </is>
      </c>
      <c r="AY338" s="30">
        <f>IF(AX338="Above 40",20,IF(AX338="20 to 40",10,IF(AX338="0 to 20",-5,0)))</f>
        <v/>
      </c>
      <c r="AZ338" s="30" t="inlineStr">
        <is>
          <t>Between 50 to 75</t>
        </is>
      </c>
      <c r="BA338" s="30">
        <f>IF(AZ338="Between 50 to 75",10,IF(AZ338="Above 75",0,0))</f>
        <v/>
      </c>
      <c r="BB338" s="30" t="inlineStr">
        <is>
          <t>Stage 2</t>
        </is>
      </c>
      <c r="BC338" s="30">
        <f>IF(BB338="Stage 2",20,IF(BB338="Stage 1",0,IF(BB338="Stage 3",5,IF(BB338="Stage 4",-5,0))))</f>
        <v/>
      </c>
      <c r="BD338" s="30" t="inlineStr">
        <is>
          <t>Positive Trend</t>
        </is>
      </c>
      <c r="BE338" s="30">
        <f>IF(BD338="Positive Trend",20,IF(BD338="Negative Trend",-10,0))</f>
        <v/>
      </c>
      <c r="BF338" s="30" t="inlineStr">
        <is>
          <t>Uptrend</t>
        </is>
      </c>
      <c r="BG338" s="30">
        <f>IF(BF338="Uptrend",10,IF(BF338="Sideways",5,0))</f>
        <v/>
      </c>
      <c r="BH338" s="30" t="inlineStr">
        <is>
          <t>Uptrend</t>
        </is>
      </c>
      <c r="BI338" s="30">
        <f>IF(BH338="Uptrend",10,IF(BH338="Sideways",5,0))</f>
        <v/>
      </c>
      <c r="BJ338" s="30" t="inlineStr">
        <is>
          <t>Blue sky scenario</t>
        </is>
      </c>
      <c r="BK338" s="30">
        <f>IF(BJ338="Overhead supply in last 2 years in last 2 years",-5,IF(BJ338="Close to 52 week high or retracement",5,IF(BJ338="Blue sky scenario",10,IF(BJ338="Long term Downtrend",-10,0))))</f>
        <v/>
      </c>
      <c r="BL338" s="30" t="inlineStr">
        <is>
          <t>Yes</t>
        </is>
      </c>
      <c r="BM338" s="30">
        <f>IF(BL338="Yes",10,0)</f>
        <v/>
      </c>
      <c r="BN338" s="30" t="inlineStr">
        <is>
          <t>Less than 12%</t>
        </is>
      </c>
      <c r="BO338" s="30">
        <f>IF(BN338="More than 20%",10,IF(BN338="Between 12 to 20%",5,IF(BN338="Less than 12%",0,0)))</f>
        <v/>
      </c>
      <c r="BP338" s="30" t="inlineStr">
        <is>
          <t>No</t>
        </is>
      </c>
      <c r="BQ338" s="30">
        <f>IF(BP338="No",10,0)</f>
        <v/>
      </c>
      <c r="BR338" s="30" t="inlineStr">
        <is>
          <t>Yes</t>
        </is>
      </c>
      <c r="BS338" s="30">
        <f>IF(BR338="NO",5,0)</f>
        <v/>
      </c>
      <c r="BT338" s="30" t="inlineStr">
        <is>
          <t>Above 2</t>
        </is>
      </c>
      <c r="BU338" s="30">
        <f>IF(BT338="Above 2",0,IF(BT338="Between 1.5 to 2",5,IF(BT338="Less than 1.5",10,0)))</f>
        <v/>
      </c>
      <c r="BV338" s="30" t="inlineStr">
        <is>
          <t>Less than 50% and Borrowings are increasing</t>
        </is>
      </c>
      <c r="BW338" s="30">
        <f>IF(BV338="Above 70%",10,IF(BV338="Between 50% to 70%",5,IF(BV338="Less than 50%",0,IF(BV338="Negative",-10,IF(BV338="Less than 50% and Borrowings are increasing",-5,0)))))</f>
        <v/>
      </c>
      <c r="BX338" s="30" t="inlineStr">
        <is>
          <t>More than 1.2</t>
        </is>
      </c>
      <c r="BY338" s="30">
        <f>IF(BX338="More than 1.2",-10,IF(BX338="Between 0.7 to 1.2",0,IF(BX338="Less than 0.7",10,0)))</f>
        <v/>
      </c>
      <c r="BZ338" s="30" t="inlineStr">
        <is>
          <t>No</t>
        </is>
      </c>
      <c r="CA338" s="30">
        <f>IF(BZ338="Yes",-10,0)</f>
        <v/>
      </c>
      <c r="CB338" s="30" t="inlineStr">
        <is>
          <t>Less than 15%</t>
        </is>
      </c>
      <c r="CC338" s="30">
        <f>IF(CB338="More than 15%",-10,IF(CB338="Less than 15%",10,0))</f>
        <v/>
      </c>
      <c r="CD338" s="30" t="inlineStr">
        <is>
          <t>No</t>
        </is>
      </c>
      <c r="CE338" s="30">
        <f>IF(CD338="Yes, more than 10%",-10,IF(CD338="No",10,0))</f>
        <v/>
      </c>
    </row>
    <row r="339">
      <c r="A339" s="30">
        <f>IF(B339=0,"",RANK(B339,$B$2:$B$361,0))</f>
        <v/>
      </c>
      <c r="B339" s="31">
        <f>SUM(N339,Y339,AA339,AC339,AE339,AG339,AI339,AK339,AM339,AO339,AQ339,AS339,AU339,AW339,AY339,BA339,BC339,BE339,BG339,BI339,BK339,BM339,BO339,BQ339,BS339,BU339,BW339,BY339,CA339,CC339,CE339)</f>
        <v/>
      </c>
      <c r="C339" s="30" t="inlineStr">
        <is>
          <t>ITI</t>
        </is>
      </c>
      <c r="D339" s="30" t="inlineStr">
        <is>
          <t>Iti Limited</t>
        </is>
      </c>
      <c r="E339" s="30" t="inlineStr">
        <is>
          <t>aerospace &amp; defence</t>
        </is>
      </c>
      <c r="F339" s="30" t="inlineStr">
        <is>
          <t>telecommunications - equipment</t>
        </is>
      </c>
      <c r="G339" s="30" t="inlineStr">
        <is>
          <t>largecap</t>
        </is>
      </c>
      <c r="H339" s="31" t="n">
        <v>29188.86</v>
      </c>
      <c r="I339" s="31" t="n">
        <v>306.2</v>
      </c>
      <c r="J339" s="31" t="n">
        <v>1.01</v>
      </c>
      <c r="K339" s="31" t="n">
        <v>1350463</v>
      </c>
      <c r="L339" s="30" t="n">
        <v>5</v>
      </c>
      <c r="M339" s="30" t="inlineStr">
        <is>
          <t>Outperforming</t>
        </is>
      </c>
      <c r="N339" s="31">
        <f>IF(M339="Underperforming",-5,IF(L339&gt;=95,15,IF(L339&gt;=90,10,IF(L339&gt;=80,5,0))))</f>
        <v/>
      </c>
      <c r="O339" s="31" t="n">
        <v>56.12</v>
      </c>
      <c r="P339" s="31" t="n">
        <v>17.05</v>
      </c>
      <c r="Q339" s="31" t="n">
        <v>236.16</v>
      </c>
      <c r="R339" s="30" t="inlineStr">
        <is>
          <t>Earnings / Momentum Support</t>
        </is>
      </c>
      <c r="S339" s="30" t="inlineStr">
        <is>
          <t>Nifty 50</t>
        </is>
      </c>
      <c r="T339" s="31" t="n">
        <v>-4.09</v>
      </c>
      <c r="U339" s="31" t="n">
        <v>-1.11</v>
      </c>
      <c r="V339" s="31" t="n">
        <v>3.1</v>
      </c>
      <c r="W339" s="31" t="n">
        <v>2.79</v>
      </c>
      <c r="X339" s="30" t="inlineStr">
        <is>
          <t>Growing Industry</t>
        </is>
      </c>
      <c r="Y339" s="30">
        <f>IF(X339="Growing Industry",10,IF(X339="Cyclical in an Upturn",5,0))</f>
        <v/>
      </c>
      <c r="Z339" s="30" t="inlineStr">
        <is>
          <t>Oligopoly</t>
        </is>
      </c>
      <c r="AA339" s="30">
        <f>IF(Z339="Monopoly",10,IF(Z339="Oligopoly",5,IF(Z339="Duopoly that cooperate",10,IF(Z339="Duopoly that compete",5,IF(Z339="Too many players with High ROCE",5,0)))))</f>
        <v/>
      </c>
      <c r="AB339" s="30" t="inlineStr">
        <is>
          <t>Yes</t>
        </is>
      </c>
      <c r="AC339" s="30">
        <f>IF(AB339="No",5,0)</f>
        <v/>
      </c>
      <c r="AD339" s="30" t="inlineStr">
        <is>
          <t>Headwind</t>
        </is>
      </c>
      <c r="AE339" s="30">
        <f>IF(AD339="Tailwind",10,0)</f>
        <v/>
      </c>
      <c r="AF339" s="30" t="inlineStr">
        <is>
          <t>Structural (10 Years Consistency)</t>
        </is>
      </c>
      <c r="AG339" s="30">
        <f>IF(AF339="Structural (10 Years Consistency)",10,IF(AF339="Shallow Cyclical (2 to 3 years growth)",5,0))</f>
        <v/>
      </c>
      <c r="AH339" s="30" t="inlineStr">
        <is>
          <t>No</t>
        </is>
      </c>
      <c r="AI339" s="30">
        <f>IF(AH339="Yes due to Product Mix change or Operating Leverage",10,IF(AH339="Yes, these are peak margins",-5,IF(AH339="No",5,0)))</f>
        <v/>
      </c>
      <c r="AJ339" s="30" t="inlineStr">
        <is>
          <t>Stable</t>
        </is>
      </c>
      <c r="AK339" s="30">
        <f>IF(AJ339="Stable",10,0)</f>
        <v/>
      </c>
      <c r="AL339" s="30" t="inlineStr">
        <is>
          <t>Yes</t>
        </is>
      </c>
      <c r="AM339" s="30">
        <f>IF(AL339="Yes",10,0)</f>
        <v/>
      </c>
      <c r="AN339" s="30" t="inlineStr">
        <is>
          <t>B2B</t>
        </is>
      </c>
      <c r="AO339" s="30">
        <f>IF(AN339="B2C",10,IF(AN339="B2B",5,0))</f>
        <v/>
      </c>
      <c r="AP339" s="30" t="inlineStr">
        <is>
          <t>No</t>
        </is>
      </c>
      <c r="AQ339" s="30">
        <f>IF(AP339="Yes",10,0)</f>
        <v/>
      </c>
      <c r="AR339" s="30" t="inlineStr">
        <is>
          <t>Higher One Time, Lower Annuity</t>
        </is>
      </c>
      <c r="AS339" s="30">
        <f>IF(AR339="Fully Annuity",10,IF(AR339="Higher Annuity, Lower One Time",5,IF(AR339="Higher One Time, Lower Annuity",3,0)))</f>
        <v/>
      </c>
      <c r="AT339" s="30" t="inlineStr">
        <is>
          <t>Good</t>
        </is>
      </c>
      <c r="AU339" s="30">
        <f>IF(AT339="Good",10,0)</f>
        <v/>
      </c>
      <c r="AV339" s="30" t="inlineStr">
        <is>
          <t>Yes for more than 2 years</t>
        </is>
      </c>
      <c r="AW339" s="30">
        <f>IF(AV339="Yes for more than 2 years",10,IF(AV339="Yes only for next 1 to 2 years",5,0))</f>
        <v/>
      </c>
      <c r="AX339" s="30" t="inlineStr">
        <is>
          <t>0 to 20</t>
        </is>
      </c>
      <c r="AY339" s="30">
        <f>IF(AX339="Above 40",20,IF(AX339="20 to 40",10,IF(AX339="0 to 20",-5,0)))</f>
        <v/>
      </c>
      <c r="AZ339" s="30" t="inlineStr">
        <is>
          <t>Between 50 to 75</t>
        </is>
      </c>
      <c r="BA339" s="30">
        <f>IF(AZ339="Between 50 to 75",10,IF(AZ339="Above 75",0,0))</f>
        <v/>
      </c>
      <c r="BB339" s="30" t="inlineStr">
        <is>
          <t>Stage 2</t>
        </is>
      </c>
      <c r="BC339" s="30">
        <f>IF(BB339="Stage 2",20,IF(BB339="Stage 1",0,IF(BB339="Stage 3",5,IF(BB339="Stage 4",-5,0))))</f>
        <v/>
      </c>
      <c r="BD339" s="30" t="inlineStr">
        <is>
          <t>Positive Trend</t>
        </is>
      </c>
      <c r="BE339" s="30">
        <f>IF(BD339="Positive Trend",20,IF(BD339="Negative Trend",-10,0))</f>
        <v/>
      </c>
      <c r="BF339" s="30" t="inlineStr">
        <is>
          <t>Uptrend</t>
        </is>
      </c>
      <c r="BG339" s="30">
        <f>IF(BF339="Uptrend",10,IF(BF339="Sideways",5,0))</f>
        <v/>
      </c>
      <c r="BH339" s="30" t="inlineStr">
        <is>
          <t>Uptrend</t>
        </is>
      </c>
      <c r="BI339" s="30">
        <f>IF(BH339="Uptrend",10,IF(BH339="Sideways",5,0))</f>
        <v/>
      </c>
      <c r="BJ339" s="30" t="inlineStr">
        <is>
          <t>Close to 52 week high or retracement</t>
        </is>
      </c>
      <c r="BK339" s="30">
        <f>IF(BJ339="Overhead supply in last 2 years in last 2 years",-5,IF(BJ339="Close to 52 week high or retracement",5,IF(BJ339="Blue sky scenario",10,IF(BJ339="Long term Downtrend",-10,0))))</f>
        <v/>
      </c>
      <c r="BL339" s="30" t="inlineStr">
        <is>
          <t>Yes</t>
        </is>
      </c>
      <c r="BM339" s="30">
        <f>IF(BL339="Yes",10,0)</f>
        <v/>
      </c>
      <c r="BN339" s="30" t="inlineStr">
        <is>
          <t>More than 20%</t>
        </is>
      </c>
      <c r="BO339" s="30">
        <f>IF(BN339="More than 20%",10,IF(BN339="Between 12 to 20%",5,IF(BN339="Less than 12%",0,0)))</f>
        <v/>
      </c>
      <c r="BP339" s="30" t="inlineStr">
        <is>
          <t>No</t>
        </is>
      </c>
      <c r="BQ339" s="30">
        <f>IF(BP339="No",10,0)</f>
        <v/>
      </c>
      <c r="BR339" s="30" t="inlineStr">
        <is>
          <t>Yes</t>
        </is>
      </c>
      <c r="BS339" s="30">
        <f>IF(BR339="NO",5,0)</f>
        <v/>
      </c>
      <c r="BT339" s="30" t="inlineStr">
        <is>
          <t>Above 2</t>
        </is>
      </c>
      <c r="BU339" s="30">
        <f>IF(BT339="Above 2",0,IF(BT339="Between 1.5 to 2",5,IF(BT339="Less than 1.5",10,0)))</f>
        <v/>
      </c>
      <c r="BV339" s="30" t="inlineStr">
        <is>
          <t>Negative</t>
        </is>
      </c>
      <c r="BW339" s="30">
        <f>IF(BV339="Above 70%",10,IF(BV339="Between 50% to 70%",5,IF(BV339="Less than 50%",0,IF(BV339="Negative",-10,IF(BV339="Less than 50% and Borrowings are increasing",-5,0)))))</f>
        <v/>
      </c>
      <c r="BX339" s="30" t="inlineStr">
        <is>
          <t>Less than 0.7</t>
        </is>
      </c>
      <c r="BY339" s="30">
        <f>IF(BX339="More than 1.2",-10,IF(BX339="Between 0.7 to 1.2",0,IF(BX339="Less than 0.7",10,0)))</f>
        <v/>
      </c>
      <c r="BZ339" s="30" t="inlineStr">
        <is>
          <t>No</t>
        </is>
      </c>
      <c r="CA339" s="30">
        <f>IF(BZ339="Yes",-10,0)</f>
        <v/>
      </c>
      <c r="CB339" s="30" t="inlineStr">
        <is>
          <t>Less than 15%</t>
        </is>
      </c>
      <c r="CC339" s="30">
        <f>IF(CB339="More than 15%",-10,IF(CB339="Less than 15%",10,0))</f>
        <v/>
      </c>
      <c r="CD339" s="30" t="inlineStr">
        <is>
          <t>No</t>
        </is>
      </c>
      <c r="CE339" s="30">
        <f>IF(CD339="Yes, more than 10%",-10,IF(CD339="No",10,0))</f>
        <v/>
      </c>
    </row>
    <row r="340">
      <c r="A340" s="30">
        <f>IF(B340=0,"",RANK(B340,$B$2:$B$361,0))</f>
        <v/>
      </c>
      <c r="B340" s="31">
        <f>SUM(N340,Y340,AA340,AC340,AE340,AG340,AI340,AK340,AM340,AO340,AQ340,AS340,AU340,AW340,AY340,BA340,BC340,BE340,BG340,BI340,BK340,BM340,BO340,BQ340,BS340,BU340,BW340,BY340,CA340,CC340,CE340)</f>
        <v/>
      </c>
      <c r="C340" s="32" t="inlineStr">
        <is>
          <t>SILVERTUC</t>
        </is>
      </c>
      <c r="D340" s="32" t="inlineStr">
        <is>
          <t>Silver Touch Technologies Ltd</t>
        </is>
      </c>
      <c r="E340" s="30" t="inlineStr">
        <is>
          <t>i.t</t>
        </is>
      </c>
      <c r="F340" s="30" t="inlineStr">
        <is>
          <t>computers - software - medium / small</t>
        </is>
      </c>
      <c r="G340" s="30" t="inlineStr">
        <is>
          <t>smallcap</t>
        </is>
      </c>
      <c r="H340" s="31" t="n">
        <v>2511.85</v>
      </c>
      <c r="I340" s="31" t="n">
        <v>195.35</v>
      </c>
      <c r="J340" s="31" t="n">
        <v>-1.38</v>
      </c>
      <c r="K340" s="31" t="n">
        <v>493145</v>
      </c>
      <c r="L340" s="30" t="n">
        <v>33</v>
      </c>
      <c r="M340" s="30" t="inlineStr">
        <is>
          <t>Underperforming</t>
        </is>
      </c>
      <c r="N340" s="31">
        <f>IF(M340="Underperforming",-5,IF(L340&gt;=95,15,IF(L340&gt;=90,10,IF(L340&gt;=80,5,0))))</f>
        <v/>
      </c>
      <c r="O340" s="31" t="n">
        <v>41.11</v>
      </c>
      <c r="P340" s="31" t="n">
        <v>39.89</v>
      </c>
      <c r="Q340" s="31" t="n">
        <v>81.84</v>
      </c>
      <c r="R340" s="30" t="inlineStr">
        <is>
          <t>Earnings / Momentum Support</t>
        </is>
      </c>
      <c r="S340" s="30" t="inlineStr">
        <is>
          <t>Nifty IT</t>
        </is>
      </c>
      <c r="T340" s="31" t="n">
        <v>-26.11</v>
      </c>
      <c r="U340" s="31" t="n">
        <v>-74.45999999999999</v>
      </c>
      <c r="V340" s="31" t="n">
        <v>-65.44</v>
      </c>
      <c r="W340" s="31" t="n">
        <v>8.82</v>
      </c>
      <c r="X340" s="30" t="inlineStr">
        <is>
          <t>Growing Industry</t>
        </is>
      </c>
      <c r="Y340" s="30">
        <f>IF(X340="Growing Industry",10,IF(X340="Cyclical in an Upturn",5,0))</f>
        <v/>
      </c>
      <c r="Z340" s="30" t="inlineStr">
        <is>
          <t>Too Many Players with High ROCE</t>
        </is>
      </c>
      <c r="AA340" s="30">
        <f>IF(Z340="Monopoly",10,IF(Z340="Oligopoly",5,IF(Z340="Duopoly that cooperate",10,IF(Z340="Duopoly that compete",5,IF(Z340="Too many players with High ROCE",5,0)))))</f>
        <v/>
      </c>
      <c r="AB340" s="30" t="inlineStr">
        <is>
          <t>No</t>
        </is>
      </c>
      <c r="AC340" s="30">
        <f>IF(AB340="No",5,0)</f>
        <v/>
      </c>
      <c r="AD340" s="30" t="inlineStr">
        <is>
          <t>Headwind</t>
        </is>
      </c>
      <c r="AE340" s="30">
        <f>IF(AD340="Tailwind",10,0)</f>
        <v/>
      </c>
      <c r="AF340" s="30" t="inlineStr">
        <is>
          <t>Structural (10 Years Consistency)</t>
        </is>
      </c>
      <c r="AG340" s="30">
        <f>IF(AF340="Structural (10 Years Consistency)",10,IF(AF340="Shallow Cyclical (2 to 3 years growth)",5,0))</f>
        <v/>
      </c>
      <c r="AH340" s="30" t="inlineStr">
        <is>
          <t>No</t>
        </is>
      </c>
      <c r="AI340" s="30">
        <f>IF(AH340="Yes due to Product Mix change or Operating Leverage",10,IF(AH340="Yes, these are peak margins",-5,IF(AH340="No",5,0)))</f>
        <v/>
      </c>
      <c r="AJ340" s="30" t="inlineStr">
        <is>
          <t>Stable</t>
        </is>
      </c>
      <c r="AK340" s="30">
        <f>IF(AJ340="Stable",10,0)</f>
        <v/>
      </c>
      <c r="AL340" s="30" t="inlineStr">
        <is>
          <t>Yes</t>
        </is>
      </c>
      <c r="AM340" s="30">
        <f>IF(AL340="Yes",10,0)</f>
        <v/>
      </c>
      <c r="AN340" s="30" t="inlineStr">
        <is>
          <t>B2B</t>
        </is>
      </c>
      <c r="AO340" s="30">
        <f>IF(AN340="B2C",10,IF(AN340="B2B",5,0))</f>
        <v/>
      </c>
      <c r="AP340" s="30" t="inlineStr">
        <is>
          <t>No</t>
        </is>
      </c>
      <c r="AQ340" s="30">
        <f>IF(AP340="Yes",10,0)</f>
        <v/>
      </c>
      <c r="AR340" s="30" t="inlineStr">
        <is>
          <t>Higher Annuity, Lower One Time</t>
        </is>
      </c>
      <c r="AS340" s="30">
        <f>IF(AR340="Fully Annuity",10,IF(AR340="Higher Annuity, Lower One Time",5,IF(AR340="Higher One Time, Lower Annuity",3,0)))</f>
        <v/>
      </c>
      <c r="AT340" s="30" t="inlineStr">
        <is>
          <t>Good</t>
        </is>
      </c>
      <c r="AU340" s="30">
        <f>IF(AT340="Good",10,0)</f>
        <v/>
      </c>
      <c r="AV340" s="30" t="inlineStr">
        <is>
          <t>Yes for more than 2 years</t>
        </is>
      </c>
      <c r="AW340" s="30">
        <f>IF(AV340="Yes for more than 2 years",10,IF(AV340="Yes only for next 1 to 2 years",5,0))</f>
        <v/>
      </c>
      <c r="AX340" s="30" t="inlineStr">
        <is>
          <t>20 to 40</t>
        </is>
      </c>
      <c r="AY340" s="30">
        <f>IF(AX340="Above 40",20,IF(AX340="20 to 40",10,IF(AX340="0 to 20",-5,0)))</f>
        <v/>
      </c>
      <c r="AZ340" s="30" t="inlineStr">
        <is>
          <t>Below 45</t>
        </is>
      </c>
      <c r="BA340" s="30">
        <f>IF(AZ340="Between 50 to 75",10,IF(AZ340="Above 75",0,0))</f>
        <v/>
      </c>
      <c r="BB340" s="30" t="inlineStr">
        <is>
          <t>Stage 4</t>
        </is>
      </c>
      <c r="BC340" s="30">
        <f>IF(BB340="Stage 2",20,IF(BB340="Stage 1",0,IF(BB340="Stage 3",5,IF(BB340="Stage 4",-5,0))))</f>
        <v/>
      </c>
      <c r="BD340" s="30" t="inlineStr">
        <is>
          <t>Positive Trend</t>
        </is>
      </c>
      <c r="BE340" s="30">
        <f>IF(BD340="Positive Trend",20,IF(BD340="Negative Trend",-10,0))</f>
        <v/>
      </c>
      <c r="BF340" s="30" t="inlineStr">
        <is>
          <t>Uptrend</t>
        </is>
      </c>
      <c r="BG340" s="30">
        <f>IF(BF340="Uptrend",10,IF(BF340="Sideways",5,0))</f>
        <v/>
      </c>
      <c r="BH340" s="30" t="inlineStr">
        <is>
          <t>Uptrend</t>
        </is>
      </c>
      <c r="BI340" s="30">
        <f>IF(BH340="Uptrend",10,IF(BH340="Sideways",5,0))</f>
        <v/>
      </c>
      <c r="BJ340" s="30" t="inlineStr">
        <is>
          <t>Close to 52 week high or retracement</t>
        </is>
      </c>
      <c r="BK340" s="30">
        <f>IF(BJ340="Overhead supply in last 2 years in last 2 years",-5,IF(BJ340="Close to 52 week high or retracement",5,IF(BJ340="Blue sky scenario",10,IF(BJ340="Long term Downtrend",-10,0))))</f>
        <v/>
      </c>
      <c r="BL340" s="30" t="inlineStr">
        <is>
          <t>Yes</t>
        </is>
      </c>
      <c r="BM340" s="30">
        <f>IF(BL340="Yes",10,0)</f>
        <v/>
      </c>
      <c r="BN340" s="30" t="inlineStr">
        <is>
          <t>More than 20%</t>
        </is>
      </c>
      <c r="BO340" s="30">
        <f>IF(BN340="More than 20%",10,IF(BN340="Between 12 to 20%",5,IF(BN340="Less than 12%",0,0)))</f>
        <v/>
      </c>
      <c r="BP340" s="30" t="inlineStr">
        <is>
          <t>No</t>
        </is>
      </c>
      <c r="BQ340" s="30">
        <f>IF(BP340="No",10,0)</f>
        <v/>
      </c>
      <c r="BR340" s="30" t="inlineStr">
        <is>
          <t>Yes</t>
        </is>
      </c>
      <c r="BS340" s="30">
        <f>IF(BR340="NO",5,0)</f>
        <v/>
      </c>
      <c r="BT340" s="30" t="inlineStr">
        <is>
          <t>Between 1.5 to 2</t>
        </is>
      </c>
      <c r="BU340" s="30">
        <f>IF(BT340="Above 2",0,IF(BT340="Between 1.5 to 2",5,IF(BT340="Less than 1.5",10,0)))</f>
        <v/>
      </c>
      <c r="BV340" s="30" t="inlineStr">
        <is>
          <t>Less than 50%</t>
        </is>
      </c>
      <c r="BW340" s="30">
        <f>IF(BV340="Above 70%",10,IF(BV340="Between 50% to 70%",5,IF(BV340="Less than 50%",0,IF(BV340="Negative",-10,IF(BV340="Less than 50% and Borrowings are increasing",-5,0)))))</f>
        <v/>
      </c>
      <c r="BX340" s="30" t="inlineStr">
        <is>
          <t>Less than 0.7</t>
        </is>
      </c>
      <c r="BY340" s="30">
        <f>IF(BX340="More than 1.2",-10,IF(BX340="Between 0.7 to 1.2",0,IF(BX340="Less than 0.7",10,0)))</f>
        <v/>
      </c>
      <c r="BZ340" s="30" t="inlineStr">
        <is>
          <t>No</t>
        </is>
      </c>
      <c r="CA340" s="30">
        <f>IF(BZ340="Yes",-10,0)</f>
        <v/>
      </c>
      <c r="CB340" s="30" t="inlineStr">
        <is>
          <t>Less than 15%</t>
        </is>
      </c>
      <c r="CC340" s="30">
        <f>IF(CB340="More than 15%",-10,IF(CB340="Less than 15%",10,0))</f>
        <v/>
      </c>
      <c r="CD340" s="30" t="inlineStr">
        <is>
          <t>No</t>
        </is>
      </c>
      <c r="CE340" s="30">
        <f>IF(CD340="Yes, more than 10%",-10,IF(CD340="No",10,0))</f>
        <v/>
      </c>
    </row>
    <row r="341">
      <c r="A341" s="30">
        <f>IF(B341=0,"",RANK(B341,$B$2:$B$361,0))</f>
        <v/>
      </c>
      <c r="B341" s="31">
        <f>SUM(N341,Y341,AA341,AC341,AE341,AG341,AI341,AK341,AM341,AO341,AQ341,AS341,AU341,AW341,AY341,BA341,BC341,BE341,BG341,BI341,BK341,BM341,BO341,BQ341,BS341,BU341,BW341,BY341,CA341,CC341,CE341)</f>
        <v/>
      </c>
      <c r="C341" s="30" t="inlineStr">
        <is>
          <t>TRITURBINE</t>
        </is>
      </c>
      <c r="D341" s="30" t="inlineStr">
        <is>
          <t>Triveni Turbine Limited</t>
        </is>
      </c>
      <c r="E341" s="30" t="inlineStr">
        <is>
          <t>industrials</t>
        </is>
      </c>
      <c r="F341" s="30" t="inlineStr">
        <is>
          <t>electric equipment</t>
        </is>
      </c>
      <c r="G341" s="30" t="inlineStr">
        <is>
          <t>largecap</t>
        </is>
      </c>
      <c r="H341" s="31" t="n">
        <v>21052.6</v>
      </c>
      <c r="I341" s="31" t="n">
        <v>677.4</v>
      </c>
      <c r="J341" s="31" t="n">
        <v>2.29</v>
      </c>
      <c r="K341" s="31" t="n">
        <v>478013</v>
      </c>
      <c r="L341" s="30" t="n">
        <v>56</v>
      </c>
      <c r="M341" s="30" t="inlineStr">
        <is>
          <t>Outperforming</t>
        </is>
      </c>
      <c r="N341" s="31">
        <f>IF(M341="Underperforming",-5,IF(L341&gt;=95,15,IF(L341&gt;=90,10,IF(L341&gt;=80,5,0))))</f>
        <v/>
      </c>
      <c r="O341" s="31" t="n">
        <v>66.48</v>
      </c>
      <c r="P341" s="31" t="n">
        <v>34.37</v>
      </c>
      <c r="Q341" s="31" t="n">
        <v>574.11</v>
      </c>
      <c r="R341" s="30" t="inlineStr">
        <is>
          <t>Earnings / Momentum Support</t>
        </is>
      </c>
      <c r="S341" s="30" t="inlineStr">
        <is>
          <t>Nifty 50</t>
        </is>
      </c>
      <c r="T341" s="31" t="n">
        <v>-4.09</v>
      </c>
      <c r="U341" s="31" t="n">
        <v>13.43</v>
      </c>
      <c r="V341" s="31" t="n">
        <v>18.27</v>
      </c>
      <c r="W341" s="31" t="n">
        <v>14.33</v>
      </c>
      <c r="X341" s="30" t="inlineStr">
        <is>
          <t>Cyclical in an Upturn</t>
        </is>
      </c>
      <c r="Y341" s="30">
        <f>IF(X341="Growing Industry",10,IF(X341="Cyclical in an Upturn",5,0))</f>
        <v/>
      </c>
      <c r="Z341" s="30" t="inlineStr">
        <is>
          <t>Too Many Players with High ROCE</t>
        </is>
      </c>
      <c r="AA341" s="30">
        <f>IF(Z341="Monopoly",10,IF(Z341="Oligopoly",5,IF(Z341="Duopoly that cooperate",10,IF(Z341="Duopoly that compete",5,IF(Z341="Too many players with High ROCE",5,0)))))</f>
        <v/>
      </c>
      <c r="AB341" s="30" t="inlineStr">
        <is>
          <t>No</t>
        </is>
      </c>
      <c r="AC341" s="30">
        <f>IF(AB341="No",5,0)</f>
        <v/>
      </c>
      <c r="AD341" s="30" t="inlineStr">
        <is>
          <t>Tailwind</t>
        </is>
      </c>
      <c r="AE341" s="30">
        <f>IF(AD341="Tailwind",10,0)</f>
        <v/>
      </c>
      <c r="AF341" s="30" t="inlineStr">
        <is>
          <t>Structural (10 Years Consistency)</t>
        </is>
      </c>
      <c r="AG341" s="30">
        <f>IF(AF341="Structural (10 Years Consistency)",10,IF(AF341="Shallow Cyclical (2 to 3 years growth)",5,0))</f>
        <v/>
      </c>
      <c r="AH341" s="30" t="inlineStr">
        <is>
          <t>No</t>
        </is>
      </c>
      <c r="AI341" s="30">
        <f>IF(AH341="Yes due to Product Mix change or Operating Leverage",10,IF(AH341="Yes, these are peak margins",-5,IF(AH341="No",5,0)))</f>
        <v/>
      </c>
      <c r="AJ341" s="30" t="inlineStr">
        <is>
          <t>Stable</t>
        </is>
      </c>
      <c r="AK341" s="30">
        <f>IF(AJ341="Stable",10,0)</f>
        <v/>
      </c>
      <c r="AL341" s="30" t="inlineStr">
        <is>
          <t>Yes</t>
        </is>
      </c>
      <c r="AM341" s="30">
        <f>IF(AL341="Yes",10,0)</f>
        <v/>
      </c>
      <c r="AN341" s="30" t="inlineStr">
        <is>
          <t>B2B</t>
        </is>
      </c>
      <c r="AO341" s="30">
        <f>IF(AN341="B2C",10,IF(AN341="B2B",5,0))</f>
        <v/>
      </c>
      <c r="AP341" s="30" t="inlineStr">
        <is>
          <t>No</t>
        </is>
      </c>
      <c r="AQ341" s="30">
        <f>IF(AP341="Yes",10,0)</f>
        <v/>
      </c>
      <c r="AR341" s="30" t="inlineStr">
        <is>
          <t>Higher One Time, Lower Annuity</t>
        </is>
      </c>
      <c r="AS341" s="30">
        <f>IF(AR341="Fully Annuity",10,IF(AR341="Higher Annuity, Lower One Time",5,IF(AR341="Higher One Time, Lower Annuity",3,0)))</f>
        <v/>
      </c>
      <c r="AT341" s="30" t="inlineStr">
        <is>
          <t>Good</t>
        </is>
      </c>
      <c r="AU341" s="30">
        <f>IF(AT341="Good",10,0)</f>
        <v/>
      </c>
      <c r="AV341" s="30" t="inlineStr">
        <is>
          <t>Yes for more than 2 years</t>
        </is>
      </c>
      <c r="AW341" s="30">
        <f>IF(AV341="Yes for more than 2 years",10,IF(AV341="Yes only for next 1 to 2 years",5,0))</f>
        <v/>
      </c>
      <c r="AX341" s="30" t="inlineStr">
        <is>
          <t>20 to 40</t>
        </is>
      </c>
      <c r="AY341" s="30">
        <f>IF(AX341="Above 40",20,IF(AX341="20 to 40",10,IF(AX341="0 to 20",-5,0)))</f>
        <v/>
      </c>
      <c r="AZ341" s="30" t="inlineStr">
        <is>
          <t>Between 50 to 75</t>
        </is>
      </c>
      <c r="BA341" s="30">
        <f>IF(AZ341="Between 50 to 75",10,IF(AZ341="Above 75",0,0))</f>
        <v/>
      </c>
      <c r="BB341" s="30" t="inlineStr">
        <is>
          <t>Stage 2</t>
        </is>
      </c>
      <c r="BC341" s="30">
        <f>IF(BB341="Stage 2",20,IF(BB341="Stage 1",0,IF(BB341="Stage 3",5,IF(BB341="Stage 4",-5,0))))</f>
        <v/>
      </c>
      <c r="BD341" s="30" t="inlineStr">
        <is>
          <t>Negative Trend</t>
        </is>
      </c>
      <c r="BE341" s="30">
        <f>IF(BD341="Positive Trend",20,IF(BD341="Negative Trend",-10,0))</f>
        <v/>
      </c>
      <c r="BF341" s="30" t="inlineStr">
        <is>
          <t>Uptrend</t>
        </is>
      </c>
      <c r="BG341" s="30">
        <f>IF(BF341="Uptrend",10,IF(BF341="Sideways",5,0))</f>
        <v/>
      </c>
      <c r="BH341" s="30" t="inlineStr">
        <is>
          <t>Uptrend</t>
        </is>
      </c>
      <c r="BI341" s="30">
        <f>IF(BH341="Uptrend",10,IF(BH341="Sideways",5,0))</f>
        <v/>
      </c>
      <c r="BJ341" s="30" t="inlineStr">
        <is>
          <t>Close to 52 week high or retracement</t>
        </is>
      </c>
      <c r="BK341" s="30">
        <f>IF(BJ341="Overhead supply in last 2 years in last 2 years",-5,IF(BJ341="Close to 52 week high or retracement",5,IF(BJ341="Blue sky scenario",10,IF(BJ341="Long term Downtrend",-10,0))))</f>
        <v/>
      </c>
      <c r="BL341" s="30" t="inlineStr">
        <is>
          <t>Yes</t>
        </is>
      </c>
      <c r="BM341" s="30">
        <f>IF(BL341="Yes",10,0)</f>
        <v/>
      </c>
      <c r="BN341" s="30" t="inlineStr">
        <is>
          <t>Less than 12%</t>
        </is>
      </c>
      <c r="BO341" s="30">
        <f>IF(BN341="More than 20%",10,IF(BN341="Between 12 to 20%",5,IF(BN341="Less than 12%",0,0)))</f>
        <v/>
      </c>
      <c r="BP341" s="30" t="inlineStr">
        <is>
          <t>No</t>
        </is>
      </c>
      <c r="BQ341" s="30">
        <f>IF(BP341="No",10,0)</f>
        <v/>
      </c>
      <c r="BR341" s="30" t="inlineStr">
        <is>
          <t>Yes</t>
        </is>
      </c>
      <c r="BS341" s="30">
        <f>IF(BR341="NO",5,0)</f>
        <v/>
      </c>
      <c r="BT341" s="30" t="inlineStr">
        <is>
          <t>Above 2</t>
        </is>
      </c>
      <c r="BU341" s="30">
        <f>IF(BT341="Above 2",0,IF(BT341="Between 1.5 to 2",5,IF(BT341="Less than 1.5",10,0)))</f>
        <v/>
      </c>
      <c r="BV341" s="30" t="inlineStr">
        <is>
          <t>Less than 50%</t>
        </is>
      </c>
      <c r="BW341" s="30">
        <f>IF(BV341="Above 70%",10,IF(BV341="Between 50% to 70%",5,IF(BV341="Less than 50%",0,IF(BV341="Negative",-10,IF(BV341="Less than 50% and Borrowings are increasing",-5,0)))))</f>
        <v/>
      </c>
      <c r="BX341" s="30" t="inlineStr">
        <is>
          <t>Less than 0.7</t>
        </is>
      </c>
      <c r="BY341" s="30">
        <f>IF(BX341="More than 1.2",-10,IF(BX341="Between 0.7 to 1.2",0,IF(BX341="Less than 0.7",10,0)))</f>
        <v/>
      </c>
      <c r="BZ341" s="30" t="inlineStr">
        <is>
          <t>No</t>
        </is>
      </c>
      <c r="CA341" s="30">
        <f>IF(BZ341="Yes",-10,0)</f>
        <v/>
      </c>
      <c r="CB341" s="30" t="inlineStr">
        <is>
          <t>Less than 15%</t>
        </is>
      </c>
      <c r="CC341" s="30">
        <f>IF(CB341="More than 15%",-10,IF(CB341="Less than 15%",10,0))</f>
        <v/>
      </c>
      <c r="CD341" s="30" t="inlineStr">
        <is>
          <t>No</t>
        </is>
      </c>
      <c r="CE341" s="30">
        <f>IF(CD341="Yes, more than 10%",-10,IF(CD341="No",10,0))</f>
        <v/>
      </c>
    </row>
    <row r="342">
      <c r="A342" s="30">
        <f>IF(B342=0,"",RANK(B342,$B$2:$B$361,0))</f>
        <v/>
      </c>
      <c r="B342" s="31">
        <f>SUM(N342,Y342,AA342,AC342,AE342,AG342,AI342,AK342,AM342,AO342,AQ342,AS342,AU342,AW342,AY342,BA342,BC342,BE342,BG342,BI342,BK342,BM342,BO342,BQ342,BS342,BU342,BW342,BY342,CA342,CC342,CE342)</f>
        <v/>
      </c>
      <c r="C342" s="32" t="inlineStr">
        <is>
          <t>INDHOTEL</t>
        </is>
      </c>
      <c r="D342" s="32" t="inlineStr">
        <is>
          <t>The Indian Hotels Company Limited</t>
        </is>
      </c>
      <c r="E342" s="30" t="inlineStr">
        <is>
          <t>services</t>
        </is>
      </c>
      <c r="F342" s="30" t="inlineStr">
        <is>
          <t>hotels</t>
        </is>
      </c>
      <c r="G342" s="30" t="inlineStr">
        <is>
          <t>largecap</t>
        </is>
      </c>
      <c r="H342" s="31" t="n">
        <v>98843.13</v>
      </c>
      <c r="I342" s="31" t="n">
        <v>699.1</v>
      </c>
      <c r="J342" s="31" t="n">
        <v>0.68</v>
      </c>
      <c r="K342" s="31" t="n">
        <v>986679</v>
      </c>
      <c r="L342" s="30" t="n">
        <v>2</v>
      </c>
      <c r="M342" s="30" t="inlineStr">
        <is>
          <t>Underperforming</t>
        </is>
      </c>
      <c r="N342" s="31">
        <f>IF(M342="Underperforming",-5,IF(L342&gt;=95,15,IF(L342&gt;=90,10,IF(L342&gt;=80,5,0))))</f>
        <v/>
      </c>
      <c r="O342" s="31" t="n">
        <v>56.35</v>
      </c>
      <c r="P342" s="31" t="n">
        <v>17.32</v>
      </c>
      <c r="Q342" s="31" t="n">
        <v>587.75</v>
      </c>
      <c r="R342" s="30" t="inlineStr">
        <is>
          <t>Earnings / Momentum Support</t>
        </is>
      </c>
      <c r="S342" s="30" t="inlineStr">
        <is>
          <t>Nifty 500</t>
        </is>
      </c>
      <c r="T342" s="31" t="n">
        <v>0.3</v>
      </c>
      <c r="U342" s="31" t="n">
        <v>-8.42</v>
      </c>
      <c r="V342" s="31" t="n">
        <v>-8.699999999999999</v>
      </c>
      <c r="W342" s="31" t="n">
        <v>1.44</v>
      </c>
      <c r="X342" s="30" t="inlineStr">
        <is>
          <t>Growing Industry</t>
        </is>
      </c>
      <c r="Y342" s="30">
        <f>IF(X342="Growing Industry",10,IF(X342="Cyclical in an Upturn",5,0))</f>
        <v/>
      </c>
      <c r="Z342" s="30" t="inlineStr">
        <is>
          <t>Too Many Players with High ROCE</t>
        </is>
      </c>
      <c r="AA342" s="30">
        <f>IF(Z342="Monopoly",10,IF(Z342="Oligopoly",5,IF(Z342="Duopoly that cooperate",10,IF(Z342="Duopoly that compete",5,IF(Z342="Too many players with High ROCE",5,0)))))</f>
        <v/>
      </c>
      <c r="AB342" s="30" t="inlineStr">
        <is>
          <t>No</t>
        </is>
      </c>
      <c r="AC342" s="30">
        <f>IF(AB342="No",5,0)</f>
        <v/>
      </c>
      <c r="AD342" s="30" t="inlineStr">
        <is>
          <t>Headwind</t>
        </is>
      </c>
      <c r="AE342" s="30">
        <f>IF(AD342="Tailwind",10,0)</f>
        <v/>
      </c>
      <c r="AF342" s="30" t="inlineStr">
        <is>
          <t>Structural (10 Years Consistency)</t>
        </is>
      </c>
      <c r="AG342" s="30">
        <f>IF(AF342="Structural (10 Years Consistency)",10,IF(AF342="Shallow Cyclical (2 to 3 years growth)",5,0))</f>
        <v/>
      </c>
      <c r="AH342" s="30" t="inlineStr">
        <is>
          <t>No</t>
        </is>
      </c>
      <c r="AI342" s="30">
        <f>IF(AH342="Yes due to Product Mix change or Operating Leverage",10,IF(AH342="Yes, these are peak margins",-5,IF(AH342="No",5,0)))</f>
        <v/>
      </c>
      <c r="AJ342" s="30" t="inlineStr">
        <is>
          <t>Stable</t>
        </is>
      </c>
      <c r="AK342" s="30">
        <f>IF(AJ342="Stable",10,0)</f>
        <v/>
      </c>
      <c r="AL342" s="30" t="inlineStr">
        <is>
          <t>Yes</t>
        </is>
      </c>
      <c r="AM342" s="30">
        <f>IF(AL342="Yes",10,0)</f>
        <v/>
      </c>
      <c r="AN342" s="30" t="inlineStr">
        <is>
          <t>B2B</t>
        </is>
      </c>
      <c r="AO342" s="30">
        <f>IF(AN342="B2C",10,IF(AN342="B2B",5,0))</f>
        <v/>
      </c>
      <c r="AP342" s="30" t="inlineStr">
        <is>
          <t>No</t>
        </is>
      </c>
      <c r="AQ342" s="30">
        <f>IF(AP342="Yes",10,0)</f>
        <v/>
      </c>
      <c r="AR342" s="30" t="inlineStr">
        <is>
          <t>Higher One Time, Lower Annuity</t>
        </is>
      </c>
      <c r="AS342" s="30">
        <f>IF(AR342="Fully Annuity",10,IF(AR342="Higher Annuity, Lower One Time",5,IF(AR342="Higher One Time, Lower Annuity",3,0)))</f>
        <v/>
      </c>
      <c r="AT342" s="30" t="inlineStr">
        <is>
          <t>Good</t>
        </is>
      </c>
      <c r="AU342" s="30">
        <f>IF(AT342="Good",10,0)</f>
        <v/>
      </c>
      <c r="AV342" s="30" t="inlineStr">
        <is>
          <t>Yes for more than 2 years</t>
        </is>
      </c>
      <c r="AW342" s="30">
        <f>IF(AV342="Yes for more than 2 years",10,IF(AV342="Yes only for next 1 to 2 years",5,0))</f>
        <v/>
      </c>
      <c r="AX342" s="30" t="inlineStr">
        <is>
          <t>0 to 20</t>
        </is>
      </c>
      <c r="AY342" s="30">
        <f>IF(AX342="Above 40",20,IF(AX342="20 to 40",10,IF(AX342="0 to 20",-5,0)))</f>
        <v/>
      </c>
      <c r="AZ342" s="30" t="inlineStr">
        <is>
          <t>Between 50 to 75</t>
        </is>
      </c>
      <c r="BA342" s="30">
        <f>IF(AZ342="Between 50 to 75",10,IF(AZ342="Above 75",0,0))</f>
        <v/>
      </c>
      <c r="BB342" s="30" t="inlineStr">
        <is>
          <t>Stage 1</t>
        </is>
      </c>
      <c r="BC342" s="30">
        <f>IF(BB342="Stage 2",20,IF(BB342="Stage 1",0,IF(BB342="Stage 3",5,IF(BB342="Stage 4",-5,0))))</f>
        <v/>
      </c>
      <c r="BD342" s="30" t="inlineStr">
        <is>
          <t>Positive Trend</t>
        </is>
      </c>
      <c r="BE342" s="30">
        <f>IF(BD342="Positive Trend",20,IF(BD342="Negative Trend",-10,0))</f>
        <v/>
      </c>
      <c r="BF342" s="30" t="inlineStr">
        <is>
          <t>Uptrend</t>
        </is>
      </c>
      <c r="BG342" s="30">
        <f>IF(BF342="Uptrend",10,IF(BF342="Sideways",5,0))</f>
        <v/>
      </c>
      <c r="BH342" s="30" t="inlineStr">
        <is>
          <t>Uptrend</t>
        </is>
      </c>
      <c r="BI342" s="30">
        <f>IF(BH342="Uptrend",10,IF(BH342="Sideways",5,0))</f>
        <v/>
      </c>
      <c r="BJ342" s="30" t="inlineStr">
        <is>
          <t>Close to 52 week high or retracement</t>
        </is>
      </c>
      <c r="BK342" s="30">
        <f>IF(BJ342="Overhead supply in last 2 years in last 2 years",-5,IF(BJ342="Close to 52 week high or retracement",5,IF(BJ342="Blue sky scenario",10,IF(BJ342="Long term Downtrend",-10,0))))</f>
        <v/>
      </c>
      <c r="BL342" s="30" t="inlineStr">
        <is>
          <t>Yes</t>
        </is>
      </c>
      <c r="BM342" s="30">
        <f>IF(BL342="Yes",10,0)</f>
        <v/>
      </c>
      <c r="BN342" s="30" t="inlineStr">
        <is>
          <t>Between 12 to 20%</t>
        </is>
      </c>
      <c r="BO342" s="30">
        <f>IF(BN342="More than 20%",10,IF(BN342="Between 12 to 20%",5,IF(BN342="Less than 12%",0,0)))</f>
        <v/>
      </c>
      <c r="BP342" s="30" t="inlineStr">
        <is>
          <t>No</t>
        </is>
      </c>
      <c r="BQ342" s="30">
        <f>IF(BP342="No",10,0)</f>
        <v/>
      </c>
      <c r="BR342" s="30" t="inlineStr">
        <is>
          <t>Yes</t>
        </is>
      </c>
      <c r="BS342" s="30">
        <f>IF(BR342="NO",5,0)</f>
        <v/>
      </c>
      <c r="BT342" s="30" t="inlineStr">
        <is>
          <t>Above 2</t>
        </is>
      </c>
      <c r="BU342" s="30">
        <f>IF(BT342="Above 2",0,IF(BT342="Between 1.5 to 2",5,IF(BT342="Less than 1.5",10,0)))</f>
        <v/>
      </c>
      <c r="BV342" s="30" t="inlineStr">
        <is>
          <t>Above 70%</t>
        </is>
      </c>
      <c r="BW342" s="30">
        <f>IF(BV342="Above 70%",10,IF(BV342="Between 50% to 70%",5,IF(BV342="Less than 50%",0,IF(BV342="Negative",-10,IF(BV342="Less than 50% and Borrowings are increasing",-5,0)))))</f>
        <v/>
      </c>
      <c r="BX342" s="30" t="inlineStr">
        <is>
          <t>Less than 0.7</t>
        </is>
      </c>
      <c r="BY342" s="30">
        <f>IF(BX342="More than 1.2",-10,IF(BX342="Between 0.7 to 1.2",0,IF(BX342="Less than 0.7",10,0)))</f>
        <v/>
      </c>
      <c r="BZ342" s="30" t="inlineStr">
        <is>
          <t>No</t>
        </is>
      </c>
      <c r="CA342" s="30">
        <f>IF(BZ342="Yes",-10,0)</f>
        <v/>
      </c>
      <c r="CB342" s="30" t="inlineStr">
        <is>
          <t>Less than 15%</t>
        </is>
      </c>
      <c r="CC342" s="30">
        <f>IF(CB342="More than 15%",-10,IF(CB342="Less than 15%",10,0))</f>
        <v/>
      </c>
      <c r="CD342" s="30" t="inlineStr">
        <is>
          <t>No</t>
        </is>
      </c>
      <c r="CE342" s="30">
        <f>IF(CD342="Yes, more than 10%",-10,IF(CD342="No",10,0))</f>
        <v/>
      </c>
    </row>
    <row r="343">
      <c r="A343" s="30">
        <f>IF(B343=0,"",RANK(B343,$B$2:$B$361,0))</f>
        <v/>
      </c>
      <c r="B343" s="31">
        <f>SUM(N343,Y343,AA343,AC343,AE343,AG343,AI343,AK343,AM343,AO343,AQ343,AS343,AU343,AW343,AY343,BA343,BC343,BE343,BG343,BI343,BK343,BM343,BO343,BQ343,BS343,BU343,BW343,BY343,CA343,CC343,CE343)</f>
        <v/>
      </c>
      <c r="C343" s="32" t="inlineStr">
        <is>
          <t>PETRONET</t>
        </is>
      </c>
      <c r="D343" s="32" t="inlineStr">
        <is>
          <t>Petronet Lng Limited</t>
        </is>
      </c>
      <c r="E343" s="30" t="inlineStr">
        <is>
          <t>energy</t>
        </is>
      </c>
      <c r="F343" s="30" t="inlineStr">
        <is>
          <t>miscellaneous</t>
        </is>
      </c>
      <c r="G343" s="30" t="inlineStr">
        <is>
          <t>largecap</t>
        </is>
      </c>
      <c r="H343" s="31" t="n">
        <v>43582.5</v>
      </c>
      <c r="I343" s="31" t="n">
        <v>292</v>
      </c>
      <c r="J343" s="31" t="n">
        <v>0.5</v>
      </c>
      <c r="K343" s="31" t="n">
        <v>3428931</v>
      </c>
      <c r="L343" s="30" t="n">
        <v>9</v>
      </c>
      <c r="M343" s="30" t="inlineStr">
        <is>
          <t>Underperforming</t>
        </is>
      </c>
      <c r="N343" s="31">
        <f>IF(M343="Underperforming",-5,IF(L343&gt;=95,15,IF(L343&gt;=90,10,IF(L343&gt;=80,5,0))))</f>
        <v/>
      </c>
      <c r="O343" s="31" t="n">
        <v>57.65</v>
      </c>
      <c r="P343" s="31" t="n">
        <v>7.57</v>
      </c>
      <c r="Q343" s="31" t="n">
        <v>237.22</v>
      </c>
      <c r="R343" s="30" t="inlineStr">
        <is>
          <t>Earnings / Momentum Support</t>
        </is>
      </c>
      <c r="S343" s="30" t="inlineStr">
        <is>
          <t>Nifty Energy</t>
        </is>
      </c>
      <c r="T343" s="31" t="n">
        <v>13.03</v>
      </c>
      <c r="U343" s="31" t="n">
        <v>3.6</v>
      </c>
      <c r="V343" s="31" t="n">
        <v>-8.35</v>
      </c>
      <c r="W343" s="31" t="n">
        <v>3.89</v>
      </c>
      <c r="X343" s="30" t="inlineStr">
        <is>
          <t>Cyclical in an Upturn</t>
        </is>
      </c>
      <c r="Y343" s="30">
        <f>IF(X343="Growing Industry",10,IF(X343="Cyclical in an Upturn",5,0))</f>
        <v/>
      </c>
      <c r="Z343" s="30" t="inlineStr">
        <is>
          <t>Oligopoly</t>
        </is>
      </c>
      <c r="AA343" s="30">
        <f>IF(Z343="Monopoly",10,IF(Z343="Oligopoly",5,IF(Z343="Duopoly that cooperate",10,IF(Z343="Duopoly that compete",5,IF(Z343="Too many players with High ROCE",5,0)))))</f>
        <v/>
      </c>
      <c r="AB343" s="30" t="inlineStr">
        <is>
          <t>Yes</t>
        </is>
      </c>
      <c r="AC343" s="30">
        <f>IF(AB343="No",5,0)</f>
        <v/>
      </c>
      <c r="AD343" s="30" t="inlineStr">
        <is>
          <t>Tailwind</t>
        </is>
      </c>
      <c r="AE343" s="30">
        <f>IF(AD343="Tailwind",10,0)</f>
        <v/>
      </c>
      <c r="AF343" s="30" t="inlineStr">
        <is>
          <t>Cyclical</t>
        </is>
      </c>
      <c r="AG343" s="30">
        <f>IF(AF343="Structural (10 Years Consistency)",10,IF(AF343="Shallow Cyclical (2 to 3 years growth)",5,0))</f>
        <v/>
      </c>
      <c r="AH343" s="30" t="inlineStr">
        <is>
          <t>No</t>
        </is>
      </c>
      <c r="AI343" s="30">
        <f>IF(AH343="Yes due to Product Mix change or Operating Leverage",10,IF(AH343="Yes, these are peak margins",-5,IF(AH343="No",5,0)))</f>
        <v/>
      </c>
      <c r="AJ343" s="30" t="inlineStr">
        <is>
          <t>Volatile</t>
        </is>
      </c>
      <c r="AK343" s="30">
        <f>IF(AJ343="Stable",10,0)</f>
        <v/>
      </c>
      <c r="AL343" s="30" t="inlineStr">
        <is>
          <t>Yes</t>
        </is>
      </c>
      <c r="AM343" s="30">
        <f>IF(AL343="Yes",10,0)</f>
        <v/>
      </c>
      <c r="AN343" s="30" t="inlineStr">
        <is>
          <t>B2B</t>
        </is>
      </c>
      <c r="AO343" s="30">
        <f>IF(AN343="B2C",10,IF(AN343="B2B",5,0))</f>
        <v/>
      </c>
      <c r="AP343" s="30" t="inlineStr">
        <is>
          <t>No</t>
        </is>
      </c>
      <c r="AQ343" s="30">
        <f>IF(AP343="Yes",10,0)</f>
        <v/>
      </c>
      <c r="AR343" s="30" t="inlineStr">
        <is>
          <t>Higher One Time, Lower Annuity</t>
        </is>
      </c>
      <c r="AS343" s="30">
        <f>IF(AR343="Fully Annuity",10,IF(AR343="Higher Annuity, Lower One Time",5,IF(AR343="Higher One Time, Lower Annuity",3,0)))</f>
        <v/>
      </c>
      <c r="AT343" s="30" t="inlineStr">
        <is>
          <t>Good</t>
        </is>
      </c>
      <c r="AU343" s="30">
        <f>IF(AT343="Good",10,0)</f>
        <v/>
      </c>
      <c r="AV343" s="30" t="inlineStr">
        <is>
          <t>Yes for more than 2 years</t>
        </is>
      </c>
      <c r="AW343" s="30">
        <f>IF(AV343="Yes for more than 2 years",10,IF(AV343="Yes only for next 1 to 2 years",5,0))</f>
        <v/>
      </c>
      <c r="AX343" s="30" t="inlineStr">
        <is>
          <t>0 to 20</t>
        </is>
      </c>
      <c r="AY343" s="30">
        <f>IF(AX343="Above 40",20,IF(AX343="20 to 40",10,IF(AX343="0 to 20",-5,0)))</f>
        <v/>
      </c>
      <c r="AZ343" s="30" t="inlineStr">
        <is>
          <t>Between 50 to 75</t>
        </is>
      </c>
      <c r="BA343" s="30">
        <f>IF(AZ343="Between 50 to 75",10,IF(AZ343="Above 75",0,0))</f>
        <v/>
      </c>
      <c r="BB343" s="30" t="inlineStr">
        <is>
          <t>Stage 1</t>
        </is>
      </c>
      <c r="BC343" s="30">
        <f>IF(BB343="Stage 2",20,IF(BB343="Stage 1",0,IF(BB343="Stage 3",5,IF(BB343="Stage 4",-5,0))))</f>
        <v/>
      </c>
      <c r="BD343" s="30" t="inlineStr">
        <is>
          <t>Positive Trend</t>
        </is>
      </c>
      <c r="BE343" s="30">
        <f>IF(BD343="Positive Trend",20,IF(BD343="Negative Trend",-10,0))</f>
        <v/>
      </c>
      <c r="BF343" s="30" t="inlineStr">
        <is>
          <t>Uptrend</t>
        </is>
      </c>
      <c r="BG343" s="30">
        <f>IF(BF343="Uptrend",10,IF(BF343="Sideways",5,0))</f>
        <v/>
      </c>
      <c r="BH343" s="30" t="inlineStr">
        <is>
          <t>Uptrend</t>
        </is>
      </c>
      <c r="BI343" s="30">
        <f>IF(BH343="Uptrend",10,IF(BH343="Sideways",5,0))</f>
        <v/>
      </c>
      <c r="BJ343" s="30" t="inlineStr">
        <is>
          <t>Close to 52 week high or retracement</t>
        </is>
      </c>
      <c r="BK343" s="30">
        <f>IF(BJ343="Overhead supply in last 2 years in last 2 years",-5,IF(BJ343="Close to 52 week high or retracement",5,IF(BJ343="Blue sky scenario",10,IF(BJ343="Long term Downtrend",-10,0))))</f>
        <v/>
      </c>
      <c r="BL343" s="30" t="inlineStr">
        <is>
          <t>Yes</t>
        </is>
      </c>
      <c r="BM343" s="30">
        <f>IF(BL343="Yes",10,0)</f>
        <v/>
      </c>
      <c r="BN343" s="30" t="inlineStr">
        <is>
          <t>More than 20%</t>
        </is>
      </c>
      <c r="BO343" s="30">
        <f>IF(BN343="More than 20%",10,IF(BN343="Between 12 to 20%",5,IF(BN343="Less than 12%",0,0)))</f>
        <v/>
      </c>
      <c r="BP343" s="30" t="inlineStr">
        <is>
          <t>No</t>
        </is>
      </c>
      <c r="BQ343" s="30">
        <f>IF(BP343="No",10,0)</f>
        <v/>
      </c>
      <c r="BR343" s="30" t="inlineStr">
        <is>
          <t>No</t>
        </is>
      </c>
      <c r="BS343" s="30">
        <f>IF(BR343="NO",5,0)</f>
        <v/>
      </c>
      <c r="BT343" s="30" t="inlineStr">
        <is>
          <t>Less than 1.5</t>
        </is>
      </c>
      <c r="BU343" s="30">
        <f>IF(BT343="Above 2",0,IF(BT343="Between 1.5 to 2",5,IF(BT343="Less than 1.5",10,0)))</f>
        <v/>
      </c>
      <c r="BV343" s="30" t="inlineStr">
        <is>
          <t>Above 70%</t>
        </is>
      </c>
      <c r="BW343" s="30">
        <f>IF(BV343="Above 70%",10,IF(BV343="Between 50% to 70%",5,IF(BV343="Less than 50%",0,IF(BV343="Negative",-10,IF(BV343="Less than 50% and Borrowings are increasing",-5,0)))))</f>
        <v/>
      </c>
      <c r="BX343" s="30" t="inlineStr">
        <is>
          <t>Less than 0.7</t>
        </is>
      </c>
      <c r="BY343" s="30">
        <f>IF(BX343="More than 1.2",-10,IF(BX343="Between 0.7 to 1.2",0,IF(BX343="Less than 0.7",10,0)))</f>
        <v/>
      </c>
      <c r="BZ343" s="30" t="inlineStr">
        <is>
          <t>No</t>
        </is>
      </c>
      <c r="CA343" s="30">
        <f>IF(BZ343="Yes",-10,0)</f>
        <v/>
      </c>
      <c r="CB343" s="30" t="inlineStr">
        <is>
          <t>Less than 15%</t>
        </is>
      </c>
      <c r="CC343" s="30">
        <f>IF(CB343="More than 15%",-10,IF(CB343="Less than 15%",10,0))</f>
        <v/>
      </c>
      <c r="CD343" s="30" t="inlineStr">
        <is>
          <t>No</t>
        </is>
      </c>
      <c r="CE343" s="30">
        <f>IF(CD343="Yes, more than 10%",-10,IF(CD343="No",10,0))</f>
        <v/>
      </c>
    </row>
    <row r="344">
      <c r="A344" s="30">
        <f>IF(B344=0,"",RANK(B344,$B$2:$B$361,0))</f>
        <v/>
      </c>
      <c r="B344" s="31">
        <f>SUM(N344,Y344,AA344,AC344,AE344,AG344,AI344,AK344,AM344,AO344,AQ344,AS344,AU344,AW344,AY344,BA344,BC344,BE344,BG344,BI344,BK344,BM344,BO344,BQ344,BS344,BU344,BW344,BY344,CA344,CC344,CE344)</f>
        <v/>
      </c>
      <c r="C344" s="30" t="inlineStr">
        <is>
          <t>PRESTIGE</t>
        </is>
      </c>
      <c r="D344" s="30" t="inlineStr">
        <is>
          <t>Prestige Estates Projects Limited</t>
        </is>
      </c>
      <c r="E344" s="30" t="inlineStr">
        <is>
          <t>realty</t>
        </is>
      </c>
      <c r="F344" s="30" t="inlineStr">
        <is>
          <t>construction</t>
        </is>
      </c>
      <c r="G344" s="30" t="inlineStr">
        <is>
          <t>largecap</t>
        </is>
      </c>
      <c r="H344" s="31" t="n">
        <v>65518.38</v>
      </c>
      <c r="I344" s="31" t="n">
        <v>1521.5</v>
      </c>
      <c r="J344" s="31" t="n">
        <v>0.03</v>
      </c>
      <c r="K344" s="31" t="n">
        <v>914420</v>
      </c>
      <c r="L344" s="30" t="n">
        <v>6</v>
      </c>
      <c r="M344" s="30" t="inlineStr">
        <is>
          <t>Outperforming</t>
        </is>
      </c>
      <c r="N344" s="31">
        <f>IF(M344="Underperforming",-5,IF(L344&gt;=95,15,IF(L344&gt;=90,10,IF(L344&gt;=80,5,0))))</f>
        <v/>
      </c>
      <c r="O344" s="31" t="n">
        <v>56.07</v>
      </c>
      <c r="P344" s="31" t="n">
        <v>17.28</v>
      </c>
      <c r="Q344" s="31" t="n">
        <v>1188.36</v>
      </c>
      <c r="R344" s="30" t="inlineStr">
        <is>
          <t>Earnings / Momentum Support</t>
        </is>
      </c>
      <c r="S344" s="30" t="inlineStr">
        <is>
          <t>Nifty Realty</t>
        </is>
      </c>
      <c r="T344" s="31" t="n">
        <v>-19.64</v>
      </c>
      <c r="U344" s="31" t="n">
        <v>-11.25</v>
      </c>
      <c r="V344" s="31" t="n">
        <v>10.44</v>
      </c>
      <c r="W344" s="31" t="n">
        <v>3.08</v>
      </c>
      <c r="X344" s="30" t="inlineStr">
        <is>
          <t>Growing Industry</t>
        </is>
      </c>
      <c r="Y344" s="30">
        <f>IF(X344="Growing Industry",10,IF(X344="Cyclical in an Upturn",5,0))</f>
        <v/>
      </c>
      <c r="Z344" s="30" t="inlineStr">
        <is>
          <t>Too Many Players with High ROCE</t>
        </is>
      </c>
      <c r="AA344" s="30">
        <f>IF(Z344="Monopoly",10,IF(Z344="Oligopoly",5,IF(Z344="Duopoly that cooperate",10,IF(Z344="Duopoly that compete",5,IF(Z344="Too many players with High ROCE",5,0)))))</f>
        <v/>
      </c>
      <c r="AB344" s="30" t="inlineStr">
        <is>
          <t>No</t>
        </is>
      </c>
      <c r="AC344" s="30">
        <f>IF(AB344="No",5,0)</f>
        <v/>
      </c>
      <c r="AD344" s="30" t="inlineStr">
        <is>
          <t>Headwind</t>
        </is>
      </c>
      <c r="AE344" s="30">
        <f>IF(AD344="Tailwind",10,0)</f>
        <v/>
      </c>
      <c r="AF344" s="30" t="inlineStr">
        <is>
          <t>Structural (10 Years Consistency)</t>
        </is>
      </c>
      <c r="AG344" s="30">
        <f>IF(AF344="Structural (10 Years Consistency)",10,IF(AF344="Shallow Cyclical (2 to 3 years growth)",5,0))</f>
        <v/>
      </c>
      <c r="AH344" s="30" t="inlineStr">
        <is>
          <t>No</t>
        </is>
      </c>
      <c r="AI344" s="30">
        <f>IF(AH344="Yes due to Product Mix change or Operating Leverage",10,IF(AH344="Yes, these are peak margins",-5,IF(AH344="No",5,0)))</f>
        <v/>
      </c>
      <c r="AJ344" s="30" t="inlineStr">
        <is>
          <t>Stable</t>
        </is>
      </c>
      <c r="AK344" s="30">
        <f>IF(AJ344="Stable",10,0)</f>
        <v/>
      </c>
      <c r="AL344" s="30" t="inlineStr">
        <is>
          <t>Yes</t>
        </is>
      </c>
      <c r="AM344" s="30">
        <f>IF(AL344="Yes",10,0)</f>
        <v/>
      </c>
      <c r="AN344" s="30" t="inlineStr">
        <is>
          <t>B2B</t>
        </is>
      </c>
      <c r="AO344" s="30">
        <f>IF(AN344="B2C",10,IF(AN344="B2B",5,0))</f>
        <v/>
      </c>
      <c r="AP344" s="30" t="inlineStr">
        <is>
          <t>No</t>
        </is>
      </c>
      <c r="AQ344" s="30">
        <f>IF(AP344="Yes",10,0)</f>
        <v/>
      </c>
      <c r="AR344" s="30" t="inlineStr">
        <is>
          <t>Higher One Time, Lower Annuity</t>
        </is>
      </c>
      <c r="AS344" s="30">
        <f>IF(AR344="Fully Annuity",10,IF(AR344="Higher Annuity, Lower One Time",5,IF(AR344="Higher One Time, Lower Annuity",3,0)))</f>
        <v/>
      </c>
      <c r="AT344" s="30" t="inlineStr">
        <is>
          <t>Good</t>
        </is>
      </c>
      <c r="AU344" s="30">
        <f>IF(AT344="Good",10,0)</f>
        <v/>
      </c>
      <c r="AV344" s="30" t="inlineStr">
        <is>
          <t>Yes for more than 2 years</t>
        </is>
      </c>
      <c r="AW344" s="30">
        <f>IF(AV344="Yes for more than 2 years",10,IF(AV344="Yes only for next 1 to 2 years",5,0))</f>
        <v/>
      </c>
      <c r="AX344" s="30" t="inlineStr">
        <is>
          <t>0 to 20</t>
        </is>
      </c>
      <c r="AY344" s="30">
        <f>IF(AX344="Above 40",20,IF(AX344="20 to 40",10,IF(AX344="0 to 20",-5,0)))</f>
        <v/>
      </c>
      <c r="AZ344" s="30" t="inlineStr">
        <is>
          <t>Between 50 to 75</t>
        </is>
      </c>
      <c r="BA344" s="30">
        <f>IF(AZ344="Between 50 to 75",10,IF(AZ344="Above 75",0,0))</f>
        <v/>
      </c>
      <c r="BB344" s="30" t="inlineStr">
        <is>
          <t>Stage 1</t>
        </is>
      </c>
      <c r="BC344" s="30">
        <f>IF(BB344="Stage 2",20,IF(BB344="Stage 1",0,IF(BB344="Stage 3",5,IF(BB344="Stage 4",-5,0))))</f>
        <v/>
      </c>
      <c r="BD344" s="30" t="inlineStr">
        <is>
          <t>Positive Trend</t>
        </is>
      </c>
      <c r="BE344" s="30">
        <f>IF(BD344="Positive Trend",20,IF(BD344="Negative Trend",-10,0))</f>
        <v/>
      </c>
      <c r="BF344" s="30" t="inlineStr">
        <is>
          <t>Uptrend</t>
        </is>
      </c>
      <c r="BG344" s="30">
        <f>IF(BF344="Uptrend",10,IF(BF344="Sideways",5,0))</f>
        <v/>
      </c>
      <c r="BH344" s="30" t="inlineStr">
        <is>
          <t>Uptrend</t>
        </is>
      </c>
      <c r="BI344" s="30">
        <f>IF(BH344="Uptrend",10,IF(BH344="Sideways",5,0))</f>
        <v/>
      </c>
      <c r="BJ344" s="30" t="inlineStr">
        <is>
          <t>Close to 52 week high or retracement</t>
        </is>
      </c>
      <c r="BK344" s="30">
        <f>IF(BJ344="Overhead supply in last 2 years in last 2 years",-5,IF(BJ344="Close to 52 week high or retracement",5,IF(BJ344="Blue sky scenario",10,IF(BJ344="Long term Downtrend",-10,0))))</f>
        <v/>
      </c>
      <c r="BL344" s="30" t="inlineStr">
        <is>
          <t>Yes</t>
        </is>
      </c>
      <c r="BM344" s="30">
        <f>IF(BL344="Yes",10,0)</f>
        <v/>
      </c>
      <c r="BN344" s="30" t="inlineStr">
        <is>
          <t>More than 20%</t>
        </is>
      </c>
      <c r="BO344" s="30">
        <f>IF(BN344="More than 20%",10,IF(BN344="Between 12 to 20%",5,IF(BN344="Less than 12%",0,0)))</f>
        <v/>
      </c>
      <c r="BP344" s="30" t="inlineStr">
        <is>
          <t>No</t>
        </is>
      </c>
      <c r="BQ344" s="30">
        <f>IF(BP344="No",10,0)</f>
        <v/>
      </c>
      <c r="BR344" s="30" t="inlineStr">
        <is>
          <t>Yes</t>
        </is>
      </c>
      <c r="BS344" s="30">
        <f>IF(BR344="NO",5,0)</f>
        <v/>
      </c>
      <c r="BT344" s="30" t="inlineStr">
        <is>
          <t>Above 2</t>
        </is>
      </c>
      <c r="BU344" s="30">
        <f>IF(BT344="Above 2",0,IF(BT344="Between 1.5 to 2",5,IF(BT344="Less than 1.5",10,0)))</f>
        <v/>
      </c>
      <c r="BV344" s="30" t="inlineStr">
        <is>
          <t>Above 70%</t>
        </is>
      </c>
      <c r="BW344" s="30">
        <f>IF(BV344="Above 70%",10,IF(BV344="Between 50% to 70%",5,IF(BV344="Less than 50%",0,IF(BV344="Negative",-10,IF(BV344="Less than 50% and Borrowings are increasing",-5,0)))))</f>
        <v/>
      </c>
      <c r="BX344" s="30" t="inlineStr">
        <is>
          <t>Between 0.7 to 1.2</t>
        </is>
      </c>
      <c r="BY344" s="30">
        <f>IF(BX344="More than 1.2",-10,IF(BX344="Between 0.7 to 1.2",0,IF(BX344="Less than 0.7",10,0)))</f>
        <v/>
      </c>
      <c r="BZ344" s="30" t="inlineStr">
        <is>
          <t>No</t>
        </is>
      </c>
      <c r="CA344" s="30">
        <f>IF(BZ344="Yes",-10,0)</f>
        <v/>
      </c>
      <c r="CB344" s="30" t="inlineStr">
        <is>
          <t>Less than 15%</t>
        </is>
      </c>
      <c r="CC344" s="30">
        <f>IF(CB344="More than 15%",-10,IF(CB344="Less than 15%",10,0))</f>
        <v/>
      </c>
      <c r="CD344" s="30" t="inlineStr">
        <is>
          <t>No</t>
        </is>
      </c>
      <c r="CE344" s="30">
        <f>IF(CD344="Yes, more than 10%",-10,IF(CD344="No",10,0))</f>
        <v/>
      </c>
    </row>
    <row r="345">
      <c r="A345" s="30">
        <f>IF(B345=0,"",RANK(B345,$B$2:$B$361,0))</f>
        <v/>
      </c>
      <c r="B345" s="31">
        <f>SUM(N345,Y345,AA345,AC345,AE345,AG345,AI345,AK345,AM345,AO345,AQ345,AS345,AU345,AW345,AY345,BA345,BC345,BE345,BG345,BI345,BK345,BM345,BO345,BQ345,BS345,BU345,BW345,BY345,CA345,CC345,CE345)</f>
        <v/>
      </c>
      <c r="C345" s="32" t="inlineStr">
        <is>
          <t>GAIL</t>
        </is>
      </c>
      <c r="D345" s="32" t="inlineStr">
        <is>
          <t>Gail (india) Limited</t>
        </is>
      </c>
      <c r="E345" s="30" t="inlineStr">
        <is>
          <t>energy</t>
        </is>
      </c>
      <c r="F345" s="30" t="inlineStr">
        <is>
          <t>miscellaneous</t>
        </is>
      </c>
      <c r="G345" s="30" t="inlineStr">
        <is>
          <t>largecap</t>
        </is>
      </c>
      <c r="H345" s="31" t="n">
        <v>115780.93</v>
      </c>
      <c r="I345" s="31" t="n">
        <v>175.03</v>
      </c>
      <c r="J345" s="31" t="n">
        <v>-0.6</v>
      </c>
      <c r="K345" s="31" t="n">
        <v>4400943</v>
      </c>
      <c r="L345" s="30" t="n">
        <v>16</v>
      </c>
      <c r="M345" s="30" t="inlineStr">
        <is>
          <t>Underperforming</t>
        </is>
      </c>
      <c r="N345" s="31">
        <f>IF(M345="Underperforming",-5,IF(L345&gt;=95,15,IF(L345&gt;=90,10,IF(L345&gt;=80,5,0))))</f>
        <v/>
      </c>
      <c r="O345" s="31" t="n">
        <v>60.57</v>
      </c>
      <c r="P345" s="31" t="n">
        <v>12.81</v>
      </c>
      <c r="Q345" s="31" t="n">
        <v>148.25</v>
      </c>
      <c r="R345" s="30" t="inlineStr">
        <is>
          <t>Earnings / Momentum Support</t>
        </is>
      </c>
      <c r="S345" s="30" t="inlineStr">
        <is>
          <t>Nifty Energy</t>
        </is>
      </c>
      <c r="T345" s="31" t="n">
        <v>13.03</v>
      </c>
      <c r="U345" s="31" t="n">
        <v>-0.18</v>
      </c>
      <c r="V345" s="31" t="n">
        <v>-11.68</v>
      </c>
      <c r="W345" s="31" t="n">
        <v>5.14</v>
      </c>
      <c r="X345" s="30" t="inlineStr">
        <is>
          <t>Cyclical in an Upturn</t>
        </is>
      </c>
      <c r="Y345" s="30">
        <f>IF(X345="Growing Industry",10,IF(X345="Cyclical in an Upturn",5,0))</f>
        <v/>
      </c>
      <c r="Z345" s="30" t="inlineStr">
        <is>
          <t>Oligopoly</t>
        </is>
      </c>
      <c r="AA345" s="30">
        <f>IF(Z345="Monopoly",10,IF(Z345="Oligopoly",5,IF(Z345="Duopoly that cooperate",10,IF(Z345="Duopoly that compete",5,IF(Z345="Too many players with High ROCE",5,0)))))</f>
        <v/>
      </c>
      <c r="AB345" s="30" t="inlineStr">
        <is>
          <t>Yes</t>
        </is>
      </c>
      <c r="AC345" s="30">
        <f>IF(AB345="No",5,0)</f>
        <v/>
      </c>
      <c r="AD345" s="30" t="inlineStr">
        <is>
          <t>Tailwind</t>
        </is>
      </c>
      <c r="AE345" s="30">
        <f>IF(AD345="Tailwind",10,0)</f>
        <v/>
      </c>
      <c r="AF345" s="30" t="inlineStr">
        <is>
          <t>Cyclical</t>
        </is>
      </c>
      <c r="AG345" s="30">
        <f>IF(AF345="Structural (10 Years Consistency)",10,IF(AF345="Shallow Cyclical (2 to 3 years growth)",5,0))</f>
        <v/>
      </c>
      <c r="AH345" s="30" t="inlineStr">
        <is>
          <t>No</t>
        </is>
      </c>
      <c r="AI345" s="30">
        <f>IF(AH345="Yes due to Product Mix change or Operating Leverage",10,IF(AH345="Yes, these are peak margins",-5,IF(AH345="No",5,0)))</f>
        <v/>
      </c>
      <c r="AJ345" s="30" t="inlineStr">
        <is>
          <t>Volatile</t>
        </is>
      </c>
      <c r="AK345" s="30">
        <f>IF(AJ345="Stable",10,0)</f>
        <v/>
      </c>
      <c r="AL345" s="30" t="inlineStr">
        <is>
          <t>Yes</t>
        </is>
      </c>
      <c r="AM345" s="30">
        <f>IF(AL345="Yes",10,0)</f>
        <v/>
      </c>
      <c r="AN345" s="30" t="inlineStr">
        <is>
          <t>B2B</t>
        </is>
      </c>
      <c r="AO345" s="30">
        <f>IF(AN345="B2C",10,IF(AN345="B2B",5,0))</f>
        <v/>
      </c>
      <c r="AP345" s="30" t="inlineStr">
        <is>
          <t>No</t>
        </is>
      </c>
      <c r="AQ345" s="30">
        <f>IF(AP345="Yes",10,0)</f>
        <v/>
      </c>
      <c r="AR345" s="30" t="inlineStr">
        <is>
          <t>Higher One Time, Lower Annuity</t>
        </is>
      </c>
      <c r="AS345" s="30">
        <f>IF(AR345="Fully Annuity",10,IF(AR345="Higher Annuity, Lower One Time",5,IF(AR345="Higher One Time, Lower Annuity",3,0)))</f>
        <v/>
      </c>
      <c r="AT345" s="30" t="inlineStr">
        <is>
          <t>Good</t>
        </is>
      </c>
      <c r="AU345" s="30">
        <f>IF(AT345="Good",10,0)</f>
        <v/>
      </c>
      <c r="AV345" s="30" t="inlineStr">
        <is>
          <t>Yes for more than 2 years</t>
        </is>
      </c>
      <c r="AW345" s="30">
        <f>IF(AV345="Yes for more than 2 years",10,IF(AV345="Yes only for next 1 to 2 years",5,0))</f>
        <v/>
      </c>
      <c r="AX345" s="30" t="inlineStr">
        <is>
          <t>0 to 20</t>
        </is>
      </c>
      <c r="AY345" s="30">
        <f>IF(AX345="Above 40",20,IF(AX345="20 to 40",10,IF(AX345="0 to 20",-5,0)))</f>
        <v/>
      </c>
      <c r="AZ345" s="30" t="inlineStr">
        <is>
          <t>Between 50 to 75</t>
        </is>
      </c>
      <c r="BA345" s="30">
        <f>IF(AZ345="Between 50 to 75",10,IF(AZ345="Above 75",0,0))</f>
        <v/>
      </c>
      <c r="BB345" s="30" t="inlineStr">
        <is>
          <t>Stage 2</t>
        </is>
      </c>
      <c r="BC345" s="30">
        <f>IF(BB345="Stage 2",20,IF(BB345="Stage 1",0,IF(BB345="Stage 3",5,IF(BB345="Stage 4",-5,0))))</f>
        <v/>
      </c>
      <c r="BD345" s="30" t="inlineStr">
        <is>
          <t>Positive Trend</t>
        </is>
      </c>
      <c r="BE345" s="30">
        <f>IF(BD345="Positive Trend",20,IF(BD345="Negative Trend",-10,0))</f>
        <v/>
      </c>
      <c r="BF345" s="30" t="inlineStr">
        <is>
          <t>Uptrend</t>
        </is>
      </c>
      <c r="BG345" s="30">
        <f>IF(BF345="Uptrend",10,IF(BF345="Sideways",5,0))</f>
        <v/>
      </c>
      <c r="BH345" s="30" t="inlineStr">
        <is>
          <t>Uptrend</t>
        </is>
      </c>
      <c r="BI345" s="30">
        <f>IF(BH345="Uptrend",10,IF(BH345="Sideways",5,0))</f>
        <v/>
      </c>
      <c r="BJ345" s="30" t="inlineStr">
        <is>
          <t>Close to 52 week high or retracement</t>
        </is>
      </c>
      <c r="BK345" s="30">
        <f>IF(BJ345="Overhead supply in last 2 years in last 2 years",-5,IF(BJ345="Close to 52 week high or retracement",5,IF(BJ345="Blue sky scenario",10,IF(BJ345="Long term Downtrend",-10,0))))</f>
        <v/>
      </c>
      <c r="BL345" s="30" t="inlineStr">
        <is>
          <t>Yes</t>
        </is>
      </c>
      <c r="BM345" s="30">
        <f>IF(BL345="Yes",10,0)</f>
        <v/>
      </c>
      <c r="BN345" s="30" t="inlineStr">
        <is>
          <t>Less than 12%</t>
        </is>
      </c>
      <c r="BO345" s="30">
        <f>IF(BN345="More than 20%",10,IF(BN345="Between 12 to 20%",5,IF(BN345="Less than 12%",0,0)))</f>
        <v/>
      </c>
      <c r="BP345" s="30" t="inlineStr">
        <is>
          <t>No</t>
        </is>
      </c>
      <c r="BQ345" s="30">
        <f>IF(BP345="No",10,0)</f>
        <v/>
      </c>
      <c r="BR345" s="30" t="inlineStr">
        <is>
          <t>No</t>
        </is>
      </c>
      <c r="BS345" s="30">
        <f>IF(BR345="NO",5,0)</f>
        <v/>
      </c>
      <c r="BT345" s="30" t="inlineStr">
        <is>
          <t>Above 2</t>
        </is>
      </c>
      <c r="BU345" s="30">
        <f>IF(BT345="Above 2",0,IF(BT345="Between 1.5 to 2",5,IF(BT345="Less than 1.5",10,0)))</f>
        <v/>
      </c>
      <c r="BV345" s="30" t="inlineStr">
        <is>
          <t>Above 70%</t>
        </is>
      </c>
      <c r="BW345" s="30">
        <f>IF(BV345="Above 70%",10,IF(BV345="Between 50% to 70%",5,IF(BV345="Less than 50%",0,IF(BV345="Negative",-10,IF(BV345="Less than 50% and Borrowings are increasing",-5,0)))))</f>
        <v/>
      </c>
      <c r="BX345" s="30" t="inlineStr">
        <is>
          <t>Less than 0.7</t>
        </is>
      </c>
      <c r="BY345" s="30">
        <f>IF(BX345="More than 1.2",-10,IF(BX345="Between 0.7 to 1.2",0,IF(BX345="Less than 0.7",10,0)))</f>
        <v/>
      </c>
      <c r="BZ345" s="30" t="inlineStr">
        <is>
          <t>No</t>
        </is>
      </c>
      <c r="CA345" s="30">
        <f>IF(BZ345="Yes",-10,0)</f>
        <v/>
      </c>
      <c r="CB345" s="30" t="inlineStr">
        <is>
          <t>Less than 15%</t>
        </is>
      </c>
      <c r="CC345" s="30">
        <f>IF(CB345="More than 15%",-10,IF(CB345="Less than 15%",10,0))</f>
        <v/>
      </c>
      <c r="CD345" s="30" t="inlineStr">
        <is>
          <t>No</t>
        </is>
      </c>
      <c r="CE345" s="30">
        <f>IF(CD345="Yes, more than 10%",-10,IF(CD345="No",10,0))</f>
        <v/>
      </c>
    </row>
    <row r="346">
      <c r="A346" s="30">
        <f>IF(B346=0,"",RANK(B346,$B$2:$B$361,0))</f>
        <v/>
      </c>
      <c r="B346" s="31">
        <f>SUM(N346,Y346,AA346,AC346,AE346,AG346,AI346,AK346,AM346,AO346,AQ346,AS346,AU346,AW346,AY346,BA346,BC346,BE346,BG346,BI346,BK346,BM346,BO346,BQ346,BS346,BU346,BW346,BY346,CA346,CC346,CE346)</f>
        <v/>
      </c>
      <c r="C346" s="30" t="inlineStr">
        <is>
          <t>TATACOMM</t>
        </is>
      </c>
      <c r="D346" s="30" t="inlineStr">
        <is>
          <t>Tata Communications Limited</t>
        </is>
      </c>
      <c r="E346" s="30" t="inlineStr">
        <is>
          <t>telecom-service</t>
        </is>
      </c>
      <c r="F346" s="30" t="inlineStr">
        <is>
          <t>telecommunications - service provider</t>
        </is>
      </c>
      <c r="G346" s="30" t="inlineStr">
        <is>
          <t>largecap</t>
        </is>
      </c>
      <c r="H346" s="31" t="n">
        <v>54537.6</v>
      </c>
      <c r="I346" s="31" t="n">
        <v>1899.8</v>
      </c>
      <c r="J346" s="31" t="n">
        <v>-0.72</v>
      </c>
      <c r="K346" s="31" t="n">
        <v>839867</v>
      </c>
      <c r="L346" s="30" t="n">
        <v>44</v>
      </c>
      <c r="M346" s="30" t="inlineStr">
        <is>
          <t>Outperforming</t>
        </is>
      </c>
      <c r="N346" s="31">
        <f>IF(M346="Underperforming",-5,IF(L346&gt;=95,15,IF(L346&gt;=90,10,IF(L346&gt;=80,5,0))))</f>
        <v/>
      </c>
      <c r="O346" s="31" t="n">
        <v>62.9</v>
      </c>
      <c r="P346" s="31" t="n">
        <v>28.19</v>
      </c>
      <c r="Q346" s="31" t="n">
        <v>1562.61</v>
      </c>
      <c r="R346" s="30" t="inlineStr">
        <is>
          <t>Near 52W High Breakout</t>
        </is>
      </c>
      <c r="S346" s="30" t="inlineStr">
        <is>
          <t>Nifty 500</t>
        </is>
      </c>
      <c r="T346" s="31" t="n">
        <v>0.3</v>
      </c>
      <c r="U346" s="31" t="n">
        <v>16.54</v>
      </c>
      <c r="V346" s="31" t="n">
        <v>16.19</v>
      </c>
      <c r="W346" s="31" t="n">
        <v>11.5</v>
      </c>
      <c r="X346" s="30" t="inlineStr">
        <is>
          <t>Growing Industry</t>
        </is>
      </c>
      <c r="Y346" s="30">
        <f>IF(X346="Growing Industry",10,IF(X346="Cyclical in an Upturn",5,0))</f>
        <v/>
      </c>
      <c r="Z346" s="30" t="inlineStr">
        <is>
          <t>Oligopoly</t>
        </is>
      </c>
      <c r="AA346" s="30">
        <f>IF(Z346="Monopoly",10,IF(Z346="Oligopoly",5,IF(Z346="Duopoly that cooperate",10,IF(Z346="Duopoly that compete",5,IF(Z346="Too many players with High ROCE",5,0)))))</f>
        <v/>
      </c>
      <c r="AB346" s="30" t="inlineStr">
        <is>
          <t>Yes</t>
        </is>
      </c>
      <c r="AC346" s="30">
        <f>IF(AB346="No",5,0)</f>
        <v/>
      </c>
      <c r="AD346" s="30" t="inlineStr">
        <is>
          <t>Tailwind</t>
        </is>
      </c>
      <c r="AE346" s="30">
        <f>IF(AD346="Tailwind",10,0)</f>
        <v/>
      </c>
      <c r="AF346" s="30" t="inlineStr">
        <is>
          <t>Structural (10 Years Consistency)</t>
        </is>
      </c>
      <c r="AG346" s="30">
        <f>IF(AF346="Structural (10 Years Consistency)",10,IF(AF346="Shallow Cyclical (2 to 3 years growth)",5,0))</f>
        <v/>
      </c>
      <c r="AH346" s="30" t="inlineStr">
        <is>
          <t>No</t>
        </is>
      </c>
      <c r="AI346" s="30">
        <f>IF(AH346="Yes due to Product Mix change or Operating Leverage",10,IF(AH346="Yes, these are peak margins",-5,IF(AH346="No",5,0)))</f>
        <v/>
      </c>
      <c r="AJ346" s="30" t="inlineStr">
        <is>
          <t>Stable</t>
        </is>
      </c>
      <c r="AK346" s="30">
        <f>IF(AJ346="Stable",10,0)</f>
        <v/>
      </c>
      <c r="AL346" s="30" t="inlineStr">
        <is>
          <t>Yes</t>
        </is>
      </c>
      <c r="AM346" s="30">
        <f>IF(AL346="Yes",10,0)</f>
        <v/>
      </c>
      <c r="AN346" s="30" t="inlineStr">
        <is>
          <t>B2B</t>
        </is>
      </c>
      <c r="AO346" s="30">
        <f>IF(AN346="B2C",10,IF(AN346="B2B",5,0))</f>
        <v/>
      </c>
      <c r="AP346" s="30" t="inlineStr">
        <is>
          <t>Yes</t>
        </is>
      </c>
      <c r="AQ346" s="30">
        <f>IF(AP346="Yes",10,0)</f>
        <v/>
      </c>
      <c r="AR346" s="30" t="inlineStr">
        <is>
          <t>Higher One Time, Lower Annuity</t>
        </is>
      </c>
      <c r="AS346" s="30">
        <f>IF(AR346="Fully Annuity",10,IF(AR346="Higher Annuity, Lower One Time",5,IF(AR346="Higher One Time, Lower Annuity",3,0)))</f>
        <v/>
      </c>
      <c r="AT346" s="30" t="inlineStr">
        <is>
          <t>Good</t>
        </is>
      </c>
      <c r="AU346" s="30">
        <f>IF(AT346="Good",10,0)</f>
        <v/>
      </c>
      <c r="AV346" s="30" t="inlineStr">
        <is>
          <t>Yes for more than 2 years</t>
        </is>
      </c>
      <c r="AW346" s="30">
        <f>IF(AV346="Yes for more than 2 years",10,IF(AV346="Yes only for next 1 to 2 years",5,0))</f>
        <v/>
      </c>
      <c r="AX346" s="30" t="inlineStr">
        <is>
          <t>20 to 40</t>
        </is>
      </c>
      <c r="AY346" s="30">
        <f>IF(AX346="Above 40",20,IF(AX346="20 to 40",10,IF(AX346="0 to 20",-5,0)))</f>
        <v/>
      </c>
      <c r="AZ346" s="30" t="inlineStr">
        <is>
          <t>Between 50 to 75</t>
        </is>
      </c>
      <c r="BA346" s="30">
        <f>IF(AZ346="Between 50 to 75",10,IF(AZ346="Above 75",0,0))</f>
        <v/>
      </c>
      <c r="BB346" s="30" t="inlineStr">
        <is>
          <t>Stage 2</t>
        </is>
      </c>
      <c r="BC346" s="30">
        <f>IF(BB346="Stage 2",20,IF(BB346="Stage 1",0,IF(BB346="Stage 3",5,IF(BB346="Stage 4",-5,0))))</f>
        <v/>
      </c>
      <c r="BD346" s="30" t="inlineStr">
        <is>
          <t>Negative Trend</t>
        </is>
      </c>
      <c r="BE346" s="30">
        <f>IF(BD346="Positive Trend",20,IF(BD346="Negative Trend",-10,0))</f>
        <v/>
      </c>
      <c r="BF346" s="30" t="inlineStr">
        <is>
          <t>Uptrend</t>
        </is>
      </c>
      <c r="BG346" s="30">
        <f>IF(BF346="Uptrend",10,IF(BF346="Sideways",5,0))</f>
        <v/>
      </c>
      <c r="BH346" s="30" t="inlineStr">
        <is>
          <t>Uptrend</t>
        </is>
      </c>
      <c r="BI346" s="30">
        <f>IF(BH346="Uptrend",10,IF(BH346="Sideways",5,0))</f>
        <v/>
      </c>
      <c r="BJ346" s="30" t="inlineStr">
        <is>
          <t>Close to 52 week high or retracement</t>
        </is>
      </c>
      <c r="BK346" s="30">
        <f>IF(BJ346="Overhead supply in last 2 years in last 2 years",-5,IF(BJ346="Close to 52 week high or retracement",5,IF(BJ346="Blue sky scenario",10,IF(BJ346="Long term Downtrend",-10,0))))</f>
        <v/>
      </c>
      <c r="BL346" s="30" t="inlineStr">
        <is>
          <t>Yes</t>
        </is>
      </c>
      <c r="BM346" s="30">
        <f>IF(BL346="Yes",10,0)</f>
        <v/>
      </c>
      <c r="BN346" s="30" t="inlineStr">
        <is>
          <t>Less than 12%</t>
        </is>
      </c>
      <c r="BO346" s="30">
        <f>IF(BN346="More than 20%",10,IF(BN346="Between 12 to 20%",5,IF(BN346="Less than 12%",0,0)))</f>
        <v/>
      </c>
      <c r="BP346" s="30" t="inlineStr">
        <is>
          <t>No</t>
        </is>
      </c>
      <c r="BQ346" s="30">
        <f>IF(BP346="No",10,0)</f>
        <v/>
      </c>
      <c r="BR346" s="30" t="inlineStr">
        <is>
          <t>Yes</t>
        </is>
      </c>
      <c r="BS346" s="30">
        <f>IF(BR346="NO",5,0)</f>
        <v/>
      </c>
      <c r="BT346" s="30" t="inlineStr">
        <is>
          <t>Above 2</t>
        </is>
      </c>
      <c r="BU346" s="30">
        <f>IF(BT346="Above 2",0,IF(BT346="Between 1.5 to 2",5,IF(BT346="Less than 1.5",10,0)))</f>
        <v/>
      </c>
      <c r="BV346" s="30" t="inlineStr">
        <is>
          <t>Above 70%</t>
        </is>
      </c>
      <c r="BW346" s="30">
        <f>IF(BV346="Above 70%",10,IF(BV346="Between 50% to 70%",5,IF(BV346="Less than 50%",0,IF(BV346="Negative",-10,IF(BV346="Less than 50% and Borrowings are increasing",-5,0)))))</f>
        <v/>
      </c>
      <c r="BX346" s="30" t="inlineStr">
        <is>
          <t>More than 1.2</t>
        </is>
      </c>
      <c r="BY346" s="30">
        <f>IF(BX346="More than 1.2",-10,IF(BX346="Between 0.7 to 1.2",0,IF(BX346="Less than 0.7",10,0)))</f>
        <v/>
      </c>
      <c r="BZ346" s="30" t="inlineStr">
        <is>
          <t>No</t>
        </is>
      </c>
      <c r="CA346" s="30">
        <f>IF(BZ346="Yes",-10,0)</f>
        <v/>
      </c>
      <c r="CB346" s="30" t="inlineStr">
        <is>
          <t>Less than 15%</t>
        </is>
      </c>
      <c r="CC346" s="30">
        <f>IF(CB346="More than 15%",-10,IF(CB346="Less than 15%",10,0))</f>
        <v/>
      </c>
      <c r="CD346" s="30" t="inlineStr">
        <is>
          <t>No</t>
        </is>
      </c>
      <c r="CE346" s="30">
        <f>IF(CD346="Yes, more than 10%",-10,IF(CD346="No",10,0))</f>
        <v/>
      </c>
    </row>
    <row r="347">
      <c r="A347" s="30">
        <f>IF(B347=0,"",RANK(B347,$B$2:$B$361,0))</f>
        <v/>
      </c>
      <c r="B347" s="31">
        <f>SUM(N347,Y347,AA347,AC347,AE347,AG347,AI347,AK347,AM347,AO347,AQ347,AS347,AU347,AW347,AY347,BA347,BC347,BE347,BG347,BI347,BK347,BM347,BO347,BQ347,BS347,BU347,BW347,BY347,CA347,CC347,CE347)</f>
        <v/>
      </c>
      <c r="C347" s="32" t="inlineStr">
        <is>
          <t>VENUSPIPES</t>
        </is>
      </c>
      <c r="D347" s="32" t="inlineStr">
        <is>
          <t>Venus Pipes &amp; Tubes Ltd</t>
        </is>
      </c>
      <c r="E347" s="30" t="inlineStr">
        <is>
          <t>metals &amp; mining</t>
        </is>
      </c>
      <c r="F347" s="30" t="inlineStr">
        <is>
          <t>steel - medium / small</t>
        </is>
      </c>
      <c r="G347" s="30" t="inlineStr">
        <is>
          <t>smallcap</t>
        </is>
      </c>
      <c r="H347" s="31" t="n">
        <v>2988.92</v>
      </c>
      <c r="I347" s="31" t="n">
        <v>1431.8</v>
      </c>
      <c r="J347" s="31" t="n">
        <v>-0.76</v>
      </c>
      <c r="K347" s="31" t="n">
        <v>16368</v>
      </c>
      <c r="L347" s="30" t="n">
        <v>55</v>
      </c>
      <c r="M347" s="30" t="inlineStr">
        <is>
          <t>Underperforming</t>
        </is>
      </c>
      <c r="N347" s="31">
        <f>IF(M347="Underperforming",-5,IF(L347&gt;=95,15,IF(L347&gt;=90,10,IF(L347&gt;=80,5,0))))</f>
        <v/>
      </c>
      <c r="O347" s="31" t="n">
        <v>60.92</v>
      </c>
      <c r="P347" s="31" t="n">
        <v>19.15</v>
      </c>
      <c r="Q347" s="31" t="n">
        <v>1078.57</v>
      </c>
      <c r="R347" s="30" t="inlineStr">
        <is>
          <t>Earnings / Momentum Support</t>
        </is>
      </c>
      <c r="S347" s="30" t="inlineStr">
        <is>
          <t>Nifty Metal</t>
        </is>
      </c>
      <c r="T347" s="31" t="n">
        <v>42.38</v>
      </c>
      <c r="U347" s="31" t="n">
        <v>6.53</v>
      </c>
      <c r="V347" s="31" t="n">
        <v>-25.18</v>
      </c>
      <c r="W347" s="31" t="n">
        <v>14.1</v>
      </c>
      <c r="X347" s="30" t="inlineStr">
        <is>
          <t>Cyclical in an Upturn</t>
        </is>
      </c>
      <c r="Y347" s="30">
        <f>IF(X347="Growing Industry",10,IF(X347="Cyclical in an Upturn",5,0))</f>
        <v/>
      </c>
      <c r="Z347" s="30" t="inlineStr">
        <is>
          <t>Too Many Players with High ROCE</t>
        </is>
      </c>
      <c r="AA347" s="30">
        <f>IF(Z347="Monopoly",10,IF(Z347="Oligopoly",5,IF(Z347="Duopoly that cooperate",10,IF(Z347="Duopoly that compete",5,IF(Z347="Too many players with High ROCE",5,0)))))</f>
        <v/>
      </c>
      <c r="AB347" s="30" t="inlineStr">
        <is>
          <t>No</t>
        </is>
      </c>
      <c r="AC347" s="30">
        <f>IF(AB347="No",5,0)</f>
        <v/>
      </c>
      <c r="AD347" s="30" t="inlineStr">
        <is>
          <t>Tailwind</t>
        </is>
      </c>
      <c r="AE347" s="30">
        <f>IF(AD347="Tailwind",10,0)</f>
        <v/>
      </c>
      <c r="AF347" s="30" t="inlineStr">
        <is>
          <t>Cyclical</t>
        </is>
      </c>
      <c r="AG347" s="30">
        <f>IF(AF347="Structural (10 Years Consistency)",10,IF(AF347="Shallow Cyclical (2 to 3 years growth)",5,0))</f>
        <v/>
      </c>
      <c r="AH347" s="30" t="inlineStr">
        <is>
          <t>No</t>
        </is>
      </c>
      <c r="AI347" s="30">
        <f>IF(AH347="Yes due to Product Mix change or Operating Leverage",10,IF(AH347="Yes, these are peak margins",-5,IF(AH347="No",5,0)))</f>
        <v/>
      </c>
      <c r="AJ347" s="30" t="inlineStr">
        <is>
          <t>Volatile</t>
        </is>
      </c>
      <c r="AK347" s="30">
        <f>IF(AJ347="Stable",10,0)</f>
        <v/>
      </c>
      <c r="AL347" s="30" t="inlineStr">
        <is>
          <t>Yes</t>
        </is>
      </c>
      <c r="AM347" s="30">
        <f>IF(AL347="Yes",10,0)</f>
        <v/>
      </c>
      <c r="AN347" s="30" t="inlineStr">
        <is>
          <t>B2B</t>
        </is>
      </c>
      <c r="AO347" s="30">
        <f>IF(AN347="B2C",10,IF(AN347="B2B",5,0))</f>
        <v/>
      </c>
      <c r="AP347" s="30" t="inlineStr">
        <is>
          <t>No</t>
        </is>
      </c>
      <c r="AQ347" s="30">
        <f>IF(AP347="Yes",10,0)</f>
        <v/>
      </c>
      <c r="AR347" s="30" t="inlineStr">
        <is>
          <t>Higher One Time, Lower Annuity</t>
        </is>
      </c>
      <c r="AS347" s="30">
        <f>IF(AR347="Fully Annuity",10,IF(AR347="Higher Annuity, Lower One Time",5,IF(AR347="Higher One Time, Lower Annuity",3,0)))</f>
        <v/>
      </c>
      <c r="AT347" s="30" t="inlineStr">
        <is>
          <t>Good</t>
        </is>
      </c>
      <c r="AU347" s="30">
        <f>IF(AT347="Good",10,0)</f>
        <v/>
      </c>
      <c r="AV347" s="30" t="inlineStr">
        <is>
          <t>Yes for more than 2 years</t>
        </is>
      </c>
      <c r="AW347" s="30">
        <f>IF(AV347="Yes for more than 2 years",10,IF(AV347="Yes only for next 1 to 2 years",5,0))</f>
        <v/>
      </c>
      <c r="AX347" s="30" t="inlineStr">
        <is>
          <t>0 to 20</t>
        </is>
      </c>
      <c r="AY347" s="30">
        <f>IF(AX347="Above 40",20,IF(AX347="20 to 40",10,IF(AX347="0 to 20",-5,0)))</f>
        <v/>
      </c>
      <c r="AZ347" s="30" t="inlineStr">
        <is>
          <t>Between 50 to 75</t>
        </is>
      </c>
      <c r="BA347" s="30">
        <f>IF(AZ347="Between 50 to 75",10,IF(AZ347="Above 75",0,0))</f>
        <v/>
      </c>
      <c r="BB347" s="30" t="inlineStr">
        <is>
          <t>Stage 2</t>
        </is>
      </c>
      <c r="BC347" s="30">
        <f>IF(BB347="Stage 2",20,IF(BB347="Stage 1",0,IF(BB347="Stage 3",5,IF(BB347="Stage 4",-5,0))))</f>
        <v/>
      </c>
      <c r="BD347" s="30" t="inlineStr">
        <is>
          <t>Positive Trend</t>
        </is>
      </c>
      <c r="BE347" s="30">
        <f>IF(BD347="Positive Trend",20,IF(BD347="Negative Trend",-10,0))</f>
        <v/>
      </c>
      <c r="BF347" s="30" t="inlineStr">
        <is>
          <t>Uptrend</t>
        </is>
      </c>
      <c r="BG347" s="30">
        <f>IF(BF347="Uptrend",10,IF(BF347="Sideways",5,0))</f>
        <v/>
      </c>
      <c r="BH347" s="30" t="inlineStr">
        <is>
          <t>Uptrend</t>
        </is>
      </c>
      <c r="BI347" s="30">
        <f>IF(BH347="Uptrend",10,IF(BH347="Sideways",5,0))</f>
        <v/>
      </c>
      <c r="BJ347" s="30" t="inlineStr">
        <is>
          <t>Close to 52 week high or retracement</t>
        </is>
      </c>
      <c r="BK347" s="30">
        <f>IF(BJ347="Overhead supply in last 2 years in last 2 years",-5,IF(BJ347="Close to 52 week high or retracement",5,IF(BJ347="Blue sky scenario",10,IF(BJ347="Long term Downtrend",-10,0))))</f>
        <v/>
      </c>
      <c r="BL347" s="30" t="inlineStr">
        <is>
          <t>Yes</t>
        </is>
      </c>
      <c r="BM347" s="30">
        <f>IF(BL347="Yes",10,0)</f>
        <v/>
      </c>
      <c r="BN347" s="30" t="inlineStr">
        <is>
          <t>Less than 12%</t>
        </is>
      </c>
      <c r="BO347" s="30">
        <f>IF(BN347="More than 20%",10,IF(BN347="Between 12 to 20%",5,IF(BN347="Less than 12%",0,0)))</f>
        <v/>
      </c>
      <c r="BP347" s="30" t="inlineStr">
        <is>
          <t>No</t>
        </is>
      </c>
      <c r="BQ347" s="30">
        <f>IF(BP347="No",10,0)</f>
        <v/>
      </c>
      <c r="BR347" s="30" t="inlineStr">
        <is>
          <t>No</t>
        </is>
      </c>
      <c r="BS347" s="30">
        <f>IF(BR347="NO",5,0)</f>
        <v/>
      </c>
      <c r="BT347" s="30" t="inlineStr">
        <is>
          <t>Above 2</t>
        </is>
      </c>
      <c r="BU347" s="30">
        <f>IF(BT347="Above 2",0,IF(BT347="Between 1.5 to 2",5,IF(BT347="Less than 1.5",10,0)))</f>
        <v/>
      </c>
      <c r="BV347" s="30" t="inlineStr">
        <is>
          <t>Between 50% to 70%</t>
        </is>
      </c>
      <c r="BW347" s="30">
        <f>IF(BV347="Above 70%",10,IF(BV347="Between 50% to 70%",5,IF(BV347="Less than 50%",0,IF(BV347="Negative",-10,IF(BV347="Less than 50% and Borrowings are increasing",-5,0)))))</f>
        <v/>
      </c>
      <c r="BX347" s="30" t="inlineStr">
        <is>
          <t>Less than 0.7</t>
        </is>
      </c>
      <c r="BY347" s="30">
        <f>IF(BX347="More than 1.2",-10,IF(BX347="Between 0.7 to 1.2",0,IF(BX347="Less than 0.7",10,0)))</f>
        <v/>
      </c>
      <c r="BZ347" s="30" t="inlineStr">
        <is>
          <t>No</t>
        </is>
      </c>
      <c r="CA347" s="30">
        <f>IF(BZ347="Yes",-10,0)</f>
        <v/>
      </c>
      <c r="CB347" s="30" t="inlineStr">
        <is>
          <t>Less than 15%</t>
        </is>
      </c>
      <c r="CC347" s="30">
        <f>IF(CB347="More than 15%",-10,IF(CB347="Less than 15%",10,0))</f>
        <v/>
      </c>
      <c r="CD347" s="30" t="inlineStr">
        <is>
          <t>No</t>
        </is>
      </c>
      <c r="CE347" s="30">
        <f>IF(CD347="Yes, more than 10%",-10,IF(CD347="No",10,0))</f>
        <v/>
      </c>
    </row>
    <row r="348">
      <c r="A348" s="30">
        <f>IF(B348=0,"",RANK(B348,$B$2:$B$361,0))</f>
        <v/>
      </c>
      <c r="B348" s="31">
        <f>SUM(N348,Y348,AA348,AC348,AE348,AG348,AI348,AK348,AM348,AO348,AQ348,AS348,AU348,AW348,AY348,BA348,BC348,BE348,BG348,BI348,BK348,BM348,BO348,BQ348,BS348,BU348,BW348,BY348,CA348,CC348,CE348)</f>
        <v/>
      </c>
      <c r="C348" s="32" t="inlineStr">
        <is>
          <t>SUYOG</t>
        </is>
      </c>
      <c r="D348" s="32" t="inlineStr">
        <is>
          <t>Suyog Telematics Ltd</t>
        </is>
      </c>
      <c r="E348" s="30" t="inlineStr">
        <is>
          <t>telecom</t>
        </is>
      </c>
      <c r="F348" s="30" t="inlineStr">
        <is>
          <t>transmisson line towers / equipment</t>
        </is>
      </c>
      <c r="G348" s="30" t="inlineStr">
        <is>
          <t>smallcap</t>
        </is>
      </c>
      <c r="H348" s="31" t="n">
        <v>877.26</v>
      </c>
      <c r="I348" s="31" t="n">
        <v>792.2</v>
      </c>
      <c r="J348" s="31" t="n">
        <v>5.81</v>
      </c>
      <c r="K348" s="31" t="n">
        <v>55418</v>
      </c>
      <c r="L348" s="30" t="n">
        <v>4</v>
      </c>
      <c r="M348" s="30" t="inlineStr">
        <is>
          <t>Underperforming</t>
        </is>
      </c>
      <c r="N348" s="31">
        <f>IF(M348="Underperforming",-5,IF(L348&gt;=95,15,IF(L348&gt;=90,10,IF(L348&gt;=80,5,0))))</f>
        <v/>
      </c>
      <c r="O348" s="31" t="n">
        <v>54.87</v>
      </c>
      <c r="P348" s="31" t="n">
        <v>14.37</v>
      </c>
      <c r="Q348" s="31" t="n">
        <v>601.3200000000001</v>
      </c>
      <c r="R348" s="30" t="inlineStr">
        <is>
          <t>Earnings / Momentum Support</t>
        </is>
      </c>
      <c r="S348" s="30" t="inlineStr">
        <is>
          <t>Nifty 50</t>
        </is>
      </c>
      <c r="T348" s="31" t="n">
        <v>-4.09</v>
      </c>
      <c r="U348" s="31" t="n">
        <v>-10.95</v>
      </c>
      <c r="V348" s="31" t="n">
        <v>-7.15</v>
      </c>
      <c r="W348" s="31" t="n">
        <v>1.94</v>
      </c>
      <c r="X348" s="30" t="inlineStr">
        <is>
          <t>Growing Industry</t>
        </is>
      </c>
      <c r="Y348" s="30">
        <f>IF(X348="Growing Industry",10,IF(X348="Cyclical in an Upturn",5,0))</f>
        <v/>
      </c>
      <c r="Z348" s="30" t="inlineStr">
        <is>
          <t>Oligopoly</t>
        </is>
      </c>
      <c r="AA348" s="30">
        <f>IF(Z348="Monopoly",10,IF(Z348="Oligopoly",5,IF(Z348="Duopoly that cooperate",10,IF(Z348="Duopoly that compete",5,IF(Z348="Too many players with High ROCE",5,0)))))</f>
        <v/>
      </c>
      <c r="AB348" s="30" t="inlineStr">
        <is>
          <t>Yes</t>
        </is>
      </c>
      <c r="AC348" s="30">
        <f>IF(AB348="No",5,0)</f>
        <v/>
      </c>
      <c r="AD348" s="30" t="inlineStr">
        <is>
          <t>Tailwind</t>
        </is>
      </c>
      <c r="AE348" s="30">
        <f>IF(AD348="Tailwind",10,0)</f>
        <v/>
      </c>
      <c r="AF348" s="30" t="inlineStr">
        <is>
          <t>Structural (10 Years Consistency)</t>
        </is>
      </c>
      <c r="AG348" s="30">
        <f>IF(AF348="Structural (10 Years Consistency)",10,IF(AF348="Shallow Cyclical (2 to 3 years growth)",5,0))</f>
        <v/>
      </c>
      <c r="AH348" s="30" t="inlineStr">
        <is>
          <t>No</t>
        </is>
      </c>
      <c r="AI348" s="30">
        <f>IF(AH348="Yes due to Product Mix change or Operating Leverage",10,IF(AH348="Yes, these are peak margins",-5,IF(AH348="No",5,0)))</f>
        <v/>
      </c>
      <c r="AJ348" s="30" t="inlineStr">
        <is>
          <t>Stable</t>
        </is>
      </c>
      <c r="AK348" s="30">
        <f>IF(AJ348="Stable",10,0)</f>
        <v/>
      </c>
      <c r="AL348" s="30" t="inlineStr">
        <is>
          <t>Yes</t>
        </is>
      </c>
      <c r="AM348" s="30">
        <f>IF(AL348="Yes",10,0)</f>
        <v/>
      </c>
      <c r="AN348" s="30" t="inlineStr">
        <is>
          <t>B2B</t>
        </is>
      </c>
      <c r="AO348" s="30">
        <f>IF(AN348="B2C",10,IF(AN348="B2B",5,0))</f>
        <v/>
      </c>
      <c r="AP348" s="30" t="inlineStr">
        <is>
          <t>No</t>
        </is>
      </c>
      <c r="AQ348" s="30">
        <f>IF(AP348="Yes",10,0)</f>
        <v/>
      </c>
      <c r="AR348" s="30" t="inlineStr">
        <is>
          <t>Higher One Time, Lower Annuity</t>
        </is>
      </c>
      <c r="AS348" s="30">
        <f>IF(AR348="Fully Annuity",10,IF(AR348="Higher Annuity, Lower One Time",5,IF(AR348="Higher One Time, Lower Annuity",3,0)))</f>
        <v/>
      </c>
      <c r="AT348" s="30" t="inlineStr">
        <is>
          <t>Good</t>
        </is>
      </c>
      <c r="AU348" s="30">
        <f>IF(AT348="Good",10,0)</f>
        <v/>
      </c>
      <c r="AV348" s="30" t="inlineStr">
        <is>
          <t>Yes for more than 2 years</t>
        </is>
      </c>
      <c r="AW348" s="30">
        <f>IF(AV348="Yes for more than 2 years",10,IF(AV348="Yes only for next 1 to 2 years",5,0))</f>
        <v/>
      </c>
      <c r="AX348" s="30" t="inlineStr">
        <is>
          <t>0 to 20</t>
        </is>
      </c>
      <c r="AY348" s="30">
        <f>IF(AX348="Above 40",20,IF(AX348="20 to 40",10,IF(AX348="0 to 20",-5,0)))</f>
        <v/>
      </c>
      <c r="AZ348" s="30" t="inlineStr">
        <is>
          <t>Between 50 to 75</t>
        </is>
      </c>
      <c r="BA348" s="30">
        <f>IF(AZ348="Between 50 to 75",10,IF(AZ348="Above 75",0,0))</f>
        <v/>
      </c>
      <c r="BB348" s="30" t="inlineStr">
        <is>
          <t>Stage 2</t>
        </is>
      </c>
      <c r="BC348" s="30">
        <f>IF(BB348="Stage 2",20,IF(BB348="Stage 1",0,IF(BB348="Stage 3",5,IF(BB348="Stage 4",-5,0))))</f>
        <v/>
      </c>
      <c r="BD348" s="30" t="inlineStr">
        <is>
          <t>Negative Trend</t>
        </is>
      </c>
      <c r="BE348" s="30">
        <f>IF(BD348="Positive Trend",20,IF(BD348="Negative Trend",-10,0))</f>
        <v/>
      </c>
      <c r="BF348" s="30" t="inlineStr">
        <is>
          <t>Uptrend</t>
        </is>
      </c>
      <c r="BG348" s="30">
        <f>IF(BF348="Uptrend",10,IF(BF348="Sideways",5,0))</f>
        <v/>
      </c>
      <c r="BH348" s="30" t="inlineStr">
        <is>
          <t>Uptrend</t>
        </is>
      </c>
      <c r="BI348" s="30">
        <f>IF(BH348="Uptrend",10,IF(BH348="Sideways",5,0))</f>
        <v/>
      </c>
      <c r="BJ348" s="30" t="inlineStr">
        <is>
          <t>Close to 52 week high or retracement</t>
        </is>
      </c>
      <c r="BK348" s="30">
        <f>IF(BJ348="Overhead supply in last 2 years in last 2 years",-5,IF(BJ348="Close to 52 week high or retracement",5,IF(BJ348="Blue sky scenario",10,IF(BJ348="Long term Downtrend",-10,0))))</f>
        <v/>
      </c>
      <c r="BL348" s="30" t="inlineStr">
        <is>
          <t>Yes</t>
        </is>
      </c>
      <c r="BM348" s="30">
        <f>IF(BL348="Yes",10,0)</f>
        <v/>
      </c>
      <c r="BN348" s="30" t="inlineStr">
        <is>
          <t>More than 20%</t>
        </is>
      </c>
      <c r="BO348" s="30">
        <f>IF(BN348="More than 20%",10,IF(BN348="Between 12 to 20%",5,IF(BN348="Less than 12%",0,0)))</f>
        <v/>
      </c>
      <c r="BP348" s="30" t="inlineStr">
        <is>
          <t>No</t>
        </is>
      </c>
      <c r="BQ348" s="30">
        <f>IF(BP348="No",10,0)</f>
        <v/>
      </c>
      <c r="BR348" s="30" t="inlineStr">
        <is>
          <t>No</t>
        </is>
      </c>
      <c r="BS348" s="30">
        <f>IF(BR348="NO",5,0)</f>
        <v/>
      </c>
      <c r="BT348" s="30" t="inlineStr">
        <is>
          <t>Less than 1.5</t>
        </is>
      </c>
      <c r="BU348" s="30">
        <f>IF(BT348="Above 2",0,IF(BT348="Between 1.5 to 2",5,IF(BT348="Less than 1.5",10,0)))</f>
        <v/>
      </c>
      <c r="BV348" s="30" t="inlineStr">
        <is>
          <t>Less than 50%</t>
        </is>
      </c>
      <c r="BW348" s="30">
        <f>IF(BV348="Above 70%",10,IF(BV348="Between 50% to 70%",5,IF(BV348="Less than 50%",0,IF(BV348="Negative",-10,IF(BV348="Less than 50% and Borrowings are increasing",-5,0)))))</f>
        <v/>
      </c>
      <c r="BX348" s="30" t="inlineStr">
        <is>
          <t>Between 0.7 to 1.2</t>
        </is>
      </c>
      <c r="BY348" s="30">
        <f>IF(BX348="More than 1.2",-10,IF(BX348="Between 0.7 to 1.2",0,IF(BX348="Less than 0.7",10,0)))</f>
        <v/>
      </c>
      <c r="BZ348" s="30" t="inlineStr">
        <is>
          <t>No</t>
        </is>
      </c>
      <c r="CA348" s="30">
        <f>IF(BZ348="Yes",-10,0)</f>
        <v/>
      </c>
      <c r="CB348" s="30" t="inlineStr">
        <is>
          <t>Less than 15%</t>
        </is>
      </c>
      <c r="CC348" s="30">
        <f>IF(CB348="More than 15%",-10,IF(CB348="Less than 15%",10,0))</f>
        <v/>
      </c>
      <c r="CD348" s="30" t="inlineStr">
        <is>
          <t>No</t>
        </is>
      </c>
      <c r="CE348" s="30">
        <f>IF(CD348="Yes, more than 10%",-10,IF(CD348="No",10,0))</f>
        <v/>
      </c>
    </row>
    <row r="349">
      <c r="A349" s="30">
        <f>IF(B349=0,"",RANK(B349,$B$2:$B$361,0))</f>
        <v/>
      </c>
      <c r="B349" s="31">
        <f>SUM(N349,Y349,AA349,AC349,AE349,AG349,AI349,AK349,AM349,AO349,AQ349,AS349,AU349,AW349,AY349,BA349,BC349,BE349,BG349,BI349,BK349,BM349,BO349,BQ349,BS349,BU349,BW349,BY349,CA349,CC349,CE349)</f>
        <v/>
      </c>
      <c r="C349" s="30" t="inlineStr">
        <is>
          <t>ARVINDFASN</t>
        </is>
      </c>
      <c r="D349" s="30" t="inlineStr">
        <is>
          <t>Arvind Fashions Ltd</t>
        </is>
      </c>
      <c r="E349" s="30" t="inlineStr">
        <is>
          <t>consumer discretionary</t>
        </is>
      </c>
      <c r="F349" s="30" t="inlineStr">
        <is>
          <t>trading</t>
        </is>
      </c>
      <c r="G349" s="30" t="inlineStr">
        <is>
          <t>midcap</t>
        </is>
      </c>
      <c r="H349" s="31" t="n">
        <v>6307.85</v>
      </c>
      <c r="I349" s="31" t="n">
        <v>484.3</v>
      </c>
      <c r="J349" s="31" t="n">
        <v>2.62</v>
      </c>
      <c r="K349" s="31" t="n">
        <v>377126</v>
      </c>
      <c r="L349" s="30" t="n">
        <v>18</v>
      </c>
      <c r="M349" s="30" t="inlineStr">
        <is>
          <t>Outperforming</t>
        </is>
      </c>
      <c r="N349" s="31">
        <f>IF(M349="Underperforming",-5,IF(L349&gt;=95,15,IF(L349&gt;=90,10,IF(L349&gt;=80,5,0))))</f>
        <v/>
      </c>
      <c r="O349" s="31" t="n">
        <v>54.66</v>
      </c>
      <c r="P349" s="31" t="n">
        <v>10.41</v>
      </c>
      <c r="Q349" s="31" t="n">
        <v>365.72</v>
      </c>
      <c r="R349" s="30" t="inlineStr">
        <is>
          <t>Earnings / Momentum Support</t>
        </is>
      </c>
      <c r="S349" s="30" t="inlineStr">
        <is>
          <t>Nifty 50</t>
        </is>
      </c>
      <c r="T349" s="31" t="n">
        <v>-4.09</v>
      </c>
      <c r="U349" s="31" t="n">
        <v>-1.02</v>
      </c>
      <c r="V349" s="31" t="n">
        <v>3.2</v>
      </c>
      <c r="W349" s="31" t="n">
        <v>5.55</v>
      </c>
      <c r="X349" s="30" t="inlineStr">
        <is>
          <t>Growing Industry</t>
        </is>
      </c>
      <c r="Y349" s="30">
        <f>IF(X349="Growing Industry",10,IF(X349="Cyclical in an Upturn",5,0))</f>
        <v/>
      </c>
      <c r="Z349" s="30" t="inlineStr">
        <is>
          <t>Too Many Players with High ROCE</t>
        </is>
      </c>
      <c r="AA349" s="30">
        <f>IF(Z349="Monopoly",10,IF(Z349="Oligopoly",5,IF(Z349="Duopoly that cooperate",10,IF(Z349="Duopoly that compete",5,IF(Z349="Too many players with High ROCE",5,0)))))</f>
        <v/>
      </c>
      <c r="AB349" s="30" t="inlineStr">
        <is>
          <t>No</t>
        </is>
      </c>
      <c r="AC349" s="30">
        <f>IF(AB349="No",5,0)</f>
        <v/>
      </c>
      <c r="AD349" s="30" t="inlineStr">
        <is>
          <t>Headwind</t>
        </is>
      </c>
      <c r="AE349" s="30">
        <f>IF(AD349="Tailwind",10,0)</f>
        <v/>
      </c>
      <c r="AF349" s="30" t="inlineStr">
        <is>
          <t>Structural (10 Years Consistency)</t>
        </is>
      </c>
      <c r="AG349" s="30">
        <f>IF(AF349="Structural (10 Years Consistency)",10,IF(AF349="Shallow Cyclical (2 to 3 years growth)",5,0))</f>
        <v/>
      </c>
      <c r="AH349" s="30" t="inlineStr">
        <is>
          <t>No</t>
        </is>
      </c>
      <c r="AI349" s="30">
        <f>IF(AH349="Yes due to Product Mix change or Operating Leverage",10,IF(AH349="Yes, these are peak margins",-5,IF(AH349="No",5,0)))</f>
        <v/>
      </c>
      <c r="AJ349" s="30" t="inlineStr">
        <is>
          <t>Stable</t>
        </is>
      </c>
      <c r="AK349" s="30">
        <f>IF(AJ349="Stable",10,0)</f>
        <v/>
      </c>
      <c r="AL349" s="30" t="inlineStr">
        <is>
          <t>Yes</t>
        </is>
      </c>
      <c r="AM349" s="30">
        <f>IF(AL349="Yes",10,0)</f>
        <v/>
      </c>
      <c r="AN349" s="30" t="inlineStr">
        <is>
          <t>B2B</t>
        </is>
      </c>
      <c r="AO349" s="30">
        <f>IF(AN349="B2C",10,IF(AN349="B2B",5,0))</f>
        <v/>
      </c>
      <c r="AP349" s="30" t="inlineStr">
        <is>
          <t>No</t>
        </is>
      </c>
      <c r="AQ349" s="30">
        <f>IF(AP349="Yes",10,0)</f>
        <v/>
      </c>
      <c r="AR349" s="30" t="inlineStr">
        <is>
          <t>Higher One Time, Lower Annuity</t>
        </is>
      </c>
      <c r="AS349" s="30">
        <f>IF(AR349="Fully Annuity",10,IF(AR349="Higher Annuity, Lower One Time",5,IF(AR349="Higher One Time, Lower Annuity",3,0)))</f>
        <v/>
      </c>
      <c r="AT349" s="30" t="inlineStr">
        <is>
          <t>Good</t>
        </is>
      </c>
      <c r="AU349" s="30">
        <f>IF(AT349="Good",10,0)</f>
        <v/>
      </c>
      <c r="AV349" s="30" t="inlineStr">
        <is>
          <t>Yes for more than 2 years</t>
        </is>
      </c>
      <c r="AW349" s="30">
        <f>IF(AV349="Yes for more than 2 years",10,IF(AV349="Yes only for next 1 to 2 years",5,0))</f>
        <v/>
      </c>
      <c r="AX349" s="30" t="inlineStr">
        <is>
          <t>0 to 20</t>
        </is>
      </c>
      <c r="AY349" s="30">
        <f>IF(AX349="Above 40",20,IF(AX349="20 to 40",10,IF(AX349="0 to 20",-5,0)))</f>
        <v/>
      </c>
      <c r="AZ349" s="30" t="inlineStr">
        <is>
          <t>Between 50 to 75</t>
        </is>
      </c>
      <c r="BA349" s="30">
        <f>IF(AZ349="Between 50 to 75",10,IF(AZ349="Above 75",0,0))</f>
        <v/>
      </c>
      <c r="BB349" s="30" t="inlineStr">
        <is>
          <t>Stage 1</t>
        </is>
      </c>
      <c r="BC349" s="30">
        <f>IF(BB349="Stage 2",20,IF(BB349="Stage 1",0,IF(BB349="Stage 3",5,IF(BB349="Stage 4",-5,0))))</f>
        <v/>
      </c>
      <c r="BD349" s="30" t="inlineStr">
        <is>
          <t>Positive Trend</t>
        </is>
      </c>
      <c r="BE349" s="30">
        <f>IF(BD349="Positive Trend",20,IF(BD349="Negative Trend",-10,0))</f>
        <v/>
      </c>
      <c r="BF349" s="30" t="inlineStr">
        <is>
          <t>Uptrend</t>
        </is>
      </c>
      <c r="BG349" s="30">
        <f>IF(BF349="Uptrend",10,IF(BF349="Sideways",5,0))</f>
        <v/>
      </c>
      <c r="BH349" s="30" t="inlineStr">
        <is>
          <t>Uptrend</t>
        </is>
      </c>
      <c r="BI349" s="30">
        <f>IF(BH349="Uptrend",10,IF(BH349="Sideways",5,0))</f>
        <v/>
      </c>
      <c r="BJ349" s="30" t="inlineStr">
        <is>
          <t>Close to 52 week high or retracement</t>
        </is>
      </c>
      <c r="BK349" s="30">
        <f>IF(BJ349="Overhead supply in last 2 years in last 2 years",-5,IF(BJ349="Close to 52 week high or retracement",5,IF(BJ349="Blue sky scenario",10,IF(BJ349="Long term Downtrend",-10,0))))</f>
        <v/>
      </c>
      <c r="BL349" s="30" t="inlineStr">
        <is>
          <t>Yes</t>
        </is>
      </c>
      <c r="BM349" s="30">
        <f>IF(BL349="Yes",10,0)</f>
        <v/>
      </c>
      <c r="BN349" s="30" t="inlineStr">
        <is>
          <t>More than 20%</t>
        </is>
      </c>
      <c r="BO349" s="30">
        <f>IF(BN349="More than 20%",10,IF(BN349="Between 12 to 20%",5,IF(BN349="Less than 12%",0,0)))</f>
        <v/>
      </c>
      <c r="BP349" s="30" t="inlineStr">
        <is>
          <t>No</t>
        </is>
      </c>
      <c r="BQ349" s="30">
        <f>IF(BP349="No",10,0)</f>
        <v/>
      </c>
      <c r="BR349" s="30" t="inlineStr">
        <is>
          <t>Yes</t>
        </is>
      </c>
      <c r="BS349" s="30">
        <f>IF(BR349="NO",5,0)</f>
        <v/>
      </c>
      <c r="BT349" s="30" t="inlineStr">
        <is>
          <t>Above 2</t>
        </is>
      </c>
      <c r="BU349" s="30">
        <f>IF(BT349="Above 2",0,IF(BT349="Between 1.5 to 2",5,IF(BT349="Less than 1.5",10,0)))</f>
        <v/>
      </c>
      <c r="BV349" s="30" t="inlineStr">
        <is>
          <t>Between 50% to 70%</t>
        </is>
      </c>
      <c r="BW349" s="30">
        <f>IF(BV349="Above 70%",10,IF(BV349="Between 50% to 70%",5,IF(BV349="Less than 50%",0,IF(BV349="Negative",-10,IF(BV349="Less than 50% and Borrowings are increasing",-5,0)))))</f>
        <v/>
      </c>
      <c r="BX349" s="30" t="inlineStr">
        <is>
          <t>Between 0.7 to 1.2</t>
        </is>
      </c>
      <c r="BY349" s="30">
        <f>IF(BX349="More than 1.2",-10,IF(BX349="Between 0.7 to 1.2",0,IF(BX349="Less than 0.7",10,0)))</f>
        <v/>
      </c>
      <c r="BZ349" s="30" t="inlineStr">
        <is>
          <t>No</t>
        </is>
      </c>
      <c r="CA349" s="30">
        <f>IF(BZ349="Yes",-10,0)</f>
        <v/>
      </c>
      <c r="CB349" s="30" t="inlineStr">
        <is>
          <t>Less than 15%</t>
        </is>
      </c>
      <c r="CC349" s="30">
        <f>IF(CB349="More than 15%",-10,IF(CB349="Less than 15%",10,0))</f>
        <v/>
      </c>
      <c r="CD349" s="30" t="inlineStr">
        <is>
          <t>No</t>
        </is>
      </c>
      <c r="CE349" s="30">
        <f>IF(CD349="Yes, more than 10%",-10,IF(CD349="No",10,0))</f>
        <v/>
      </c>
    </row>
    <row r="350">
      <c r="A350" s="30">
        <f>IF(B350=0,"",RANK(B350,$B$2:$B$361,0))</f>
        <v/>
      </c>
      <c r="B350" s="31">
        <f>SUM(N350,Y350,AA350,AC350,AE350,AG350,AI350,AK350,AM350,AO350,AQ350,AS350,AU350,AW350,AY350,BA350,BC350,BE350,BG350,BI350,BK350,BM350,BO350,BQ350,BS350,BU350,BW350,BY350,CA350,CC350,CE350)</f>
        <v/>
      </c>
      <c r="C350" s="32" t="inlineStr">
        <is>
          <t>KIRLFER</t>
        </is>
      </c>
      <c r="D350" s="32" t="inlineStr">
        <is>
          <t>Kirloskar Ferrous Industries Ltd</t>
        </is>
      </c>
      <c r="E350" s="30" t="inlineStr">
        <is>
          <t>metals &amp; mining</t>
        </is>
      </c>
      <c r="F350" s="30" t="inlineStr">
        <is>
          <t>steel - large</t>
        </is>
      </c>
      <c r="G350" s="30" t="inlineStr">
        <is>
          <t>midcap</t>
        </is>
      </c>
      <c r="H350" s="31" t="n">
        <v>7176.57</v>
      </c>
      <c r="I350" s="31" t="n">
        <v>444.3</v>
      </c>
      <c r="J350" s="31" t="n">
        <v>2.1</v>
      </c>
      <c r="K350" s="31" t="n">
        <v>75913</v>
      </c>
      <c r="L350" s="30" t="n">
        <v>1</v>
      </c>
      <c r="M350" s="30" t="inlineStr">
        <is>
          <t>Underperforming</t>
        </is>
      </c>
      <c r="N350" s="31">
        <f>IF(M350="Underperforming",-5,IF(L350&gt;=95,15,IF(L350&gt;=90,10,IF(L350&gt;=80,5,0))))</f>
        <v/>
      </c>
      <c r="O350" s="31" t="n">
        <v>51.59</v>
      </c>
      <c r="P350" s="31" t="n">
        <v>16.1</v>
      </c>
      <c r="Q350" s="31" t="n">
        <v>343.43</v>
      </c>
      <c r="R350" s="30" t="inlineStr">
        <is>
          <t>Earnings / Momentum Support</t>
        </is>
      </c>
      <c r="S350" s="30" t="inlineStr">
        <is>
          <t>Nifty Metal</t>
        </is>
      </c>
      <c r="T350" s="31" t="n">
        <v>42.38</v>
      </c>
      <c r="U350" s="31" t="n">
        <v>-22.46</v>
      </c>
      <c r="V350" s="31" t="n">
        <v>-45.54</v>
      </c>
      <c r="W350" s="31" t="n">
        <v>0.9</v>
      </c>
      <c r="X350" s="30" t="inlineStr">
        <is>
          <t>Cyclical in an Upturn</t>
        </is>
      </c>
      <c r="Y350" s="30">
        <f>IF(X350="Growing Industry",10,IF(X350="Cyclical in an Upturn",5,0))</f>
        <v/>
      </c>
      <c r="Z350" s="30" t="inlineStr">
        <is>
          <t>Too Many Players with High ROCE</t>
        </is>
      </c>
      <c r="AA350" s="30">
        <f>IF(Z350="Monopoly",10,IF(Z350="Oligopoly",5,IF(Z350="Duopoly that cooperate",10,IF(Z350="Duopoly that compete",5,IF(Z350="Too many players with High ROCE",5,0)))))</f>
        <v/>
      </c>
      <c r="AB350" s="30" t="inlineStr">
        <is>
          <t>No</t>
        </is>
      </c>
      <c r="AC350" s="30">
        <f>IF(AB350="No",5,0)</f>
        <v/>
      </c>
      <c r="AD350" s="30" t="inlineStr">
        <is>
          <t>Headwind</t>
        </is>
      </c>
      <c r="AE350" s="30">
        <f>IF(AD350="Tailwind",10,0)</f>
        <v/>
      </c>
      <c r="AF350" s="30" t="inlineStr">
        <is>
          <t>Cyclical</t>
        </is>
      </c>
      <c r="AG350" s="30">
        <f>IF(AF350="Structural (10 Years Consistency)",10,IF(AF350="Shallow Cyclical (2 to 3 years growth)",5,0))</f>
        <v/>
      </c>
      <c r="AH350" s="30" t="inlineStr">
        <is>
          <t>No</t>
        </is>
      </c>
      <c r="AI350" s="30">
        <f>IF(AH350="Yes due to Product Mix change or Operating Leverage",10,IF(AH350="Yes, these are peak margins",-5,IF(AH350="No",5,0)))</f>
        <v/>
      </c>
      <c r="AJ350" s="30" t="inlineStr">
        <is>
          <t>Volatile</t>
        </is>
      </c>
      <c r="AK350" s="30">
        <f>IF(AJ350="Stable",10,0)</f>
        <v/>
      </c>
      <c r="AL350" s="30" t="inlineStr">
        <is>
          <t>Yes</t>
        </is>
      </c>
      <c r="AM350" s="30">
        <f>IF(AL350="Yes",10,0)</f>
        <v/>
      </c>
      <c r="AN350" s="30" t="inlineStr">
        <is>
          <t>B2B</t>
        </is>
      </c>
      <c r="AO350" s="30">
        <f>IF(AN350="B2C",10,IF(AN350="B2B",5,0))</f>
        <v/>
      </c>
      <c r="AP350" s="30" t="inlineStr">
        <is>
          <t>No</t>
        </is>
      </c>
      <c r="AQ350" s="30">
        <f>IF(AP350="Yes",10,0)</f>
        <v/>
      </c>
      <c r="AR350" s="30" t="inlineStr">
        <is>
          <t>Higher One Time, Lower Annuity</t>
        </is>
      </c>
      <c r="AS350" s="30">
        <f>IF(AR350="Fully Annuity",10,IF(AR350="Higher Annuity, Lower One Time",5,IF(AR350="Higher One Time, Lower Annuity",3,0)))</f>
        <v/>
      </c>
      <c r="AT350" s="30" t="inlineStr">
        <is>
          <t>Good</t>
        </is>
      </c>
      <c r="AU350" s="30">
        <f>IF(AT350="Good",10,0)</f>
        <v/>
      </c>
      <c r="AV350" s="30" t="inlineStr">
        <is>
          <t>Yes for more than 2 years</t>
        </is>
      </c>
      <c r="AW350" s="30">
        <f>IF(AV350="Yes for more than 2 years",10,IF(AV350="Yes only for next 1 to 2 years",5,0))</f>
        <v/>
      </c>
      <c r="AX350" s="30" t="inlineStr">
        <is>
          <t>0 to 20</t>
        </is>
      </c>
      <c r="AY350" s="30">
        <f>IF(AX350="Above 40",20,IF(AX350="20 to 40",10,IF(AX350="0 to 20",-5,0)))</f>
        <v/>
      </c>
      <c r="AZ350" s="30" t="inlineStr">
        <is>
          <t>Between 50 to 75</t>
        </is>
      </c>
      <c r="BA350" s="30">
        <f>IF(AZ350="Between 50 to 75",10,IF(AZ350="Above 75",0,0))</f>
        <v/>
      </c>
      <c r="BB350" s="30" t="inlineStr">
        <is>
          <t>Stage 1</t>
        </is>
      </c>
      <c r="BC350" s="30">
        <f>IF(BB350="Stage 2",20,IF(BB350="Stage 1",0,IF(BB350="Stage 3",5,IF(BB350="Stage 4",-5,0))))</f>
        <v/>
      </c>
      <c r="BD350" s="30" t="inlineStr">
        <is>
          <t>Positive Trend</t>
        </is>
      </c>
      <c r="BE350" s="30">
        <f>IF(BD350="Positive Trend",20,IF(BD350="Negative Trend",-10,0))</f>
        <v/>
      </c>
      <c r="BF350" s="30" t="inlineStr">
        <is>
          <t>Uptrend</t>
        </is>
      </c>
      <c r="BG350" s="30">
        <f>IF(BF350="Uptrend",10,IF(BF350="Sideways",5,0))</f>
        <v/>
      </c>
      <c r="BH350" s="30" t="inlineStr">
        <is>
          <t>Uptrend</t>
        </is>
      </c>
      <c r="BI350" s="30">
        <f>IF(BH350="Uptrend",10,IF(BH350="Sideways",5,0))</f>
        <v/>
      </c>
      <c r="BJ350" s="30" t="inlineStr">
        <is>
          <t>Close to 52 week high or retracement</t>
        </is>
      </c>
      <c r="BK350" s="30">
        <f>IF(BJ350="Overhead supply in last 2 years in last 2 years",-5,IF(BJ350="Close to 52 week high or retracement",5,IF(BJ350="Blue sky scenario",10,IF(BJ350="Long term Downtrend",-10,0))))</f>
        <v/>
      </c>
      <c r="BL350" s="30" t="inlineStr">
        <is>
          <t>Yes</t>
        </is>
      </c>
      <c r="BM350" s="30">
        <f>IF(BL350="Yes",10,0)</f>
        <v/>
      </c>
      <c r="BN350" s="30" t="inlineStr">
        <is>
          <t>More than 20%</t>
        </is>
      </c>
      <c r="BO350" s="30">
        <f>IF(BN350="More than 20%",10,IF(BN350="Between 12 to 20%",5,IF(BN350="Less than 12%",0,0)))</f>
        <v/>
      </c>
      <c r="BP350" s="30" t="inlineStr">
        <is>
          <t>No</t>
        </is>
      </c>
      <c r="BQ350" s="30">
        <f>IF(BP350="No",10,0)</f>
        <v/>
      </c>
      <c r="BR350" s="30" t="inlineStr">
        <is>
          <t>No</t>
        </is>
      </c>
      <c r="BS350" s="30">
        <f>IF(BR350="NO",5,0)</f>
        <v/>
      </c>
      <c r="BT350" s="30" t="inlineStr">
        <is>
          <t>Less than 1.5</t>
        </is>
      </c>
      <c r="BU350" s="30">
        <f>IF(BT350="Above 2",0,IF(BT350="Between 1.5 to 2",5,IF(BT350="Less than 1.5",10,0)))</f>
        <v/>
      </c>
      <c r="BV350" s="30" t="inlineStr">
        <is>
          <t>Above 70%</t>
        </is>
      </c>
      <c r="BW350" s="30">
        <f>IF(BV350="Above 70%",10,IF(BV350="Between 50% to 70%",5,IF(BV350="Less than 50%",0,IF(BV350="Negative",-10,IF(BV350="Less than 50% and Borrowings are increasing",-5,0)))))</f>
        <v/>
      </c>
      <c r="BX350" s="30" t="inlineStr">
        <is>
          <t>Less than 0.7</t>
        </is>
      </c>
      <c r="BY350" s="30">
        <f>IF(BX350="More than 1.2",-10,IF(BX350="Between 0.7 to 1.2",0,IF(BX350="Less than 0.7",10,0)))</f>
        <v/>
      </c>
      <c r="BZ350" s="30" t="inlineStr">
        <is>
          <t>No</t>
        </is>
      </c>
      <c r="CA350" s="30">
        <f>IF(BZ350="Yes",-10,0)</f>
        <v/>
      </c>
      <c r="CB350" s="30" t="inlineStr">
        <is>
          <t>Less than 15%</t>
        </is>
      </c>
      <c r="CC350" s="30">
        <f>IF(CB350="More than 15%",-10,IF(CB350="Less than 15%",10,0))</f>
        <v/>
      </c>
      <c r="CD350" s="30" t="inlineStr">
        <is>
          <t>No</t>
        </is>
      </c>
      <c r="CE350" s="30">
        <f>IF(CD350="Yes, more than 10%",-10,IF(CD350="No",10,0))</f>
        <v/>
      </c>
    </row>
    <row r="351">
      <c r="A351" s="30">
        <f>IF(B351=0,"",RANK(B351,$B$2:$B$361,0))</f>
        <v/>
      </c>
      <c r="B351" s="31">
        <f>SUM(N351,Y351,AA351,AC351,AE351,AG351,AI351,AK351,AM351,AO351,AQ351,AS351,AU351,AW351,AY351,BA351,BC351,BE351,BG351,BI351,BK351,BM351,BO351,BQ351,BS351,BU351,BW351,BY351,CA351,CC351,CE351)</f>
        <v/>
      </c>
      <c r="C351" s="32" t="inlineStr">
        <is>
          <t>JBMA</t>
        </is>
      </c>
      <c r="D351" s="32" t="inlineStr">
        <is>
          <t>Jbm Auto Limited</t>
        </is>
      </c>
      <c r="E351" s="30" t="inlineStr">
        <is>
          <t>auto</t>
        </is>
      </c>
      <c r="F351" s="30" t="inlineStr">
        <is>
          <t>auto ancillaries</t>
        </is>
      </c>
      <c r="G351" s="30" t="inlineStr">
        <is>
          <t>midcap</t>
        </is>
      </c>
      <c r="H351" s="31" t="n">
        <v>16192.76</v>
      </c>
      <c r="I351" s="31" t="n">
        <v>692.9</v>
      </c>
      <c r="J351" s="31" t="n">
        <v>1.2</v>
      </c>
      <c r="K351" s="31" t="n">
        <v>1270904</v>
      </c>
      <c r="L351" s="30" t="n">
        <v>23</v>
      </c>
      <c r="M351" s="30" t="inlineStr">
        <is>
          <t>Underperforming</t>
        </is>
      </c>
      <c r="N351" s="31">
        <f>IF(M351="Underperforming",-5,IF(L351&gt;=95,15,IF(L351&gt;=90,10,IF(L351&gt;=80,5,0))))</f>
        <v/>
      </c>
      <c r="O351" s="31" t="n">
        <v>62.28</v>
      </c>
      <c r="P351" s="31" t="n">
        <v>15.87</v>
      </c>
      <c r="Q351" s="31" t="n">
        <v>528.46</v>
      </c>
      <c r="R351" s="30" t="inlineStr">
        <is>
          <t>Near 52W High Breakout</t>
        </is>
      </c>
      <c r="S351" s="30" t="inlineStr">
        <is>
          <t>Nifty Auto</t>
        </is>
      </c>
      <c r="T351" s="31" t="n">
        <v>12.86</v>
      </c>
      <c r="U351" s="31" t="n">
        <v>6.18</v>
      </c>
      <c r="V351" s="31" t="n">
        <v>-5.92</v>
      </c>
      <c r="W351" s="31" t="n">
        <v>6.7</v>
      </c>
      <c r="X351" s="30" t="inlineStr">
        <is>
          <t>Growing Industry</t>
        </is>
      </c>
      <c r="Y351" s="30">
        <f>IF(X351="Growing Industry",10,IF(X351="Cyclical in an Upturn",5,0))</f>
        <v/>
      </c>
      <c r="Z351" s="30" t="inlineStr">
        <is>
          <t>Too Many Players with High ROCE</t>
        </is>
      </c>
      <c r="AA351" s="30">
        <f>IF(Z351="Monopoly",10,IF(Z351="Oligopoly",5,IF(Z351="Duopoly that cooperate",10,IF(Z351="Duopoly that compete",5,IF(Z351="Too many players with High ROCE",5,0)))))</f>
        <v/>
      </c>
      <c r="AB351" s="30" t="inlineStr">
        <is>
          <t>No</t>
        </is>
      </c>
      <c r="AC351" s="30">
        <f>IF(AB351="No",5,0)</f>
        <v/>
      </c>
      <c r="AD351" s="30" t="inlineStr">
        <is>
          <t>Tailwind</t>
        </is>
      </c>
      <c r="AE351" s="30">
        <f>IF(AD351="Tailwind",10,0)</f>
        <v/>
      </c>
      <c r="AF351" s="30" t="inlineStr">
        <is>
          <t>Structural (10 Years Consistency)</t>
        </is>
      </c>
      <c r="AG351" s="30">
        <f>IF(AF351="Structural (10 Years Consistency)",10,IF(AF351="Shallow Cyclical (2 to 3 years growth)",5,0))</f>
        <v/>
      </c>
      <c r="AH351" s="30" t="inlineStr">
        <is>
          <t>No</t>
        </is>
      </c>
      <c r="AI351" s="30">
        <f>IF(AH351="Yes due to Product Mix change or Operating Leverage",10,IF(AH351="Yes, these are peak margins",-5,IF(AH351="No",5,0)))</f>
        <v/>
      </c>
      <c r="AJ351" s="30" t="inlineStr">
        <is>
          <t>Stable</t>
        </is>
      </c>
      <c r="AK351" s="30">
        <f>IF(AJ351="Stable",10,0)</f>
        <v/>
      </c>
      <c r="AL351" s="30" t="inlineStr">
        <is>
          <t>Yes</t>
        </is>
      </c>
      <c r="AM351" s="30">
        <f>IF(AL351="Yes",10,0)</f>
        <v/>
      </c>
      <c r="AN351" s="30" t="inlineStr">
        <is>
          <t>B2B</t>
        </is>
      </c>
      <c r="AO351" s="30">
        <f>IF(AN351="B2C",10,IF(AN351="B2B",5,0))</f>
        <v/>
      </c>
      <c r="AP351" s="30" t="inlineStr">
        <is>
          <t>Yes</t>
        </is>
      </c>
      <c r="AQ351" s="30">
        <f>IF(AP351="Yes",10,0)</f>
        <v/>
      </c>
      <c r="AR351" s="30" t="inlineStr">
        <is>
          <t>Higher One Time, Lower Annuity</t>
        </is>
      </c>
      <c r="AS351" s="30">
        <f>IF(AR351="Fully Annuity",10,IF(AR351="Higher Annuity, Lower One Time",5,IF(AR351="Higher One Time, Lower Annuity",3,0)))</f>
        <v/>
      </c>
      <c r="AT351" s="30" t="inlineStr">
        <is>
          <t>Good</t>
        </is>
      </c>
      <c r="AU351" s="30">
        <f>IF(AT351="Good",10,0)</f>
        <v/>
      </c>
      <c r="AV351" s="30" t="inlineStr">
        <is>
          <t>Yes for more than 2 years</t>
        </is>
      </c>
      <c r="AW351" s="30">
        <f>IF(AV351="Yes for more than 2 years",10,IF(AV351="Yes only for next 1 to 2 years",5,0))</f>
        <v/>
      </c>
      <c r="AX351" s="30" t="inlineStr">
        <is>
          <t>0 to 20</t>
        </is>
      </c>
      <c r="AY351" s="30">
        <f>IF(AX351="Above 40",20,IF(AX351="20 to 40",10,IF(AX351="0 to 20",-5,0)))</f>
        <v/>
      </c>
      <c r="AZ351" s="30" t="inlineStr">
        <is>
          <t>Between 50 to 75</t>
        </is>
      </c>
      <c r="BA351" s="30">
        <f>IF(AZ351="Between 50 to 75",10,IF(AZ351="Above 75",0,0))</f>
        <v/>
      </c>
      <c r="BB351" s="30" t="inlineStr">
        <is>
          <t>Stage 2</t>
        </is>
      </c>
      <c r="BC351" s="30">
        <f>IF(BB351="Stage 2",20,IF(BB351="Stage 1",0,IF(BB351="Stage 3",5,IF(BB351="Stage 4",-5,0))))</f>
        <v/>
      </c>
      <c r="BD351" s="30" t="inlineStr">
        <is>
          <t>Positive Trend</t>
        </is>
      </c>
      <c r="BE351" s="30">
        <f>IF(BD351="Positive Trend",20,IF(BD351="Negative Trend",-10,0))</f>
        <v/>
      </c>
      <c r="BF351" s="30" t="inlineStr">
        <is>
          <t>Uptrend</t>
        </is>
      </c>
      <c r="BG351" s="30">
        <f>IF(BF351="Uptrend",10,IF(BF351="Sideways",5,0))</f>
        <v/>
      </c>
      <c r="BH351" s="30" t="inlineStr">
        <is>
          <t>Uptrend</t>
        </is>
      </c>
      <c r="BI351" s="30">
        <f>IF(BH351="Uptrend",10,IF(BH351="Sideways",5,0))</f>
        <v/>
      </c>
      <c r="BJ351" s="30" t="inlineStr">
        <is>
          <t>Close to 52 week high or retracement</t>
        </is>
      </c>
      <c r="BK351" s="30">
        <f>IF(BJ351="Overhead supply in last 2 years in last 2 years",-5,IF(BJ351="Close to 52 week high or retracement",5,IF(BJ351="Blue sky scenario",10,IF(BJ351="Long term Downtrend",-10,0))))</f>
        <v/>
      </c>
      <c r="BL351" s="30" t="inlineStr">
        <is>
          <t>Yes</t>
        </is>
      </c>
      <c r="BM351" s="30">
        <f>IF(BL351="Yes",10,0)</f>
        <v/>
      </c>
      <c r="BN351" s="30" t="inlineStr">
        <is>
          <t>Less than 12%</t>
        </is>
      </c>
      <c r="BO351" s="30">
        <f>IF(BN351="More than 20%",10,IF(BN351="Between 12 to 20%",5,IF(BN351="Less than 12%",0,0)))</f>
        <v/>
      </c>
      <c r="BP351" s="30" t="inlineStr">
        <is>
          <t>No</t>
        </is>
      </c>
      <c r="BQ351" s="30">
        <f>IF(BP351="No",10,0)</f>
        <v/>
      </c>
      <c r="BR351" s="30" t="inlineStr">
        <is>
          <t>Yes</t>
        </is>
      </c>
      <c r="BS351" s="30">
        <f>IF(BR351="NO",5,0)</f>
        <v/>
      </c>
      <c r="BT351" s="30" t="inlineStr">
        <is>
          <t>Above 2</t>
        </is>
      </c>
      <c r="BU351" s="30">
        <f>IF(BT351="Above 2",0,IF(BT351="Between 1.5 to 2",5,IF(BT351="Less than 1.5",10,0)))</f>
        <v/>
      </c>
      <c r="BV351" s="30" t="inlineStr">
        <is>
          <t>Negative</t>
        </is>
      </c>
      <c r="BW351" s="30">
        <f>IF(BV351="Above 70%",10,IF(BV351="Between 50% to 70%",5,IF(BV351="Less than 50%",0,IF(BV351="Negative",-10,IF(BV351="Less than 50% and Borrowings are increasing",-5,0)))))</f>
        <v/>
      </c>
      <c r="BX351" s="30" t="inlineStr">
        <is>
          <t>More than 1.2</t>
        </is>
      </c>
      <c r="BY351" s="30">
        <f>IF(BX351="More than 1.2",-10,IF(BX351="Between 0.7 to 1.2",0,IF(BX351="Less than 0.7",10,0)))</f>
        <v/>
      </c>
      <c r="BZ351" s="30" t="inlineStr">
        <is>
          <t>No</t>
        </is>
      </c>
      <c r="CA351" s="30">
        <f>IF(BZ351="Yes",-10,0)</f>
        <v/>
      </c>
      <c r="CB351" s="30" t="inlineStr">
        <is>
          <t>Less than 15%</t>
        </is>
      </c>
      <c r="CC351" s="30">
        <f>IF(CB351="More than 15%",-10,IF(CB351="Less than 15%",10,0))</f>
        <v/>
      </c>
      <c r="CD351" s="30" t="inlineStr">
        <is>
          <t>No</t>
        </is>
      </c>
      <c r="CE351" s="30">
        <f>IF(CD351="Yes, more than 10%",-10,IF(CD351="No",10,0))</f>
        <v/>
      </c>
    </row>
    <row r="352">
      <c r="A352" s="30">
        <f>IF(B352=0,"",RANK(B352,$B$2:$B$361,0))</f>
        <v/>
      </c>
      <c r="B352" s="31">
        <f>SUM(N352,Y352,AA352,AC352,AE352,AG352,AI352,AK352,AM352,AO352,AQ352,AS352,AU352,AW352,AY352,BA352,BC352,BE352,BG352,BI352,BK352,BM352,BO352,BQ352,BS352,BU352,BW352,BY352,CA352,CC352,CE352)</f>
        <v/>
      </c>
      <c r="C352" s="32" t="inlineStr">
        <is>
          <t>JTLIND</t>
        </is>
      </c>
      <c r="D352" s="32" t="inlineStr">
        <is>
          <t>JTL Industries Ltd</t>
        </is>
      </c>
      <c r="E352" s="30" t="inlineStr">
        <is>
          <t>metals &amp; mining</t>
        </is>
      </c>
      <c r="F352" s="30" t="inlineStr">
        <is>
          <t>steel - medium / small</t>
        </is>
      </c>
      <c r="G352" s="30" t="inlineStr">
        <is>
          <t>smallcap</t>
        </is>
      </c>
      <c r="H352" s="31" t="n">
        <v>3026.34</v>
      </c>
      <c r="I352" s="31" t="n">
        <v>76.17</v>
      </c>
      <c r="J352" s="31" t="n">
        <v>-1.07</v>
      </c>
      <c r="K352" s="31" t="n">
        <v>1662309</v>
      </c>
      <c r="L352" s="30" t="n">
        <v>46</v>
      </c>
      <c r="M352" s="30" t="inlineStr">
        <is>
          <t>Underperforming</t>
        </is>
      </c>
      <c r="N352" s="31">
        <f>IF(M352="Underperforming",-5,IF(L352&gt;=95,15,IF(L352&gt;=90,10,IF(L352&gt;=80,5,0))))</f>
        <v/>
      </c>
      <c r="O352" s="31" t="n">
        <v>56.97</v>
      </c>
      <c r="P352" s="31" t="n">
        <v>13.79</v>
      </c>
      <c r="Q352" s="31" t="n">
        <v>56.01</v>
      </c>
      <c r="R352" s="30" t="inlineStr">
        <is>
          <t>Earnings / Momentum Support</t>
        </is>
      </c>
      <c r="S352" s="30" t="inlineStr">
        <is>
          <t>Nifty Metal</t>
        </is>
      </c>
      <c r="T352" s="31" t="n">
        <v>42.38</v>
      </c>
      <c r="U352" s="31" t="n">
        <v>1.37</v>
      </c>
      <c r="V352" s="31" t="n">
        <v>-28.8</v>
      </c>
      <c r="W352" s="31" t="n">
        <v>11.89</v>
      </c>
      <c r="X352" s="30" t="inlineStr">
        <is>
          <t>Cyclical in an Upturn</t>
        </is>
      </c>
      <c r="Y352" s="30">
        <f>IF(X352="Growing Industry",10,IF(X352="Cyclical in an Upturn",5,0))</f>
        <v/>
      </c>
      <c r="Z352" s="30" t="inlineStr">
        <is>
          <t>Too Many Players with High ROCE</t>
        </is>
      </c>
      <c r="AA352" s="30">
        <f>IF(Z352="Monopoly",10,IF(Z352="Oligopoly",5,IF(Z352="Duopoly that cooperate",10,IF(Z352="Duopoly that compete",5,IF(Z352="Too many players with High ROCE",5,0)))))</f>
        <v/>
      </c>
      <c r="AB352" s="30" t="inlineStr">
        <is>
          <t>No</t>
        </is>
      </c>
      <c r="AC352" s="30">
        <f>IF(AB352="No",5,0)</f>
        <v/>
      </c>
      <c r="AD352" s="30" t="inlineStr">
        <is>
          <t>Tailwind</t>
        </is>
      </c>
      <c r="AE352" s="30">
        <f>IF(AD352="Tailwind",10,0)</f>
        <v/>
      </c>
      <c r="AF352" s="30" t="inlineStr">
        <is>
          <t>Cyclical</t>
        </is>
      </c>
      <c r="AG352" s="30">
        <f>IF(AF352="Structural (10 Years Consistency)",10,IF(AF352="Shallow Cyclical (2 to 3 years growth)",5,0))</f>
        <v/>
      </c>
      <c r="AH352" s="30" t="inlineStr">
        <is>
          <t>No</t>
        </is>
      </c>
      <c r="AI352" s="30">
        <f>IF(AH352="Yes due to Product Mix change or Operating Leverage",10,IF(AH352="Yes, these are peak margins",-5,IF(AH352="No",5,0)))</f>
        <v/>
      </c>
      <c r="AJ352" s="30" t="inlineStr">
        <is>
          <t>Volatile</t>
        </is>
      </c>
      <c r="AK352" s="30">
        <f>IF(AJ352="Stable",10,0)</f>
        <v/>
      </c>
      <c r="AL352" s="30" t="inlineStr">
        <is>
          <t>Yes</t>
        </is>
      </c>
      <c r="AM352" s="30">
        <f>IF(AL352="Yes",10,0)</f>
        <v/>
      </c>
      <c r="AN352" s="30" t="inlineStr">
        <is>
          <t>B2B</t>
        </is>
      </c>
      <c r="AO352" s="30">
        <f>IF(AN352="B2C",10,IF(AN352="B2B",5,0))</f>
        <v/>
      </c>
      <c r="AP352" s="30" t="inlineStr">
        <is>
          <t>No</t>
        </is>
      </c>
      <c r="AQ352" s="30">
        <f>IF(AP352="Yes",10,0)</f>
        <v/>
      </c>
      <c r="AR352" s="30" t="inlineStr">
        <is>
          <t>Higher One Time, Lower Annuity</t>
        </is>
      </c>
      <c r="AS352" s="30">
        <f>IF(AR352="Fully Annuity",10,IF(AR352="Higher Annuity, Lower One Time",5,IF(AR352="Higher One Time, Lower Annuity",3,0)))</f>
        <v/>
      </c>
      <c r="AT352" s="30" t="inlineStr">
        <is>
          <t>Good</t>
        </is>
      </c>
      <c r="AU352" s="30">
        <f>IF(AT352="Good",10,0)</f>
        <v/>
      </c>
      <c r="AV352" s="30" t="inlineStr">
        <is>
          <t>Yes for more than 2 years</t>
        </is>
      </c>
      <c r="AW352" s="30">
        <f>IF(AV352="Yes for more than 2 years",10,IF(AV352="Yes only for next 1 to 2 years",5,0))</f>
        <v/>
      </c>
      <c r="AX352" s="30" t="inlineStr">
        <is>
          <t>0 to 20</t>
        </is>
      </c>
      <c r="AY352" s="30">
        <f>IF(AX352="Above 40",20,IF(AX352="20 to 40",10,IF(AX352="0 to 20",-5,0)))</f>
        <v/>
      </c>
      <c r="AZ352" s="30" t="inlineStr">
        <is>
          <t>Between 50 to 75</t>
        </is>
      </c>
      <c r="BA352" s="30">
        <f>IF(AZ352="Between 50 to 75",10,IF(AZ352="Above 75",0,0))</f>
        <v/>
      </c>
      <c r="BB352" s="30" t="inlineStr">
        <is>
          <t>Stage 2</t>
        </is>
      </c>
      <c r="BC352" s="30">
        <f>IF(BB352="Stage 2",20,IF(BB352="Stage 1",0,IF(BB352="Stage 3",5,IF(BB352="Stage 4",-5,0))))</f>
        <v/>
      </c>
      <c r="BD352" s="30" t="inlineStr">
        <is>
          <t>Positive Trend</t>
        </is>
      </c>
      <c r="BE352" s="30">
        <f>IF(BD352="Positive Trend",20,IF(BD352="Negative Trend",-10,0))</f>
        <v/>
      </c>
      <c r="BF352" s="30" t="inlineStr">
        <is>
          <t>Uptrend</t>
        </is>
      </c>
      <c r="BG352" s="30">
        <f>IF(BF352="Uptrend",10,IF(BF352="Sideways",5,0))</f>
        <v/>
      </c>
      <c r="BH352" s="30" t="inlineStr">
        <is>
          <t>Uptrend</t>
        </is>
      </c>
      <c r="BI352" s="30">
        <f>IF(BH352="Uptrend",10,IF(BH352="Sideways",5,0))</f>
        <v/>
      </c>
      <c r="BJ352" s="30" t="inlineStr">
        <is>
          <t>Close to 52 week high or retracement</t>
        </is>
      </c>
      <c r="BK352" s="30">
        <f>IF(BJ352="Overhead supply in last 2 years in last 2 years",-5,IF(BJ352="Close to 52 week high or retracement",5,IF(BJ352="Blue sky scenario",10,IF(BJ352="Long term Downtrend",-10,0))))</f>
        <v/>
      </c>
      <c r="BL352" s="30" t="inlineStr">
        <is>
          <t>Yes</t>
        </is>
      </c>
      <c r="BM352" s="30">
        <f>IF(BL352="Yes",10,0)</f>
        <v/>
      </c>
      <c r="BN352" s="30" t="inlineStr">
        <is>
          <t>More than 20%</t>
        </is>
      </c>
      <c r="BO352" s="30">
        <f>IF(BN352="More than 20%",10,IF(BN352="Between 12 to 20%",5,IF(BN352="Less than 12%",0,0)))</f>
        <v/>
      </c>
      <c r="BP352" s="30" t="inlineStr">
        <is>
          <t>No</t>
        </is>
      </c>
      <c r="BQ352" s="30">
        <f>IF(BP352="No",10,0)</f>
        <v/>
      </c>
      <c r="BR352" s="30" t="inlineStr">
        <is>
          <t>No</t>
        </is>
      </c>
      <c r="BS352" s="30">
        <f>IF(BR352="NO",5,0)</f>
        <v/>
      </c>
      <c r="BT352" s="30" t="inlineStr">
        <is>
          <t>Above 2</t>
        </is>
      </c>
      <c r="BU352" s="30">
        <f>IF(BT352="Above 2",0,IF(BT352="Between 1.5 to 2",5,IF(BT352="Less than 1.5",10,0)))</f>
        <v/>
      </c>
      <c r="BV352" s="30" t="inlineStr">
        <is>
          <t>Negative</t>
        </is>
      </c>
      <c r="BW352" s="30">
        <f>IF(BV352="Above 70%",10,IF(BV352="Between 50% to 70%",5,IF(BV352="Less than 50%",0,IF(BV352="Negative",-10,IF(BV352="Less than 50% and Borrowings are increasing",-5,0)))))</f>
        <v/>
      </c>
      <c r="BX352" s="30" t="inlineStr">
        <is>
          <t>Less than 0.7</t>
        </is>
      </c>
      <c r="BY352" s="30">
        <f>IF(BX352="More than 1.2",-10,IF(BX352="Between 0.7 to 1.2",0,IF(BX352="Less than 0.7",10,0)))</f>
        <v/>
      </c>
      <c r="BZ352" s="30" t="inlineStr">
        <is>
          <t>No</t>
        </is>
      </c>
      <c r="CA352" s="30">
        <f>IF(BZ352="Yes",-10,0)</f>
        <v/>
      </c>
      <c r="CB352" s="30" t="inlineStr">
        <is>
          <t>Less than 15%</t>
        </is>
      </c>
      <c r="CC352" s="30">
        <f>IF(CB352="More than 15%",-10,IF(CB352="Less than 15%",10,0))</f>
        <v/>
      </c>
      <c r="CD352" s="30" t="inlineStr">
        <is>
          <t>No</t>
        </is>
      </c>
      <c r="CE352" s="30">
        <f>IF(CD352="Yes, more than 10%",-10,IF(CD352="No",10,0))</f>
        <v/>
      </c>
    </row>
    <row r="353">
      <c r="A353" s="30">
        <f>IF(B353=0,"",RANK(B353,$B$2:$B$361,0))</f>
        <v/>
      </c>
      <c r="B353" s="31">
        <f>SUM(N353,Y353,AA353,AC353,AE353,AG353,AI353,AK353,AM353,AO353,AQ353,AS353,AU353,AW353,AY353,BA353,BC353,BE353,BG353,BI353,BK353,BM353,BO353,BQ353,BS353,BU353,BW353,BY353,CA353,CC353,CE353)</f>
        <v/>
      </c>
      <c r="C353" s="30" t="inlineStr">
        <is>
          <t>TBOTEK</t>
        </is>
      </c>
      <c r="D353" s="30" t="inlineStr">
        <is>
          <t>TBO Tek Ltd</t>
        </is>
      </c>
      <c r="E353" s="30" t="inlineStr">
        <is>
          <t>i.t</t>
        </is>
      </c>
      <c r="F353" s="30" t="inlineStr">
        <is>
          <t>travel agencies</t>
        </is>
      </c>
      <c r="G353" s="30" t="inlineStr">
        <is>
          <t>midcap</t>
        </is>
      </c>
      <c r="H353" s="31" t="n">
        <v>15444.44</v>
      </c>
      <c r="I353" s="31" t="n">
        <v>1455.6</v>
      </c>
      <c r="J353" s="31" t="n">
        <v>2.34</v>
      </c>
      <c r="K353" s="31" t="n">
        <v>152775</v>
      </c>
      <c r="L353" s="30" t="n">
        <v>52</v>
      </c>
      <c r="M353" s="30" t="inlineStr">
        <is>
          <t>Outperforming</t>
        </is>
      </c>
      <c r="N353" s="31">
        <f>IF(M353="Underperforming",-5,IF(L353&gt;=95,15,IF(L353&gt;=90,10,IF(L353&gt;=80,5,0))))</f>
        <v/>
      </c>
      <c r="O353" s="31" t="n">
        <v>58.83</v>
      </c>
      <c r="P353" s="31" t="n">
        <v>17.69</v>
      </c>
      <c r="Q353" s="31" t="n">
        <v>1080.2</v>
      </c>
      <c r="R353" s="30" t="inlineStr">
        <is>
          <t>Volume Spike / Accumulation</t>
        </is>
      </c>
      <c r="S353" s="30" t="inlineStr">
        <is>
          <t>Nifty IT</t>
        </is>
      </c>
      <c r="T353" s="31" t="n">
        <v>-26.11</v>
      </c>
      <c r="U353" s="31" t="n">
        <v>15.46</v>
      </c>
      <c r="V353" s="31" t="n">
        <v>56.27</v>
      </c>
      <c r="W353" s="31" t="n">
        <v>13.79</v>
      </c>
      <c r="X353" s="30" t="inlineStr">
        <is>
          <t>Growing Industry</t>
        </is>
      </c>
      <c r="Y353" s="30">
        <f>IF(X353="Growing Industry",10,IF(X353="Cyclical in an Upturn",5,0))</f>
        <v/>
      </c>
      <c r="Z353" s="30" t="inlineStr">
        <is>
          <t>Too Many Players with High ROCE</t>
        </is>
      </c>
      <c r="AA353" s="30">
        <f>IF(Z353="Monopoly",10,IF(Z353="Oligopoly",5,IF(Z353="Duopoly that cooperate",10,IF(Z353="Duopoly that compete",5,IF(Z353="Too many players with High ROCE",5,0)))))</f>
        <v/>
      </c>
      <c r="AB353" s="30" t="inlineStr">
        <is>
          <t>No</t>
        </is>
      </c>
      <c r="AC353" s="30">
        <f>IF(AB353="No",5,0)</f>
        <v/>
      </c>
      <c r="AD353" s="30" t="inlineStr">
        <is>
          <t>Headwind</t>
        </is>
      </c>
      <c r="AE353" s="30">
        <f>IF(AD353="Tailwind",10,0)</f>
        <v/>
      </c>
      <c r="AF353" s="30" t="inlineStr">
        <is>
          <t>Structural (10 Years Consistency)</t>
        </is>
      </c>
      <c r="AG353" s="30">
        <f>IF(AF353="Structural (10 Years Consistency)",10,IF(AF353="Shallow Cyclical (2 to 3 years growth)",5,0))</f>
        <v/>
      </c>
      <c r="AH353" s="30" t="inlineStr">
        <is>
          <t>No</t>
        </is>
      </c>
      <c r="AI353" s="30">
        <f>IF(AH353="Yes due to Product Mix change or Operating Leverage",10,IF(AH353="Yes, these are peak margins",-5,IF(AH353="No",5,0)))</f>
        <v/>
      </c>
      <c r="AJ353" s="30" t="inlineStr">
        <is>
          <t>Stable</t>
        </is>
      </c>
      <c r="AK353" s="30">
        <f>IF(AJ353="Stable",10,0)</f>
        <v/>
      </c>
      <c r="AL353" s="30" t="inlineStr">
        <is>
          <t>Yes</t>
        </is>
      </c>
      <c r="AM353" s="30">
        <f>IF(AL353="Yes",10,0)</f>
        <v/>
      </c>
      <c r="AN353" s="30" t="inlineStr">
        <is>
          <t>B2B</t>
        </is>
      </c>
      <c r="AO353" s="30">
        <f>IF(AN353="B2C",10,IF(AN353="B2B",5,0))</f>
        <v/>
      </c>
      <c r="AP353" s="30" t="inlineStr">
        <is>
          <t>Yes</t>
        </is>
      </c>
      <c r="AQ353" s="30">
        <f>IF(AP353="Yes",10,0)</f>
        <v/>
      </c>
      <c r="AR353" s="30" t="inlineStr">
        <is>
          <t>Higher One Time, Lower Annuity</t>
        </is>
      </c>
      <c r="AS353" s="30">
        <f>IF(AR353="Fully Annuity",10,IF(AR353="Higher Annuity, Lower One Time",5,IF(AR353="Higher One Time, Lower Annuity",3,0)))</f>
        <v/>
      </c>
      <c r="AT353" s="30" t="inlineStr">
        <is>
          <t>Good</t>
        </is>
      </c>
      <c r="AU353" s="30">
        <f>IF(AT353="Good",10,0)</f>
        <v/>
      </c>
      <c r="AV353" s="30" t="inlineStr">
        <is>
          <t>Yes for more than 2 years</t>
        </is>
      </c>
      <c r="AW353" s="30">
        <f>IF(AV353="Yes for more than 2 years",10,IF(AV353="Yes only for next 1 to 2 years",5,0))</f>
        <v/>
      </c>
      <c r="AX353" s="30" t="inlineStr">
        <is>
          <t>0 to 20</t>
        </is>
      </c>
      <c r="AY353" s="30">
        <f>IF(AX353="Above 40",20,IF(AX353="20 to 40",10,IF(AX353="0 to 20",-5,0)))</f>
        <v/>
      </c>
      <c r="AZ353" s="30" t="inlineStr">
        <is>
          <t>Between 50 to 75</t>
        </is>
      </c>
      <c r="BA353" s="30">
        <f>IF(AZ353="Between 50 to 75",10,IF(AZ353="Above 75",0,0))</f>
        <v/>
      </c>
      <c r="BB353" s="30" t="inlineStr">
        <is>
          <t>Stage 1</t>
        </is>
      </c>
      <c r="BC353" s="30">
        <f>IF(BB353="Stage 2",20,IF(BB353="Stage 1",0,IF(BB353="Stage 3",5,IF(BB353="Stage 4",-5,0))))</f>
        <v/>
      </c>
      <c r="BD353" s="30" t="inlineStr">
        <is>
          <t>Positive Trend</t>
        </is>
      </c>
      <c r="BE353" s="30">
        <f>IF(BD353="Positive Trend",20,IF(BD353="Negative Trend",-10,0))</f>
        <v/>
      </c>
      <c r="BF353" s="30" t="inlineStr">
        <is>
          <t>Uptrend</t>
        </is>
      </c>
      <c r="BG353" s="30">
        <f>IF(BF353="Uptrend",10,IF(BF353="Sideways",5,0))</f>
        <v/>
      </c>
      <c r="BH353" s="30" t="inlineStr">
        <is>
          <t>Uptrend</t>
        </is>
      </c>
      <c r="BI353" s="30">
        <f>IF(BH353="Uptrend",10,IF(BH353="Sideways",5,0))</f>
        <v/>
      </c>
      <c r="BJ353" s="30" t="inlineStr">
        <is>
          <t>Close to 52 week high or retracement</t>
        </is>
      </c>
      <c r="BK353" s="30">
        <f>IF(BJ353="Overhead supply in last 2 years in last 2 years",-5,IF(BJ353="Close to 52 week high or retracement",5,IF(BJ353="Blue sky scenario",10,IF(BJ353="Long term Downtrend",-10,0))))</f>
        <v/>
      </c>
      <c r="BL353" s="30" t="inlineStr">
        <is>
          <t>Yes</t>
        </is>
      </c>
      <c r="BM353" s="30">
        <f>IF(BL353="Yes",10,0)</f>
        <v/>
      </c>
      <c r="BN353" s="30" t="inlineStr">
        <is>
          <t>Less than 12%</t>
        </is>
      </c>
      <c r="BO353" s="30">
        <f>IF(BN353="More than 20%",10,IF(BN353="Between 12 to 20%",5,IF(BN353="Less than 12%",0,0)))</f>
        <v/>
      </c>
      <c r="BP353" s="30" t="inlineStr">
        <is>
          <t>No</t>
        </is>
      </c>
      <c r="BQ353" s="30">
        <f>IF(BP353="No",10,0)</f>
        <v/>
      </c>
      <c r="BR353" s="30" t="inlineStr">
        <is>
          <t>Yes</t>
        </is>
      </c>
      <c r="BS353" s="30">
        <f>IF(BR353="NO",5,0)</f>
        <v/>
      </c>
      <c r="BT353" s="30" t="inlineStr">
        <is>
          <t>Above 2</t>
        </is>
      </c>
      <c r="BU353" s="30">
        <f>IF(BT353="Above 2",0,IF(BT353="Between 1.5 to 2",5,IF(BT353="Less than 1.5",10,0)))</f>
        <v/>
      </c>
      <c r="BV353" s="30" t="inlineStr">
        <is>
          <t>Negative</t>
        </is>
      </c>
      <c r="BW353" s="30">
        <f>IF(BV353="Above 70%",10,IF(BV353="Between 50% to 70%",5,IF(BV353="Less than 50%",0,IF(BV353="Negative",-10,IF(BV353="Less than 50% and Borrowings are increasing",-5,0)))))</f>
        <v/>
      </c>
      <c r="BX353" s="30" t="inlineStr">
        <is>
          <t>Less than 0.7</t>
        </is>
      </c>
      <c r="BY353" s="30">
        <f>IF(BX353="More than 1.2",-10,IF(BX353="Between 0.7 to 1.2",0,IF(BX353="Less than 0.7",10,0)))</f>
        <v/>
      </c>
      <c r="BZ353" s="30" t="inlineStr">
        <is>
          <t>No</t>
        </is>
      </c>
      <c r="CA353" s="30">
        <f>IF(BZ353="Yes",-10,0)</f>
        <v/>
      </c>
      <c r="CB353" s="30" t="inlineStr">
        <is>
          <t>Less than 15%</t>
        </is>
      </c>
      <c r="CC353" s="30">
        <f>IF(CB353="More than 15%",-10,IF(CB353="Less than 15%",10,0))</f>
        <v/>
      </c>
      <c r="CD353" s="30" t="inlineStr">
        <is>
          <t>No</t>
        </is>
      </c>
      <c r="CE353" s="30">
        <f>IF(CD353="Yes, more than 10%",-10,IF(CD353="No",10,0))</f>
        <v/>
      </c>
    </row>
    <row r="354">
      <c r="A354" s="30">
        <f>IF(B354=0,"",RANK(B354,$B$2:$B$361,0))</f>
        <v/>
      </c>
      <c r="B354" s="31">
        <f>SUM(N354,Y354,AA354,AC354,AE354,AG354,AI354,AK354,AM354,AO354,AQ354,AS354,AU354,AW354,AY354,BA354,BC354,BE354,BG354,BI354,BK354,BM354,BO354,BQ354,BS354,BU354,BW354,BY354,CA354,CC354,CE354)</f>
        <v/>
      </c>
      <c r="C354" s="32" t="inlineStr">
        <is>
          <t>RCF</t>
        </is>
      </c>
      <c r="D354" s="32" t="inlineStr">
        <is>
          <t>Rashtriya Chemicals And Fertilizers Limited</t>
        </is>
      </c>
      <c r="E354" s="30" t="inlineStr">
        <is>
          <t>chemicals</t>
        </is>
      </c>
      <c r="F354" s="30" t="inlineStr">
        <is>
          <t>fertilizers</t>
        </is>
      </c>
      <c r="G354" s="30" t="inlineStr">
        <is>
          <t>midcap</t>
        </is>
      </c>
      <c r="H354" s="31" t="n">
        <v>7288.9</v>
      </c>
      <c r="I354" s="31" t="n">
        <v>135.12</v>
      </c>
      <c r="J354" s="31" t="n">
        <v>2.27</v>
      </c>
      <c r="K354" s="31" t="n">
        <v>5542509</v>
      </c>
      <c r="L354" s="30" t="n">
        <v>2</v>
      </c>
      <c r="M354" s="30" t="inlineStr">
        <is>
          <t>Underperforming</t>
        </is>
      </c>
      <c r="N354" s="31">
        <f>IF(M354="Underperforming",-5,IF(L354&gt;=95,15,IF(L354&gt;=90,10,IF(L354&gt;=80,5,0))))</f>
        <v/>
      </c>
      <c r="O354" s="31" t="n">
        <v>54.07</v>
      </c>
      <c r="P354" s="31" t="n">
        <v>9.869999999999999</v>
      </c>
      <c r="Q354" s="31" t="n">
        <v>105.56</v>
      </c>
      <c r="R354" s="30" t="inlineStr">
        <is>
          <t>Volume Spike / Accumulation</t>
        </is>
      </c>
      <c r="S354" s="30" t="inlineStr">
        <is>
          <t>Nifty 50</t>
        </is>
      </c>
      <c r="T354" s="31" t="n">
        <v>-4.09</v>
      </c>
      <c r="U354" s="31" t="n">
        <v>-10.18</v>
      </c>
      <c r="V354" s="31" t="n">
        <v>-6.35</v>
      </c>
      <c r="W354" s="31" t="n">
        <v>1.6</v>
      </c>
      <c r="X354" s="30" t="inlineStr">
        <is>
          <t>Growing Industry</t>
        </is>
      </c>
      <c r="Y354" s="30">
        <f>IF(X354="Growing Industry",10,IF(X354="Cyclical in an Upturn",5,0))</f>
        <v/>
      </c>
      <c r="Z354" s="30" t="inlineStr">
        <is>
          <t>Too Many Players with High ROCE</t>
        </is>
      </c>
      <c r="AA354" s="30">
        <f>IF(Z354="Monopoly",10,IF(Z354="Oligopoly",5,IF(Z354="Duopoly that cooperate",10,IF(Z354="Duopoly that compete",5,IF(Z354="Too many players with High ROCE",5,0)))))</f>
        <v/>
      </c>
      <c r="AB354" s="30" t="inlineStr">
        <is>
          <t>No</t>
        </is>
      </c>
      <c r="AC354" s="30">
        <f>IF(AB354="No",5,0)</f>
        <v/>
      </c>
      <c r="AD354" s="30" t="inlineStr">
        <is>
          <t>Headwind</t>
        </is>
      </c>
      <c r="AE354" s="30">
        <f>IF(AD354="Tailwind",10,0)</f>
        <v/>
      </c>
      <c r="AF354" s="30" t="inlineStr">
        <is>
          <t>Structural (10 Years Consistency)</t>
        </is>
      </c>
      <c r="AG354" s="30">
        <f>IF(AF354="Structural (10 Years Consistency)",10,IF(AF354="Shallow Cyclical (2 to 3 years growth)",5,0))</f>
        <v/>
      </c>
      <c r="AH354" s="30" t="inlineStr">
        <is>
          <t>No</t>
        </is>
      </c>
      <c r="AI354" s="30">
        <f>IF(AH354="Yes due to Product Mix change or Operating Leverage",10,IF(AH354="Yes, these are peak margins",-5,IF(AH354="No",5,0)))</f>
        <v/>
      </c>
      <c r="AJ354" s="30" t="inlineStr">
        <is>
          <t>Stable</t>
        </is>
      </c>
      <c r="AK354" s="30">
        <f>IF(AJ354="Stable",10,0)</f>
        <v/>
      </c>
      <c r="AL354" s="30" t="inlineStr">
        <is>
          <t>Yes</t>
        </is>
      </c>
      <c r="AM354" s="30">
        <f>IF(AL354="Yes",10,0)</f>
        <v/>
      </c>
      <c r="AN354" s="30" t="inlineStr">
        <is>
          <t>B2B</t>
        </is>
      </c>
      <c r="AO354" s="30">
        <f>IF(AN354="B2C",10,IF(AN354="B2B",5,0))</f>
        <v/>
      </c>
      <c r="AP354" s="30" t="inlineStr">
        <is>
          <t>Yes</t>
        </is>
      </c>
      <c r="AQ354" s="30">
        <f>IF(AP354="Yes",10,0)</f>
        <v/>
      </c>
      <c r="AR354" s="30" t="inlineStr">
        <is>
          <t>Higher One Time, Lower Annuity</t>
        </is>
      </c>
      <c r="AS354" s="30">
        <f>IF(AR354="Fully Annuity",10,IF(AR354="Higher Annuity, Lower One Time",5,IF(AR354="Higher One Time, Lower Annuity",3,0)))</f>
        <v/>
      </c>
      <c r="AT354" s="30" t="inlineStr">
        <is>
          <t>Good</t>
        </is>
      </c>
      <c r="AU354" s="30">
        <f>IF(AT354="Good",10,0)</f>
        <v/>
      </c>
      <c r="AV354" s="30" t="inlineStr">
        <is>
          <t>Yes for more than 2 years</t>
        </is>
      </c>
      <c r="AW354" s="30">
        <f>IF(AV354="Yes for more than 2 years",10,IF(AV354="Yes only for next 1 to 2 years",5,0))</f>
        <v/>
      </c>
      <c r="AX354" s="30" t="inlineStr">
        <is>
          <t>0 to 20</t>
        </is>
      </c>
      <c r="AY354" s="30">
        <f>IF(AX354="Above 40",20,IF(AX354="20 to 40",10,IF(AX354="0 to 20",-5,0)))</f>
        <v/>
      </c>
      <c r="AZ354" s="30" t="inlineStr">
        <is>
          <t>Between 50 to 75</t>
        </is>
      </c>
      <c r="BA354" s="30">
        <f>IF(AZ354="Between 50 to 75",10,IF(AZ354="Above 75",0,0))</f>
        <v/>
      </c>
      <c r="BB354" s="30" t="inlineStr">
        <is>
          <t>Stage 1</t>
        </is>
      </c>
      <c r="BC354" s="30">
        <f>IF(BB354="Stage 2",20,IF(BB354="Stage 1",0,IF(BB354="Stage 3",5,IF(BB354="Stage 4",-5,0))))</f>
        <v/>
      </c>
      <c r="BD354" s="30" t="inlineStr">
        <is>
          <t>Positive Trend</t>
        </is>
      </c>
      <c r="BE354" s="30">
        <f>IF(BD354="Positive Trend",20,IF(BD354="Negative Trend",-10,0))</f>
        <v/>
      </c>
      <c r="BF354" s="30" t="inlineStr">
        <is>
          <t>Uptrend</t>
        </is>
      </c>
      <c r="BG354" s="30">
        <f>IF(BF354="Uptrend",10,IF(BF354="Sideways",5,0))</f>
        <v/>
      </c>
      <c r="BH354" s="30" t="inlineStr">
        <is>
          <t>Uptrend</t>
        </is>
      </c>
      <c r="BI354" s="30">
        <f>IF(BH354="Uptrend",10,IF(BH354="Sideways",5,0))</f>
        <v/>
      </c>
      <c r="BJ354" s="30" t="inlineStr">
        <is>
          <t>Close to 52 week high or retracement</t>
        </is>
      </c>
      <c r="BK354" s="30">
        <f>IF(BJ354="Overhead supply in last 2 years in last 2 years",-5,IF(BJ354="Close to 52 week high or retracement",5,IF(BJ354="Blue sky scenario",10,IF(BJ354="Long term Downtrend",-10,0))))</f>
        <v/>
      </c>
      <c r="BL354" s="30" t="inlineStr">
        <is>
          <t>Yes</t>
        </is>
      </c>
      <c r="BM354" s="30">
        <f>IF(BL354="Yes",10,0)</f>
        <v/>
      </c>
      <c r="BN354" s="30" t="inlineStr">
        <is>
          <t>More than 20%</t>
        </is>
      </c>
      <c r="BO354" s="30">
        <f>IF(BN354="More than 20%",10,IF(BN354="Between 12 to 20%",5,IF(BN354="Less than 12%",0,0)))</f>
        <v/>
      </c>
      <c r="BP354" s="30" t="inlineStr">
        <is>
          <t>No</t>
        </is>
      </c>
      <c r="BQ354" s="30">
        <f>IF(BP354="No",10,0)</f>
        <v/>
      </c>
      <c r="BR354" s="30" t="inlineStr">
        <is>
          <t>No</t>
        </is>
      </c>
      <c r="BS354" s="30">
        <f>IF(BR354="NO",5,0)</f>
        <v/>
      </c>
      <c r="BT354" s="30" t="inlineStr">
        <is>
          <t>Above 2</t>
        </is>
      </c>
      <c r="BU354" s="30">
        <f>IF(BT354="Above 2",0,IF(BT354="Between 1.5 to 2",5,IF(BT354="Less than 1.5",10,0)))</f>
        <v/>
      </c>
      <c r="BV354" s="30" t="inlineStr">
        <is>
          <t>Negative</t>
        </is>
      </c>
      <c r="BW354" s="30">
        <f>IF(BV354="Above 70%",10,IF(BV354="Between 50% to 70%",5,IF(BV354="Less than 50%",0,IF(BV354="Negative",-10,IF(BV354="Less than 50% and Borrowings are increasing",-5,0)))))</f>
        <v/>
      </c>
      <c r="BX354" s="30" t="inlineStr">
        <is>
          <t>Between 0.7 to 1.2</t>
        </is>
      </c>
      <c r="BY354" s="30">
        <f>IF(BX354="More than 1.2",-10,IF(BX354="Between 0.7 to 1.2",0,IF(BX354="Less than 0.7",10,0)))</f>
        <v/>
      </c>
      <c r="BZ354" s="30" t="inlineStr">
        <is>
          <t>No</t>
        </is>
      </c>
      <c r="CA354" s="30">
        <f>IF(BZ354="Yes",-10,0)</f>
        <v/>
      </c>
      <c r="CB354" s="30" t="inlineStr">
        <is>
          <t>Less than 15%</t>
        </is>
      </c>
      <c r="CC354" s="30">
        <f>IF(CB354="More than 15%",-10,IF(CB354="Less than 15%",10,0))</f>
        <v/>
      </c>
      <c r="CD354" s="30" t="inlineStr">
        <is>
          <t>No</t>
        </is>
      </c>
      <c r="CE354" s="30">
        <f>IF(CD354="Yes, more than 10%",-10,IF(CD354="No",10,0))</f>
        <v/>
      </c>
    </row>
    <row r="355">
      <c r="A355" s="30">
        <f>IF(B355=0,"",RANK(B355,$B$2:$B$361,0))</f>
        <v/>
      </c>
      <c r="B355" s="31">
        <f>SUM(N355,Y355,AA355,AC355,AE355,AG355,AI355,AK355,AM355,AO355,AQ355,AS355,AU355,AW355,AY355,BA355,BC355,BE355,BG355,BI355,BK355,BM355,BO355,BQ355,BS355,BU355,BW355,BY355,CA355,CC355,CE355)</f>
        <v/>
      </c>
      <c r="C355" s="32" t="inlineStr">
        <is>
          <t>RAJRATAN</t>
        </is>
      </c>
      <c r="D355" s="32" t="inlineStr">
        <is>
          <t>Rajratan Global Wire Ltd</t>
        </is>
      </c>
      <c r="E355" s="30" t="inlineStr">
        <is>
          <t>metals &amp; mining</t>
        </is>
      </c>
      <c r="F355" s="30" t="inlineStr">
        <is>
          <t>steel - medium / small</t>
        </is>
      </c>
      <c r="G355" s="30" t="inlineStr">
        <is>
          <t>smallcap</t>
        </is>
      </c>
      <c r="H355" s="31" t="n">
        <v>2298.4</v>
      </c>
      <c r="I355" s="31" t="n">
        <v>453.95</v>
      </c>
      <c r="J355" s="31" t="n">
        <v>0.28</v>
      </c>
      <c r="K355" s="31" t="n">
        <v>29279</v>
      </c>
      <c r="L355" s="30" t="n">
        <v>32</v>
      </c>
      <c r="M355" s="30" t="inlineStr">
        <is>
          <t>Underperforming</t>
        </is>
      </c>
      <c r="N355" s="31">
        <f>IF(M355="Underperforming",-5,IF(L355&gt;=95,15,IF(L355&gt;=90,10,IF(L355&gt;=80,5,0))))</f>
        <v/>
      </c>
      <c r="O355" s="31" t="n">
        <v>56.45</v>
      </c>
      <c r="P355" s="31" t="n">
        <v>8.970000000000001</v>
      </c>
      <c r="Q355" s="31" t="n">
        <v>333.17</v>
      </c>
      <c r="R355" s="30" t="inlineStr">
        <is>
          <t>Earnings / Momentum Support</t>
        </is>
      </c>
      <c r="S355" s="30" t="inlineStr">
        <is>
          <t>Nifty Metal</t>
        </is>
      </c>
      <c r="T355" s="31" t="n">
        <v>42.38</v>
      </c>
      <c r="U355" s="31" t="n">
        <v>12.65</v>
      </c>
      <c r="V355" s="31" t="n">
        <v>-20.88</v>
      </c>
      <c r="W355" s="31" t="n">
        <v>8.68</v>
      </c>
      <c r="X355" s="30" t="inlineStr">
        <is>
          <t>Cyclical in an Upturn</t>
        </is>
      </c>
      <c r="Y355" s="30">
        <f>IF(X355="Growing Industry",10,IF(X355="Cyclical in an Upturn",5,0))</f>
        <v/>
      </c>
      <c r="Z355" s="30" t="inlineStr">
        <is>
          <t>Too Many Players with High ROCE</t>
        </is>
      </c>
      <c r="AA355" s="30">
        <f>IF(Z355="Monopoly",10,IF(Z355="Oligopoly",5,IF(Z355="Duopoly that cooperate",10,IF(Z355="Duopoly that compete",5,IF(Z355="Too many players with High ROCE",5,0)))))</f>
        <v/>
      </c>
      <c r="AB355" s="30" t="inlineStr">
        <is>
          <t>No</t>
        </is>
      </c>
      <c r="AC355" s="30">
        <f>IF(AB355="No",5,0)</f>
        <v/>
      </c>
      <c r="AD355" s="30" t="inlineStr">
        <is>
          <t>Headwind</t>
        </is>
      </c>
      <c r="AE355" s="30">
        <f>IF(AD355="Tailwind",10,0)</f>
        <v/>
      </c>
      <c r="AF355" s="30" t="inlineStr">
        <is>
          <t>Cyclical</t>
        </is>
      </c>
      <c r="AG355" s="30">
        <f>IF(AF355="Structural (10 Years Consistency)",10,IF(AF355="Shallow Cyclical (2 to 3 years growth)",5,0))</f>
        <v/>
      </c>
      <c r="AH355" s="30" t="inlineStr">
        <is>
          <t>No</t>
        </is>
      </c>
      <c r="AI355" s="30">
        <f>IF(AH355="Yes due to Product Mix change or Operating Leverage",10,IF(AH355="Yes, these are peak margins",-5,IF(AH355="No",5,0)))</f>
        <v/>
      </c>
      <c r="AJ355" s="30" t="inlineStr">
        <is>
          <t>Volatile</t>
        </is>
      </c>
      <c r="AK355" s="30">
        <f>IF(AJ355="Stable",10,0)</f>
        <v/>
      </c>
      <c r="AL355" s="30" t="inlineStr">
        <is>
          <t>Yes</t>
        </is>
      </c>
      <c r="AM355" s="30">
        <f>IF(AL355="Yes",10,0)</f>
        <v/>
      </c>
      <c r="AN355" s="30" t="inlineStr">
        <is>
          <t>B2B</t>
        </is>
      </c>
      <c r="AO355" s="30">
        <f>IF(AN355="B2C",10,IF(AN355="B2B",5,0))</f>
        <v/>
      </c>
      <c r="AP355" s="30" t="inlineStr">
        <is>
          <t>No</t>
        </is>
      </c>
      <c r="AQ355" s="30">
        <f>IF(AP355="Yes",10,0)</f>
        <v/>
      </c>
      <c r="AR355" s="30" t="inlineStr">
        <is>
          <t>Higher One Time, Lower Annuity</t>
        </is>
      </c>
      <c r="AS355" s="30">
        <f>IF(AR355="Fully Annuity",10,IF(AR355="Higher Annuity, Lower One Time",5,IF(AR355="Higher One Time, Lower Annuity",3,0)))</f>
        <v/>
      </c>
      <c r="AT355" s="30" t="inlineStr">
        <is>
          <t>Good</t>
        </is>
      </c>
      <c r="AU355" s="30">
        <f>IF(AT355="Good",10,0)</f>
        <v/>
      </c>
      <c r="AV355" s="30" t="inlineStr">
        <is>
          <t>Yes for more than 2 years</t>
        </is>
      </c>
      <c r="AW355" s="30">
        <f>IF(AV355="Yes for more than 2 years",10,IF(AV355="Yes only for next 1 to 2 years",5,0))</f>
        <v/>
      </c>
      <c r="AX355" s="30" t="inlineStr">
        <is>
          <t>0 to 20</t>
        </is>
      </c>
      <c r="AY355" s="30">
        <f>IF(AX355="Above 40",20,IF(AX355="20 to 40",10,IF(AX355="0 to 20",-5,0)))</f>
        <v/>
      </c>
      <c r="AZ355" s="30" t="inlineStr">
        <is>
          <t>Between 50 to 75</t>
        </is>
      </c>
      <c r="BA355" s="30">
        <f>IF(AZ355="Between 50 to 75",10,IF(AZ355="Above 75",0,0))</f>
        <v/>
      </c>
      <c r="BB355" s="30" t="inlineStr">
        <is>
          <t>Stage 2</t>
        </is>
      </c>
      <c r="BC355" s="30">
        <f>IF(BB355="Stage 2",20,IF(BB355="Stage 1",0,IF(BB355="Stage 3",5,IF(BB355="Stage 4",-5,0))))</f>
        <v/>
      </c>
      <c r="BD355" s="30" t="inlineStr">
        <is>
          <t>Positive Trend</t>
        </is>
      </c>
      <c r="BE355" s="30">
        <f>IF(BD355="Positive Trend",20,IF(BD355="Negative Trend",-10,0))</f>
        <v/>
      </c>
      <c r="BF355" s="30" t="inlineStr">
        <is>
          <t>Uptrend</t>
        </is>
      </c>
      <c r="BG355" s="30">
        <f>IF(BF355="Uptrend",10,IF(BF355="Sideways",5,0))</f>
        <v/>
      </c>
      <c r="BH355" s="30" t="inlineStr">
        <is>
          <t>Uptrend</t>
        </is>
      </c>
      <c r="BI355" s="30">
        <f>IF(BH355="Uptrend",10,IF(BH355="Sideways",5,0))</f>
        <v/>
      </c>
      <c r="BJ355" s="30" t="inlineStr">
        <is>
          <t>Close to 52 week high or retracement</t>
        </is>
      </c>
      <c r="BK355" s="30">
        <f>IF(BJ355="Overhead supply in last 2 years in last 2 years",-5,IF(BJ355="Close to 52 week high or retracement",5,IF(BJ355="Blue sky scenario",10,IF(BJ355="Long term Downtrend",-10,0))))</f>
        <v/>
      </c>
      <c r="BL355" s="30" t="inlineStr">
        <is>
          <t>Yes</t>
        </is>
      </c>
      <c r="BM355" s="30">
        <f>IF(BL355="Yes",10,0)</f>
        <v/>
      </c>
      <c r="BN355" s="30" t="inlineStr">
        <is>
          <t>Less than 12%</t>
        </is>
      </c>
      <c r="BO355" s="30">
        <f>IF(BN355="More than 20%",10,IF(BN355="Between 12 to 20%",5,IF(BN355="Less than 12%",0,0)))</f>
        <v/>
      </c>
      <c r="BP355" s="30" t="inlineStr">
        <is>
          <t>No</t>
        </is>
      </c>
      <c r="BQ355" s="30">
        <f>IF(BP355="No",10,0)</f>
        <v/>
      </c>
      <c r="BR355" s="30" t="inlineStr">
        <is>
          <t>No</t>
        </is>
      </c>
      <c r="BS355" s="30">
        <f>IF(BR355="NO",5,0)</f>
        <v/>
      </c>
      <c r="BT355" s="30" t="inlineStr">
        <is>
          <t>Above 2</t>
        </is>
      </c>
      <c r="BU355" s="30">
        <f>IF(BT355="Above 2",0,IF(BT355="Between 1.5 to 2",5,IF(BT355="Less than 1.5",10,0)))</f>
        <v/>
      </c>
      <c r="BV355" s="30" t="inlineStr">
        <is>
          <t>Between 50% to 70%</t>
        </is>
      </c>
      <c r="BW355" s="30">
        <f>IF(BV355="Above 70%",10,IF(BV355="Between 50% to 70%",5,IF(BV355="Less than 50%",0,IF(BV355="Negative",-10,IF(BV355="Less than 50% and Borrowings are increasing",-5,0)))))</f>
        <v/>
      </c>
      <c r="BX355" s="30" t="inlineStr">
        <is>
          <t>Less than 0.7</t>
        </is>
      </c>
      <c r="BY355" s="30">
        <f>IF(BX355="More than 1.2",-10,IF(BX355="Between 0.7 to 1.2",0,IF(BX355="Less than 0.7",10,0)))</f>
        <v/>
      </c>
      <c r="BZ355" s="30" t="inlineStr">
        <is>
          <t>No</t>
        </is>
      </c>
      <c r="CA355" s="30">
        <f>IF(BZ355="Yes",-10,0)</f>
        <v/>
      </c>
      <c r="CB355" s="30" t="inlineStr">
        <is>
          <t>Less than 15%</t>
        </is>
      </c>
      <c r="CC355" s="30">
        <f>IF(CB355="More than 15%",-10,IF(CB355="Less than 15%",10,0))</f>
        <v/>
      </c>
      <c r="CD355" s="30" t="inlineStr">
        <is>
          <t>No</t>
        </is>
      </c>
      <c r="CE355" s="30">
        <f>IF(CD355="Yes, more than 10%",-10,IF(CD355="No",10,0))</f>
        <v/>
      </c>
    </row>
    <row r="356">
      <c r="A356" s="30">
        <f>IF(B356=0,"",RANK(B356,$B$2:$B$361,0))</f>
        <v/>
      </c>
      <c r="B356" s="31">
        <f>SUM(N356,Y356,AA356,AC356,AE356,AG356,AI356,AK356,AM356,AO356,AQ356,AS356,AU356,AW356,AY356,BA356,BC356,BE356,BG356,BI356,BK356,BM356,BO356,BQ356,BS356,BU356,BW356,BY356,CA356,CC356,CE356)</f>
        <v/>
      </c>
      <c r="C356" s="30" t="inlineStr">
        <is>
          <t>TEXINFRA</t>
        </is>
      </c>
      <c r="D356" s="30" t="inlineStr">
        <is>
          <t>Texmaco Infrastructure &amp; Holdings Limited</t>
        </is>
      </c>
      <c r="E356" s="30" t="inlineStr">
        <is>
          <t>realty</t>
        </is>
      </c>
      <c r="F356" s="30" t="inlineStr">
        <is>
          <t>construction</t>
        </is>
      </c>
      <c r="G356" s="30" t="inlineStr">
        <is>
          <t>smallcap</t>
        </is>
      </c>
      <c r="H356" s="31" t="n">
        <v>1302.94</v>
      </c>
      <c r="I356" s="31" t="n">
        <v>101.34</v>
      </c>
      <c r="J356" s="31" t="n">
        <v>-0.89</v>
      </c>
      <c r="K356" s="31" t="n">
        <v>61850</v>
      </c>
      <c r="L356" s="30" t="n">
        <v>8</v>
      </c>
      <c r="M356" s="30" t="inlineStr">
        <is>
          <t>Outperforming</t>
        </is>
      </c>
      <c r="N356" s="31">
        <f>IF(M356="Underperforming",-5,IF(L356&gt;=95,15,IF(L356&gt;=90,10,IF(L356&gt;=80,5,0))))</f>
        <v/>
      </c>
      <c r="O356" s="31" t="n">
        <v>55.08</v>
      </c>
      <c r="P356" s="31" t="n">
        <v>15.67</v>
      </c>
      <c r="Q356" s="31" t="n">
        <v>82.7</v>
      </c>
      <c r="R356" s="30" t="inlineStr">
        <is>
          <t>Near 52W High Breakout</t>
        </is>
      </c>
      <c r="S356" s="30" t="inlineStr">
        <is>
          <t>Nifty Realty</t>
        </is>
      </c>
      <c r="T356" s="31" t="n">
        <v>-19.64</v>
      </c>
      <c r="U356" s="31" t="n">
        <v>1.15</v>
      </c>
      <c r="V356" s="31" t="n">
        <v>25.86</v>
      </c>
      <c r="W356" s="31" t="n">
        <v>3.48</v>
      </c>
      <c r="X356" s="30" t="inlineStr">
        <is>
          <t>Growing Industry</t>
        </is>
      </c>
      <c r="Y356" s="30">
        <f>IF(X356="Growing Industry",10,IF(X356="Cyclical in an Upturn",5,0))</f>
        <v/>
      </c>
      <c r="Z356" s="30" t="inlineStr">
        <is>
          <t>Too Many Players with High ROCE</t>
        </is>
      </c>
      <c r="AA356" s="30">
        <f>IF(Z356="Monopoly",10,IF(Z356="Oligopoly",5,IF(Z356="Duopoly that cooperate",10,IF(Z356="Duopoly that compete",5,IF(Z356="Too many players with High ROCE",5,0)))))</f>
        <v/>
      </c>
      <c r="AB356" s="30" t="inlineStr">
        <is>
          <t>No</t>
        </is>
      </c>
      <c r="AC356" s="30">
        <f>IF(AB356="No",5,0)</f>
        <v/>
      </c>
      <c r="AD356" s="30" t="inlineStr">
        <is>
          <t>Headwind</t>
        </is>
      </c>
      <c r="AE356" s="30">
        <f>IF(AD356="Tailwind",10,0)</f>
        <v/>
      </c>
      <c r="AF356" s="30" t="inlineStr">
        <is>
          <t>Structural (10 Years Consistency)</t>
        </is>
      </c>
      <c r="AG356" s="30">
        <f>IF(AF356="Structural (10 Years Consistency)",10,IF(AF356="Shallow Cyclical (2 to 3 years growth)",5,0))</f>
        <v/>
      </c>
      <c r="AH356" s="30" t="inlineStr">
        <is>
          <t>No</t>
        </is>
      </c>
      <c r="AI356" s="30">
        <f>IF(AH356="Yes due to Product Mix change or Operating Leverage",10,IF(AH356="Yes, these are peak margins",-5,IF(AH356="No",5,0)))</f>
        <v/>
      </c>
      <c r="AJ356" s="30" t="inlineStr">
        <is>
          <t>Stable</t>
        </is>
      </c>
      <c r="AK356" s="30">
        <f>IF(AJ356="Stable",10,0)</f>
        <v/>
      </c>
      <c r="AL356" s="30" t="inlineStr">
        <is>
          <t>Yes</t>
        </is>
      </c>
      <c r="AM356" s="30">
        <f>IF(AL356="Yes",10,0)</f>
        <v/>
      </c>
      <c r="AN356" s="30" t="inlineStr">
        <is>
          <t>B2B</t>
        </is>
      </c>
      <c r="AO356" s="30">
        <f>IF(AN356="B2C",10,IF(AN356="B2B",5,0))</f>
        <v/>
      </c>
      <c r="AP356" s="30" t="inlineStr">
        <is>
          <t>Yes</t>
        </is>
      </c>
      <c r="AQ356" s="30">
        <f>IF(AP356="Yes",10,0)</f>
        <v/>
      </c>
      <c r="AR356" s="30" t="inlineStr">
        <is>
          <t>Higher One Time, Lower Annuity</t>
        </is>
      </c>
      <c r="AS356" s="30">
        <f>IF(AR356="Fully Annuity",10,IF(AR356="Higher Annuity, Lower One Time",5,IF(AR356="Higher One Time, Lower Annuity",3,0)))</f>
        <v/>
      </c>
      <c r="AT356" s="30" t="inlineStr">
        <is>
          <t>Good</t>
        </is>
      </c>
      <c r="AU356" s="30">
        <f>IF(AT356="Good",10,0)</f>
        <v/>
      </c>
      <c r="AV356" s="30" t="inlineStr">
        <is>
          <t>Yes for more than 2 years</t>
        </is>
      </c>
      <c r="AW356" s="30">
        <f>IF(AV356="Yes for more than 2 years",10,IF(AV356="Yes only for next 1 to 2 years",5,0))</f>
        <v/>
      </c>
      <c r="AX356" s="30" t="inlineStr">
        <is>
          <t>0 to 20</t>
        </is>
      </c>
      <c r="AY356" s="30">
        <f>IF(AX356="Above 40",20,IF(AX356="20 to 40",10,IF(AX356="0 to 20",-5,0)))</f>
        <v/>
      </c>
      <c r="AZ356" s="30" t="inlineStr">
        <is>
          <t>Between 50 to 75</t>
        </is>
      </c>
      <c r="BA356" s="30">
        <f>IF(AZ356="Between 50 to 75",10,IF(AZ356="Above 75",0,0))</f>
        <v/>
      </c>
      <c r="BB356" s="30" t="inlineStr">
        <is>
          <t>Stage 1</t>
        </is>
      </c>
      <c r="BC356" s="30">
        <f>IF(BB356="Stage 2",20,IF(BB356="Stage 1",0,IF(BB356="Stage 3",5,IF(BB356="Stage 4",-5,0))))</f>
        <v/>
      </c>
      <c r="BD356" s="30" t="inlineStr">
        <is>
          <t>Positive Trend</t>
        </is>
      </c>
      <c r="BE356" s="30">
        <f>IF(BD356="Positive Trend",20,IF(BD356="Negative Trend",-10,0))</f>
        <v/>
      </c>
      <c r="BF356" s="30" t="inlineStr">
        <is>
          <t>Uptrend</t>
        </is>
      </c>
      <c r="BG356" s="30">
        <f>IF(BF356="Uptrend",10,IF(BF356="Sideways",5,0))</f>
        <v/>
      </c>
      <c r="BH356" s="30" t="inlineStr">
        <is>
          <t>Uptrend</t>
        </is>
      </c>
      <c r="BI356" s="30">
        <f>IF(BH356="Uptrend",10,IF(BH356="Sideways",5,0))</f>
        <v/>
      </c>
      <c r="BJ356" s="30" t="inlineStr">
        <is>
          <t>Close to 52 week high or retracement</t>
        </is>
      </c>
      <c r="BK356" s="30">
        <f>IF(BJ356="Overhead supply in last 2 years in last 2 years",-5,IF(BJ356="Close to 52 week high or retracement",5,IF(BJ356="Blue sky scenario",10,IF(BJ356="Long term Downtrend",-10,0))))</f>
        <v/>
      </c>
      <c r="BL356" s="30" t="inlineStr">
        <is>
          <t>Yes</t>
        </is>
      </c>
      <c r="BM356" s="30">
        <f>IF(BL356="Yes",10,0)</f>
        <v/>
      </c>
      <c r="BN356" s="30" t="inlineStr">
        <is>
          <t>Less than 12%</t>
        </is>
      </c>
      <c r="BO356" s="30">
        <f>IF(BN356="More than 20%",10,IF(BN356="Between 12 to 20%",5,IF(BN356="Less than 12%",0,0)))</f>
        <v/>
      </c>
      <c r="BP356" s="30" t="inlineStr">
        <is>
          <t>No</t>
        </is>
      </c>
      <c r="BQ356" s="30">
        <f>IF(BP356="No",10,0)</f>
        <v/>
      </c>
      <c r="BR356" s="30" t="inlineStr">
        <is>
          <t>Yes</t>
        </is>
      </c>
      <c r="BS356" s="30">
        <f>IF(BR356="NO",5,0)</f>
        <v/>
      </c>
      <c r="BT356" s="30" t="inlineStr">
        <is>
          <t>Above 2</t>
        </is>
      </c>
      <c r="BU356" s="30">
        <f>IF(BT356="Above 2",0,IF(BT356="Between 1.5 to 2",5,IF(BT356="Less than 1.5",10,0)))</f>
        <v/>
      </c>
      <c r="BV356" s="30" t="inlineStr">
        <is>
          <t>Negative</t>
        </is>
      </c>
      <c r="BW356" s="30">
        <f>IF(BV356="Above 70%",10,IF(BV356="Between 50% to 70%",5,IF(BV356="Less than 50%",0,IF(BV356="Negative",-10,IF(BV356="Less than 50% and Borrowings are increasing",-5,0)))))</f>
        <v/>
      </c>
      <c r="BX356" s="30" t="inlineStr">
        <is>
          <t>Less than 0.7</t>
        </is>
      </c>
      <c r="BY356" s="30">
        <f>IF(BX356="More than 1.2",-10,IF(BX356="Between 0.7 to 1.2",0,IF(BX356="Less than 0.7",10,0)))</f>
        <v/>
      </c>
      <c r="BZ356" s="30" t="inlineStr">
        <is>
          <t>No</t>
        </is>
      </c>
      <c r="CA356" s="30">
        <f>IF(BZ356="Yes",-10,0)</f>
        <v/>
      </c>
      <c r="CB356" s="30" t="inlineStr">
        <is>
          <t>Less than 15%</t>
        </is>
      </c>
      <c r="CC356" s="30">
        <f>IF(CB356="More than 15%",-10,IF(CB356="Less than 15%",10,0))</f>
        <v/>
      </c>
      <c r="CD356" s="30" t="inlineStr">
        <is>
          <t>No</t>
        </is>
      </c>
      <c r="CE356" s="30">
        <f>IF(CD356="Yes, more than 10%",-10,IF(CD356="No",10,0))</f>
        <v/>
      </c>
    </row>
    <row r="357">
      <c r="A357" s="30">
        <f>IF(B357=0,"",RANK(B357,$B$2:$B$361,0))</f>
        <v/>
      </c>
      <c r="B357" s="31">
        <f>SUM(N357,Y357,AA357,AC357,AE357,AG357,AI357,AK357,AM357,AO357,AQ357,AS357,AU357,AW357,AY357,BA357,BC357,BE357,BG357,BI357,BK357,BM357,BO357,BQ357,BS357,BU357,BW357,BY357,CA357,CC357,CE357)</f>
        <v/>
      </c>
      <c r="C357" s="30" t="inlineStr">
        <is>
          <t>BALAMINES</t>
        </is>
      </c>
      <c r="D357" s="30" t="inlineStr">
        <is>
          <t>Balaji Amines Limited</t>
        </is>
      </c>
      <c r="E357" s="30" t="inlineStr">
        <is>
          <t>chemicals</t>
        </is>
      </c>
      <c r="F357" s="30" t="inlineStr">
        <is>
          <t>chemicals</t>
        </is>
      </c>
      <c r="G357" s="30" t="inlineStr">
        <is>
          <t>midcap</t>
        </is>
      </c>
      <c r="H357" s="31" t="n">
        <v>6728.07</v>
      </c>
      <c r="I357" s="31" t="n">
        <v>2152.4</v>
      </c>
      <c r="J357" s="31" t="n">
        <v>3.66</v>
      </c>
      <c r="K357" s="31" t="n">
        <v>222819</v>
      </c>
      <c r="L357" s="30" t="n">
        <v>90</v>
      </c>
      <c r="M357" s="30" t="inlineStr">
        <is>
          <t>Outperforming</t>
        </is>
      </c>
      <c r="N357" s="31">
        <f>IF(M357="Underperforming",-5,IF(L357&gt;=95,15,IF(L357&gt;=90,10,IF(L357&gt;=80,5,0))))</f>
        <v/>
      </c>
      <c r="O357" s="31" t="n">
        <v>82.78</v>
      </c>
      <c r="P357" s="31" t="n">
        <v>42.44</v>
      </c>
      <c r="Q357" s="31" t="n">
        <v>1619.27</v>
      </c>
      <c r="R357" s="30" t="inlineStr">
        <is>
          <t>Near 52W High Breakout</t>
        </is>
      </c>
      <c r="S357" s="30" t="inlineStr">
        <is>
          <t>Nifty 50</t>
        </is>
      </c>
      <c r="T357" s="31" t="n">
        <v>-4.09</v>
      </c>
      <c r="U357" s="31" t="n">
        <v>56.2</v>
      </c>
      <c r="V357" s="31" t="n">
        <v>62.86</v>
      </c>
      <c r="W357" s="31" t="n">
        <v>36.38</v>
      </c>
      <c r="X357" s="30" t="inlineStr">
        <is>
          <t>Growing Industry</t>
        </is>
      </c>
      <c r="Y357" s="30">
        <f>IF(X357="Growing Industry",10,IF(X357="Cyclical in an Upturn",5,0))</f>
        <v/>
      </c>
      <c r="Z357" s="30" t="inlineStr">
        <is>
          <t>Duopoly That Cooperate</t>
        </is>
      </c>
      <c r="AA357" s="30">
        <f>IF(Z357="Monopoly",10,IF(Z357="Oligopoly",5,IF(Z357="Duopoly that cooperate",10,IF(Z357="Duopoly that compete",5,IF(Z357="Too many players with High ROCE",5,0)))))</f>
        <v/>
      </c>
      <c r="AB357" s="30" t="inlineStr">
        <is>
          <t>No</t>
        </is>
      </c>
      <c r="AC357" s="30">
        <f>IF(AB357="No",5,0)</f>
        <v/>
      </c>
      <c r="AD357" s="30" t="inlineStr">
        <is>
          <t>Headwind</t>
        </is>
      </c>
      <c r="AE357" s="30">
        <f>IF(AD357="Tailwind",10,0)</f>
        <v/>
      </c>
      <c r="AF357" s="30" t="inlineStr">
        <is>
          <t>Shallow Cyclical (2 to 3 Years Growth)</t>
        </is>
      </c>
      <c r="AG357" s="30">
        <f>IF(AF357="Structural (10 Years Consistency)",10,IF(AF357="Shallow Cyclical (2 to 3 years growth)",5,0))</f>
        <v/>
      </c>
      <c r="AH357" s="30" t="inlineStr">
        <is>
          <t>No</t>
        </is>
      </c>
      <c r="AI357" s="30">
        <f>IF(AH357="Yes due to Product Mix change or Operating Leverage",10,IF(AH357="Yes, these are peak margins",-5,IF(AH357="No",5,0)))</f>
        <v/>
      </c>
      <c r="AJ357" s="30" t="inlineStr">
        <is>
          <t>Stable</t>
        </is>
      </c>
      <c r="AK357" s="30">
        <f>IF(AJ357="Stable",10,0)</f>
        <v/>
      </c>
      <c r="AL357" s="30" t="inlineStr">
        <is>
          <t>Yes</t>
        </is>
      </c>
      <c r="AM357" s="30">
        <f>IF(AL357="Yes",10,0)</f>
        <v/>
      </c>
      <c r="AN357" s="30" t="inlineStr">
        <is>
          <t>B2B</t>
        </is>
      </c>
      <c r="AO357" s="30">
        <f>IF(AN357="B2C",10,IF(AN357="B2B",5,0))</f>
        <v/>
      </c>
      <c r="AP357" s="30" t="inlineStr">
        <is>
          <t>Yes</t>
        </is>
      </c>
      <c r="AQ357" s="30">
        <f>IF(AP357="Yes",10,0)</f>
        <v/>
      </c>
      <c r="AR357" s="30" t="inlineStr">
        <is>
          <t>Higher One Time, Lower Annuity</t>
        </is>
      </c>
      <c r="AS357" s="30">
        <f>IF(AR357="Fully Annuity",10,IF(AR357="Higher Annuity, Lower One Time",5,IF(AR357="Higher One Time, Lower Annuity",3,0)))</f>
        <v/>
      </c>
      <c r="AT357" s="30" t="inlineStr">
        <is>
          <t>Good</t>
        </is>
      </c>
      <c r="AU357" s="30">
        <f>IF(AT357="Good",10,0)</f>
        <v/>
      </c>
      <c r="AV357" s="30" t="inlineStr">
        <is>
          <t>Yes for more than 2 years</t>
        </is>
      </c>
      <c r="AW357" s="30">
        <f>IF(AV357="Yes for more than 2 years",10,IF(AV357="Yes only for next 1 to 2 years",5,0))</f>
        <v/>
      </c>
      <c r="AX357" s="30" t="inlineStr">
        <is>
          <t>20 to 40</t>
        </is>
      </c>
      <c r="AY357" s="30">
        <f>IF(AX357="Above 40",20,IF(AX357="20 to 40",10,IF(AX357="0 to 20",-5,0)))</f>
        <v/>
      </c>
      <c r="AZ357" s="30" t="inlineStr">
        <is>
          <t>Between 50 to 75</t>
        </is>
      </c>
      <c r="BA357" s="30">
        <f>IF(AZ357="Between 50 to 75",10,IF(AZ357="Above 75",0,0))</f>
        <v/>
      </c>
      <c r="BB357" s="30" t="inlineStr">
        <is>
          <t>Stage 4</t>
        </is>
      </c>
      <c r="BC357" s="30">
        <f>IF(BB357="Stage 2",20,IF(BB357="Stage 1",0,IF(BB357="Stage 3",5,IF(BB357="Stage 4",-5,0))))</f>
        <v/>
      </c>
      <c r="BD357" s="30" t="inlineStr">
        <is>
          <t>Negative Trend</t>
        </is>
      </c>
      <c r="BE357" s="30">
        <f>IF(BD357="Positive Trend",20,IF(BD357="Negative Trend",-10,0))</f>
        <v/>
      </c>
      <c r="BF357" s="30" t="inlineStr">
        <is>
          <t>Downtrend</t>
        </is>
      </c>
      <c r="BG357" s="30">
        <f>IF(BF357="Uptrend",10,IF(BF357="Sideways",5,0))</f>
        <v/>
      </c>
      <c r="BH357" s="30" t="inlineStr">
        <is>
          <t>Uptrend</t>
        </is>
      </c>
      <c r="BI357" s="30">
        <f>IF(BH357="Uptrend",10,IF(BH357="Sideways",5,0))</f>
        <v/>
      </c>
      <c r="BJ357" s="30" t="inlineStr">
        <is>
          <t>Overhead supply in last 2 years in last 2 years</t>
        </is>
      </c>
      <c r="BK357" s="30">
        <f>IF(BJ357="Overhead supply in last 2 years in last 2 years",-5,IF(BJ357="Close to 52 week high or retracement",5,IF(BJ357="Blue sky scenario",10,IF(BJ357="Long term Downtrend",-10,0))))</f>
        <v/>
      </c>
      <c r="BL357" s="30" t="inlineStr">
        <is>
          <t>No</t>
        </is>
      </c>
      <c r="BM357" s="30">
        <f>IF(BL357="Yes",10,0)</f>
        <v/>
      </c>
      <c r="BN357" s="30" t="inlineStr">
        <is>
          <t>More than 20%</t>
        </is>
      </c>
      <c r="BO357" s="30">
        <f>IF(BN357="More than 20%",10,IF(BN357="Between 12 to 20%",5,IF(BN357="Less than 12%",0,0)))</f>
        <v/>
      </c>
      <c r="BP357" s="30" t="inlineStr">
        <is>
          <t>No</t>
        </is>
      </c>
      <c r="BQ357" s="30">
        <f>IF(BP357="No",10,0)</f>
        <v/>
      </c>
      <c r="BR357" s="30" t="inlineStr">
        <is>
          <t>Yes</t>
        </is>
      </c>
      <c r="BS357" s="30">
        <f>IF(BR357="NO",5,0)</f>
        <v/>
      </c>
      <c r="BT357" s="30" t="inlineStr">
        <is>
          <t>Less than 1.5</t>
        </is>
      </c>
      <c r="BU357" s="30">
        <f>IF(BT357="Above 2",0,IF(BT357="Between 1.5 to 2",5,IF(BT357="Less than 1.5",10,0)))</f>
        <v/>
      </c>
      <c r="BV357" s="30" t="inlineStr">
        <is>
          <t>Between 50% to 70%</t>
        </is>
      </c>
      <c r="BW357" s="30">
        <f>IF(BV357="Above 70%",10,IF(BV357="Between 50% to 70%",5,IF(BV357="Less than 50%",0,IF(BV357="Negative",-10,IF(BV357="Less than 50% and Borrowings are increasing",-5,0)))))</f>
        <v/>
      </c>
      <c r="BX357" s="30" t="inlineStr">
        <is>
          <t>Less than 0.7</t>
        </is>
      </c>
      <c r="BY357" s="30">
        <f>IF(BX357="More than 1.2",-10,IF(BX357="Between 0.7 to 1.2",0,IF(BX357="Less than 0.7",10,0)))</f>
        <v/>
      </c>
      <c r="BZ357" s="30" t="inlineStr">
        <is>
          <t>No</t>
        </is>
      </c>
      <c r="CA357" s="30">
        <f>IF(BZ357="Yes",-10,0)</f>
        <v/>
      </c>
      <c r="CB357" s="30" t="inlineStr">
        <is>
          <t>Less than 15%</t>
        </is>
      </c>
      <c r="CC357" s="30">
        <f>IF(CB357="More than 15%",-10,IF(CB357="Less than 15%",10,0))</f>
        <v/>
      </c>
      <c r="CD357" s="30" t="inlineStr">
        <is>
          <t>No</t>
        </is>
      </c>
      <c r="CE357" s="30">
        <f>IF(CD357="Yes, more than 10%",-10,IF(CD357="No",10,0))</f>
        <v/>
      </c>
    </row>
    <row r="358">
      <c r="A358" s="30">
        <f>IF(B358=0,"",RANK(B358,$B$2:$B$361,0))</f>
        <v/>
      </c>
      <c r="B358" s="31">
        <f>SUM(N358,Y358,AA358,AC358,AE358,AG358,AI358,AK358,AM358,AO358,AQ358,AS358,AU358,AW358,AY358,BA358,BC358,BE358,BG358,BI358,BK358,BM358,BO358,BQ358,BS358,BU358,BW358,BY358,CA358,CC358,CE358)</f>
        <v/>
      </c>
      <c r="C358" s="30" t="inlineStr">
        <is>
          <t>ARVSMART</t>
        </is>
      </c>
      <c r="D358" s="30" t="inlineStr">
        <is>
          <t>Arvind Smartspaces Limited</t>
        </is>
      </c>
      <c r="E358" s="30" t="inlineStr">
        <is>
          <t>realty</t>
        </is>
      </c>
      <c r="F358" s="30" t="inlineStr">
        <is>
          <t>construction</t>
        </is>
      </c>
      <c r="G358" s="30" t="inlineStr">
        <is>
          <t>smallcap</t>
        </is>
      </c>
      <c r="H358" s="31" t="n">
        <v>2771.74</v>
      </c>
      <c r="I358" s="31" t="n">
        <v>616.45</v>
      </c>
      <c r="J358" s="31" t="n">
        <v>2.01</v>
      </c>
      <c r="K358" s="31" t="n">
        <v>293992</v>
      </c>
      <c r="L358" s="30" t="n">
        <v>4</v>
      </c>
      <c r="M358" s="30" t="inlineStr">
        <is>
          <t>Outperforming</t>
        </is>
      </c>
      <c r="N358" s="31">
        <f>IF(M358="Underperforming",-5,IF(L358&gt;=95,15,IF(L358&gt;=90,10,IF(L358&gt;=80,5,0))))</f>
        <v/>
      </c>
      <c r="O358" s="31" t="n">
        <v>54.67</v>
      </c>
      <c r="P358" s="31" t="n">
        <v>16.98</v>
      </c>
      <c r="Q358" s="31" t="n">
        <v>486.87</v>
      </c>
      <c r="R358" s="30" t="inlineStr">
        <is>
          <t>Volume Spike / Accumulation</t>
        </is>
      </c>
      <c r="S358" s="30" t="inlineStr">
        <is>
          <t>Nifty Realty</t>
        </is>
      </c>
      <c r="T358" s="31" t="n">
        <v>-19.64</v>
      </c>
      <c r="U358" s="31" t="n">
        <v>-6.38</v>
      </c>
      <c r="V358" s="31" t="n">
        <v>16.5</v>
      </c>
      <c r="W358" s="31" t="n">
        <v>2.17</v>
      </c>
      <c r="X358" s="30" t="inlineStr">
        <is>
          <t>Growing Industry</t>
        </is>
      </c>
      <c r="Y358" s="30">
        <f>IF(X358="Growing Industry",10,IF(X358="Cyclical in an Upturn",5,0))</f>
        <v/>
      </c>
      <c r="Z358" s="30" t="inlineStr">
        <is>
          <t>Too Many Players with High ROCE</t>
        </is>
      </c>
      <c r="AA358" s="30">
        <f>IF(Z358="Monopoly",10,IF(Z358="Oligopoly",5,IF(Z358="Duopoly that cooperate",10,IF(Z358="Duopoly that compete",5,IF(Z358="Too many players with High ROCE",5,0)))))</f>
        <v/>
      </c>
      <c r="AB358" s="30" t="inlineStr">
        <is>
          <t>No</t>
        </is>
      </c>
      <c r="AC358" s="30">
        <f>IF(AB358="No",5,0)</f>
        <v/>
      </c>
      <c r="AD358" s="30" t="inlineStr">
        <is>
          <t>Tailwind</t>
        </is>
      </c>
      <c r="AE358" s="30">
        <f>IF(AD358="Tailwind",10,0)</f>
        <v/>
      </c>
      <c r="AF358" s="30" t="inlineStr">
        <is>
          <t>Structural (10 Years Consistency)</t>
        </is>
      </c>
      <c r="AG358" s="30">
        <f>IF(AF358="Structural (10 Years Consistency)",10,IF(AF358="Shallow Cyclical (2 to 3 years growth)",5,0))</f>
        <v/>
      </c>
      <c r="AH358" s="30" t="inlineStr">
        <is>
          <t>No</t>
        </is>
      </c>
      <c r="AI358" s="30">
        <f>IF(AH358="Yes due to Product Mix change or Operating Leverage",10,IF(AH358="Yes, these are peak margins",-5,IF(AH358="No",5,0)))</f>
        <v/>
      </c>
      <c r="AJ358" s="30" t="inlineStr">
        <is>
          <t>Stable</t>
        </is>
      </c>
      <c r="AK358" s="30">
        <f>IF(AJ358="Stable",10,0)</f>
        <v/>
      </c>
      <c r="AL358" s="30" t="inlineStr">
        <is>
          <t>Yes</t>
        </is>
      </c>
      <c r="AM358" s="30">
        <f>IF(AL358="Yes",10,0)</f>
        <v/>
      </c>
      <c r="AN358" s="30" t="inlineStr">
        <is>
          <t>B2B</t>
        </is>
      </c>
      <c r="AO358" s="30">
        <f>IF(AN358="B2C",10,IF(AN358="B2B",5,0))</f>
        <v/>
      </c>
      <c r="AP358" s="30" t="inlineStr">
        <is>
          <t>Yes</t>
        </is>
      </c>
      <c r="AQ358" s="30">
        <f>IF(AP358="Yes",10,0)</f>
        <v/>
      </c>
      <c r="AR358" s="30" t="inlineStr">
        <is>
          <t>Higher One Time, Lower Annuity</t>
        </is>
      </c>
      <c r="AS358" s="30">
        <f>IF(AR358="Fully Annuity",10,IF(AR358="Higher Annuity, Lower One Time",5,IF(AR358="Higher One Time, Lower Annuity",3,0)))</f>
        <v/>
      </c>
      <c r="AT358" s="30" t="inlineStr">
        <is>
          <t>Good</t>
        </is>
      </c>
      <c r="AU358" s="30">
        <f>IF(AT358="Good",10,0)</f>
        <v/>
      </c>
      <c r="AV358" s="30" t="inlineStr">
        <is>
          <t>Yes for more than 2 years</t>
        </is>
      </c>
      <c r="AW358" s="30">
        <f>IF(AV358="Yes for more than 2 years",10,IF(AV358="Yes only for next 1 to 2 years",5,0))</f>
        <v/>
      </c>
      <c r="AX358" s="30" t="inlineStr">
        <is>
          <t>0 to 20</t>
        </is>
      </c>
      <c r="AY358" s="30">
        <f>IF(AX358="Above 40",20,IF(AX358="20 to 40",10,IF(AX358="0 to 20",-5,0)))</f>
        <v/>
      </c>
      <c r="AZ358" s="30" t="inlineStr">
        <is>
          <t>Between 50 to 75</t>
        </is>
      </c>
      <c r="BA358" s="30">
        <f>IF(AZ358="Between 50 to 75",10,IF(AZ358="Above 75",0,0))</f>
        <v/>
      </c>
      <c r="BB358" s="30" t="inlineStr">
        <is>
          <t>Stage 1</t>
        </is>
      </c>
      <c r="BC358" s="30">
        <f>IF(BB358="Stage 2",20,IF(BB358="Stage 1",0,IF(BB358="Stage 3",5,IF(BB358="Stage 4",-5,0))))</f>
        <v/>
      </c>
      <c r="BD358" s="30" t="inlineStr">
        <is>
          <t>Negative Trend</t>
        </is>
      </c>
      <c r="BE358" s="30">
        <f>IF(BD358="Positive Trend",20,IF(BD358="Negative Trend",-10,0))</f>
        <v/>
      </c>
      <c r="BF358" s="30" t="inlineStr">
        <is>
          <t>Uptrend</t>
        </is>
      </c>
      <c r="BG358" s="30">
        <f>IF(BF358="Uptrend",10,IF(BF358="Sideways",5,0))</f>
        <v/>
      </c>
      <c r="BH358" s="30" t="inlineStr">
        <is>
          <t>Uptrend</t>
        </is>
      </c>
      <c r="BI358" s="30">
        <f>IF(BH358="Uptrend",10,IF(BH358="Sideways",5,0))</f>
        <v/>
      </c>
      <c r="BJ358" s="30" t="inlineStr">
        <is>
          <t>Close to 52 week high or retracement</t>
        </is>
      </c>
      <c r="BK358" s="30">
        <f>IF(BJ358="Overhead supply in last 2 years in last 2 years",-5,IF(BJ358="Close to 52 week high or retracement",5,IF(BJ358="Blue sky scenario",10,IF(BJ358="Long term Downtrend",-10,0))))</f>
        <v/>
      </c>
      <c r="BL358" s="30" t="inlineStr">
        <is>
          <t>Yes</t>
        </is>
      </c>
      <c r="BM358" s="30">
        <f>IF(BL358="Yes",10,0)</f>
        <v/>
      </c>
      <c r="BN358" s="30" t="inlineStr">
        <is>
          <t>More than 20%</t>
        </is>
      </c>
      <c r="BO358" s="30">
        <f>IF(BN358="More than 20%",10,IF(BN358="Between 12 to 20%",5,IF(BN358="Less than 12%",0,0)))</f>
        <v/>
      </c>
      <c r="BP358" s="30" t="inlineStr">
        <is>
          <t>No</t>
        </is>
      </c>
      <c r="BQ358" s="30">
        <f>IF(BP358="No",10,0)</f>
        <v/>
      </c>
      <c r="BR358" s="30" t="inlineStr">
        <is>
          <t>No</t>
        </is>
      </c>
      <c r="BS358" s="30">
        <f>IF(BR358="NO",5,0)</f>
        <v/>
      </c>
      <c r="BT358" s="30" t="inlineStr">
        <is>
          <t>Above 2</t>
        </is>
      </c>
      <c r="BU358" s="30">
        <f>IF(BT358="Above 2",0,IF(BT358="Between 1.5 to 2",5,IF(BT358="Less than 1.5",10,0)))</f>
        <v/>
      </c>
      <c r="BV358" s="30" t="inlineStr">
        <is>
          <t>Negative</t>
        </is>
      </c>
      <c r="BW358" s="30">
        <f>IF(BV358="Above 70%",10,IF(BV358="Between 50% to 70%",5,IF(BV358="Less than 50%",0,IF(BV358="Negative",-10,IF(BV358="Less than 50% and Borrowings are increasing",-5,0)))))</f>
        <v/>
      </c>
      <c r="BX358" s="30" t="inlineStr">
        <is>
          <t>Less than 0.7</t>
        </is>
      </c>
      <c r="BY358" s="30">
        <f>IF(BX358="More than 1.2",-10,IF(BX358="Between 0.7 to 1.2",0,IF(BX358="Less than 0.7",10,0)))</f>
        <v/>
      </c>
      <c r="BZ358" s="30" t="inlineStr">
        <is>
          <t>No</t>
        </is>
      </c>
      <c r="CA358" s="30">
        <f>IF(BZ358="Yes",-10,0)</f>
        <v/>
      </c>
      <c r="CB358" s="30" t="inlineStr">
        <is>
          <t>Less than 15%</t>
        </is>
      </c>
      <c r="CC358" s="30">
        <f>IF(CB358="More than 15%",-10,IF(CB358="Less than 15%",10,0))</f>
        <v/>
      </c>
      <c r="CD358" s="30" t="inlineStr">
        <is>
          <t>No</t>
        </is>
      </c>
      <c r="CE358" s="30">
        <f>IF(CD358="Yes, more than 10%",-10,IF(CD358="No",10,0))</f>
        <v/>
      </c>
    </row>
    <row r="359">
      <c r="A359" s="30">
        <f>IF(B359=0,"",RANK(B359,$B$2:$B$361,0))</f>
        <v/>
      </c>
      <c r="B359" s="31">
        <f>SUM(N359,Y359,AA359,AC359,AE359,AG359,AI359,AK359,AM359,AO359,AQ359,AS359,AU359,AW359,AY359,BA359,BC359,BE359,BG359,BI359,BK359,BM359,BO359,BQ359,BS359,BU359,BW359,BY359,CA359,CC359,CE359)</f>
        <v/>
      </c>
      <c r="C359" s="30" t="inlineStr">
        <is>
          <t>GNFC</t>
        </is>
      </c>
      <c r="D359" s="30" t="inlineStr">
        <is>
          <t>Gujarat Narmada Valley Fertilizers And Chemicals Limited</t>
        </is>
      </c>
      <c r="E359" s="30" t="inlineStr">
        <is>
          <t>chemicals</t>
        </is>
      </c>
      <c r="F359" s="30" t="inlineStr">
        <is>
          <t>chemicals</t>
        </is>
      </c>
      <c r="G359" s="30" t="inlineStr">
        <is>
          <t>midcap</t>
        </is>
      </c>
      <c r="H359" s="31" t="n">
        <v>7876.76</v>
      </c>
      <c r="I359" s="31" t="n">
        <v>559.25</v>
      </c>
      <c r="J359" s="31" t="n">
        <v>4.33</v>
      </c>
      <c r="K359" s="31" t="n">
        <v>1634180</v>
      </c>
      <c r="L359" s="30" t="n">
        <v>42</v>
      </c>
      <c r="M359" s="30" t="inlineStr">
        <is>
          <t>Outperforming</t>
        </is>
      </c>
      <c r="N359" s="31">
        <f>IF(M359="Underperforming",-5,IF(L359&gt;=95,15,IF(L359&gt;=90,10,IF(L359&gt;=80,5,0))))</f>
        <v/>
      </c>
      <c r="O359" s="31" t="n">
        <v>68.22</v>
      </c>
      <c r="P359" s="31" t="n">
        <v>28.62</v>
      </c>
      <c r="Q359" s="31" t="n">
        <v>457.48</v>
      </c>
      <c r="R359" s="30" t="inlineStr">
        <is>
          <t>Near 52W High Breakout</t>
        </is>
      </c>
      <c r="S359" s="30" t="inlineStr">
        <is>
          <t>Nifty 50</t>
        </is>
      </c>
      <c r="T359" s="31" t="n">
        <v>-4.09</v>
      </c>
      <c r="U359" s="31" t="n">
        <v>10.67</v>
      </c>
      <c r="V359" s="31" t="n">
        <v>15.39</v>
      </c>
      <c r="W359" s="31" t="n">
        <v>10.96</v>
      </c>
      <c r="X359" s="30" t="inlineStr">
        <is>
          <t>Growing Industry</t>
        </is>
      </c>
      <c r="Y359" s="30">
        <f>IF(X359="Growing Industry",10,IF(X359="Cyclical in an Upturn",5,0))</f>
        <v/>
      </c>
      <c r="Z359" s="30" t="inlineStr">
        <is>
          <t>Oligopoly</t>
        </is>
      </c>
      <c r="AA359" s="30">
        <f>IF(Z359="Monopoly",10,IF(Z359="Oligopoly",5,IF(Z359="Duopoly that cooperate",10,IF(Z359="Duopoly that compete",5,IF(Z359="Too many players with High ROCE",5,0)))))</f>
        <v/>
      </c>
      <c r="AB359" s="30" t="inlineStr">
        <is>
          <t>No</t>
        </is>
      </c>
      <c r="AC359" s="30">
        <f>IF(AB359="No",5,0)</f>
        <v/>
      </c>
      <c r="AD359" s="30" t="inlineStr">
        <is>
          <t>Tailwind</t>
        </is>
      </c>
      <c r="AE359" s="30">
        <f>IF(AD359="Tailwind",10,0)</f>
        <v/>
      </c>
      <c r="AF359" s="30" t="inlineStr">
        <is>
          <t>Shallow Cyclical (2 to 3 Years Growth)</t>
        </is>
      </c>
      <c r="AG359" s="30">
        <f>IF(AF359="Structural (10 Years Consistency)",10,IF(AF359="Shallow Cyclical (2 to 3 years growth)",5,0))</f>
        <v/>
      </c>
      <c r="AH359" s="30" t="inlineStr">
        <is>
          <t>Yes due to Product Mix change or Operating Leverage</t>
        </is>
      </c>
      <c r="AI359" s="30">
        <f>IF(AH359="Yes due to Product Mix change or Operating Leverage",10,IF(AH359="Yes, these are peak margins",-5,IF(AH359="No",5,0)))</f>
        <v/>
      </c>
      <c r="AJ359" s="30" t="inlineStr">
        <is>
          <t>Volatile</t>
        </is>
      </c>
      <c r="AK359" s="30">
        <f>IF(AJ359="Stable",10,0)</f>
        <v/>
      </c>
      <c r="AL359" s="30" t="inlineStr">
        <is>
          <t>Yes</t>
        </is>
      </c>
      <c r="AM359" s="30">
        <f>IF(AL359="Yes",10,0)</f>
        <v/>
      </c>
      <c r="AN359" s="30" t="inlineStr">
        <is>
          <t>B2B</t>
        </is>
      </c>
      <c r="AO359" s="30">
        <f>IF(AN359="B2C",10,IF(AN359="B2B",5,0))</f>
        <v/>
      </c>
      <c r="AP359" s="30" t="inlineStr">
        <is>
          <t>Yes</t>
        </is>
      </c>
      <c r="AQ359" s="30">
        <f>IF(AP359="Yes",10,0)</f>
        <v/>
      </c>
      <c r="AR359" s="30" t="inlineStr">
        <is>
          <t>Higher One Time, Lower Annuity</t>
        </is>
      </c>
      <c r="AS359" s="30">
        <f>IF(AR359="Fully Annuity",10,IF(AR359="Higher Annuity, Lower One Time",5,IF(AR359="Higher One Time, Lower Annuity",3,0)))</f>
        <v/>
      </c>
      <c r="AT359" s="30" t="inlineStr">
        <is>
          <t>Allocated capital in Non-core Areas</t>
        </is>
      </c>
      <c r="AU359" s="30">
        <f>IF(AT359="Good",10,0)</f>
        <v/>
      </c>
      <c r="AV359" s="30" t="inlineStr">
        <is>
          <t>Yes for more than 2 years</t>
        </is>
      </c>
      <c r="AW359" s="30">
        <f>IF(AV359="Yes for more than 2 years",10,IF(AV359="Yes only for next 1 to 2 years",5,0))</f>
        <v/>
      </c>
      <c r="AX359" s="30" t="inlineStr">
        <is>
          <t>Above 40</t>
        </is>
      </c>
      <c r="AY359" s="30">
        <f>IF(AX359="Above 40",20,IF(AX359="20 to 40",10,IF(AX359="0 to 20",-5,0)))</f>
        <v/>
      </c>
      <c r="AZ359" s="30" t="inlineStr">
        <is>
          <t>Between 50 to 75</t>
        </is>
      </c>
      <c r="BA359" s="30">
        <f>IF(AZ359="Between 50 to 75",10,IF(AZ359="Above 75",0,0))</f>
        <v/>
      </c>
      <c r="BB359" s="30" t="inlineStr">
        <is>
          <t>Stage 3</t>
        </is>
      </c>
      <c r="BC359" s="30">
        <f>IF(BB359="Stage 2",20,IF(BB359="Stage 1",0,IF(BB359="Stage 3",5,IF(BB359="Stage 4",-5,0))))</f>
        <v/>
      </c>
      <c r="BD359" s="30" t="inlineStr">
        <is>
          <t>Negative Trend</t>
        </is>
      </c>
      <c r="BE359" s="30">
        <f>IF(BD359="Positive Trend",20,IF(BD359="Negative Trend",-10,0))</f>
        <v/>
      </c>
      <c r="BF359" s="30" t="inlineStr">
        <is>
          <t>Sideways</t>
        </is>
      </c>
      <c r="BG359" s="30">
        <f>IF(BF359="Uptrend",10,IF(BF359="Sideways",5,0))</f>
        <v/>
      </c>
      <c r="BH359" s="30" t="inlineStr">
        <is>
          <t>Uptrend</t>
        </is>
      </c>
      <c r="BI359" s="30">
        <f>IF(BH359="Uptrend",10,IF(BH359="Sideways",5,0))</f>
        <v/>
      </c>
      <c r="BJ359" s="30" t="inlineStr">
        <is>
          <t>Overhead supply in last 2 years in last 2 years</t>
        </is>
      </c>
      <c r="BK359" s="30">
        <f>IF(BJ359="Overhead supply in last 2 years in last 2 years",-5,IF(BJ359="Close to 52 week high or retracement",5,IF(BJ359="Blue sky scenario",10,IF(BJ359="Long term Downtrend",-10,0))))</f>
        <v/>
      </c>
      <c r="BL359" s="30" t="inlineStr">
        <is>
          <t>Yes</t>
        </is>
      </c>
      <c r="BM359" s="30">
        <f>IF(BL359="Yes",10,0)</f>
        <v/>
      </c>
      <c r="BN359" s="30" t="inlineStr">
        <is>
          <t>More than 20%</t>
        </is>
      </c>
      <c r="BO359" s="30">
        <f>IF(BN359="More than 20%",10,IF(BN359="Between 12 to 20%",5,IF(BN359="Less than 12%",0,0)))</f>
        <v/>
      </c>
      <c r="BP359" s="30" t="inlineStr">
        <is>
          <t>No</t>
        </is>
      </c>
      <c r="BQ359" s="30">
        <f>IF(BP359="No",10,0)</f>
        <v/>
      </c>
      <c r="BR359" s="30" t="inlineStr">
        <is>
          <t>No</t>
        </is>
      </c>
      <c r="BS359" s="30">
        <f>IF(BR359="NO",5,0)</f>
        <v/>
      </c>
      <c r="BT359" s="30" t="inlineStr">
        <is>
          <t>Less than 1.5</t>
        </is>
      </c>
      <c r="BU359" s="30">
        <f>IF(BT359="Above 2",0,IF(BT359="Between 1.5 to 2",5,IF(BT359="Less than 1.5",10,0)))</f>
        <v/>
      </c>
      <c r="BV359" s="30" t="inlineStr">
        <is>
          <t>Above 70%</t>
        </is>
      </c>
      <c r="BW359" s="30">
        <f>IF(BV359="Above 70%",10,IF(BV359="Between 50% to 70%",5,IF(BV359="Less than 50%",0,IF(BV359="Negative",-10,IF(BV359="Less than 50% and Borrowings are increasing",-5,0)))))</f>
        <v/>
      </c>
      <c r="BX359" s="30" t="inlineStr">
        <is>
          <t>Less than 0.7</t>
        </is>
      </c>
      <c r="BY359" s="30">
        <f>IF(BX359="More than 1.2",-10,IF(BX359="Between 0.7 to 1.2",0,IF(BX359="Less than 0.7",10,0)))</f>
        <v/>
      </c>
      <c r="BZ359" s="30" t="inlineStr">
        <is>
          <t>No</t>
        </is>
      </c>
      <c r="CA359" s="30">
        <f>IF(BZ359="Yes",-10,0)</f>
        <v/>
      </c>
      <c r="CB359" s="30" t="inlineStr">
        <is>
          <t>More than 15%</t>
        </is>
      </c>
      <c r="CC359" s="30">
        <f>IF(CB359="More than 15%",-10,IF(CB359="Less than 15%",10,0))</f>
        <v/>
      </c>
      <c r="CD359" s="30" t="inlineStr">
        <is>
          <t>Yes Upto 10%</t>
        </is>
      </c>
      <c r="CE359" s="30">
        <f>IF(CD359="Yes, more than 10%",-10,IF(CD359="No",10,0))</f>
        <v/>
      </c>
    </row>
    <row r="360">
      <c r="A360" s="30">
        <f>IF(B360=0,"",RANK(B360,$B$2:$B$361,0))</f>
        <v/>
      </c>
      <c r="B360" s="31">
        <f>SUM(N360,Y360,AA360,AC360,AE360,AG360,AI360,AK360,AM360,AO360,AQ360,AS360,AU360,AW360,AY360,BA360,BC360,BE360,BG360,BI360,BK360,BM360,BO360,BQ360,BS360,BU360,BW360,BY360,CA360,CC360,CE360)</f>
        <v/>
      </c>
      <c r="C360" s="30" t="inlineStr">
        <is>
          <t>3MINDIA</t>
        </is>
      </c>
      <c r="D360" s="30" t="inlineStr">
        <is>
          <t>3m India Limited</t>
        </is>
      </c>
      <c r="E360" s="30" t="inlineStr">
        <is>
          <t>miscellaneous</t>
        </is>
      </c>
      <c r="F360" s="30" t="inlineStr">
        <is>
          <t>diversified - large</t>
        </is>
      </c>
      <c r="G360" s="30" t="inlineStr">
        <is>
          <t>largecap</t>
        </is>
      </c>
      <c r="H360" s="31" t="n">
        <v>36386.18</v>
      </c>
      <c r="I360" s="31" t="n">
        <v>33060</v>
      </c>
      <c r="J360" s="31" t="n">
        <v>2.35</v>
      </c>
      <c r="K360" s="31" t="n">
        <v>3525</v>
      </c>
      <c r="L360" s="30" t="n">
        <v>10</v>
      </c>
      <c r="M360" s="30" t="inlineStr">
        <is>
          <t>Outperforming</t>
        </is>
      </c>
      <c r="N360" s="31">
        <f>IF(M360="Underperforming",-5,IF(L360&gt;=95,15,IF(L360&gt;=90,10,IF(L360&gt;=80,5,0))))</f>
        <v/>
      </c>
      <c r="O360" s="31" t="n">
        <v>51.39</v>
      </c>
      <c r="P360" s="31" t="n">
        <v>10.58</v>
      </c>
      <c r="Q360" s="31" t="n">
        <v>27220.9</v>
      </c>
      <c r="R360" s="30" t="inlineStr">
        <is>
          <t>Earnings / Momentum Support</t>
        </is>
      </c>
      <c r="S360" s="30" t="inlineStr">
        <is>
          <t>Nifty 500</t>
        </is>
      </c>
      <c r="T360" s="31" t="n">
        <v>0.3</v>
      </c>
      <c r="U360" s="31" t="n">
        <v>18.03</v>
      </c>
      <c r="V360" s="31" t="n">
        <v>17.68</v>
      </c>
      <c r="W360" s="31" t="n">
        <v>4.16</v>
      </c>
      <c r="X360" s="30" t="inlineStr">
        <is>
          <t>Growing Industry</t>
        </is>
      </c>
      <c r="Y360" s="30">
        <f>IF(X360="Growing Industry",10,IF(X360="Cyclical in an Upturn",5,0))</f>
        <v/>
      </c>
      <c r="Z360" s="30" t="inlineStr">
        <is>
          <t>Too Many Players with High ROCE</t>
        </is>
      </c>
      <c r="AA360" s="30">
        <f>IF(Z360="Monopoly",10,IF(Z360="Oligopoly",5,IF(Z360="Duopoly that cooperate",10,IF(Z360="Duopoly that compete",5,IF(Z360="Too many players with High ROCE",5,0)))))</f>
        <v/>
      </c>
      <c r="AB360" s="30" t="inlineStr">
        <is>
          <t>No</t>
        </is>
      </c>
      <c r="AC360" s="30">
        <f>IF(AB360="No",5,0)</f>
        <v/>
      </c>
      <c r="AD360" s="30" t="inlineStr">
        <is>
          <t>Headwind</t>
        </is>
      </c>
      <c r="AE360" s="30">
        <f>IF(AD360="Tailwind",10,0)</f>
        <v/>
      </c>
      <c r="AF360" s="30" t="inlineStr">
        <is>
          <t>Structural (10 Years Consistency)</t>
        </is>
      </c>
      <c r="AG360" s="30">
        <f>IF(AF360="Structural (10 Years Consistency)",10,IF(AF360="Shallow Cyclical (2 to 3 years growth)",5,0))</f>
        <v/>
      </c>
      <c r="AH360" s="30" t="inlineStr">
        <is>
          <t>No</t>
        </is>
      </c>
      <c r="AI360" s="30">
        <f>IF(AH360="Yes due to Product Mix change or Operating Leverage",10,IF(AH360="Yes, these are peak margins",-5,IF(AH360="No",5,0)))</f>
        <v/>
      </c>
      <c r="AJ360" s="30" t="inlineStr">
        <is>
          <t>Stable</t>
        </is>
      </c>
      <c r="AK360" s="30">
        <f>IF(AJ360="Stable",10,0)</f>
        <v/>
      </c>
      <c r="AL360" s="30" t="inlineStr">
        <is>
          <t>Yes</t>
        </is>
      </c>
      <c r="AM360" s="30">
        <f>IF(AL360="Yes",10,0)</f>
        <v/>
      </c>
      <c r="AN360" s="30" t="inlineStr">
        <is>
          <t>B2B</t>
        </is>
      </c>
      <c r="AO360" s="30">
        <f>IF(AN360="B2C",10,IF(AN360="B2B",5,0))</f>
        <v/>
      </c>
      <c r="AP360" s="30" t="inlineStr">
        <is>
          <t>No</t>
        </is>
      </c>
      <c r="AQ360" s="30">
        <f>IF(AP360="Yes",10,0)</f>
        <v/>
      </c>
      <c r="AR360" s="30" t="inlineStr">
        <is>
          <t>Higher One Time, Lower Annuity</t>
        </is>
      </c>
      <c r="AS360" s="30">
        <f>IF(AR360="Fully Annuity",10,IF(AR360="Higher Annuity, Lower One Time",5,IF(AR360="Higher One Time, Lower Annuity",3,0)))</f>
        <v/>
      </c>
      <c r="AT360" s="30" t="inlineStr">
        <is>
          <t>Good</t>
        </is>
      </c>
      <c r="AU360" s="30">
        <f>IF(AT360="Good",10,0)</f>
        <v/>
      </c>
      <c r="AV360" s="30" t="inlineStr">
        <is>
          <t>Yes for more than 2 years</t>
        </is>
      </c>
      <c r="AW360" s="30">
        <f>IF(AV360="Yes for more than 2 years",10,IF(AV360="Yes only for next 1 to 2 years",5,0))</f>
        <v/>
      </c>
      <c r="AX360" s="30" t="inlineStr">
        <is>
          <t>0 to 20</t>
        </is>
      </c>
      <c r="AY360" s="30">
        <f>IF(AX360="Above 40",20,IF(AX360="20 to 40",10,IF(AX360="0 to 20",-5,0)))</f>
        <v/>
      </c>
      <c r="AZ360" s="30" t="inlineStr">
        <is>
          <t>Between 50 to 75</t>
        </is>
      </c>
      <c r="BA360" s="30">
        <f>IF(AZ360="Between 50 to 75",10,IF(AZ360="Above 75",0,0))</f>
        <v/>
      </c>
      <c r="BB360" s="30" t="inlineStr">
        <is>
          <t>Stage 1</t>
        </is>
      </c>
      <c r="BC360" s="30">
        <f>IF(BB360="Stage 2",20,IF(BB360="Stage 1",0,IF(BB360="Stage 3",5,IF(BB360="Stage 4",-5,0))))</f>
        <v/>
      </c>
      <c r="BD360" s="30" t="inlineStr">
        <is>
          <t>Negative Trend</t>
        </is>
      </c>
      <c r="BE360" s="30">
        <f>IF(BD360="Positive Trend",20,IF(BD360="Negative Trend",-10,0))</f>
        <v/>
      </c>
      <c r="BF360" s="30" t="inlineStr">
        <is>
          <t>Uptrend</t>
        </is>
      </c>
      <c r="BG360" s="30">
        <f>IF(BF360="Uptrend",10,IF(BF360="Sideways",5,0))</f>
        <v/>
      </c>
      <c r="BH360" s="30" t="inlineStr">
        <is>
          <t>Uptrend</t>
        </is>
      </c>
      <c r="BI360" s="30">
        <f>IF(BH360="Uptrend",10,IF(BH360="Sideways",5,0))</f>
        <v/>
      </c>
      <c r="BJ360" s="30" t="inlineStr">
        <is>
          <t>Close to 52 week high or retracement</t>
        </is>
      </c>
      <c r="BK360" s="30">
        <f>IF(BJ360="Overhead supply in last 2 years in last 2 years",-5,IF(BJ360="Close to 52 week high or retracement",5,IF(BJ360="Blue sky scenario",10,IF(BJ360="Long term Downtrend",-10,0))))</f>
        <v/>
      </c>
      <c r="BL360" s="30" t="inlineStr">
        <is>
          <t>Yes</t>
        </is>
      </c>
      <c r="BM360" s="30">
        <f>IF(BL360="Yes",10,0)</f>
        <v/>
      </c>
      <c r="BN360" s="30" t="inlineStr">
        <is>
          <t>More than 20%</t>
        </is>
      </c>
      <c r="BO360" s="30">
        <f>IF(BN360="More than 20%",10,IF(BN360="Between 12 to 20%",5,IF(BN360="Less than 12%",0,0)))</f>
        <v/>
      </c>
      <c r="BP360" s="30" t="inlineStr">
        <is>
          <t>No</t>
        </is>
      </c>
      <c r="BQ360" s="30">
        <f>IF(BP360="No",10,0)</f>
        <v/>
      </c>
      <c r="BR360" s="30" t="inlineStr">
        <is>
          <t>Yes</t>
        </is>
      </c>
      <c r="BS360" s="30">
        <f>IF(BR360="NO",5,0)</f>
        <v/>
      </c>
      <c r="BT360" s="30" t="inlineStr">
        <is>
          <t>Above 2</t>
        </is>
      </c>
      <c r="BU360" s="30">
        <f>IF(BT360="Above 2",0,IF(BT360="Between 1.5 to 2",5,IF(BT360="Less than 1.5",10,0)))</f>
        <v/>
      </c>
      <c r="BV360" s="30" t="inlineStr">
        <is>
          <t>Between 50% to 70%</t>
        </is>
      </c>
      <c r="BW360" s="30">
        <f>IF(BV360="Above 70%",10,IF(BV360="Between 50% to 70%",5,IF(BV360="Less than 50%",0,IF(BV360="Negative",-10,IF(BV360="Less than 50% and Borrowings are increasing",-5,0)))))</f>
        <v/>
      </c>
      <c r="BX360" s="30" t="inlineStr">
        <is>
          <t>Less than 0.7</t>
        </is>
      </c>
      <c r="BY360" s="30">
        <f>IF(BX360="More than 1.2",-10,IF(BX360="Between 0.7 to 1.2",0,IF(BX360="Less than 0.7",10,0)))</f>
        <v/>
      </c>
      <c r="BZ360" s="30" t="inlineStr">
        <is>
          <t>No</t>
        </is>
      </c>
      <c r="CA360" s="30">
        <f>IF(BZ360="Yes",-10,0)</f>
        <v/>
      </c>
      <c r="CB360" s="30" t="inlineStr">
        <is>
          <t>Less than 15%</t>
        </is>
      </c>
      <c r="CC360" s="30">
        <f>IF(CB360="More than 15%",-10,IF(CB360="Less than 15%",10,0))</f>
        <v/>
      </c>
      <c r="CD360" s="30" t="inlineStr">
        <is>
          <t>No</t>
        </is>
      </c>
      <c r="CE360" s="30">
        <f>IF(CD360="Yes, more than 10%",-10,IF(CD360="No",10,0))</f>
        <v/>
      </c>
    </row>
    <row r="361">
      <c r="A361" s="30">
        <f>IF(B361=0,"",RANK(B361,$B$2:$B$361,0))</f>
        <v/>
      </c>
      <c r="B361" s="31">
        <f>SUM(N361,Y361,AA361,AC361,AE361,AG361,AI361,AK361,AM361,AO361,AQ361,AS361,AU361,AW361,AY361,BA361,BC361,BE361,BG361,BI361,BK361,BM361,BO361,BQ361,BS361,BU361,BW361,BY361,CA361,CC361,CE361)</f>
        <v/>
      </c>
      <c r="C361" s="32" t="inlineStr">
        <is>
          <t>GRAVITA</t>
        </is>
      </c>
      <c r="D361" s="32" t="inlineStr">
        <is>
          <t>Gravita India Limited</t>
        </is>
      </c>
      <c r="E361" s="30" t="inlineStr">
        <is>
          <t>metals &amp; mining</t>
        </is>
      </c>
      <c r="F361" s="30" t="inlineStr">
        <is>
          <t>mining / minerals / metals</t>
        </is>
      </c>
      <c r="G361" s="30" t="inlineStr">
        <is>
          <t>midcap</t>
        </is>
      </c>
      <c r="H361" s="31" t="n">
        <v>12280.99</v>
      </c>
      <c r="I361" s="31" t="n">
        <v>1668.9</v>
      </c>
      <c r="J361" s="31" t="n">
        <v>0.3</v>
      </c>
      <c r="K361" s="31" t="n">
        <v>407948</v>
      </c>
      <c r="L361" s="30" t="n">
        <v>12</v>
      </c>
      <c r="M361" s="30" t="inlineStr">
        <is>
          <t>Underperforming</t>
        </is>
      </c>
      <c r="N361" s="31">
        <f>IF(M361="Underperforming",-5,IF(L361&gt;=95,15,IF(L361&gt;=90,10,IF(L361&gt;=80,5,0))))</f>
        <v/>
      </c>
      <c r="O361" s="31" t="n">
        <v>52.58</v>
      </c>
      <c r="P361" s="31" t="n">
        <v>18.23</v>
      </c>
      <c r="Q361" s="31" t="n">
        <v>1356.42</v>
      </c>
      <c r="R361" s="30" t="inlineStr">
        <is>
          <t>Earnings / Momentum Support</t>
        </is>
      </c>
      <c r="S361" s="30" t="inlineStr">
        <is>
          <t>Nifty Metal</t>
        </is>
      </c>
      <c r="T361" s="31" t="n">
        <v>42.38</v>
      </c>
      <c r="U361" s="31" t="n">
        <v>-0.34</v>
      </c>
      <c r="V361" s="31" t="n">
        <v>-30</v>
      </c>
      <c r="W361" s="31" t="n">
        <v>4.67</v>
      </c>
      <c r="X361" s="30" t="inlineStr">
        <is>
          <t>Cyclical in an Upturn</t>
        </is>
      </c>
      <c r="Y361" s="30">
        <f>IF(X361="Growing Industry",10,IF(X361="Cyclical in an Upturn",5,0))</f>
        <v/>
      </c>
      <c r="Z361" s="30" t="inlineStr">
        <is>
          <t>Too Many Players with High ROCE</t>
        </is>
      </c>
      <c r="AA361" s="30">
        <f>IF(Z361="Monopoly",10,IF(Z361="Oligopoly",5,IF(Z361="Duopoly that cooperate",10,IF(Z361="Duopoly that compete",5,IF(Z361="Too many players with High ROCE",5,0)))))</f>
        <v/>
      </c>
      <c r="AB361" s="30" t="inlineStr">
        <is>
          <t>No</t>
        </is>
      </c>
      <c r="AC361" s="30">
        <f>IF(AB361="No",5,0)</f>
        <v/>
      </c>
      <c r="AD361" s="30" t="inlineStr">
        <is>
          <t>Headwind</t>
        </is>
      </c>
      <c r="AE361" s="30">
        <f>IF(AD361="Tailwind",10,0)</f>
        <v/>
      </c>
      <c r="AF361" s="30" t="inlineStr">
        <is>
          <t>Cyclical</t>
        </is>
      </c>
      <c r="AG361" s="30">
        <f>IF(AF361="Structural (10 Years Consistency)",10,IF(AF361="Shallow Cyclical (2 to 3 years growth)",5,0))</f>
        <v/>
      </c>
      <c r="AH361" s="30" t="inlineStr">
        <is>
          <t>No</t>
        </is>
      </c>
      <c r="AI361" s="30">
        <f>IF(AH361="Yes due to Product Mix change or Operating Leverage",10,IF(AH361="Yes, these are peak margins",-5,IF(AH361="No",5,0)))</f>
        <v/>
      </c>
      <c r="AJ361" s="30" t="inlineStr">
        <is>
          <t>Volatile</t>
        </is>
      </c>
      <c r="AK361" s="30">
        <f>IF(AJ361="Stable",10,0)</f>
        <v/>
      </c>
      <c r="AL361" s="30" t="inlineStr">
        <is>
          <t>Yes</t>
        </is>
      </c>
      <c r="AM361" s="30">
        <f>IF(AL361="Yes",10,0)</f>
        <v/>
      </c>
      <c r="AN361" s="30" t="inlineStr">
        <is>
          <t>B2B</t>
        </is>
      </c>
      <c r="AO361" s="30">
        <f>IF(AN361="B2C",10,IF(AN361="B2B",5,0))</f>
        <v/>
      </c>
      <c r="AP361" s="30" t="inlineStr">
        <is>
          <t>No</t>
        </is>
      </c>
      <c r="AQ361" s="30">
        <f>IF(AP361="Yes",10,0)</f>
        <v/>
      </c>
      <c r="AR361" s="30" t="inlineStr">
        <is>
          <t>Higher One Time, Lower Annuity</t>
        </is>
      </c>
      <c r="AS361" s="30">
        <f>IF(AR361="Fully Annuity",10,IF(AR361="Higher Annuity, Lower One Time",5,IF(AR361="Higher One Time, Lower Annuity",3,0)))</f>
        <v/>
      </c>
      <c r="AT361" s="30" t="inlineStr">
        <is>
          <t>Good</t>
        </is>
      </c>
      <c r="AU361" s="30">
        <f>IF(AT361="Good",10,0)</f>
        <v/>
      </c>
      <c r="AV361" s="30" t="inlineStr">
        <is>
          <t>Yes for more than 2 years</t>
        </is>
      </c>
      <c r="AW361" s="30">
        <f>IF(AV361="Yes for more than 2 years",10,IF(AV361="Yes only for next 1 to 2 years",5,0))</f>
        <v/>
      </c>
      <c r="AX361" s="30" t="inlineStr">
        <is>
          <t>0 to 20</t>
        </is>
      </c>
      <c r="AY361" s="30">
        <f>IF(AX361="Above 40",20,IF(AX361="20 to 40",10,IF(AX361="0 to 20",-5,0)))</f>
        <v/>
      </c>
      <c r="AZ361" s="30" t="inlineStr">
        <is>
          <t>Between 50 to 75</t>
        </is>
      </c>
      <c r="BA361" s="30">
        <f>IF(AZ361="Between 50 to 75",10,IF(AZ361="Above 75",0,0))</f>
        <v/>
      </c>
      <c r="BB361" s="30" t="inlineStr">
        <is>
          <t>Stage 1</t>
        </is>
      </c>
      <c r="BC361" s="30">
        <f>IF(BB361="Stage 2",20,IF(BB361="Stage 1",0,IF(BB361="Stage 3",5,IF(BB361="Stage 4",-5,0))))</f>
        <v/>
      </c>
      <c r="BD361" s="30" t="inlineStr">
        <is>
          <t>Positive Trend</t>
        </is>
      </c>
      <c r="BE361" s="30">
        <f>IF(BD361="Positive Trend",20,IF(BD361="Negative Trend",-10,0))</f>
        <v/>
      </c>
      <c r="BF361" s="30" t="inlineStr">
        <is>
          <t>Uptrend</t>
        </is>
      </c>
      <c r="BG361" s="30">
        <f>IF(BF361="Uptrend",10,IF(BF361="Sideways",5,0))</f>
        <v/>
      </c>
      <c r="BH361" s="30" t="inlineStr">
        <is>
          <t>Uptrend</t>
        </is>
      </c>
      <c r="BI361" s="30">
        <f>IF(BH361="Uptrend",10,IF(BH361="Sideways",5,0))</f>
        <v/>
      </c>
      <c r="BJ361" s="30" t="inlineStr">
        <is>
          <t>Close to 52 week high or retracement</t>
        </is>
      </c>
      <c r="BK361" s="30">
        <f>IF(BJ361="Overhead supply in last 2 years in last 2 years",-5,IF(BJ361="Close to 52 week high or retracement",5,IF(BJ361="Blue sky scenario",10,IF(BJ361="Long term Downtrend",-10,0))))</f>
        <v/>
      </c>
      <c r="BL361" s="30" t="inlineStr">
        <is>
          <t>Yes</t>
        </is>
      </c>
      <c r="BM361" s="30">
        <f>IF(BL361="Yes",10,0)</f>
        <v/>
      </c>
      <c r="BN361" s="30" t="inlineStr">
        <is>
          <t>Less than 12%</t>
        </is>
      </c>
      <c r="BO361" s="30">
        <f>IF(BN361="More than 20%",10,IF(BN361="Between 12 to 20%",5,IF(BN361="Less than 12%",0,0)))</f>
        <v/>
      </c>
      <c r="BP361" s="30" t="inlineStr">
        <is>
          <t>No</t>
        </is>
      </c>
      <c r="BQ361" s="30">
        <f>IF(BP361="No",10,0)</f>
        <v/>
      </c>
      <c r="BR361" s="30" t="inlineStr">
        <is>
          <t>No</t>
        </is>
      </c>
      <c r="BS361" s="30">
        <f>IF(BR361="NO",5,0)</f>
        <v/>
      </c>
      <c r="BT361" s="30" t="inlineStr">
        <is>
          <t>Above 2</t>
        </is>
      </c>
      <c r="BU361" s="30">
        <f>IF(BT361="Above 2",0,IF(BT361="Between 1.5 to 2",5,IF(BT361="Less than 1.5",10,0)))</f>
        <v/>
      </c>
      <c r="BV361" s="30" t="inlineStr">
        <is>
          <t>Less than 50%</t>
        </is>
      </c>
      <c r="BW361" s="30">
        <f>IF(BV361="Above 70%",10,IF(BV361="Between 50% to 70%",5,IF(BV361="Less than 50%",0,IF(BV361="Negative",-10,IF(BV361="Less than 50% and Borrowings are increasing",-5,0)))))</f>
        <v/>
      </c>
      <c r="BX361" s="30" t="inlineStr">
        <is>
          <t>Less than 0.7</t>
        </is>
      </c>
      <c r="BY361" s="30">
        <f>IF(BX361="More than 1.2",-10,IF(BX361="Between 0.7 to 1.2",0,IF(BX361="Less than 0.7",10,0)))</f>
        <v/>
      </c>
      <c r="BZ361" s="30" t="inlineStr">
        <is>
          <t>No</t>
        </is>
      </c>
      <c r="CA361" s="30">
        <f>IF(BZ361="Yes",-10,0)</f>
        <v/>
      </c>
      <c r="CB361" s="30" t="inlineStr">
        <is>
          <t>Less than 15%</t>
        </is>
      </c>
      <c r="CC361" s="30">
        <f>IF(CB361="More than 15%",-10,IF(CB361="Less than 15%",10,0))</f>
        <v/>
      </c>
      <c r="CD361" s="30" t="inlineStr">
        <is>
          <t>No</t>
        </is>
      </c>
      <c r="CE361" s="30">
        <f>IF(CD361="Yes, more than 10%",-10,IF(CD361="No",10,0))</f>
        <v/>
      </c>
    </row>
  </sheetData>
  <autoFilter ref="A1:CE361"/>
  <conditionalFormatting sqref="B2:B36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6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6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6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6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6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6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6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6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6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6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6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6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6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6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6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6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6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6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6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6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6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6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6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6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6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6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6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6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6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6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6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61">
    <cfRule type="cellIs" priority="36" operator="equal" dxfId="3" stopIfTrue="1">
      <formula>"Underperforming"</formula>
    </cfRule>
  </conditionalFormatting>
  <conditionalFormatting sqref="N2:N361">
    <cfRule type="cellIs" priority="37" operator="equal" dxfId="3" stopIfTrue="1">
      <formula>-5</formula>
    </cfRule>
  </conditionalFormatting>
  <conditionalFormatting sqref="Q2:Q361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61" showDropDown="0" showInputMessage="0" showErrorMessage="0" allowBlank="1" type="list">
      <formula1>"Growing Industry,Stagnant Industry,Cyclical in an Upturn"</formula1>
    </dataValidation>
    <dataValidation sqref="Z2:Z36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61" showDropDown="0" showInputMessage="0" showErrorMessage="0" allowBlank="1" type="list">
      <formula1>"Yes,No"</formula1>
    </dataValidation>
    <dataValidation sqref="AD2:AD361" showDropDown="0" showInputMessage="0" showErrorMessage="0" allowBlank="1" type="list">
      <formula1>"Tailwind,Headwind"</formula1>
    </dataValidation>
    <dataValidation sqref="AF2:AF361" showDropDown="0" showInputMessage="0" showErrorMessage="0" allowBlank="1" type="list">
      <formula1>"Structural (10 Years Consistency),Shallow Cyclical (2 to 3 Years Growth),Cyclical"</formula1>
    </dataValidation>
    <dataValidation sqref="AH2:AH361" showDropDown="0" showInputMessage="0" showErrorMessage="0" allowBlank="1" type="list">
      <formula1>"Yes due to Product Mix change or Operating Leverage,Yes, these are peak margins,No"</formula1>
    </dataValidation>
    <dataValidation sqref="AJ2:AJ361" showDropDown="0" showInputMessage="0" showErrorMessage="0" allowBlank="1" type="list">
      <formula1>"Stable,Volatile"</formula1>
    </dataValidation>
    <dataValidation sqref="AL2:AL361" showDropDown="0" showInputMessage="0" showErrorMessage="0" allowBlank="1" type="list">
      <formula1>"Yes,No"</formula1>
    </dataValidation>
    <dataValidation sqref="AN2:AN361" showDropDown="0" showInputMessage="0" showErrorMessage="0" allowBlank="1" type="list">
      <formula1>"B2C,B2B,B2G"</formula1>
    </dataValidation>
    <dataValidation sqref="AP2:AP361" showDropDown="0" showInputMessage="0" showErrorMessage="0" allowBlank="1" type="list">
      <formula1>"Yes,No"</formula1>
    </dataValidation>
    <dataValidation sqref="AR2:AR361" showDropDown="0" showInputMessage="0" showErrorMessage="0" allowBlank="1" type="list">
      <formula1>"Fully Annuity,Higher Annuity, Lower One time,Higher One Time, Lower Annuity,Fully One Time"</formula1>
    </dataValidation>
    <dataValidation sqref="AT2:AT361" showDropDown="0" showInputMessage="0" showErrorMessage="0" allowBlank="1" type="list">
      <formula1>"Good,Allocated capital in Non-core Areas"</formula1>
    </dataValidation>
    <dataValidation sqref="AV2:AV361" showDropDown="0" showInputMessage="0" showErrorMessage="0" allowBlank="1" type="list">
      <formula1>"Yes for more than 2 years,Yes only for next 1 to 2 years,No"</formula1>
    </dataValidation>
    <dataValidation sqref="AX2:AX361" showDropDown="0" showInputMessage="0" showErrorMessage="0" allowBlank="1" type="list">
      <formula1>"Above 40,20 to 40,0 to 20"</formula1>
    </dataValidation>
    <dataValidation sqref="AZ2:AZ361" showDropDown="0" showInputMessage="0" showErrorMessage="0" allowBlank="1" type="list">
      <formula1>"Between 50 to 75,Above 75,Below 45"</formula1>
    </dataValidation>
    <dataValidation sqref="BB2:BB361" showDropDown="0" showInputMessage="0" showErrorMessage="0" allowBlank="1" type="list">
      <formula1>"Stage 1,Stage 2,Stage 3,Stage 4"</formula1>
    </dataValidation>
    <dataValidation sqref="BD2:BD361" showDropDown="0" showInputMessage="0" showErrorMessage="0" allowBlank="1" type="list">
      <formula1>"Positive Trend,Negative Trend"</formula1>
    </dataValidation>
    <dataValidation sqref="BF2:BF361" showDropDown="0" showInputMessage="0" showErrorMessage="0" allowBlank="1" type="list">
      <formula1>"Uptrend,Sideways,Downtrend"</formula1>
    </dataValidation>
    <dataValidation sqref="BH2:BH361" showDropDown="0" showInputMessage="0" showErrorMessage="0" allowBlank="1" type="list">
      <formula1>"Uptrend,Sideways,Downtrend"</formula1>
    </dataValidation>
    <dataValidation sqref="BJ2:BJ36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61" showDropDown="0" showInputMessage="0" showErrorMessage="0" allowBlank="1" type="list">
      <formula1>"Yes,No"</formula1>
    </dataValidation>
    <dataValidation sqref="BN2:BN361" showDropDown="0" showInputMessage="0" showErrorMessage="0" allowBlank="1" type="list">
      <formula1>"More than 20%,Between 12 to 20%,Less than 12%"</formula1>
    </dataValidation>
    <dataValidation sqref="BP2:BP361" showDropDown="0" showInputMessage="0" showErrorMessage="0" allowBlank="1" type="list">
      <formula1>"Yes,No"</formula1>
    </dataValidation>
    <dataValidation sqref="BR2:BR361" showDropDown="0" showInputMessage="0" showErrorMessage="0" allowBlank="1" type="list">
      <formula1>"Yes,No"</formula1>
    </dataValidation>
    <dataValidation sqref="BT2:BT361" showDropDown="0" showInputMessage="0" showErrorMessage="0" allowBlank="1" type="list">
      <formula1>"Above 2,Between 1.5 to 2,Less than 1.5"</formula1>
    </dataValidation>
    <dataValidation sqref="BV2:BV361" showDropDown="0" showInputMessage="0" showErrorMessage="0" allowBlank="1" type="list">
      <formula1>"Above 70%,Between 50% to 70%,Less than 50%,Less than 50% and Borrowings are increasing,Negative"</formula1>
    </dataValidation>
    <dataValidation sqref="BX2:BX361" showDropDown="0" showInputMessage="0" showErrorMessage="0" allowBlank="1" type="list">
      <formula1>"More than 1.2,Between 0.7 to 1.2,Less than 0.7"</formula1>
    </dataValidation>
    <dataValidation sqref="BZ2:BZ361" showDropDown="0" showInputMessage="0" showErrorMessage="0" allowBlank="1" type="list">
      <formula1>"Yes,No"</formula1>
    </dataValidation>
    <dataValidation sqref="CB2:CB361" showDropDown="0" showInputMessage="0" showErrorMessage="0" allowBlank="1" type="list">
      <formula1>"More than 15%,Less than 15%"</formula1>
    </dataValidation>
    <dataValidation sqref="CD2:CD36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IF(B2=0,"",RANK(B2,$B$2:$B$72,0))</f>
        <v/>
      </c>
      <c r="B2" s="31">
        <f>SUM(N2,Y2,AA2,AC2,AE2,AG2,AI2,AK2,AM2,AO2,AQ2,AS2,AU2,AW2,AY2,BA2,BC2,BE2,BG2,BI2,BK2,BM2,BO2,BQ2,BS2,BU2,BW2,BY2,CA2)</f>
        <v/>
      </c>
      <c r="C2" s="30" t="inlineStr">
        <is>
          <t>MAHABANK</t>
        </is>
      </c>
      <c r="D2" s="30" t="inlineStr">
        <is>
          <t>Bank Of Maharashtra Ltd</t>
        </is>
      </c>
      <c r="E2" s="30" t="inlineStr">
        <is>
          <t>bank</t>
        </is>
      </c>
      <c r="F2" s="30" t="inlineStr">
        <is>
          <t>banks - public sector</t>
        </is>
      </c>
      <c r="G2" s="30" t="inlineStr">
        <is>
          <t>largecap</t>
        </is>
      </c>
      <c r="H2" s="31" t="n">
        <v>67831.82000000001</v>
      </c>
      <c r="I2" s="31" t="n">
        <v>90.14</v>
      </c>
      <c r="J2" s="31" t="n">
        <v>2.21</v>
      </c>
      <c r="K2" s="31" t="n">
        <v>26656586</v>
      </c>
      <c r="L2" s="30" t="n">
        <v>72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73.23999999999999</v>
      </c>
      <c r="P2" s="31" t="n">
        <v>43.77</v>
      </c>
      <c r="Q2" s="31" t="n">
        <v>73.84999999999999</v>
      </c>
      <c r="R2" s="30" t="inlineStr">
        <is>
          <t>Near 52W High Breakout</t>
        </is>
      </c>
      <c r="S2" s="30" t="inlineStr">
        <is>
          <t>Nifty Bank</t>
        </is>
      </c>
      <c r="T2" s="31" t="n">
        <v>2.37</v>
      </c>
      <c r="U2" s="31" t="n">
        <v>72.45999999999999</v>
      </c>
      <c r="V2" s="31" t="n">
        <v>68.47</v>
      </c>
      <c r="W2" s="31" t="n">
        <v>20.37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IF(B3=0,"",RANK(B3,$B$2:$B$72,0))</f>
        <v/>
      </c>
      <c r="B3" s="31">
        <f>SUM(N3,Y3,AA3,AC3,AE3,AG3,AI3,AK3,AM3,AO3,AQ3,AS3,AU3,AW3,AY3,BA3,BC3,BE3,BG3,BI3,BK3,BM3,BO3,BQ3,BS3,BU3,BW3,BY3,CA3)</f>
        <v/>
      </c>
      <c r="C3" s="30" t="inlineStr">
        <is>
          <t>SATIN</t>
        </is>
      </c>
      <c r="D3" s="30" t="inlineStr">
        <is>
          <t>Satin Creditcare Network Limited</t>
        </is>
      </c>
      <c r="E3" s="30" t="inlineStr">
        <is>
          <t>financials</t>
        </is>
      </c>
      <c r="F3" s="30" t="inlineStr">
        <is>
          <t>finance &amp; investments</t>
        </is>
      </c>
      <c r="G3" s="30" t="inlineStr">
        <is>
          <t>smallcap</t>
        </is>
      </c>
      <c r="H3" s="31" t="n">
        <v>2556.08</v>
      </c>
      <c r="I3" s="31" t="n">
        <v>235.59</v>
      </c>
      <c r="J3" s="31" t="n">
        <v>1.82</v>
      </c>
      <c r="K3" s="31" t="n">
        <v>255053</v>
      </c>
      <c r="L3" s="30" t="n">
        <v>78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70.7</v>
      </c>
      <c r="P3" s="31" t="n">
        <v>45.82</v>
      </c>
      <c r="Q3" s="31" t="n">
        <v>187.8</v>
      </c>
      <c r="R3" s="30" t="inlineStr">
        <is>
          <t>Near 52W High Breakout</t>
        </is>
      </c>
      <c r="S3" s="30" t="inlineStr">
        <is>
          <t>Nifty Bank</t>
        </is>
      </c>
      <c r="T3" s="31" t="n">
        <v>2.37</v>
      </c>
      <c r="U3" s="31" t="n">
        <v>55.38</v>
      </c>
      <c r="V3" s="31" t="n">
        <v>51.79</v>
      </c>
      <c r="W3" s="31" t="n">
        <v>24.09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IF(B4=0,"",RANK(B4,$B$2:$B$72,0))</f>
        <v/>
      </c>
      <c r="B4" s="31">
        <f>SUM(N4,Y4,AA4,AC4,AE4,AG4,AI4,AK4,AM4,AO4,AQ4,AS4,AU4,AW4,AY4,BA4,BC4,BE4,BG4,BI4,BK4,BM4,BO4,BQ4,BS4,BU4,BW4,BY4,CA4)</f>
        <v/>
      </c>
      <c r="C4" s="30" t="inlineStr">
        <is>
          <t>KTKBANK</t>
        </is>
      </c>
      <c r="D4" s="30" t="inlineStr">
        <is>
          <t>The Karnataka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midcap</t>
        </is>
      </c>
      <c r="H4" s="31" t="n">
        <v>10552.01</v>
      </c>
      <c r="I4" s="31" t="n">
        <v>277.15</v>
      </c>
      <c r="J4" s="31" t="n">
        <v>-0.68</v>
      </c>
      <c r="K4" s="31" t="n">
        <v>987984</v>
      </c>
      <c r="L4" s="30" t="n">
        <v>47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69.62</v>
      </c>
      <c r="P4" s="31" t="n">
        <v>54.63</v>
      </c>
      <c r="Q4" s="31" t="n">
        <v>222.1</v>
      </c>
      <c r="R4" s="30" t="inlineStr">
        <is>
          <t>Near 52W High Breakout</t>
        </is>
      </c>
      <c r="S4" s="30" t="inlineStr">
        <is>
          <t>Nifty Bank</t>
        </is>
      </c>
      <c r="T4" s="31" t="n">
        <v>2.37</v>
      </c>
      <c r="U4" s="31" t="n">
        <v>42.23</v>
      </c>
      <c r="V4" s="31" t="n">
        <v>38.94</v>
      </c>
      <c r="W4" s="31" t="n">
        <v>12.26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Above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IF(B5=0,"",RANK(B5,$B$2:$B$72,0))</f>
        <v/>
      </c>
      <c r="B5" s="31">
        <f>SUM(N5,Y5,AA5,AC5,AE5,AG5,AI5,AK5,AM5,AO5,AQ5,AS5,AU5,AW5,AY5,BA5,BC5,BE5,BG5,BI5,BK5,BM5,BO5,BQ5,BS5,BU5,BW5,BY5,CA5)</f>
        <v/>
      </c>
      <c r="C5" s="30" t="inlineStr">
        <is>
          <t>TMB</t>
        </is>
      </c>
      <c r="D5" s="30" t="inlineStr">
        <is>
          <t>Tamilnad Mercantile Bank Ltd</t>
        </is>
      </c>
      <c r="E5" s="30" t="inlineStr">
        <is>
          <t>bank</t>
        </is>
      </c>
      <c r="F5" s="30" t="inlineStr">
        <is>
          <t>banks - private sector</t>
        </is>
      </c>
      <c r="G5" s="30" t="inlineStr">
        <is>
          <t>midcap</t>
        </is>
      </c>
      <c r="H5" s="31" t="n">
        <v>12068.76</v>
      </c>
      <c r="I5" s="31" t="n">
        <v>781.85</v>
      </c>
      <c r="J5" s="31" t="n">
        <v>2.58</v>
      </c>
      <c r="K5" s="31" t="n">
        <v>286403</v>
      </c>
      <c r="L5" s="30" t="n">
        <v>72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70.29000000000001</v>
      </c>
      <c r="P5" s="31" t="n">
        <v>30.83</v>
      </c>
      <c r="Q5" s="31" t="n">
        <v>627.14</v>
      </c>
      <c r="R5" s="30" t="inlineStr">
        <is>
          <t>Near 52W High Breakout</t>
        </is>
      </c>
      <c r="S5" s="30" t="inlineStr">
        <is>
          <t>Nifty Bank</t>
        </is>
      </c>
      <c r="T5" s="31" t="n">
        <v>2.37</v>
      </c>
      <c r="U5" s="31" t="n">
        <v>84.59999999999999</v>
      </c>
      <c r="V5" s="31" t="n">
        <v>80.33</v>
      </c>
      <c r="W5" s="31" t="n">
        <v>20.22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IF(B6=0,"",RANK(B6,$B$2:$B$72,0))</f>
        <v/>
      </c>
      <c r="B6" s="31">
        <f>SUM(N6,Y6,AA6,AC6,AE6,AG6,AI6,AK6,AM6,AO6,AQ6,AS6,AU6,AW6,AY6,BA6,BC6,BE6,BG6,BI6,BK6,BM6,BO6,BQ6,BS6,BU6,BW6,BY6,CA6)</f>
        <v/>
      </c>
      <c r="C6" s="30" t="inlineStr">
        <is>
          <t>RBLBANK</t>
        </is>
      </c>
      <c r="D6" s="30" t="inlineStr">
        <is>
          <t>Rbl Bank Limited</t>
        </is>
      </c>
      <c r="E6" s="30" t="inlineStr">
        <is>
          <t>bank</t>
        </is>
      </c>
      <c r="F6" s="30" t="inlineStr">
        <is>
          <t>banks - private sector</t>
        </is>
      </c>
      <c r="G6" s="30" t="inlineStr">
        <is>
          <t>largecap</t>
        </is>
      </c>
      <c r="H6" s="31" t="n">
        <v>22851.58</v>
      </c>
      <c r="I6" s="31" t="n">
        <v>369.2</v>
      </c>
      <c r="J6" s="31" t="n">
        <v>-0.14</v>
      </c>
      <c r="K6" s="31" t="n">
        <v>2703651</v>
      </c>
      <c r="L6" s="30" t="n">
        <v>59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70.06999999999999</v>
      </c>
      <c r="P6" s="31" t="n">
        <v>31.52</v>
      </c>
      <c r="Q6" s="31" t="n">
        <v>308.78</v>
      </c>
      <c r="R6" s="30" t="inlineStr">
        <is>
          <t>Near 52W High Breakout</t>
        </is>
      </c>
      <c r="S6" s="30" t="inlineStr">
        <is>
          <t>Nifty Bank</t>
        </is>
      </c>
      <c r="T6" s="31" t="n">
        <v>2.37</v>
      </c>
      <c r="U6" s="31" t="n">
        <v>62.5</v>
      </c>
      <c r="V6" s="31" t="n">
        <v>58.74</v>
      </c>
      <c r="W6" s="31" t="n">
        <v>15.5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IF(B7=0,"",RANK(B7,$B$2:$B$72,0))</f>
        <v/>
      </c>
      <c r="B7" s="31">
        <f>SUM(N7,Y7,AA7,AC7,AE7,AG7,AI7,AK7,AM7,AO7,AQ7,AS7,AU7,AW7,AY7,BA7,BC7,BE7,BG7,BI7,BK7,BM7,BO7,BQ7,BS7,BU7,BW7,BY7,CA7)</f>
        <v/>
      </c>
      <c r="C7" s="30" t="inlineStr">
        <is>
          <t>NORTHARC</t>
        </is>
      </c>
      <c r="D7" s="30" t="inlineStr">
        <is>
          <t>Northern ARC Capital Ltd</t>
        </is>
      </c>
      <c r="E7" s="30" t="inlineStr">
        <is>
          <t>financials</t>
        </is>
      </c>
      <c r="F7" s="30" t="inlineStr">
        <is>
          <t>finance &amp; investments</t>
        </is>
      </c>
      <c r="G7" s="30" t="inlineStr">
        <is>
          <t>smallcap</t>
        </is>
      </c>
      <c r="H7" s="31" t="n">
        <v>4826.96</v>
      </c>
      <c r="I7" s="31" t="n">
        <v>295.7</v>
      </c>
      <c r="J7" s="31" t="n">
        <v>-1.02</v>
      </c>
      <c r="K7" s="31" t="n">
        <v>283189</v>
      </c>
      <c r="L7" s="30" t="n">
        <v>53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63.46</v>
      </c>
      <c r="P7" s="31" t="n">
        <v>30.22</v>
      </c>
      <c r="Q7" s="31" t="n">
        <v>228.25</v>
      </c>
      <c r="R7" s="30" t="inlineStr">
        <is>
          <t>Near 52W High Breakout</t>
        </is>
      </c>
      <c r="S7" s="30" t="inlineStr">
        <is>
          <t>Nifty Bank</t>
        </is>
      </c>
      <c r="T7" s="31" t="n">
        <v>2.37</v>
      </c>
      <c r="U7" s="31" t="n">
        <v>41.9</v>
      </c>
      <c r="V7" s="31" t="n">
        <v>38.62</v>
      </c>
      <c r="W7" s="31" t="n">
        <v>13.87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more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IF(B8=0,"",RANK(B8,$B$2:$B$72,0))</f>
        <v/>
      </c>
      <c r="B8" s="31">
        <f>SUM(N8,Y8,AA8,AC8,AE8,AG8,AI8,AK8,AM8,AO8,AQ8,AS8,AU8,AW8,AY8,BA8,BC8,BE8,BG8,BI8,BK8,BM8,BO8,BQ8,BS8,BU8,BW8,BY8,CA8)</f>
        <v/>
      </c>
      <c r="C8" s="30" t="inlineStr">
        <is>
          <t>BANDHANBNK</t>
        </is>
      </c>
      <c r="D8" s="30" t="inlineStr">
        <is>
          <t>Bandhan Bank Ltd</t>
        </is>
      </c>
      <c r="E8" s="30" t="inlineStr">
        <is>
          <t>bank</t>
        </is>
      </c>
      <c r="F8" s="30" t="inlineStr">
        <is>
          <t>banks - private sector</t>
        </is>
      </c>
      <c r="G8" s="30" t="inlineStr">
        <is>
          <t>largecap</t>
        </is>
      </c>
      <c r="H8" s="31" t="n">
        <v>34916.21</v>
      </c>
      <c r="I8" s="31" t="n">
        <v>213.76</v>
      </c>
      <c r="J8" s="31" t="n">
        <v>-1.37</v>
      </c>
      <c r="K8" s="31" t="n">
        <v>9233245</v>
      </c>
      <c r="L8" s="30" t="n">
        <v>45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67.27</v>
      </c>
      <c r="P8" s="31" t="n">
        <v>26.1</v>
      </c>
      <c r="Q8" s="31" t="n">
        <v>172.63</v>
      </c>
      <c r="R8" s="30" t="inlineStr">
        <is>
          <t>Near 52W High Breakout</t>
        </is>
      </c>
      <c r="S8" s="30" t="inlineStr">
        <is>
          <t>Nifty Bank</t>
        </is>
      </c>
      <c r="T8" s="31" t="n">
        <v>2.37</v>
      </c>
      <c r="U8" s="31" t="n">
        <v>19.81</v>
      </c>
      <c r="V8" s="31" t="n">
        <v>17.04</v>
      </c>
      <c r="W8" s="31" t="n">
        <v>11.77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Between 50 to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IF(B9=0,"",RANK(B9,$B$2:$B$72,0))</f>
        <v/>
      </c>
      <c r="B9" s="31">
        <f>SUM(N9,Y9,AA9,AC9,AE9,AG9,AI9,AK9,AM9,AO9,AQ9,AS9,AU9,AW9,AY9,BA9,BC9,BE9,BG9,BI9,BK9,BM9,BO9,BQ9,BS9,BU9,BW9,BY9,CA9)</f>
        <v/>
      </c>
      <c r="C9" s="30" t="inlineStr">
        <is>
          <t>RANEHOLDIN</t>
        </is>
      </c>
      <c r="D9" s="30" t="inlineStr">
        <is>
          <t>Rane Holdings Limited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smallcap</t>
        </is>
      </c>
      <c r="H9" s="31" t="n">
        <v>2186.22</v>
      </c>
      <c r="I9" s="31" t="n">
        <v>1610.6</v>
      </c>
      <c r="J9" s="31" t="n">
        <v>5.19</v>
      </c>
      <c r="K9" s="31" t="n">
        <v>43454</v>
      </c>
      <c r="L9" s="30" t="n">
        <v>56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68.56999999999999</v>
      </c>
      <c r="P9" s="31" t="n">
        <v>26.81</v>
      </c>
      <c r="Q9" s="31" t="n">
        <v>1212.27</v>
      </c>
      <c r="R9" s="30" t="inlineStr">
        <is>
          <t>Near 52W High Breakout</t>
        </is>
      </c>
      <c r="S9" s="30" t="inlineStr">
        <is>
          <t>Nifty Bank</t>
        </is>
      </c>
      <c r="T9" s="31" t="n">
        <v>2.37</v>
      </c>
      <c r="U9" s="31" t="n">
        <v>8.18</v>
      </c>
      <c r="V9" s="31" t="n">
        <v>5.67</v>
      </c>
      <c r="W9" s="31" t="n">
        <v>14.3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less than 2.5x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Close to 52 week high or retracement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IF(B10=0,"",RANK(B10,$B$2:$B$72,0))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CREDITACC</t>
        </is>
      </c>
      <c r="D10" s="30" t="inlineStr">
        <is>
          <t>CreditAccess Grameen Ltd</t>
        </is>
      </c>
      <c r="E10" s="30" t="inlineStr">
        <is>
          <t>financials</t>
        </is>
      </c>
      <c r="F10" s="30" t="inlineStr">
        <is>
          <t>finance &amp; investments</t>
        </is>
      </c>
      <c r="G10" s="30" t="inlineStr">
        <is>
          <t>largecap</t>
        </is>
      </c>
      <c r="H10" s="31" t="n">
        <v>22547.59</v>
      </c>
      <c r="I10" s="31" t="n">
        <v>1434.9</v>
      </c>
      <c r="J10" s="31" t="n">
        <v>1.95</v>
      </c>
      <c r="K10" s="31" t="n">
        <v>303130</v>
      </c>
      <c r="L10" s="30" t="n">
        <v>42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59.56</v>
      </c>
      <c r="P10" s="31" t="n">
        <v>28.44</v>
      </c>
      <c r="Q10" s="31" t="n">
        <v>1171.88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2.37</v>
      </c>
      <c r="U10" s="31" t="n">
        <v>28.89</v>
      </c>
      <c r="V10" s="31" t="n">
        <v>25.91</v>
      </c>
      <c r="W10" s="31" t="n">
        <v>10.96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between 2.5x to 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20 to 40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IF(B11=0,"",RANK(B11,$B$2:$B$72,0))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AUBANK</t>
        </is>
      </c>
      <c r="D11" s="30" t="inlineStr">
        <is>
          <t>AU Small Finance Bank Ltd</t>
        </is>
      </c>
      <c r="E11" s="30" t="inlineStr">
        <is>
          <t>bank</t>
        </is>
      </c>
      <c r="F11" s="30" t="inlineStr">
        <is>
          <t>banks - private sector</t>
        </is>
      </c>
      <c r="G11" s="30" t="inlineStr">
        <is>
          <t>largecap</t>
        </is>
      </c>
      <c r="H11" s="31" t="n">
        <v>76555.21000000001</v>
      </c>
      <c r="I11" s="31" t="n">
        <v>1020.85</v>
      </c>
      <c r="J11" s="31" t="n">
        <v>-0.22</v>
      </c>
      <c r="K11" s="31" t="n">
        <v>683318</v>
      </c>
      <c r="L11" s="30" t="n">
        <v>35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57.5</v>
      </c>
      <c r="P11" s="31" t="n">
        <v>21.83</v>
      </c>
      <c r="Q11" s="31" t="n">
        <v>884.04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2.37</v>
      </c>
      <c r="U11" s="31" t="n">
        <v>28.51</v>
      </c>
      <c r="V11" s="31" t="n">
        <v>25.54</v>
      </c>
      <c r="W11" s="31" t="n">
        <v>9.109999999999999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Blue sky scenario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IF(B12=0,"",RANK(B12,$B$2:$B$72,0))</f>
        <v/>
      </c>
      <c r="B12" s="31">
        <f>SUM(N12,Y12,AA12,AC12,AE12,AG12,AI12,AK12,AM12,AO12,AQ12,AS12,AU12,AW12,AY12,BA12,BC12,BE12,BG12,BI12,BK12,BM12,BO12,BQ12,BS12,BU12,BW12,BY12,CA12)</f>
        <v/>
      </c>
      <c r="C12" s="32" t="inlineStr">
        <is>
          <t>ESAFSFB</t>
        </is>
      </c>
      <c r="D12" s="32" t="inlineStr">
        <is>
          <t>ESAF Small Finance Bank Ltd</t>
        </is>
      </c>
      <c r="E12" s="30" t="inlineStr">
        <is>
          <t>bank</t>
        </is>
      </c>
      <c r="F12" s="30" t="inlineStr">
        <is>
          <t>banks - private sector</t>
        </is>
      </c>
      <c r="G12" s="30" t="inlineStr">
        <is>
          <t>smallcap</t>
        </is>
      </c>
      <c r="H12" s="31" t="n">
        <v>1599.59</v>
      </c>
      <c r="I12" s="31" t="n">
        <v>30.83</v>
      </c>
      <c r="J12" s="31" t="n">
        <v>-0.61</v>
      </c>
      <c r="K12" s="31" t="n">
        <v>2478686</v>
      </c>
      <c r="L12" s="30" t="n">
        <v>26</v>
      </c>
      <c r="M12" s="30" t="inlineStr">
        <is>
          <t>Underperforming</t>
        </is>
      </c>
      <c r="N12" s="31">
        <f>IF(M12="Underperforming",-5,IF(L12&gt;=95,15,IF(L12&gt;=90,10,IF(L12&gt;=80,5,0))))</f>
        <v/>
      </c>
      <c r="O12" s="31" t="n">
        <v>61.41</v>
      </c>
      <c r="P12" s="31" t="n">
        <v>25.17</v>
      </c>
      <c r="Q12" s="31" t="n">
        <v>23.07</v>
      </c>
      <c r="R12" s="30" t="inlineStr">
        <is>
          <t>Volume Spike / Accumulation</t>
        </is>
      </c>
      <c r="S12" s="30" t="inlineStr">
        <is>
          <t>Nifty Bank</t>
        </is>
      </c>
      <c r="T12" s="31" t="n">
        <v>2.37</v>
      </c>
      <c r="U12" s="31" t="n">
        <v>-1.53</v>
      </c>
      <c r="V12" s="31" t="n">
        <v>-3.81</v>
      </c>
      <c r="W12" s="31" t="n">
        <v>7.74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more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Close to 52 week high or retracement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IF(B13=0,"",RANK(B13,$B$2:$B$72,0))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PAISALO</t>
        </is>
      </c>
      <c r="D13" s="30" t="inlineStr">
        <is>
          <t>Paisalo Digital Ltd</t>
        </is>
      </c>
      <c r="E13" s="30" t="inlineStr">
        <is>
          <t>financials</t>
        </is>
      </c>
      <c r="F13" s="30" t="inlineStr">
        <is>
          <t>finance &amp; investments</t>
        </is>
      </c>
      <c r="G13" s="30" t="inlineStr">
        <is>
          <t>midcap</t>
        </is>
      </c>
      <c r="H13" s="31" t="n">
        <v>5403.47</v>
      </c>
      <c r="I13" s="31" t="n">
        <v>58.25</v>
      </c>
      <c r="J13" s="31" t="n">
        <v>-1.95</v>
      </c>
      <c r="K13" s="31" t="n">
        <v>4245566</v>
      </c>
      <c r="L13" s="30" t="n">
        <v>87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74.7</v>
      </c>
      <c r="P13" s="31" t="n">
        <v>35.42</v>
      </c>
      <c r="Q13" s="31" t="n">
        <v>46.84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2.37</v>
      </c>
      <c r="U13" s="31" t="n">
        <v>93.95</v>
      </c>
      <c r="V13" s="31" t="n">
        <v>89.47</v>
      </c>
      <c r="W13" s="31" t="n">
        <v>30.36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between 2.5x to 5x and Growth more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IF(B14=0,"",RANK(B14,$B$2:$B$72,0))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STARHEALTH</t>
        </is>
      </c>
      <c r="D14" s="30" t="inlineStr">
        <is>
          <t>Star Health &amp; Allied Insurance Company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largecap</t>
        </is>
      </c>
      <c r="H14" s="31" t="n">
        <v>30699.95</v>
      </c>
      <c r="I14" s="31" t="n">
        <v>533.7</v>
      </c>
      <c r="J14" s="31" t="n">
        <v>2.29</v>
      </c>
      <c r="K14" s="31" t="n">
        <v>731125</v>
      </c>
      <c r="L14" s="30" t="n">
        <v>31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63.49</v>
      </c>
      <c r="P14" s="31" t="n">
        <v>27.73</v>
      </c>
      <c r="Q14" s="31" t="n">
        <v>443.71</v>
      </c>
      <c r="R14" s="30" t="inlineStr">
        <is>
          <t>Near 52W High Breakout</t>
        </is>
      </c>
      <c r="S14" s="30" t="inlineStr">
        <is>
          <t>Nifty Bank</t>
        </is>
      </c>
      <c r="T14" s="31" t="n">
        <v>2.37</v>
      </c>
      <c r="U14" s="31" t="n">
        <v>25.36</v>
      </c>
      <c r="V14" s="31" t="n">
        <v>22.46</v>
      </c>
      <c r="W14" s="31" t="n">
        <v>8.48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between 2.5x to 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20 to 40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IF(B15=0,"",RANK(B15,$B$2:$B$72,0))</f>
        <v/>
      </c>
      <c r="B15" s="31">
        <f>SUM(N15,Y15,AA15,AC15,AE15,AG15,AI15,AK15,AM15,AO15,AQ15,AS15,AU15,AW15,AY15,BA15,BC15,BE15,BG15,BI15,BK15,BM15,BO15,BQ15,BS15,BU15,BW15,BY15,CA15)</f>
        <v/>
      </c>
      <c r="C15" s="30" t="inlineStr">
        <is>
          <t>FEDERALBNK</t>
        </is>
      </c>
      <c r="D15" s="30" t="inlineStr">
        <is>
          <t>The Federal Bank  Limited</t>
        </is>
      </c>
      <c r="E15" s="30" t="inlineStr">
        <is>
          <t>bank</t>
        </is>
      </c>
      <c r="F15" s="30" t="inlineStr">
        <is>
          <t>banks - private sector</t>
        </is>
      </c>
      <c r="G15" s="30" t="inlineStr">
        <is>
          <t>largecap</t>
        </is>
      </c>
      <c r="H15" s="31" t="n">
        <v>79004.89</v>
      </c>
      <c r="I15" s="31" t="n">
        <v>322.7</v>
      </c>
      <c r="J15" s="31" t="n">
        <v>0.66</v>
      </c>
      <c r="K15" s="31" t="n">
        <v>9029691</v>
      </c>
      <c r="L15" s="30" t="n">
        <v>57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69.76000000000001</v>
      </c>
      <c r="P15" s="31" t="n">
        <v>18.92</v>
      </c>
      <c r="Q15" s="31" t="n">
        <v>276.55</v>
      </c>
      <c r="R15" s="30" t="inlineStr">
        <is>
          <t>Near 52W High Breakout</t>
        </is>
      </c>
      <c r="S15" s="30" t="inlineStr">
        <is>
          <t>Nifty Bank</t>
        </is>
      </c>
      <c r="T15" s="31" t="n">
        <v>2.37</v>
      </c>
      <c r="U15" s="31" t="n">
        <v>56.45</v>
      </c>
      <c r="V15" s="31" t="n">
        <v>52.83</v>
      </c>
      <c r="W15" s="31" t="n">
        <v>14.53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0 to 20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Blue sky scenario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IF(B16=0,"",RANK(B16,$B$2:$B$72,0))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J&amp;KBANK</t>
        </is>
      </c>
      <c r="D16" s="30" t="inlineStr">
        <is>
          <t>The Jammu &amp; Kashmir Bank Limited</t>
        </is>
      </c>
      <c r="E16" s="30" t="inlineStr">
        <is>
          <t>bank</t>
        </is>
      </c>
      <c r="F16" s="30" t="inlineStr">
        <is>
          <t>banks - private sector</t>
        </is>
      </c>
      <c r="G16" s="30" t="inlineStr">
        <is>
          <t>midcap</t>
        </is>
      </c>
      <c r="H16" s="31" t="n">
        <v>17838.05</v>
      </c>
      <c r="I16" s="31" t="n">
        <v>162.95</v>
      </c>
      <c r="J16" s="31" t="n">
        <v>0.59</v>
      </c>
      <c r="K16" s="31" t="n">
        <v>2602084</v>
      </c>
      <c r="L16" s="30" t="n">
        <v>66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75.34999999999999</v>
      </c>
      <c r="P16" s="31" t="n">
        <v>50.45</v>
      </c>
      <c r="Q16" s="31" t="n">
        <v>132.27</v>
      </c>
      <c r="R16" s="30" t="inlineStr">
        <is>
          <t>Near 52W High Breakout</t>
        </is>
      </c>
      <c r="S16" s="30" t="inlineStr">
        <is>
          <t>Nifty Bank</t>
        </is>
      </c>
      <c r="T16" s="31" t="n">
        <v>2.37</v>
      </c>
      <c r="U16" s="31" t="n">
        <v>59.41</v>
      </c>
      <c r="V16" s="31" t="n">
        <v>55.72</v>
      </c>
      <c r="W16" s="31" t="n">
        <v>18.3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less than 2.5x and Growth less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Above 40</t>
        </is>
      </c>
      <c r="BM16" s="30">
        <f>IF(BL16="Above 40",20,IF(BL16="20 to 40",10,IF(BL16="0 to 20",-5,0)))</f>
        <v/>
      </c>
      <c r="BN16" s="30" t="inlineStr">
        <is>
          <t>Above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Blue sky scenario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IF(B17=0,"",RANK(B17,$B$2:$B$72,0))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SURYODAY</t>
        </is>
      </c>
      <c r="D17" s="30" t="inlineStr">
        <is>
          <t>Suryoday Small Finance Bank Ltd</t>
        </is>
      </c>
      <c r="E17" s="30" t="inlineStr">
        <is>
          <t>bank</t>
        </is>
      </c>
      <c r="F17" s="30" t="inlineStr">
        <is>
          <t>banks - private sector</t>
        </is>
      </c>
      <c r="G17" s="30" t="inlineStr">
        <is>
          <t>smallcap</t>
        </is>
      </c>
      <c r="H17" s="31" t="n">
        <v>1844.55</v>
      </c>
      <c r="I17" s="31" t="n">
        <v>170.54</v>
      </c>
      <c r="J17" s="31" t="n">
        <v>-1.73</v>
      </c>
      <c r="K17" s="31" t="n">
        <v>396347</v>
      </c>
      <c r="L17" s="30" t="n">
        <v>49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62.72</v>
      </c>
      <c r="P17" s="31" t="n">
        <v>30.75</v>
      </c>
      <c r="Q17" s="31" t="n">
        <v>138.77</v>
      </c>
      <c r="R17" s="30" t="inlineStr">
        <is>
          <t>Earnings / Momentum Support</t>
        </is>
      </c>
      <c r="S17" s="30" t="inlineStr">
        <is>
          <t>Nifty Bank</t>
        </is>
      </c>
      <c r="T17" s="31" t="n">
        <v>2.37</v>
      </c>
      <c r="U17" s="31" t="n">
        <v>21.77</v>
      </c>
      <c r="V17" s="31" t="n">
        <v>18.95</v>
      </c>
      <c r="W17" s="31" t="n">
        <v>12.8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No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less than 2.5x and Growth more than 20%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Close to 52 week high or retracement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IF(B18=0,"",RANK(B18,$B$2:$B$72,0))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ABSLAMC</t>
        </is>
      </c>
      <c r="D18" s="30" t="inlineStr">
        <is>
          <t>Aditya Birla Sun Life AMC Ltd</t>
        </is>
      </c>
      <c r="E18" s="30" t="inlineStr">
        <is>
          <t>financials</t>
        </is>
      </c>
      <c r="F18" s="30" t="inlineStr">
        <is>
          <t>finance &amp; investments</t>
        </is>
      </c>
      <c r="G18" s="30" t="inlineStr">
        <is>
          <t>largecap</t>
        </is>
      </c>
      <c r="H18" s="31" t="n">
        <v>32363.62</v>
      </c>
      <c r="I18" s="31" t="n">
        <v>1097.9</v>
      </c>
      <c r="J18" s="31" t="n">
        <v>-2.03</v>
      </c>
      <c r="K18" s="31" t="n">
        <v>279342</v>
      </c>
      <c r="L18" s="30" t="n">
        <v>47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65.81</v>
      </c>
      <c r="P18" s="31" t="n">
        <v>42.01</v>
      </c>
      <c r="Q18" s="31" t="n">
        <v>870.88</v>
      </c>
      <c r="R18" s="30" t="inlineStr">
        <is>
          <t>Near 52W High Breakout</t>
        </is>
      </c>
      <c r="S18" s="30" t="inlineStr">
        <is>
          <t>Nifty Bank</t>
        </is>
      </c>
      <c r="T18" s="31" t="n">
        <v>2.37</v>
      </c>
      <c r="U18" s="31" t="n">
        <v>49.23</v>
      </c>
      <c r="V18" s="31" t="n">
        <v>45.77</v>
      </c>
      <c r="W18" s="31" t="n">
        <v>12.19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above 5x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Above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Blue sky scenario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IF(B19=0,"",RANK(B19,$B$2:$B$72,0))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YESBANK</t>
        </is>
      </c>
      <c r="D19" s="30" t="inlineStr">
        <is>
          <t>Yes Bank Limited</t>
        </is>
      </c>
      <c r="E19" s="30" t="inlineStr">
        <is>
          <t>bank</t>
        </is>
      </c>
      <c r="F19" s="30" t="inlineStr">
        <is>
          <t>banks - private sector</t>
        </is>
      </c>
      <c r="G19" s="30" t="inlineStr">
        <is>
          <t>largecap</t>
        </is>
      </c>
      <c r="H19" s="31" t="n">
        <v>74963.10000000001</v>
      </c>
      <c r="I19" s="31" t="n">
        <v>25.11</v>
      </c>
      <c r="J19" s="31" t="n">
        <v>5.11</v>
      </c>
      <c r="K19" s="31" t="n">
        <v>394351584</v>
      </c>
      <c r="L19" s="30" t="n">
        <v>50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67.7</v>
      </c>
      <c r="P19" s="31" t="n">
        <v>24.45</v>
      </c>
      <c r="Q19" s="31" t="n">
        <v>20.84</v>
      </c>
      <c r="R19" s="30" t="inlineStr">
        <is>
          <t>Near 52W High Breakout</t>
        </is>
      </c>
      <c r="S19" s="30" t="inlineStr">
        <is>
          <t>Nifty Bank</t>
        </is>
      </c>
      <c r="T19" s="31" t="n">
        <v>2.37</v>
      </c>
      <c r="U19" s="31" t="n">
        <v>27.27</v>
      </c>
      <c r="V19" s="31" t="n">
        <v>24.32</v>
      </c>
      <c r="W19" s="31" t="n">
        <v>13.14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n"/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Yes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Yes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less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IF(B20=0,"",RANK(B20,$B$2:$B$72,0))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HEALTHX</t>
        </is>
      </c>
      <c r="D20" s="30" t="inlineStr">
        <is>
          <t>Health X Platform Ltd</t>
        </is>
      </c>
      <c r="E20" s="30" t="inlineStr">
        <is>
          <t>financials</t>
        </is>
      </c>
      <c r="F20" s="30" t="inlineStr">
        <is>
          <t>finance &amp; investments</t>
        </is>
      </c>
      <c r="G20" s="30" t="inlineStr">
        <is>
          <t>smallcap</t>
        </is>
      </c>
      <c r="H20" s="31" t="n">
        <v>972.13</v>
      </c>
      <c r="I20" s="31" t="n">
        <v>315.65</v>
      </c>
      <c r="J20" s="31" t="n">
        <v>3.29</v>
      </c>
      <c r="K20" s="31" t="n">
        <v>25514</v>
      </c>
      <c r="L20" s="30" t="n">
        <v>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58.36</v>
      </c>
      <c r="P20" s="31" t="n">
        <v>17.72</v>
      </c>
      <c r="Q20" s="31" t="n">
        <v>237.11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2.37</v>
      </c>
      <c r="U20" s="31" t="n">
        <v>4.57</v>
      </c>
      <c r="V20" s="31" t="n">
        <v>2.15</v>
      </c>
      <c r="W20" s="31" t="n">
        <v>2.96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more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0 to 20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Close to 52 week high or retracement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IF(B21=0,"",RANK(B21,$B$2:$B$72,0))</f>
        <v/>
      </c>
      <c r="B21" s="31">
        <f>SUM(N21,Y21,AA21,AC21,AE21,AG21,AI21,AK21,AM21,AO21,AQ21,AS21,AU21,AW21,AY21,BA21,BC21,BE21,BG21,BI21,BK21,BM21,BO21,BQ21,BS21,BU21,BW21,BY21,CA21)</f>
        <v/>
      </c>
      <c r="C21" s="32" t="inlineStr">
        <is>
          <t>GEECEE</t>
        </is>
      </c>
      <c r="D21" s="32" t="inlineStr">
        <is>
          <t>Geecee Ventures Limited</t>
        </is>
      </c>
      <c r="E21" s="30" t="inlineStr">
        <is>
          <t>financials</t>
        </is>
      </c>
      <c r="F21" s="30" t="inlineStr">
        <is>
          <t>finance &amp; investments</t>
        </is>
      </c>
      <c r="G21" s="30" t="inlineStr">
        <is>
          <t>smallcap</t>
        </is>
      </c>
      <c r="H21" s="31" t="n">
        <v>686.3200000000001</v>
      </c>
      <c r="I21" s="31" t="n">
        <v>337.45</v>
      </c>
      <c r="J21" s="31" t="n">
        <v>2.82</v>
      </c>
      <c r="K21" s="31" t="n">
        <v>10315</v>
      </c>
      <c r="L21" s="30" t="n">
        <v>12</v>
      </c>
      <c r="M21" s="30" t="inlineStr">
        <is>
          <t>Underperforming</t>
        </is>
      </c>
      <c r="N21" s="31">
        <f>IF(M21="Underperforming",-5,IF(L21&gt;=95,15,IF(L21&gt;=90,10,IF(L21&gt;=80,5,0))))</f>
        <v/>
      </c>
      <c r="O21" s="31" t="n">
        <v>57.65</v>
      </c>
      <c r="P21" s="31" t="n">
        <v>23.72</v>
      </c>
      <c r="Q21" s="31" t="n">
        <v>253.87</v>
      </c>
      <c r="R21" s="30" t="inlineStr">
        <is>
          <t>Earnings / Momentum Support</t>
        </is>
      </c>
      <c r="S21" s="30" t="inlineStr">
        <is>
          <t>Nifty Bank</t>
        </is>
      </c>
      <c r="T21" s="31" t="n">
        <v>2.37</v>
      </c>
      <c r="U21" s="31" t="n">
        <v>-12.01</v>
      </c>
      <c r="V21" s="31" t="n">
        <v>-14.05</v>
      </c>
      <c r="W21" s="31" t="n">
        <v>4.44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No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Positive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Close to 52 week high or retracement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IF(B22=0,"",RANK(B22,$B$2:$B$72,0))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CAPITALSFB</t>
        </is>
      </c>
      <c r="D22" s="30" t="inlineStr">
        <is>
          <t>Capital Small Finance Bank Ltd</t>
        </is>
      </c>
      <c r="E22" s="30" t="inlineStr">
        <is>
          <t>bank</t>
        </is>
      </c>
      <c r="F22" s="30" t="inlineStr">
        <is>
          <t>banks - private sector</t>
        </is>
      </c>
      <c r="G22" s="30" t="inlineStr">
        <is>
          <t>smallcap</t>
        </is>
      </c>
      <c r="H22" s="31" t="n">
        <v>1339.63</v>
      </c>
      <c r="I22" s="31" t="n">
        <v>298.25</v>
      </c>
      <c r="J22" s="31" t="n">
        <v>1.12</v>
      </c>
      <c r="K22" s="31" t="n">
        <v>127095</v>
      </c>
      <c r="L22" s="30" t="n">
        <v>21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60.84</v>
      </c>
      <c r="P22" s="31" t="n">
        <v>27.54</v>
      </c>
      <c r="Q22" s="31" t="n">
        <v>241.67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2.37</v>
      </c>
      <c r="U22" s="31" t="n">
        <v>3.5</v>
      </c>
      <c r="V22" s="31" t="n">
        <v>1.11</v>
      </c>
      <c r="W22" s="31" t="n">
        <v>6.21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less than 2.5x and Growth less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20 to 40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IF(B23=0,"",RANK(B23,$B$2:$B$72,0))</f>
        <v/>
      </c>
      <c r="B23" s="31">
        <f>SUM(N23,Y23,AA23,AC23,AE23,AG23,AI23,AK23,AM23,AO23,AQ23,AS23,AU23,AW23,AY23,BA23,BC23,BE23,BG23,BI23,BK23,BM23,BO23,BQ23,BS23,BU23,BW23,BY23,CA23)</f>
        <v/>
      </c>
      <c r="C23" s="30" t="inlineStr">
        <is>
          <t>INDUSINDBK</t>
        </is>
      </c>
      <c r="D23" s="30" t="inlineStr">
        <is>
          <t>Indusind Bank Limited</t>
        </is>
      </c>
      <c r="E23" s="30" t="inlineStr">
        <is>
          <t>bank</t>
        </is>
      </c>
      <c r="F23" s="30" t="inlineStr">
        <is>
          <t>banks - private sector</t>
        </is>
      </c>
      <c r="G23" s="30" t="inlineStr">
        <is>
          <t>largecap</t>
        </is>
      </c>
      <c r="H23" s="31" t="n">
        <v>72145.22</v>
      </c>
      <c r="I23" s="31" t="n">
        <v>936.2</v>
      </c>
      <c r="J23" s="31" t="n">
        <v>1.1</v>
      </c>
      <c r="K23" s="31" t="n">
        <v>1193109</v>
      </c>
      <c r="L23" s="30" t="n">
        <v>18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57.92</v>
      </c>
      <c r="P23" s="31" t="n">
        <v>14.29</v>
      </c>
      <c r="Q23" s="31" t="n">
        <v>795.49</v>
      </c>
      <c r="R23" s="30" t="inlineStr">
        <is>
          <t>Near 52W High Breakout</t>
        </is>
      </c>
      <c r="S23" s="30" t="inlineStr">
        <is>
          <t>Nifty Bank</t>
        </is>
      </c>
      <c r="T23" s="31" t="n">
        <v>2.37</v>
      </c>
      <c r="U23" s="31" t="n">
        <v>11.42</v>
      </c>
      <c r="V23" s="31" t="n">
        <v>8.84</v>
      </c>
      <c r="W23" s="31" t="n">
        <v>5.54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0 to 20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IF(B24=0,"",RANK(B24,$B$2:$B$72,0))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MUTHOOTMF</t>
        </is>
      </c>
      <c r="D24" s="30" t="inlineStr">
        <is>
          <t>Muthoot Microfin Ltd</t>
        </is>
      </c>
      <c r="E24" s="30" t="inlineStr">
        <is>
          <t>financials</t>
        </is>
      </c>
      <c r="F24" s="30" t="inlineStr">
        <is>
          <t>finance &amp; investments</t>
        </is>
      </c>
      <c r="G24" s="30" t="inlineStr">
        <is>
          <t>smallcap</t>
        </is>
      </c>
      <c r="H24" s="31" t="n">
        <v>3517.08</v>
      </c>
      <c r="I24" s="31" t="n">
        <v>205.01</v>
      </c>
      <c r="J24" s="31" t="n">
        <v>-0.62</v>
      </c>
      <c r="K24" s="31" t="n">
        <v>243036</v>
      </c>
      <c r="L24" s="30" t="n">
        <v>69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63.64</v>
      </c>
      <c r="P24" s="31" t="n">
        <v>24.85</v>
      </c>
      <c r="Q24" s="31" t="n">
        <v>153.67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2.37</v>
      </c>
      <c r="U24" s="31" t="n">
        <v>62.6</v>
      </c>
      <c r="V24" s="31" t="n">
        <v>58.84</v>
      </c>
      <c r="W24" s="31" t="n">
        <v>19.3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less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20 to 40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Close to 52 week high or retracement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IF(B25=0,"",RANK(B25,$B$2:$B$72,0))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NUVAMA</t>
        </is>
      </c>
      <c r="D25" s="30" t="inlineStr">
        <is>
          <t>Nuvama Wealth Management Ltd</t>
        </is>
      </c>
      <c r="E25" s="30" t="inlineStr">
        <is>
          <t>financials</t>
        </is>
      </c>
      <c r="F25" s="30" t="inlineStr">
        <is>
          <t>finance &amp; investments</t>
        </is>
      </c>
      <c r="G25" s="30" t="inlineStr">
        <is>
          <t>largecap</t>
        </is>
      </c>
      <c r="H25" s="31" t="n">
        <v>30231.63</v>
      </c>
      <c r="I25" s="31" t="n">
        <v>1726.7</v>
      </c>
      <c r="J25" s="31" t="n">
        <v>3.97</v>
      </c>
      <c r="K25" s="31" t="n">
        <v>886482</v>
      </c>
      <c r="L25" s="30" t="n">
        <v>65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66.09</v>
      </c>
      <c r="P25" s="31" t="n">
        <v>29.1</v>
      </c>
      <c r="Q25" s="31" t="n">
        <v>1367.69</v>
      </c>
      <c r="R25" s="30" t="inlineStr">
        <is>
          <t>Near 52W High Breakout</t>
        </is>
      </c>
      <c r="S25" s="30" t="inlineStr">
        <is>
          <t>Nifty Bank</t>
        </is>
      </c>
      <c r="T25" s="31" t="n">
        <v>2.37</v>
      </c>
      <c r="U25" s="31" t="n">
        <v>27.84</v>
      </c>
      <c r="V25" s="31" t="n">
        <v>24.88</v>
      </c>
      <c r="W25" s="31" t="n">
        <v>17.98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above 5x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20 to 40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IF(B26=0,"",RANK(B26,$B$2:$B$72,0))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NAM-INDIA</t>
        </is>
      </c>
      <c r="D26" s="30" t="inlineStr">
        <is>
          <t>Nippon Life India Asset Management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largecap</t>
        </is>
      </c>
      <c r="H26" s="31" t="n">
        <v>72898.37</v>
      </c>
      <c r="I26" s="31" t="n">
        <v>1153.7</v>
      </c>
      <c r="J26" s="31" t="n">
        <v>0.99</v>
      </c>
      <c r="K26" s="31" t="n">
        <v>419629</v>
      </c>
      <c r="L26" s="30" t="n">
        <v>65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69.27</v>
      </c>
      <c r="P26" s="31" t="n">
        <v>29.85</v>
      </c>
      <c r="Q26" s="31" t="n">
        <v>914.88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2.37</v>
      </c>
      <c r="U26" s="31" t="n">
        <v>55.41</v>
      </c>
      <c r="V26" s="31" t="n">
        <v>51.82</v>
      </c>
      <c r="W26" s="31" t="n">
        <v>17.66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above 5x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Between 50 to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Blue sky scenario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IF(B27=0,"",RANK(B27,$B$2:$B$72,0))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ANGELONE</t>
        </is>
      </c>
      <c r="D27" s="30" t="inlineStr">
        <is>
          <t>Angel One Ltd</t>
        </is>
      </c>
      <c r="E27" s="30" t="inlineStr">
        <is>
          <t>financials</t>
        </is>
      </c>
      <c r="F27" s="30" t="inlineStr">
        <is>
          <t>finance &amp; investments</t>
        </is>
      </c>
      <c r="G27" s="30" t="inlineStr">
        <is>
          <t>largecap</t>
        </is>
      </c>
      <c r="H27" s="31" t="n">
        <v>31720.67</v>
      </c>
      <c r="I27" s="31" t="n">
        <v>348.7</v>
      </c>
      <c r="J27" s="31" t="n">
        <v>0.13</v>
      </c>
      <c r="K27" s="31" t="n">
        <v>5718044</v>
      </c>
      <c r="L27" s="30" t="n">
        <v>64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66.53</v>
      </c>
      <c r="P27" s="31" t="n">
        <v>25.64</v>
      </c>
      <c r="Q27" s="31" t="n">
        <v>271.15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2.37</v>
      </c>
      <c r="U27" s="31" t="n">
        <v>25.31</v>
      </c>
      <c r="V27" s="31" t="n">
        <v>22.41</v>
      </c>
      <c r="W27" s="31" t="n">
        <v>17.52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above 5x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Positive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Blue sky scenario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IF(B28=0,"",RANK(B28,$B$2:$B$72,0))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MOTILALOFS</t>
        </is>
      </c>
      <c r="D28" s="30" t="inlineStr">
        <is>
          <t>Motilal Oswal Financial Services Limited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largecap</t>
        </is>
      </c>
      <c r="H28" s="31" t="n">
        <v>56830.64</v>
      </c>
      <c r="I28" s="31" t="n">
        <v>942.85</v>
      </c>
      <c r="J28" s="31" t="n">
        <v>-0.15</v>
      </c>
      <c r="K28" s="31" t="n">
        <v>1087078</v>
      </c>
      <c r="L28" s="30" t="n">
        <v>52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62.88</v>
      </c>
      <c r="P28" s="31" t="n">
        <v>22.27</v>
      </c>
      <c r="Q28" s="31" t="n">
        <v>746.04</v>
      </c>
      <c r="R28" s="30" t="inlineStr">
        <is>
          <t>Earnings / Momentum Support</t>
        </is>
      </c>
      <c r="S28" s="30" t="inlineStr">
        <is>
          <t>Nifty Bank</t>
        </is>
      </c>
      <c r="T28" s="31" t="n">
        <v>2.37</v>
      </c>
      <c r="U28" s="31" t="n">
        <v>15.13</v>
      </c>
      <c r="V28" s="31" t="n">
        <v>12.47</v>
      </c>
      <c r="W28" s="31" t="n">
        <v>13.55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No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between 2.5x to 5x and Growth more than 20%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20 to 40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IF(B29=0,"",RANK(B29,$B$2:$B$72,0))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CGCL</t>
        </is>
      </c>
      <c r="D29" s="30" t="inlineStr">
        <is>
          <t>Capri Global Capital Limited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largecap</t>
        </is>
      </c>
      <c r="H29" s="31" t="n">
        <v>20963.41</v>
      </c>
      <c r="I29" s="31" t="n">
        <v>217.28</v>
      </c>
      <c r="J29" s="31" t="n">
        <v>-0.28</v>
      </c>
      <c r="K29" s="31" t="n">
        <v>2761580</v>
      </c>
      <c r="L29" s="30" t="n">
        <v>45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69.16</v>
      </c>
      <c r="P29" s="31" t="n">
        <v>19.33</v>
      </c>
      <c r="Q29" s="31" t="n">
        <v>176.72</v>
      </c>
      <c r="R29" s="30" t="inlineStr">
        <is>
          <t>Near 52W High Breakout</t>
        </is>
      </c>
      <c r="S29" s="30" t="inlineStr">
        <is>
          <t>Nifty Bank</t>
        </is>
      </c>
      <c r="T29" s="31" t="n">
        <v>2.37</v>
      </c>
      <c r="U29" s="31" t="n">
        <v>29.83</v>
      </c>
      <c r="V29" s="31" t="n">
        <v>26.82</v>
      </c>
      <c r="W29" s="31" t="n">
        <v>11.66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between 2.5x to 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2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Blue sky scenario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IF(B30=0,"",RANK(B30,$B$2:$B$72,0))</f>
        <v/>
      </c>
      <c r="B30" s="31">
        <f>SUM(N30,Y30,AA30,AC30,AE30,AG30,AI30,AK30,AM30,AO30,AQ30,AS30,AU30,AW30,AY30,BA30,BC30,BE30,BG30,BI30,BK30,BM30,BO30,BQ30,BS30,BU30,BW30,BY30,CA30)</f>
        <v/>
      </c>
      <c r="C30" s="30" t="inlineStr">
        <is>
          <t>ABCAPITAL</t>
        </is>
      </c>
      <c r="D30" s="30" t="inlineStr">
        <is>
          <t>Aditya Birla Capital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largecap</t>
        </is>
      </c>
      <c r="H30" s="31" t="n">
        <v>97920.88</v>
      </c>
      <c r="I30" s="31" t="n">
        <v>372.45</v>
      </c>
      <c r="J30" s="31" t="n">
        <v>-0.36</v>
      </c>
      <c r="K30" s="31" t="n">
        <v>2381456</v>
      </c>
      <c r="L30" s="30" t="n">
        <v>46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63.9</v>
      </c>
      <c r="P30" s="31" t="n">
        <v>17.89</v>
      </c>
      <c r="Q30" s="31" t="n">
        <v>303.8</v>
      </c>
      <c r="R30" s="30" t="inlineStr">
        <is>
          <t>Near 52W High Breakout</t>
        </is>
      </c>
      <c r="S30" s="30" t="inlineStr">
        <is>
          <t>Nifty Bank</t>
        </is>
      </c>
      <c r="T30" s="31" t="n">
        <v>2.37</v>
      </c>
      <c r="U30" s="31" t="n">
        <v>43.1</v>
      </c>
      <c r="V30" s="31" t="n">
        <v>39.79</v>
      </c>
      <c r="W30" s="31" t="n">
        <v>12.05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between 2.5x to 5x and Growth more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Blue sky scenario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IF(B31=0,"",RANK(B31,$B$2:$B$72,0))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SOUTHBANK</t>
        </is>
      </c>
      <c r="D31" s="30" t="inlineStr">
        <is>
          <t>The South Indian Bank Limited</t>
        </is>
      </c>
      <c r="E31" s="30" t="inlineStr">
        <is>
          <t>bank</t>
        </is>
      </c>
      <c r="F31" s="30" t="inlineStr">
        <is>
          <t>banks - private sector</t>
        </is>
      </c>
      <c r="G31" s="30" t="inlineStr">
        <is>
          <t>midcap</t>
        </is>
      </c>
      <c r="H31" s="31" t="n">
        <v>12354.92</v>
      </c>
      <c r="I31" s="31" t="n">
        <v>48.45</v>
      </c>
      <c r="J31" s="31" t="n">
        <v>2.65</v>
      </c>
      <c r="K31" s="31" t="n">
        <v>25436146</v>
      </c>
      <c r="L31" s="30" t="n">
        <v>69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70.44</v>
      </c>
      <c r="P31" s="31" t="n">
        <v>16.26</v>
      </c>
      <c r="Q31" s="31" t="n">
        <v>38.83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2.37</v>
      </c>
      <c r="U31" s="31" t="n">
        <v>68.06</v>
      </c>
      <c r="V31" s="31" t="n">
        <v>64.17</v>
      </c>
      <c r="W31" s="31" t="n">
        <v>19.34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less than 2.5x and Growth less than 20%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0 to 20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Positive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Blue sky scenario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IF(B32=0,"",RANK(B32,$B$2:$B$72,0))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IFCI</t>
        </is>
      </c>
      <c r="D32" s="30" t="inlineStr">
        <is>
          <t>Ifci Limited</t>
        </is>
      </c>
      <c r="E32" s="30" t="inlineStr">
        <is>
          <t>financials</t>
        </is>
      </c>
      <c r="F32" s="30" t="inlineStr">
        <is>
          <t>finance - term-lending institutions</t>
        </is>
      </c>
      <c r="G32" s="30" t="inlineStr">
        <is>
          <t>largecap</t>
        </is>
      </c>
      <c r="H32" s="31" t="n">
        <v>23925.51</v>
      </c>
      <c r="I32" s="31" t="n">
        <v>90.06999999999999</v>
      </c>
      <c r="J32" s="31" t="n">
        <v>1.43</v>
      </c>
      <c r="K32" s="31" t="n">
        <v>239005769</v>
      </c>
      <c r="L32" s="30" t="n">
        <v>80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75.47</v>
      </c>
      <c r="P32" s="31" t="n">
        <v>27</v>
      </c>
      <c r="Q32" s="31" t="n">
        <v>67.04000000000001</v>
      </c>
      <c r="R32" s="30" t="inlineStr">
        <is>
          <t>Volume Spike &amp; Near 52W High Breakout</t>
        </is>
      </c>
      <c r="S32" s="30" t="inlineStr">
        <is>
          <t>Nifty Bank</t>
        </is>
      </c>
      <c r="T32" s="31" t="n">
        <v>2.37</v>
      </c>
      <c r="U32" s="31" t="n">
        <v>50.22</v>
      </c>
      <c r="V32" s="31" t="n">
        <v>46.74</v>
      </c>
      <c r="W32" s="31" t="n">
        <v>25.23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between 2.5x to 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20 to 40</t>
        </is>
      </c>
      <c r="BM32" s="30">
        <f>IF(BL32="Above 40",20,IF(BL32="20 to 40",10,IF(BL32="0 to 20",-5,0)))</f>
        <v/>
      </c>
      <c r="BN32" s="30" t="inlineStr">
        <is>
          <t>Above 75</t>
        </is>
      </c>
      <c r="BO32" s="30">
        <f>IF(BN32="Between 50 to 75",10,IF(BN32="Above 75",0,0))</f>
        <v/>
      </c>
      <c r="BP32" s="30" t="inlineStr">
        <is>
          <t>Stage 2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Blue sky scenario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IF(B33=0,"",RANK(B33,$B$2:$B$72,0))</f>
        <v/>
      </c>
      <c r="B33" s="31">
        <f>SUM(N33,Y33,AA33,AC33,AE33,AG33,AI33,AK33,AM33,AO33,AQ33,AS33,AU33,AW33,AY33,BA33,BC33,BE33,BG33,BI33,BK33,BM33,BO33,BQ33,BS33,BU33,BW33,BY33,CA33)</f>
        <v/>
      </c>
      <c r="C33" s="30" t="inlineStr">
        <is>
          <t>PRUDENT</t>
        </is>
      </c>
      <c r="D33" s="30" t="inlineStr">
        <is>
          <t>Prudent Corporate Advisory Services Ltd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midcap</t>
        </is>
      </c>
      <c r="H33" s="31" t="n">
        <v>12537.11</v>
      </c>
      <c r="I33" s="31" t="n">
        <v>3054</v>
      </c>
      <c r="J33" s="31" t="n">
        <v>0.87</v>
      </c>
      <c r="K33" s="31" t="n">
        <v>10888</v>
      </c>
      <c r="L33" s="30" t="n">
        <v>44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65.79000000000001</v>
      </c>
      <c r="P33" s="31" t="n">
        <v>21.25</v>
      </c>
      <c r="Q33" s="31" t="n">
        <v>2416.97</v>
      </c>
      <c r="R33" s="30" t="inlineStr">
        <is>
          <t>Near 52W High Breakout</t>
        </is>
      </c>
      <c r="S33" s="30" t="inlineStr">
        <is>
          <t>Nifty Bank</t>
        </is>
      </c>
      <c r="T33" s="31" t="n">
        <v>2.37</v>
      </c>
      <c r="U33" s="31" t="n">
        <v>14.46</v>
      </c>
      <c r="V33" s="31" t="n">
        <v>11.82</v>
      </c>
      <c r="W33" s="31" t="n">
        <v>11.62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above 5x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20 to 40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2</t>
        </is>
      </c>
      <c r="BQ33" s="30">
        <f>IF(BP33="Stage 2",20,IF(BP33="Stage 1",0,IF(BP33="Stage 3",5,IF(BP33="Stage 4",-5,0))))</f>
        <v/>
      </c>
      <c r="BR33" s="30" t="inlineStr">
        <is>
          <t>Positive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IF(B34=0,"",RANK(B34,$B$2:$B$72,0))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KARURVYSYA</t>
        </is>
      </c>
      <c r="D34" s="30" t="inlineStr">
        <is>
          <t>Karur Vysya Bank Limited</t>
        </is>
      </c>
      <c r="E34" s="30" t="inlineStr">
        <is>
          <t>bank</t>
        </is>
      </c>
      <c r="F34" s="30" t="inlineStr">
        <is>
          <t>banks - private sector</t>
        </is>
      </c>
      <c r="G34" s="30" t="inlineStr">
        <is>
          <t>largecap</t>
        </is>
      </c>
      <c r="H34" s="31" t="n">
        <v>28472.56</v>
      </c>
      <c r="I34" s="31" t="n">
        <v>296.7</v>
      </c>
      <c r="J34" s="31" t="n">
        <v>0.73</v>
      </c>
      <c r="K34" s="31" t="n">
        <v>1780730</v>
      </c>
      <c r="L34" s="30" t="n">
        <v>39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55.99</v>
      </c>
      <c r="P34" s="31" t="n">
        <v>11.95</v>
      </c>
      <c r="Q34" s="31" t="n">
        <v>243.52</v>
      </c>
      <c r="R34" s="30" t="inlineStr">
        <is>
          <t>Earnings / Momentum Support</t>
        </is>
      </c>
      <c r="S34" s="30" t="inlineStr">
        <is>
          <t>Nifty Bank</t>
        </is>
      </c>
      <c r="T34" s="31" t="n">
        <v>2.37</v>
      </c>
      <c r="U34" s="31" t="n">
        <v>45.43</v>
      </c>
      <c r="V34" s="31" t="n">
        <v>42.07</v>
      </c>
      <c r="W34" s="31" t="n">
        <v>10.42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less than 2.5x and Growth more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Positive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  <row r="35">
      <c r="A35" s="30">
        <f>IF(B35=0,"",RANK(B35,$B$2:$B$72,0))</f>
        <v/>
      </c>
      <c r="B35" s="31">
        <f>SUM(N35,Y35,AA35,AC35,AE35,AG35,AI35,AK35,AM35,AO35,AQ35,AS35,AU35,AW35,AY35,BA35,BC35,BE35,BG35,BI35,BK35,BM35,BO35,BQ35,BS35,BU35,BW35,BY35,CA35)</f>
        <v/>
      </c>
      <c r="C35" s="30" t="inlineStr">
        <is>
          <t>DCBBANK</t>
        </is>
      </c>
      <c r="D35" s="30" t="inlineStr">
        <is>
          <t>Dcb Bank Limited</t>
        </is>
      </c>
      <c r="E35" s="30" t="inlineStr">
        <is>
          <t>bank</t>
        </is>
      </c>
      <c r="F35" s="30" t="inlineStr">
        <is>
          <t>banks - private sector</t>
        </is>
      </c>
      <c r="G35" s="30" t="inlineStr">
        <is>
          <t>midcap</t>
        </is>
      </c>
      <c r="H35" s="31" t="n">
        <v>5914.3</v>
      </c>
      <c r="I35" s="31" t="n">
        <v>185.01</v>
      </c>
      <c r="J35" s="31" t="n">
        <v>0.7</v>
      </c>
      <c r="K35" s="31" t="n">
        <v>1412999</v>
      </c>
      <c r="L35" s="30" t="n">
        <v>30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57.77</v>
      </c>
      <c r="P35" s="31" t="n">
        <v>19.89</v>
      </c>
      <c r="Q35" s="31" t="n">
        <v>152.86</v>
      </c>
      <c r="R35" s="30" t="inlineStr">
        <is>
          <t>Near 52W High Breakout</t>
        </is>
      </c>
      <c r="S35" s="30" t="inlineStr">
        <is>
          <t>Nifty Bank</t>
        </is>
      </c>
      <c r="T35" s="31" t="n">
        <v>2.37</v>
      </c>
      <c r="U35" s="31" t="n">
        <v>32</v>
      </c>
      <c r="V35" s="31" t="n">
        <v>28.95</v>
      </c>
      <c r="W35" s="31" t="n">
        <v>8.41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Fragmented with High ROE</t>
        </is>
      </c>
      <c r="AA35" s="30">
        <f>IF(Z35="Fragmented with Low ROE",-5,IF(Z35="Fragmented with High ROE",10,IF(Z35= "highly cyclical",5,0)))</f>
        <v/>
      </c>
      <c r="AB35" s="30" t="inlineStr">
        <is>
          <t>Yes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Consistency)",15,IF(AF35="Shallow Cyclical (2 to 3 years growth)",10,IF(AF35 = "Cyclical in an Uptick",5,IF(AF35 = "Cyclical in an Downtick",-10,0))))</f>
        <v/>
      </c>
      <c r="AH35" s="30" t="inlineStr">
        <is>
          <t>Yes</t>
        </is>
      </c>
      <c r="AI35" s="30">
        <f>IF(AH35="Yes",10,0)</f>
        <v/>
      </c>
      <c r="AJ35" s="30" t="inlineStr">
        <is>
          <t>Yes</t>
        </is>
      </c>
      <c r="AK35" s="30">
        <f>IF(AJ35="Yes",10,0)</f>
        <v/>
      </c>
      <c r="AL35" s="30" t="n"/>
      <c r="AM35" s="30">
        <f>IF(AL35="No",10,0)</f>
        <v/>
      </c>
      <c r="AN35" s="30" t="inlineStr">
        <is>
          <t>Yes</t>
        </is>
      </c>
      <c r="AO35" s="30">
        <f>IF(AN35="Yes",10,0)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Yes</t>
        </is>
      </c>
      <c r="AS35" s="30">
        <f>IF(AR35="Yes",5,0)</f>
        <v/>
      </c>
      <c r="AT35" s="30" t="inlineStr">
        <is>
          <t>No</t>
        </is>
      </c>
      <c r="AU35" s="30">
        <f>IF(AT35="No",10,IF(AT35="Yes",-10,0))</f>
        <v/>
      </c>
      <c r="AV35" s="30" t="inlineStr">
        <is>
          <t>No</t>
        </is>
      </c>
      <c r="AW35" s="30">
        <f>IF(AV35="No",10,0)</f>
        <v/>
      </c>
      <c r="AX35" s="30" t="inlineStr">
        <is>
          <t>No</t>
        </is>
      </c>
      <c r="AY35" s="30">
        <f>IF(AX35="No",10,IF(AX35= "Yes CEO Resignation",-5,0))</f>
        <v/>
      </c>
      <c r="AZ35" s="30" t="inlineStr">
        <is>
          <t>No</t>
        </is>
      </c>
      <c r="BA35" s="30">
        <f>IF(AZ35="No",10,IF(AZ35="Yes",-5,0))</f>
        <v/>
      </c>
      <c r="BB35" s="30" t="inlineStr">
        <is>
          <t>No</t>
        </is>
      </c>
      <c r="BC35" s="30">
        <f>IF(BB35="No",5,IF(BB35="Yes",-5,0))</f>
        <v/>
      </c>
      <c r="BD35" s="30" t="inlineStr">
        <is>
          <t>Yes</t>
        </is>
      </c>
      <c r="BE35" s="30">
        <f>IF(BD35="Yes",10,0)</f>
        <v/>
      </c>
      <c r="BF35" s="30" t="inlineStr">
        <is>
          <t>Yes</t>
        </is>
      </c>
      <c r="BG35" s="30">
        <f>IF(BF35="Yes",10,0)</f>
        <v/>
      </c>
      <c r="BH35" s="30" t="inlineStr">
        <is>
          <t>Yes</t>
        </is>
      </c>
      <c r="BI35" s="30">
        <f>IF(BH35="Yes",10,0)</f>
        <v/>
      </c>
      <c r="BJ35" s="30" t="inlineStr">
        <is>
          <t>P/BV less than 2.5x and Growth less than 20%</t>
        </is>
      </c>
      <c r="BK35" s="30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0" t="inlineStr">
        <is>
          <t>0 to 20</t>
        </is>
      </c>
      <c r="BM35" s="30">
        <f>IF(BL35="Above 40",20,IF(BL35="20 to 40",10,IF(BL35="0 to 20",-5,0)))</f>
        <v/>
      </c>
      <c r="BN35" s="30" t="inlineStr">
        <is>
          <t>Between 50 to 75</t>
        </is>
      </c>
      <c r="BO35" s="30">
        <f>IF(BN35="Between 50 to 75",10,IF(BN35="Above 75",0,0))</f>
        <v/>
      </c>
      <c r="BP35" s="30" t="inlineStr">
        <is>
          <t>Stage 2</t>
        </is>
      </c>
      <c r="BQ35" s="30">
        <f>IF(BP35="Stage 2",20,IF(BP35="Stage 1",0,IF(BP35="Stage 3",5,IF(BP35="Stage 4",-5,0))))</f>
        <v/>
      </c>
      <c r="BR35" s="30" t="inlineStr">
        <is>
          <t>Positive Trend</t>
        </is>
      </c>
      <c r="BS35" s="30">
        <f>IF(BR35="Positive Trend",20,IF(BR35="Negative Trend",-10,0))</f>
        <v/>
      </c>
      <c r="BT35" s="30" t="inlineStr">
        <is>
          <t>Uptrend</t>
        </is>
      </c>
      <c r="BU35" s="30">
        <f>IF(BT35="Uptrend",10,IF(BT35="Sideways",5,0))</f>
        <v/>
      </c>
      <c r="BV35" s="30" t="inlineStr">
        <is>
          <t>Uptrend</t>
        </is>
      </c>
      <c r="BW35" s="30">
        <f>IF(BV35="Uptrend",10,IF(BV35="Sideways",5,0))</f>
        <v/>
      </c>
      <c r="BX35" s="30" t="inlineStr">
        <is>
          <t>Blue sky scenario</t>
        </is>
      </c>
      <c r="BY35" s="30">
        <f>IF(BX35="Overhead supply in last 2 years in last 2 years",-5,IF(BX35="Close to 52 week high or retracement",5,IF(BX35="Blue sky scenario",10,IF(BX35="Long term Downtrend",-10,0))))</f>
        <v/>
      </c>
      <c r="BZ35" s="30" t="inlineStr">
        <is>
          <t>Yes</t>
        </is>
      </c>
      <c r="CA35" s="30">
        <f>IF(BZ35="Yes",10,0)</f>
        <v/>
      </c>
    </row>
    <row r="36">
      <c r="A36" s="30">
        <f>IF(B36=0,"",RANK(B36,$B$2:$B$72,0))</f>
        <v/>
      </c>
      <c r="B36" s="31">
        <f>SUM(N36,Y36,AA36,AC36,AE36,AG36,AI36,AK36,AM36,AO36,AQ36,AS36,AU36,AW36,AY36,BA36,BC36,BE36,BG36,BI36,BK36,BM36,BO36,BQ36,BS36,BU36,BW36,BY36,CA36)</f>
        <v/>
      </c>
      <c r="C36" s="30" t="inlineStr">
        <is>
          <t>EQUITASBNK</t>
        </is>
      </c>
      <c r="D36" s="30" t="inlineStr">
        <is>
          <t>Equitas Small Finance Bank Ltd</t>
        </is>
      </c>
      <c r="E36" s="30" t="inlineStr">
        <is>
          <t>bank</t>
        </is>
      </c>
      <c r="F36" s="30" t="inlineStr">
        <is>
          <t>banks - private sector</t>
        </is>
      </c>
      <c r="G36" s="30" t="inlineStr">
        <is>
          <t>midcap</t>
        </is>
      </c>
      <c r="H36" s="31" t="n">
        <v>8985.709999999999</v>
      </c>
      <c r="I36" s="31" t="n">
        <v>78.65000000000001</v>
      </c>
      <c r="J36" s="31" t="n">
        <v>-0.13</v>
      </c>
      <c r="K36" s="31" t="n">
        <v>3409171</v>
      </c>
      <c r="L36" s="30" t="n">
        <v>50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66.59</v>
      </c>
      <c r="P36" s="31" t="n">
        <v>23.18</v>
      </c>
      <c r="Q36" s="31" t="n">
        <v>63.06</v>
      </c>
      <c r="R36" s="30" t="inlineStr">
        <is>
          <t>Near 52W High Breakout</t>
        </is>
      </c>
      <c r="S36" s="30" t="inlineStr">
        <is>
          <t>Nifty Bank</t>
        </is>
      </c>
      <c r="T36" s="31" t="n">
        <v>2.37</v>
      </c>
      <c r="U36" s="31" t="n">
        <v>22.05</v>
      </c>
      <c r="V36" s="31" t="n">
        <v>19.23</v>
      </c>
      <c r="W36" s="31" t="n">
        <v>12.94</v>
      </c>
      <c r="X36" s="30" t="inlineStr">
        <is>
          <t>Cyclical in an Upturn</t>
        </is>
      </c>
      <c r="Y36" s="30">
        <f>IF(X36="Growing Industry",10,IF(X36="Cyclical in an Upturn",5,0))</f>
        <v/>
      </c>
      <c r="Z36" s="30" t="inlineStr">
        <is>
          <t>Fragmented with High ROE</t>
        </is>
      </c>
      <c r="AA36" s="30">
        <f>IF(Z36="Fragmented with Low ROE",-5,IF(Z36="Fragmented with High ROE",10,IF(Z36= "highly cyclical",5,0)))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Cyclical in an Uptick</t>
        </is>
      </c>
      <c r="AG36" s="30">
        <f>IF(AF36="Structural (10 Years Consistency)",15,IF(AF36="Shallow Cyclical (2 to 3 years growth)",10,IF(AF36 = "Cyclical in an Uptick",5,IF(AF36 = "Cyclical in an Downtick",-10,0))))</f>
        <v/>
      </c>
      <c r="AH36" s="30" t="inlineStr">
        <is>
          <t>Yes</t>
        </is>
      </c>
      <c r="AI36" s="30">
        <f>IF(AH36="Yes",10,0)</f>
        <v/>
      </c>
      <c r="AJ36" s="30" t="inlineStr">
        <is>
          <t>Yes</t>
        </is>
      </c>
      <c r="AK36" s="30">
        <f>IF(AJ36="Yes",10,0)</f>
        <v/>
      </c>
      <c r="AL36" s="30" t="inlineStr">
        <is>
          <t>Yes</t>
        </is>
      </c>
      <c r="AM36" s="30">
        <f>IF(AL36="No",10,0)</f>
        <v/>
      </c>
      <c r="AN36" s="30" t="inlineStr">
        <is>
          <t>Yes</t>
        </is>
      </c>
      <c r="AO36" s="30">
        <f>IF(AN36="Yes",10,0)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No</t>
        </is>
      </c>
      <c r="AS36" s="30">
        <f>IF(AR36="Yes",5,0)</f>
        <v/>
      </c>
      <c r="AT36" s="30" t="inlineStr">
        <is>
          <t>No</t>
        </is>
      </c>
      <c r="AU36" s="30">
        <f>IF(AT36="No",10,IF(AT36="Yes",-10,0))</f>
        <v/>
      </c>
      <c r="AV36" s="30" t="inlineStr">
        <is>
          <t>No</t>
        </is>
      </c>
      <c r="AW36" s="30">
        <f>IF(AV36="No",10,0)</f>
        <v/>
      </c>
      <c r="AX36" s="30" t="inlineStr">
        <is>
          <t>No</t>
        </is>
      </c>
      <c r="AY36" s="30">
        <f>IF(AX36="No",10,IF(AX36= "Yes CEO Resignation",-5,0))</f>
        <v/>
      </c>
      <c r="AZ36" s="30" t="inlineStr">
        <is>
          <t>No</t>
        </is>
      </c>
      <c r="BA36" s="30">
        <f>IF(AZ36="No",10,IF(AZ36="Yes",-5,0))</f>
        <v/>
      </c>
      <c r="BB36" s="30" t="inlineStr">
        <is>
          <t>No</t>
        </is>
      </c>
      <c r="BC36" s="30">
        <f>IF(BB36="No",5,IF(BB36="Yes",-5,0))</f>
        <v/>
      </c>
      <c r="BD36" s="30" t="inlineStr">
        <is>
          <t>Yes</t>
        </is>
      </c>
      <c r="BE36" s="30">
        <f>IF(BD36="Yes",10,0)</f>
        <v/>
      </c>
      <c r="BF36" s="30" t="inlineStr">
        <is>
          <t>No</t>
        </is>
      </c>
      <c r="BG36" s="30">
        <f>IF(BF36="Yes",10,0)</f>
        <v/>
      </c>
      <c r="BH36" s="30" t="inlineStr">
        <is>
          <t>Yes</t>
        </is>
      </c>
      <c r="BI36" s="30">
        <f>IF(BH36="Yes",10,0)</f>
        <v/>
      </c>
      <c r="BJ36" s="30" t="inlineStr">
        <is>
          <t>P/BV less than 2.5x and Growth more than 20%</t>
        </is>
      </c>
      <c r="BK36" s="30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0" t="inlineStr">
        <is>
          <t>20 to 40</t>
        </is>
      </c>
      <c r="BM36" s="30">
        <f>IF(BL36="Above 40",20,IF(BL36="20 to 40",10,IF(BL36="0 to 20",-5,0)))</f>
        <v/>
      </c>
      <c r="BN36" s="30" t="inlineStr">
        <is>
          <t>Between 50 to 75</t>
        </is>
      </c>
      <c r="BO36" s="30">
        <f>IF(BN36="Between 50 to 75",10,IF(BN36="Above 75",0,0))</f>
        <v/>
      </c>
      <c r="BP36" s="30" t="inlineStr">
        <is>
          <t>Stage 2</t>
        </is>
      </c>
      <c r="BQ36" s="30">
        <f>IF(BP36="Stage 2",20,IF(BP36="Stage 1",0,IF(BP36="Stage 3",5,IF(BP36="Stage 4",-5,0))))</f>
        <v/>
      </c>
      <c r="BR36" s="30" t="inlineStr">
        <is>
          <t>Positive Trend</t>
        </is>
      </c>
      <c r="BS36" s="30">
        <f>IF(BR36="Positive Trend",20,IF(BR36="Negative Trend",-10,0))</f>
        <v/>
      </c>
      <c r="BT36" s="30" t="inlineStr">
        <is>
          <t>Uptrend</t>
        </is>
      </c>
      <c r="BU36" s="30">
        <f>IF(BT36="Uptrend",10,IF(BT36="Sideways",5,0))</f>
        <v/>
      </c>
      <c r="BV36" s="30" t="inlineStr">
        <is>
          <t>Uptrend</t>
        </is>
      </c>
      <c r="BW36" s="30">
        <f>IF(BV36="Uptrend",10,IF(BV36="Sideways",5,0))</f>
        <v/>
      </c>
      <c r="BX36" s="30" t="inlineStr">
        <is>
          <t>Close to 52 week high or retracement</t>
        </is>
      </c>
      <c r="BY36" s="30">
        <f>IF(BX36="Overhead supply in last 2 years in last 2 years",-5,IF(BX36="Close to 52 week high or retracement",5,IF(BX36="Blue sky scenario",10,IF(BX36="Long term Downtrend",-10,0))))</f>
        <v/>
      </c>
      <c r="BZ36" s="30" t="inlineStr">
        <is>
          <t>Yes</t>
        </is>
      </c>
      <c r="CA36" s="30">
        <f>IF(BZ36="Yes",10,0)</f>
        <v/>
      </c>
    </row>
    <row r="37">
      <c r="A37" s="30">
        <f>IF(B37=0,"",RANK(B37,$B$2:$B$72,0))</f>
        <v/>
      </c>
      <c r="B37" s="31">
        <f>SUM(N37,Y37,AA37,AC37,AE37,AG37,AI37,AK37,AM37,AO37,AQ37,AS37,AU37,AW37,AY37,BA37,BC37,BE37,BG37,BI37,BK37,BM37,BO37,BQ37,BS37,BU37,BW37,BY37,CA37)</f>
        <v/>
      </c>
      <c r="C37" s="30" t="inlineStr">
        <is>
          <t>MONARCH</t>
        </is>
      </c>
      <c r="D37" s="30" t="inlineStr">
        <is>
          <t>Monarch Networth Capital Ltd</t>
        </is>
      </c>
      <c r="E37" s="30" t="inlineStr">
        <is>
          <t>financials</t>
        </is>
      </c>
      <c r="F37" s="30" t="inlineStr">
        <is>
          <t>finance &amp; investments</t>
        </is>
      </c>
      <c r="G37" s="30" t="inlineStr">
        <is>
          <t>smallcap</t>
        </is>
      </c>
      <c r="H37" s="31" t="n">
        <v>2755.76</v>
      </c>
      <c r="I37" s="31" t="n">
        <v>344.45</v>
      </c>
      <c r="J37" s="31" t="n">
        <v>-0.92</v>
      </c>
      <c r="K37" s="31" t="n">
        <v>161637</v>
      </c>
      <c r="L37" s="30" t="n">
        <v>34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64.39</v>
      </c>
      <c r="P37" s="31" t="n">
        <v>19.29</v>
      </c>
      <c r="Q37" s="31" t="n">
        <v>274.24</v>
      </c>
      <c r="R37" s="30" t="inlineStr">
        <is>
          <t>Volume Spike / Accumulation</t>
        </is>
      </c>
      <c r="S37" s="30" t="inlineStr">
        <is>
          <t>Nifty Bank</t>
        </is>
      </c>
      <c r="T37" s="31" t="n">
        <v>2.37</v>
      </c>
      <c r="U37" s="31" t="n">
        <v>11.57</v>
      </c>
      <c r="V37" s="31" t="n">
        <v>8.99</v>
      </c>
      <c r="W37" s="31" t="n">
        <v>8.92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Fragmented with High ROE</t>
        </is>
      </c>
      <c r="AA37" s="30">
        <f>IF(Z37="Fragmented with Low ROE",-5,IF(Z37="Fragmented with High ROE",10,IF(Z37= "highly cyclical",5,0)))</f>
        <v/>
      </c>
      <c r="AB37" s="30" t="inlineStr">
        <is>
          <t>Yes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Consistency)",15,IF(AF37="Shallow Cyclical (2 to 3 years growth)",10,IF(AF37 = "Cyclical in an Uptick",5,IF(AF37 = "Cyclical in an Downtick",-10,0))))</f>
        <v/>
      </c>
      <c r="AH37" s="30" t="inlineStr">
        <is>
          <t>Yes</t>
        </is>
      </c>
      <c r="AI37" s="30">
        <f>IF(AH37="Yes",10,0)</f>
        <v/>
      </c>
      <c r="AJ37" s="30" t="inlineStr">
        <is>
          <t>Yes</t>
        </is>
      </c>
      <c r="AK37" s="30">
        <f>IF(AJ37="Yes",10,0)</f>
        <v/>
      </c>
      <c r="AL37" s="30" t="n"/>
      <c r="AM37" s="30">
        <f>IF(AL37="No",10,0)</f>
        <v/>
      </c>
      <c r="AN37" s="30" t="inlineStr">
        <is>
          <t>Yes</t>
        </is>
      </c>
      <c r="AO37" s="30">
        <f>IF(AN37="Yes",10,0)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Yes</t>
        </is>
      </c>
      <c r="AS37" s="30">
        <f>IF(AR37="Yes",5,0)</f>
        <v/>
      </c>
      <c r="AT37" s="30" t="inlineStr">
        <is>
          <t>No</t>
        </is>
      </c>
      <c r="AU37" s="30">
        <f>IF(AT37="No",10,IF(AT37="Yes",-10,0))</f>
        <v/>
      </c>
      <c r="AV37" s="30" t="inlineStr">
        <is>
          <t>No</t>
        </is>
      </c>
      <c r="AW37" s="30">
        <f>IF(AV37="No",10,0)</f>
        <v/>
      </c>
      <c r="AX37" s="30" t="inlineStr">
        <is>
          <t>No</t>
        </is>
      </c>
      <c r="AY37" s="30">
        <f>IF(AX37="No",10,IF(AX37= "Yes CEO Resignation",-5,0))</f>
        <v/>
      </c>
      <c r="AZ37" s="30" t="inlineStr">
        <is>
          <t>No</t>
        </is>
      </c>
      <c r="BA37" s="30">
        <f>IF(AZ37="No",10,IF(AZ37="Yes",-5,0))</f>
        <v/>
      </c>
      <c r="BB37" s="30" t="inlineStr">
        <is>
          <t>No</t>
        </is>
      </c>
      <c r="BC37" s="30">
        <f>IF(BB37="No",5,IF(BB37="Yes",-5,0))</f>
        <v/>
      </c>
      <c r="BD37" s="30" t="inlineStr">
        <is>
          <t>Yes</t>
        </is>
      </c>
      <c r="BE37" s="30">
        <f>IF(BD37="Yes",10,0)</f>
        <v/>
      </c>
      <c r="BF37" s="30" t="inlineStr">
        <is>
          <t>Yes</t>
        </is>
      </c>
      <c r="BG37" s="30">
        <f>IF(BF37="Yes",10,0)</f>
        <v/>
      </c>
      <c r="BH37" s="30" t="inlineStr">
        <is>
          <t>Yes</t>
        </is>
      </c>
      <c r="BI37" s="30">
        <f>IF(BH37="Yes",10,0)</f>
        <v/>
      </c>
      <c r="BJ37" s="30" t="inlineStr">
        <is>
          <t>P/BV between 2.5x to 5x and Growth more than 20%</t>
        </is>
      </c>
      <c r="BK37" s="30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0" t="inlineStr">
        <is>
          <t>0 to 20</t>
        </is>
      </c>
      <c r="BM37" s="30">
        <f>IF(BL37="Above 40",20,IF(BL37="20 to 40",10,IF(BL37="0 to 20",-5,0)))</f>
        <v/>
      </c>
      <c r="BN37" s="30" t="inlineStr">
        <is>
          <t>Between 50 to 75</t>
        </is>
      </c>
      <c r="BO37" s="30">
        <f>IF(BN37="Between 50 to 75",10,IF(BN37="Above 75",0,0))</f>
        <v/>
      </c>
      <c r="BP37" s="30" t="inlineStr">
        <is>
          <t>Stage 2</t>
        </is>
      </c>
      <c r="BQ37" s="30">
        <f>IF(BP37="Stage 2",20,IF(BP37="Stage 1",0,IF(BP37="Stage 3",5,IF(BP37="Stage 4",-5,0))))</f>
        <v/>
      </c>
      <c r="BR37" s="30" t="inlineStr">
        <is>
          <t>Positive Trend</t>
        </is>
      </c>
      <c r="BS37" s="30">
        <f>IF(BR37="Positive Trend",20,IF(BR37="Negative Trend",-10,0))</f>
        <v/>
      </c>
      <c r="BT37" s="30" t="inlineStr">
        <is>
          <t>Uptrend</t>
        </is>
      </c>
      <c r="BU37" s="30">
        <f>IF(BT37="Uptrend",10,IF(BT37="Sideways",5,0))</f>
        <v/>
      </c>
      <c r="BV37" s="30" t="inlineStr">
        <is>
          <t>Uptrend</t>
        </is>
      </c>
      <c r="BW37" s="30">
        <f>IF(BV37="Uptrend",10,IF(BV37="Sideways",5,0))</f>
        <v/>
      </c>
      <c r="BX37" s="30" t="inlineStr">
        <is>
          <t>Close to 52 week high or retracement</t>
        </is>
      </c>
      <c r="BY37" s="30">
        <f>IF(BX37="Overhead supply in last 2 years in last 2 years",-5,IF(BX37="Close to 52 week high or retracement",5,IF(BX37="Blue sky scenario",10,IF(BX37="Long term Downtrend",-10,0))))</f>
        <v/>
      </c>
      <c r="BZ37" s="30" t="inlineStr">
        <is>
          <t>Yes</t>
        </is>
      </c>
      <c r="CA37" s="30">
        <f>IF(BZ37="Yes",10,0)</f>
        <v/>
      </c>
    </row>
    <row r="38">
      <c r="A38" s="30">
        <f>IF(B38=0,"",RANK(B38,$B$2:$B$72,0))</f>
        <v/>
      </c>
      <c r="B38" s="31">
        <f>SUM(N38,Y38,AA38,AC38,AE38,AG38,AI38,AK38,AM38,AO38,AQ38,AS38,AU38,AW38,AY38,BA38,BC38,BE38,BG38,BI38,BK38,BM38,BO38,BQ38,BS38,BU38,BW38,BY38,CA38)</f>
        <v/>
      </c>
      <c r="C38" s="30" t="inlineStr">
        <is>
          <t>AXISBANK</t>
        </is>
      </c>
      <c r="D38" s="30" t="inlineStr">
        <is>
          <t>Axis Bank Limited</t>
        </is>
      </c>
      <c r="E38" s="30" t="inlineStr">
        <is>
          <t>bank</t>
        </is>
      </c>
      <c r="F38" s="30" t="inlineStr">
        <is>
          <t>banks - private sector</t>
        </is>
      </c>
      <c r="G38" s="30" t="inlineStr">
        <is>
          <t>largecap</t>
        </is>
      </c>
      <c r="H38" s="31" t="n">
        <v>424483.14</v>
      </c>
      <c r="I38" s="31" t="n">
        <v>1350.9</v>
      </c>
      <c r="J38" s="31" t="n">
        <v>-1.08</v>
      </c>
      <c r="K38" s="31" t="n">
        <v>4761917</v>
      </c>
      <c r="L38" s="30" t="n">
        <v>13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58.28</v>
      </c>
      <c r="P38" s="31" t="n">
        <v>9.550000000000001</v>
      </c>
      <c r="Q38" s="31" t="n">
        <v>1169.9</v>
      </c>
      <c r="R38" s="30" t="inlineStr">
        <is>
          <t>Near 52W High Breakout</t>
        </is>
      </c>
      <c r="S38" s="30" t="inlineStr">
        <is>
          <t>Nifty Bank</t>
        </is>
      </c>
      <c r="T38" s="31" t="n">
        <v>2.37</v>
      </c>
      <c r="U38" s="31" t="n">
        <v>10.76</v>
      </c>
      <c r="V38" s="31" t="n">
        <v>8.199999999999999</v>
      </c>
      <c r="W38" s="31" t="n">
        <v>4.74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Fragmented with High ROE</t>
        </is>
      </c>
      <c r="AA38" s="30">
        <f>IF(Z38="Fragmented with Low ROE",-5,IF(Z38="Fragmented with High ROE",10,IF(Z38= "highly cyclical",5,0)))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Consistency)",15,IF(AF38="Shallow Cyclical (2 to 3 years growth)",10,IF(AF38 = "Cyclical in an Uptick",5,IF(AF38 = "Cyclical in an Downtick",-10,0))))</f>
        <v/>
      </c>
      <c r="AH38" s="30" t="inlineStr">
        <is>
          <t>Yes</t>
        </is>
      </c>
      <c r="AI38" s="30">
        <f>IF(AH38="Yes",10,0)</f>
        <v/>
      </c>
      <c r="AJ38" s="30" t="inlineStr">
        <is>
          <t>Yes</t>
        </is>
      </c>
      <c r="AK38" s="30">
        <f>IF(AJ38="Yes",10,0)</f>
        <v/>
      </c>
      <c r="AL38" s="30" t="n"/>
      <c r="AM38" s="30">
        <f>IF(AL38="No",10,0)</f>
        <v/>
      </c>
      <c r="AN38" s="30" t="inlineStr">
        <is>
          <t>Yes</t>
        </is>
      </c>
      <c r="AO38" s="30">
        <f>IF(AN38="Yes",10,0)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Yes</t>
        </is>
      </c>
      <c r="AS38" s="30">
        <f>IF(AR38="Yes",5,0)</f>
        <v/>
      </c>
      <c r="AT38" s="30" t="inlineStr">
        <is>
          <t>No</t>
        </is>
      </c>
      <c r="AU38" s="30">
        <f>IF(AT38="No",10,IF(AT38="Yes",-10,0))</f>
        <v/>
      </c>
      <c r="AV38" s="30" t="inlineStr">
        <is>
          <t>No</t>
        </is>
      </c>
      <c r="AW38" s="30">
        <f>IF(AV38="No",10,0)</f>
        <v/>
      </c>
      <c r="AX38" s="30" t="inlineStr">
        <is>
          <t>No</t>
        </is>
      </c>
      <c r="AY38" s="30">
        <f>IF(AX38="No",10,IF(AX38= "Yes CEO Resignation",-5,0))</f>
        <v/>
      </c>
      <c r="AZ38" s="30" t="inlineStr">
        <is>
          <t>No</t>
        </is>
      </c>
      <c r="BA38" s="30">
        <f>IF(AZ38="No",10,IF(AZ38="Yes",-5,0))</f>
        <v/>
      </c>
      <c r="BB38" s="30" t="inlineStr">
        <is>
          <t>No</t>
        </is>
      </c>
      <c r="BC38" s="30">
        <f>IF(BB38="No",5,IF(BB38="Yes",-5,0))</f>
        <v/>
      </c>
      <c r="BD38" s="30" t="inlineStr">
        <is>
          <t>Yes</t>
        </is>
      </c>
      <c r="BE38" s="30">
        <f>IF(BD38="Yes",10,0)</f>
        <v/>
      </c>
      <c r="BF38" s="30" t="inlineStr">
        <is>
          <t>Yes</t>
        </is>
      </c>
      <c r="BG38" s="30">
        <f>IF(BF38="Yes",10,0)</f>
        <v/>
      </c>
      <c r="BH38" s="30" t="inlineStr">
        <is>
          <t>Yes</t>
        </is>
      </c>
      <c r="BI38" s="30">
        <f>IF(BH38="Yes",10,0)</f>
        <v/>
      </c>
      <c r="BJ38" s="30" t="inlineStr">
        <is>
          <t>P/BV less than 2.5x and Growth less than 20%</t>
        </is>
      </c>
      <c r="BK38" s="30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0" t="inlineStr">
        <is>
          <t>0 to 20</t>
        </is>
      </c>
      <c r="BM38" s="30">
        <f>IF(BL38="Above 40",20,IF(BL38="20 to 40",10,IF(BL38="0 to 20",-5,0)))</f>
        <v/>
      </c>
      <c r="BN38" s="30" t="inlineStr">
        <is>
          <t>Between 50 to 75</t>
        </is>
      </c>
      <c r="BO38" s="30">
        <f>IF(BN38="Between 50 to 75",10,IF(BN38="Above 75",0,0))</f>
        <v/>
      </c>
      <c r="BP38" s="30" t="inlineStr">
        <is>
          <t>Stage 2</t>
        </is>
      </c>
      <c r="BQ38" s="30">
        <f>IF(BP38="Stage 2",20,IF(BP38="Stage 1",0,IF(BP38="Stage 3",5,IF(BP38="Stage 4",-5,0))))</f>
        <v/>
      </c>
      <c r="BR38" s="30" t="inlineStr">
        <is>
          <t>Positive Trend</t>
        </is>
      </c>
      <c r="BS38" s="30">
        <f>IF(BR38="Positive Trend",20,IF(BR38="Negative Trend",-10,0))</f>
        <v/>
      </c>
      <c r="BT38" s="30" t="inlineStr">
        <is>
          <t>Uptrend</t>
        </is>
      </c>
      <c r="BU38" s="30">
        <f>IF(BT38="Uptrend",10,IF(BT38="Sideways",5,0))</f>
        <v/>
      </c>
      <c r="BV38" s="30" t="inlineStr">
        <is>
          <t>Uptrend</t>
        </is>
      </c>
      <c r="BW38" s="30">
        <f>IF(BV38="Uptrend",10,IF(BV38="Sideways",5,0))</f>
        <v/>
      </c>
      <c r="BX38" s="30" t="inlineStr">
        <is>
          <t>Blue sky scenario</t>
        </is>
      </c>
      <c r="BY38" s="30">
        <f>IF(BX38="Overhead supply in last 2 years in last 2 years",-5,IF(BX38="Close to 52 week high or retracement",5,IF(BX38="Blue sky scenario",10,IF(BX38="Long term Downtrend",-10,0))))</f>
        <v/>
      </c>
      <c r="BZ38" s="30" t="inlineStr">
        <is>
          <t>Yes</t>
        </is>
      </c>
      <c r="CA38" s="30">
        <f>IF(BZ38="Yes",10,0)</f>
        <v/>
      </c>
    </row>
    <row r="39">
      <c r="A39" s="30">
        <f>IF(B39=0,"",RANK(B39,$B$2:$B$72,0))</f>
        <v/>
      </c>
      <c r="B39" s="31">
        <f>SUM(N39,Y39,AA39,AC39,AE39,AG39,AI39,AK39,AM39,AO39,AQ39,AS39,AU39,AW39,AY39,BA39,BC39,BE39,BG39,BI39,BK39,BM39,BO39,BQ39,BS39,BU39,BW39,BY39,CA39)</f>
        <v/>
      </c>
      <c r="C39" s="30" t="inlineStr">
        <is>
          <t>STEL</t>
        </is>
      </c>
      <c r="D39" s="30" t="inlineStr">
        <is>
          <t>Stel Holdings Limited</t>
        </is>
      </c>
      <c r="E39" s="30" t="inlineStr">
        <is>
          <t>financials</t>
        </is>
      </c>
      <c r="F39" s="30" t="inlineStr">
        <is>
          <t>finance &amp; investments</t>
        </is>
      </c>
      <c r="G39" s="30" t="inlineStr">
        <is>
          <t>smallcap</t>
        </is>
      </c>
      <c r="H39" s="31" t="n">
        <v>1146.82</v>
      </c>
      <c r="I39" s="31" t="n">
        <v>582.6</v>
      </c>
      <c r="J39" s="31" t="n">
        <v>-6.24</v>
      </c>
      <c r="K39" s="31" t="n">
        <v>41521</v>
      </c>
      <c r="L39" s="30" t="n">
        <v>58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65.72</v>
      </c>
      <c r="P39" s="31" t="n">
        <v>9.75</v>
      </c>
      <c r="Q39" s="31" t="n">
        <v>405.67</v>
      </c>
      <c r="R39" s="30" t="inlineStr">
        <is>
          <t>Volume Spike &amp; Near 52W High Breakout</t>
        </is>
      </c>
      <c r="S39" s="30" t="inlineStr">
        <is>
          <t>Nifty Bank</t>
        </is>
      </c>
      <c r="T39" s="31" t="n">
        <v>2.37</v>
      </c>
      <c r="U39" s="31" t="n">
        <v>42.46</v>
      </c>
      <c r="V39" s="31" t="n">
        <v>39.17</v>
      </c>
      <c r="W39" s="31" t="n">
        <v>14.56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Fragmented with High ROE</t>
        </is>
      </c>
      <c r="AA39" s="30">
        <f>IF(Z39="Fragmented with Low ROE",-5,IF(Z39="Fragmented with High ROE",10,IF(Z39= "highly cyclical",5,0)))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Consistency)",15,IF(AF39="Shallow Cyclical (2 to 3 years growth)",10,IF(AF39 = "Cyclical in an Uptick",5,IF(AF39 = "Cyclical in an Downtick",-10,0))))</f>
        <v/>
      </c>
      <c r="AH39" s="30" t="inlineStr">
        <is>
          <t>Yes</t>
        </is>
      </c>
      <c r="AI39" s="30">
        <f>IF(AH39="Yes",10,0)</f>
        <v/>
      </c>
      <c r="AJ39" s="30" t="inlineStr">
        <is>
          <t>Yes</t>
        </is>
      </c>
      <c r="AK39" s="30">
        <f>IF(AJ39="Yes",10,0)</f>
        <v/>
      </c>
      <c r="AL39" s="30" t="n"/>
      <c r="AM39" s="30">
        <f>IF(AL39="No",10,0)</f>
        <v/>
      </c>
      <c r="AN39" s="30" t="inlineStr">
        <is>
          <t>Yes</t>
        </is>
      </c>
      <c r="AO39" s="30">
        <f>IF(AN39="Yes",10,0)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Yes</t>
        </is>
      </c>
      <c r="AS39" s="30">
        <f>IF(AR39="Yes",5,0)</f>
        <v/>
      </c>
      <c r="AT39" s="30" t="inlineStr">
        <is>
          <t>No</t>
        </is>
      </c>
      <c r="AU39" s="30">
        <f>IF(AT39="No",10,IF(AT39="Yes",-10,0))</f>
        <v/>
      </c>
      <c r="AV39" s="30" t="inlineStr">
        <is>
          <t>No</t>
        </is>
      </c>
      <c r="AW39" s="30">
        <f>IF(AV39="No",10,0)</f>
        <v/>
      </c>
      <c r="AX39" s="30" t="inlineStr">
        <is>
          <t>No</t>
        </is>
      </c>
      <c r="AY39" s="30">
        <f>IF(AX39="No",10,IF(AX39= "Yes CEO Resignation",-5,0))</f>
        <v/>
      </c>
      <c r="AZ39" s="30" t="inlineStr">
        <is>
          <t>No</t>
        </is>
      </c>
      <c r="BA39" s="30">
        <f>IF(AZ39="No",10,IF(AZ39="Yes",-5,0))</f>
        <v/>
      </c>
      <c r="BB39" s="30" t="inlineStr">
        <is>
          <t>No</t>
        </is>
      </c>
      <c r="BC39" s="30">
        <f>IF(BB39="No",5,IF(BB39="Yes",-5,0))</f>
        <v/>
      </c>
      <c r="BD39" s="30" t="inlineStr">
        <is>
          <t>Yes</t>
        </is>
      </c>
      <c r="BE39" s="30">
        <f>IF(BD39="Yes",10,0)</f>
        <v/>
      </c>
      <c r="BF39" s="30" t="inlineStr">
        <is>
          <t>Yes</t>
        </is>
      </c>
      <c r="BG39" s="30">
        <f>IF(BF39="Yes",10,0)</f>
        <v/>
      </c>
      <c r="BH39" s="30" t="inlineStr">
        <is>
          <t>Yes</t>
        </is>
      </c>
      <c r="BI39" s="30">
        <f>IF(BH39="Yes",10,0)</f>
        <v/>
      </c>
      <c r="BJ39" s="30" t="inlineStr">
        <is>
          <t>P/BV less than 2.5x and Growth less than 20%</t>
        </is>
      </c>
      <c r="BK39" s="30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0" t="inlineStr">
        <is>
          <t>0 to 20</t>
        </is>
      </c>
      <c r="BM39" s="30">
        <f>IF(BL39="Above 40",20,IF(BL39="20 to 40",10,IF(BL39="0 to 20",-5,0)))</f>
        <v/>
      </c>
      <c r="BN39" s="30" t="inlineStr">
        <is>
          <t>Between 50 to 75</t>
        </is>
      </c>
      <c r="BO39" s="30">
        <f>IF(BN39="Between 50 to 75",10,IF(BN39="Above 75",0,0))</f>
        <v/>
      </c>
      <c r="BP39" s="30" t="inlineStr">
        <is>
          <t>Stage 2</t>
        </is>
      </c>
      <c r="BQ39" s="30">
        <f>IF(BP39="Stage 2",20,IF(BP39="Stage 1",0,IF(BP39="Stage 3",5,IF(BP39="Stage 4",-5,0))))</f>
        <v/>
      </c>
      <c r="BR39" s="30" t="inlineStr">
        <is>
          <t>Positive Trend</t>
        </is>
      </c>
      <c r="BS39" s="30">
        <f>IF(BR39="Positive Trend",20,IF(BR39="Negative Trend",-10,0))</f>
        <v/>
      </c>
      <c r="BT39" s="30" t="inlineStr">
        <is>
          <t>Uptrend</t>
        </is>
      </c>
      <c r="BU39" s="30">
        <f>IF(BT39="Uptrend",10,IF(BT39="Sideways",5,0))</f>
        <v/>
      </c>
      <c r="BV39" s="30" t="inlineStr">
        <is>
          <t>Uptrend</t>
        </is>
      </c>
      <c r="BW39" s="30">
        <f>IF(BV39="Uptrend",10,IF(BV39="Sideways",5,0))</f>
        <v/>
      </c>
      <c r="BX39" s="30" t="inlineStr">
        <is>
          <t>Blue sky scenario</t>
        </is>
      </c>
      <c r="BY39" s="30">
        <f>IF(BX39="Overhead supply in last 2 years in last 2 years",-5,IF(BX39="Close to 52 week high or retracement",5,IF(BX39="Blue sky scenario",10,IF(BX39="Long term Downtrend",-10,0))))</f>
        <v/>
      </c>
      <c r="BZ39" s="30" t="inlineStr">
        <is>
          <t>Yes</t>
        </is>
      </c>
      <c r="CA39" s="30">
        <f>IF(BZ39="Yes",10,0)</f>
        <v/>
      </c>
    </row>
    <row r="40">
      <c r="A40" s="30">
        <f>IF(B40=0,"",RANK(B40,$B$2:$B$72,0))</f>
        <v/>
      </c>
      <c r="B40" s="31">
        <f>SUM(N40,Y40,AA40,AC40,AE40,AG40,AI40,AK40,AM40,AO40,AQ40,AS40,AU40,AW40,AY40,BA40,BC40,BE40,BG40,BI40,BK40,BM40,BO40,BQ40,BS40,BU40,BW40,BY40,CA40)</f>
        <v/>
      </c>
      <c r="C40" s="32" t="inlineStr">
        <is>
          <t>CAMS</t>
        </is>
      </c>
      <c r="D40" s="32" t="inlineStr">
        <is>
          <t>Computer Age Management Services Ltd</t>
        </is>
      </c>
      <c r="E40" s="30" t="inlineStr">
        <is>
          <t>financials</t>
        </is>
      </c>
      <c r="F40" s="30" t="inlineStr">
        <is>
          <t>miscellaneous</t>
        </is>
      </c>
      <c r="G40" s="30" t="inlineStr">
        <is>
          <t>midcap</t>
        </is>
      </c>
      <c r="H40" s="31" t="n">
        <v>19645.33</v>
      </c>
      <c r="I40" s="31" t="n">
        <v>807.25</v>
      </c>
      <c r="J40" s="31" t="n">
        <v>1.9</v>
      </c>
      <c r="K40" s="31" t="n">
        <v>2002246</v>
      </c>
      <c r="L40" s="30" t="n">
        <v>19</v>
      </c>
      <c r="M40" s="30" t="inlineStr">
        <is>
          <t>Underperforming</t>
        </is>
      </c>
      <c r="N40" s="31">
        <f>IF(M40="Underperforming",-5,IF(L40&gt;=95,15,IF(L40&gt;=90,10,IF(L40&gt;=80,5,0))))</f>
        <v/>
      </c>
      <c r="O40" s="31" t="n">
        <v>58.37</v>
      </c>
      <c r="P40" s="31" t="n">
        <v>20.06</v>
      </c>
      <c r="Q40" s="31" t="n">
        <v>677.74</v>
      </c>
      <c r="R40" s="30" t="inlineStr">
        <is>
          <t>Near 52W High Breakout</t>
        </is>
      </c>
      <c r="S40" s="30" t="inlineStr">
        <is>
          <t>Nifty Bank</t>
        </is>
      </c>
      <c r="T40" s="31" t="n">
        <v>2.37</v>
      </c>
      <c r="U40" s="31" t="n">
        <v>-1.56</v>
      </c>
      <c r="V40" s="31" t="n">
        <v>-3.84</v>
      </c>
      <c r="W40" s="31" t="n">
        <v>5.77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Fragmented with High ROE</t>
        </is>
      </c>
      <c r="AA40" s="30">
        <f>IF(Z40="Fragmented with Low ROE",-5,IF(Z40="Fragmented with High ROE",10,IF(Z40= "highly cyclical",5,0)))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Consistency)",15,IF(AF40="Shallow Cyclical (2 to 3 years growth)",10,IF(AF40 = "Cyclical in an Uptick",5,IF(AF40 = "Cyclical in an Downtick",-10,0))))</f>
        <v/>
      </c>
      <c r="AH40" s="30" t="inlineStr">
        <is>
          <t>Yes</t>
        </is>
      </c>
      <c r="AI40" s="30">
        <f>IF(AH40="Yes",10,0)</f>
        <v/>
      </c>
      <c r="AJ40" s="30" t="inlineStr">
        <is>
          <t>Yes</t>
        </is>
      </c>
      <c r="AK40" s="30">
        <f>IF(AJ40="Yes",10,0)</f>
        <v/>
      </c>
      <c r="AL40" s="30" t="n"/>
      <c r="AM40" s="30">
        <f>IF(AL40="No",10,0)</f>
        <v/>
      </c>
      <c r="AN40" s="30" t="inlineStr">
        <is>
          <t>Yes</t>
        </is>
      </c>
      <c r="AO40" s="30">
        <f>IF(AN40="Yes",10,0)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Yes</t>
        </is>
      </c>
      <c r="AS40" s="30">
        <f>IF(AR40="Yes",5,0)</f>
        <v/>
      </c>
      <c r="AT40" s="30" t="inlineStr">
        <is>
          <t>No</t>
        </is>
      </c>
      <c r="AU40" s="30">
        <f>IF(AT40="No",10,IF(AT40="Yes",-10,0))</f>
        <v/>
      </c>
      <c r="AV40" s="30" t="inlineStr">
        <is>
          <t>No</t>
        </is>
      </c>
      <c r="AW40" s="30">
        <f>IF(AV40="No",10,0)</f>
        <v/>
      </c>
      <c r="AX40" s="30" t="inlineStr">
        <is>
          <t>No</t>
        </is>
      </c>
      <c r="AY40" s="30">
        <f>IF(AX40="No",10,IF(AX40= "Yes CEO Resignation",-5,0))</f>
        <v/>
      </c>
      <c r="AZ40" s="30" t="inlineStr">
        <is>
          <t>No</t>
        </is>
      </c>
      <c r="BA40" s="30">
        <f>IF(AZ40="No",10,IF(AZ40="Yes",-5,0))</f>
        <v/>
      </c>
      <c r="BB40" s="30" t="inlineStr">
        <is>
          <t>No</t>
        </is>
      </c>
      <c r="BC40" s="30">
        <f>IF(BB40="No",5,IF(BB40="Yes",-5,0))</f>
        <v/>
      </c>
      <c r="BD40" s="30" t="inlineStr">
        <is>
          <t>Yes</t>
        </is>
      </c>
      <c r="BE40" s="30">
        <f>IF(BD40="Yes",10,0)</f>
        <v/>
      </c>
      <c r="BF40" s="30" t="inlineStr">
        <is>
          <t>Yes</t>
        </is>
      </c>
      <c r="BG40" s="30">
        <f>IF(BF40="Yes",10,0)</f>
        <v/>
      </c>
      <c r="BH40" s="30" t="inlineStr">
        <is>
          <t>Yes</t>
        </is>
      </c>
      <c r="BI40" s="30">
        <f>IF(BH40="Yes",10,0)</f>
        <v/>
      </c>
      <c r="BJ40" s="30" t="inlineStr">
        <is>
          <t>P/BV above 5x</t>
        </is>
      </c>
      <c r="BK40" s="30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0" t="inlineStr">
        <is>
          <t>20 to 40</t>
        </is>
      </c>
      <c r="BM40" s="30">
        <f>IF(BL40="Above 40",20,IF(BL40="20 to 40",10,IF(BL40="0 to 20",-5,0)))</f>
        <v/>
      </c>
      <c r="BN40" s="30" t="inlineStr">
        <is>
          <t>Between 50 to 75</t>
        </is>
      </c>
      <c r="BO40" s="30">
        <f>IF(BN40="Between 50 to 75",10,IF(BN40="Above 75",0,0))</f>
        <v/>
      </c>
      <c r="BP40" s="30" t="inlineStr">
        <is>
          <t>Stage 2</t>
        </is>
      </c>
      <c r="BQ40" s="30">
        <f>IF(BP40="Stage 2",20,IF(BP40="Stage 1",0,IF(BP40="Stage 3",5,IF(BP40="Stage 4",-5,0))))</f>
        <v/>
      </c>
      <c r="BR40" s="30" t="inlineStr">
        <is>
          <t>Positive Trend</t>
        </is>
      </c>
      <c r="BS40" s="30">
        <f>IF(BR40="Positive Trend",20,IF(BR40="Negative Trend",-10,0))</f>
        <v/>
      </c>
      <c r="BT40" s="30" t="inlineStr">
        <is>
          <t>Uptrend</t>
        </is>
      </c>
      <c r="BU40" s="30">
        <f>IF(BT40="Uptrend",10,IF(BT40="Sideways",5,0))</f>
        <v/>
      </c>
      <c r="BV40" s="30" t="inlineStr">
        <is>
          <t>Uptrend</t>
        </is>
      </c>
      <c r="BW40" s="30">
        <f>IF(BV40="Uptrend",10,IF(BV40="Sideways",5,0))</f>
        <v/>
      </c>
      <c r="BX40" s="30" t="inlineStr">
        <is>
          <t>Close to 52 week high or retracement</t>
        </is>
      </c>
      <c r="BY40" s="30">
        <f>IF(BX40="Overhead supply in last 2 years in last 2 years",-5,IF(BX40="Close to 52 week high or retracement",5,IF(BX40="Blue sky scenario",10,IF(BX40="Long term Downtrend",-10,0))))</f>
        <v/>
      </c>
      <c r="BZ40" s="30" t="inlineStr">
        <is>
          <t>Yes</t>
        </is>
      </c>
      <c r="CA40" s="30">
        <f>IF(BZ40="Yes",10,0)</f>
        <v/>
      </c>
    </row>
    <row r="41">
      <c r="A41" s="30">
        <f>IF(B41=0,"",RANK(B41,$B$2:$B$72,0))</f>
        <v/>
      </c>
      <c r="B41" s="31">
        <f>SUM(N41,Y41,AA41,AC41,AE41,AG41,AI41,AK41,AM41,AO41,AQ41,AS41,AU41,AW41,AY41,BA41,BC41,BE41,BG41,BI41,BK41,BM41,BO41,BQ41,BS41,BU41,BW41,BY41,CA41)</f>
        <v/>
      </c>
      <c r="C41" s="32" t="inlineStr">
        <is>
          <t>BFINVEST</t>
        </is>
      </c>
      <c r="D41" s="32" t="inlineStr">
        <is>
          <t>Bf Investment Limited</t>
        </is>
      </c>
      <c r="E41" s="30" t="inlineStr">
        <is>
          <t>financials</t>
        </is>
      </c>
      <c r="F41" s="30" t="inlineStr">
        <is>
          <t>finance &amp; investments</t>
        </is>
      </c>
      <c r="G41" s="30" t="inlineStr">
        <is>
          <t>smallcap</t>
        </is>
      </c>
      <c r="H41" s="31" t="n">
        <v>1701.82</v>
      </c>
      <c r="I41" s="31" t="n">
        <v>452</v>
      </c>
      <c r="J41" s="31" t="n">
        <v>0.04</v>
      </c>
      <c r="K41" s="31" t="n">
        <v>17676</v>
      </c>
      <c r="L41" s="30" t="n">
        <v>9</v>
      </c>
      <c r="M41" s="30" t="inlineStr">
        <is>
          <t>Underperforming</t>
        </is>
      </c>
      <c r="N41" s="31">
        <f>IF(M41="Underperforming",-5,IF(L41&gt;=95,15,IF(L41&gt;=90,10,IF(L41&gt;=80,5,0))))</f>
        <v/>
      </c>
      <c r="O41" s="31" t="n">
        <v>58.53</v>
      </c>
      <c r="P41" s="31" t="n">
        <v>18.61</v>
      </c>
      <c r="Q41" s="31" t="n">
        <v>351.47</v>
      </c>
      <c r="R41" s="30" t="inlineStr">
        <is>
          <t>Earnings / Momentum Support</t>
        </is>
      </c>
      <c r="S41" s="30" t="inlineStr">
        <is>
          <t>Nifty Bank</t>
        </is>
      </c>
      <c r="T41" s="31" t="n">
        <v>2.37</v>
      </c>
      <c r="U41" s="31" t="n">
        <v>-5.85</v>
      </c>
      <c r="V41" s="31" t="n">
        <v>-8.029999999999999</v>
      </c>
      <c r="W41" s="31" t="n">
        <v>3.85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Fragmented with High ROE</t>
        </is>
      </c>
      <c r="AA41" s="30">
        <f>IF(Z41="Fragmented with Low ROE",-5,IF(Z41="Fragmented with High ROE",10,IF(Z41= "highly cyclical",5,0)))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Consistency)",15,IF(AF41="Shallow Cyclical (2 to 3 years growth)",10,IF(AF41 = "Cyclical in an Uptick",5,IF(AF41 = "Cyclical in an Downtick",-10,0))))</f>
        <v/>
      </c>
      <c r="AH41" s="30" t="inlineStr">
        <is>
          <t>Yes</t>
        </is>
      </c>
      <c r="AI41" s="30">
        <f>IF(AH41="Yes",10,0)</f>
        <v/>
      </c>
      <c r="AJ41" s="30" t="inlineStr">
        <is>
          <t>Yes</t>
        </is>
      </c>
      <c r="AK41" s="30">
        <f>IF(AJ41="Yes",10,0)</f>
        <v/>
      </c>
      <c r="AL41" s="30" t="n"/>
      <c r="AM41" s="30">
        <f>IF(AL41="No",10,0)</f>
        <v/>
      </c>
      <c r="AN41" s="30" t="inlineStr">
        <is>
          <t>Yes</t>
        </is>
      </c>
      <c r="AO41" s="30">
        <f>IF(AN41="Yes",10,0)</f>
        <v/>
      </c>
      <c r="AP41" s="30" t="inlineStr">
        <is>
          <t>No</t>
        </is>
      </c>
      <c r="AQ41" s="30">
        <f>IF(AP41="Yes",10,0)</f>
        <v/>
      </c>
      <c r="AR41" s="30" t="inlineStr">
        <is>
          <t>Yes</t>
        </is>
      </c>
      <c r="AS41" s="30">
        <f>IF(AR41="Yes",5,0)</f>
        <v/>
      </c>
      <c r="AT41" s="30" t="inlineStr">
        <is>
          <t>No</t>
        </is>
      </c>
      <c r="AU41" s="30">
        <f>IF(AT41="No",10,IF(AT41="Yes",-10,0))</f>
        <v/>
      </c>
      <c r="AV41" s="30" t="inlineStr">
        <is>
          <t>No</t>
        </is>
      </c>
      <c r="AW41" s="30">
        <f>IF(AV41="No",10,0)</f>
        <v/>
      </c>
      <c r="AX41" s="30" t="inlineStr">
        <is>
          <t>No</t>
        </is>
      </c>
      <c r="AY41" s="30">
        <f>IF(AX41="No",10,IF(AX41= "Yes CEO Resignation",-5,0))</f>
        <v/>
      </c>
      <c r="AZ41" s="30" t="inlineStr">
        <is>
          <t>No</t>
        </is>
      </c>
      <c r="BA41" s="30">
        <f>IF(AZ41="No",10,IF(AZ41="Yes",-5,0))</f>
        <v/>
      </c>
      <c r="BB41" s="30" t="inlineStr">
        <is>
          <t>No</t>
        </is>
      </c>
      <c r="BC41" s="30">
        <f>IF(BB41="No",5,IF(BB41="Yes",-5,0))</f>
        <v/>
      </c>
      <c r="BD41" s="30" t="inlineStr">
        <is>
          <t>Yes</t>
        </is>
      </c>
      <c r="BE41" s="30">
        <f>IF(BD41="Yes",10,0)</f>
        <v/>
      </c>
      <c r="BF41" s="30" t="inlineStr">
        <is>
          <t>Yes</t>
        </is>
      </c>
      <c r="BG41" s="30">
        <f>IF(BF41="Yes",10,0)</f>
        <v/>
      </c>
      <c r="BH41" s="30" t="inlineStr">
        <is>
          <t>Yes</t>
        </is>
      </c>
      <c r="BI41" s="30">
        <f>IF(BH41="Yes",10,0)</f>
        <v/>
      </c>
      <c r="BJ41" s="30" t="inlineStr">
        <is>
          <t>P/BV less than 2.5x and Growth more than 20%</t>
        </is>
      </c>
      <c r="BK41" s="30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0" t="inlineStr">
        <is>
          <t>0 to 20</t>
        </is>
      </c>
      <c r="BM41" s="30">
        <f>IF(BL41="Above 40",20,IF(BL41="20 to 40",10,IF(BL41="0 to 20",-5,0)))</f>
        <v/>
      </c>
      <c r="BN41" s="30" t="inlineStr">
        <is>
          <t>Between 50 to 75</t>
        </is>
      </c>
      <c r="BO41" s="30">
        <f>IF(BN41="Between 50 to 75",10,IF(BN41="Above 75",0,0))</f>
        <v/>
      </c>
      <c r="BP41" s="30" t="inlineStr">
        <is>
          <t>Stage 2</t>
        </is>
      </c>
      <c r="BQ41" s="30">
        <f>IF(BP41="Stage 2",20,IF(BP41="Stage 1",0,IF(BP41="Stage 3",5,IF(BP41="Stage 4",-5,0))))</f>
        <v/>
      </c>
      <c r="BR41" s="30" t="inlineStr">
        <is>
          <t>Positive Trend</t>
        </is>
      </c>
      <c r="BS41" s="30">
        <f>IF(BR41="Positive Trend",20,IF(BR41="Negative Trend",-10,0))</f>
        <v/>
      </c>
      <c r="BT41" s="30" t="inlineStr">
        <is>
          <t>Uptrend</t>
        </is>
      </c>
      <c r="BU41" s="30">
        <f>IF(BT41="Uptrend",10,IF(BT41="Sideways",5,0))</f>
        <v/>
      </c>
      <c r="BV41" s="30" t="inlineStr">
        <is>
          <t>Uptrend</t>
        </is>
      </c>
      <c r="BW41" s="30">
        <f>IF(BV41="Uptrend",10,IF(BV41="Sideways",5,0))</f>
        <v/>
      </c>
      <c r="BX41" s="30" t="inlineStr">
        <is>
          <t>Close to 52 week high or retracement</t>
        </is>
      </c>
      <c r="BY41" s="30">
        <f>IF(BX41="Overhead supply in last 2 years in last 2 years",-5,IF(BX41="Close to 52 week high or retracement",5,IF(BX41="Blue sky scenario",10,IF(BX41="Long term Downtrend",-10,0))))</f>
        <v/>
      </c>
      <c r="BZ41" s="30" t="inlineStr">
        <is>
          <t>Yes</t>
        </is>
      </c>
      <c r="CA41" s="30">
        <f>IF(BZ41="Yes",10,0)</f>
        <v/>
      </c>
    </row>
    <row r="42">
      <c r="A42" s="30">
        <f>IF(B42=0,"",RANK(B42,$B$2:$B$72,0))</f>
        <v/>
      </c>
      <c r="B42" s="31">
        <f>SUM(N42,Y42,AA42,AC42,AE42,AG42,AI42,AK42,AM42,AO42,AQ42,AS42,AU42,AW42,AY42,BA42,BC42,BE42,BG42,BI42,BK42,BM42,BO42,BQ42,BS42,BU42,BW42,BY42,CA42)</f>
        <v/>
      </c>
      <c r="C42" s="30" t="inlineStr">
        <is>
          <t>EDELWEISS</t>
        </is>
      </c>
      <c r="D42" s="30" t="inlineStr">
        <is>
          <t>Edelweiss Financial Services Limited</t>
        </is>
      </c>
      <c r="E42" s="30" t="inlineStr">
        <is>
          <t>financials</t>
        </is>
      </c>
      <c r="F42" s="30" t="inlineStr">
        <is>
          <t>finance &amp; investments</t>
        </is>
      </c>
      <c r="G42" s="30" t="inlineStr">
        <is>
          <t>midcap</t>
        </is>
      </c>
      <c r="H42" s="31" t="n">
        <v>11410.44</v>
      </c>
      <c r="I42" s="31" t="n">
        <v>120.43</v>
      </c>
      <c r="J42" s="31" t="n">
        <v>-0.1</v>
      </c>
      <c r="K42" s="31" t="n">
        <v>11066335</v>
      </c>
      <c r="L42" s="30" t="n">
        <v>24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55.98</v>
      </c>
      <c r="P42" s="31" t="n">
        <v>7.74</v>
      </c>
      <c r="Q42" s="31" t="n">
        <v>92.42</v>
      </c>
      <c r="R42" s="30" t="inlineStr">
        <is>
          <t>Near 52W High Breakout</t>
        </is>
      </c>
      <c r="S42" s="30" t="inlineStr">
        <is>
          <t>Nifty Bank</t>
        </is>
      </c>
      <c r="T42" s="31" t="n">
        <v>2.37</v>
      </c>
      <c r="U42" s="31" t="n">
        <v>19.22</v>
      </c>
      <c r="V42" s="31" t="n">
        <v>16.46</v>
      </c>
      <c r="W42" s="31" t="n">
        <v>7.13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Fragmented with High ROE</t>
        </is>
      </c>
      <c r="AA42" s="30">
        <f>IF(Z42="Fragmented with Low ROE",-5,IF(Z42="Fragmented with High ROE",10,IF(Z42= "highly cyclical",5,0)))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Consistency)",15,IF(AF42="Shallow Cyclical (2 to 3 years growth)",10,IF(AF42 = "Cyclical in an Uptick",5,IF(AF42 = "Cyclical in an Downtick",-10,0))))</f>
        <v/>
      </c>
      <c r="AH42" s="30" t="inlineStr">
        <is>
          <t>Yes</t>
        </is>
      </c>
      <c r="AI42" s="30">
        <f>IF(AH42="Yes",10,0)</f>
        <v/>
      </c>
      <c r="AJ42" s="30" t="inlineStr">
        <is>
          <t>Yes</t>
        </is>
      </c>
      <c r="AK42" s="30">
        <f>IF(AJ42="Yes",10,0)</f>
        <v/>
      </c>
      <c r="AL42" s="30" t="n"/>
      <c r="AM42" s="30">
        <f>IF(AL42="No",10,0)</f>
        <v/>
      </c>
      <c r="AN42" s="30" t="inlineStr">
        <is>
          <t>Yes</t>
        </is>
      </c>
      <c r="AO42" s="30">
        <f>IF(AN42="Yes",10,0)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Yes</t>
        </is>
      </c>
      <c r="AS42" s="30">
        <f>IF(AR42="Yes",5,0)</f>
        <v/>
      </c>
      <c r="AT42" s="30" t="inlineStr">
        <is>
          <t>No</t>
        </is>
      </c>
      <c r="AU42" s="30">
        <f>IF(AT42="No",10,IF(AT42="Yes",-10,0))</f>
        <v/>
      </c>
      <c r="AV42" s="30" t="inlineStr">
        <is>
          <t>No</t>
        </is>
      </c>
      <c r="AW42" s="30">
        <f>IF(AV42="No",10,0)</f>
        <v/>
      </c>
      <c r="AX42" s="30" t="inlineStr">
        <is>
          <t>No</t>
        </is>
      </c>
      <c r="AY42" s="30">
        <f>IF(AX42="No",10,IF(AX42= "Yes CEO Resignation",-5,0))</f>
        <v/>
      </c>
      <c r="AZ42" s="30" t="inlineStr">
        <is>
          <t>No</t>
        </is>
      </c>
      <c r="BA42" s="30">
        <f>IF(AZ42="No",10,IF(AZ42="Yes",-5,0))</f>
        <v/>
      </c>
      <c r="BB42" s="30" t="inlineStr">
        <is>
          <t>No</t>
        </is>
      </c>
      <c r="BC42" s="30">
        <f>IF(BB42="No",5,IF(BB42="Yes",-5,0))</f>
        <v/>
      </c>
      <c r="BD42" s="30" t="inlineStr">
        <is>
          <t>Yes</t>
        </is>
      </c>
      <c r="BE42" s="30">
        <f>IF(BD42="Yes",10,0)</f>
        <v/>
      </c>
      <c r="BF42" s="30" t="inlineStr">
        <is>
          <t>Yes</t>
        </is>
      </c>
      <c r="BG42" s="30">
        <f>IF(BF42="Yes",10,0)</f>
        <v/>
      </c>
      <c r="BH42" s="30" t="inlineStr">
        <is>
          <t>Yes</t>
        </is>
      </c>
      <c r="BI42" s="30">
        <f>IF(BH42="Yes",10,0)</f>
        <v/>
      </c>
      <c r="BJ42" s="30" t="inlineStr">
        <is>
          <t>P/BV less than 2.5x and Growth less than 20%</t>
        </is>
      </c>
      <c r="BK42" s="30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0" t="inlineStr">
        <is>
          <t>0 to 20</t>
        </is>
      </c>
      <c r="BM42" s="30">
        <f>IF(BL42="Above 40",20,IF(BL42="20 to 40",10,IF(BL42="0 to 20",-5,0)))</f>
        <v/>
      </c>
      <c r="BN42" s="30" t="inlineStr">
        <is>
          <t>Between 50 to 75</t>
        </is>
      </c>
      <c r="BO42" s="30">
        <f>IF(BN42="Between 50 to 75",10,IF(BN42="Above 75",0,0))</f>
        <v/>
      </c>
      <c r="BP42" s="30" t="inlineStr">
        <is>
          <t>Stage 2</t>
        </is>
      </c>
      <c r="BQ42" s="30">
        <f>IF(BP42="Stage 2",20,IF(BP42="Stage 1",0,IF(BP42="Stage 3",5,IF(BP42="Stage 4",-5,0))))</f>
        <v/>
      </c>
      <c r="BR42" s="30" t="inlineStr">
        <is>
          <t>Positive Trend</t>
        </is>
      </c>
      <c r="BS42" s="30">
        <f>IF(BR42="Positive Trend",20,IF(BR42="Negative Trend",-10,0))</f>
        <v/>
      </c>
      <c r="BT42" s="30" t="inlineStr">
        <is>
          <t>Uptrend</t>
        </is>
      </c>
      <c r="BU42" s="30">
        <f>IF(BT42="Uptrend",10,IF(BT42="Sideways",5,0))</f>
        <v/>
      </c>
      <c r="BV42" s="30" t="inlineStr">
        <is>
          <t>Uptrend</t>
        </is>
      </c>
      <c r="BW42" s="30">
        <f>IF(BV42="Uptrend",10,IF(BV42="Sideways",5,0))</f>
        <v/>
      </c>
      <c r="BX42" s="30" t="inlineStr">
        <is>
          <t>Close to 52 week high or retracement</t>
        </is>
      </c>
      <c r="BY42" s="30">
        <f>IF(BX42="Overhead supply in last 2 years in last 2 years",-5,IF(BX42="Close to 52 week high or retracement",5,IF(BX42="Blue sky scenario",10,IF(BX42="Long term Downtrend",-10,0))))</f>
        <v/>
      </c>
      <c r="BZ42" s="30" t="inlineStr">
        <is>
          <t>Yes</t>
        </is>
      </c>
      <c r="CA42" s="30">
        <f>IF(BZ42="Yes",10,0)</f>
        <v/>
      </c>
    </row>
    <row r="43">
      <c r="A43" s="30">
        <f>IF(B43=0,"",RANK(B43,$B$2:$B$72,0))</f>
        <v/>
      </c>
      <c r="B43" s="31">
        <f>SUM(N43,Y43,AA43,AC43,AE43,AG43,AI43,AK43,AM43,AO43,AQ43,AS43,AU43,AW43,AY43,BA43,BC43,BE43,BG43,BI43,BK43,BM43,BO43,BQ43,BS43,BU43,BW43,BY43,CA43)</f>
        <v/>
      </c>
      <c r="C43" s="30" t="inlineStr">
        <is>
          <t>PRIMESECU</t>
        </is>
      </c>
      <c r="D43" s="30" t="inlineStr">
        <is>
          <t>Prime Securities Limited</t>
        </is>
      </c>
      <c r="E43" s="30" t="inlineStr">
        <is>
          <t>financials</t>
        </is>
      </c>
      <c r="F43" s="30" t="inlineStr">
        <is>
          <t>finance &amp; investments</t>
        </is>
      </c>
      <c r="G43" s="30" t="inlineStr">
        <is>
          <t>smallcap</t>
        </is>
      </c>
      <c r="H43" s="31" t="n">
        <v>962.4299999999999</v>
      </c>
      <c r="I43" s="31" t="n">
        <v>292.15</v>
      </c>
      <c r="J43" s="31" t="n">
        <v>2.91</v>
      </c>
      <c r="K43" s="31" t="n">
        <v>67022</v>
      </c>
      <c r="L43" s="30" t="n">
        <v>7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54.67</v>
      </c>
      <c r="P43" s="31" t="n">
        <v>17.49</v>
      </c>
      <c r="Q43" s="31" t="n">
        <v>235.77</v>
      </c>
      <c r="R43" s="30" t="inlineStr">
        <is>
          <t>Earnings / Momentum Support</t>
        </is>
      </c>
      <c r="S43" s="30" t="inlineStr">
        <is>
          <t>Nifty Bank</t>
        </is>
      </c>
      <c r="T43" s="31" t="n">
        <v>2.37</v>
      </c>
      <c r="U43" s="31" t="n">
        <v>13.28</v>
      </c>
      <c r="V43" s="31" t="n">
        <v>10.66</v>
      </c>
      <c r="W43" s="31" t="n">
        <v>3.36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Fragmented with High ROE</t>
        </is>
      </c>
      <c r="AA43" s="30">
        <f>IF(Z43="Fragmented with Low ROE",-5,IF(Z43="Fragmented with High ROE",10,IF(Z43= "highly cyclical",5,0)))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Consistency)",15,IF(AF43="Shallow Cyclical (2 to 3 years growth)",10,IF(AF43 = "Cyclical in an Uptick",5,IF(AF43 = "Cyclical in an Downtick",-10,0))))</f>
        <v/>
      </c>
      <c r="AH43" s="30" t="inlineStr">
        <is>
          <t>Yes</t>
        </is>
      </c>
      <c r="AI43" s="30">
        <f>IF(AH43="Yes",10,0)</f>
        <v/>
      </c>
      <c r="AJ43" s="30" t="inlineStr">
        <is>
          <t>Yes</t>
        </is>
      </c>
      <c r="AK43" s="30">
        <f>IF(AJ43="Yes",10,0)</f>
        <v/>
      </c>
      <c r="AL43" s="30" t="n"/>
      <c r="AM43" s="30">
        <f>IF(AL43="No",10,0)</f>
        <v/>
      </c>
      <c r="AN43" s="30" t="inlineStr">
        <is>
          <t>Yes</t>
        </is>
      </c>
      <c r="AO43" s="30">
        <f>IF(AN43="Yes",10,0)</f>
        <v/>
      </c>
      <c r="AP43" s="30" t="inlineStr">
        <is>
          <t>No</t>
        </is>
      </c>
      <c r="AQ43" s="30">
        <f>IF(AP43="Yes",10,0)</f>
        <v/>
      </c>
      <c r="AR43" s="30" t="inlineStr">
        <is>
          <t>Yes</t>
        </is>
      </c>
      <c r="AS43" s="30">
        <f>IF(AR43="Yes",5,0)</f>
        <v/>
      </c>
      <c r="AT43" s="30" t="inlineStr">
        <is>
          <t>No</t>
        </is>
      </c>
      <c r="AU43" s="30">
        <f>IF(AT43="No",10,IF(AT43="Yes",-10,0))</f>
        <v/>
      </c>
      <c r="AV43" s="30" t="inlineStr">
        <is>
          <t>No</t>
        </is>
      </c>
      <c r="AW43" s="30">
        <f>IF(AV43="No",10,0)</f>
        <v/>
      </c>
      <c r="AX43" s="30" t="inlineStr">
        <is>
          <t>No</t>
        </is>
      </c>
      <c r="AY43" s="30">
        <f>IF(AX43="No",10,IF(AX43= "Yes CEO Resignation",-5,0))</f>
        <v/>
      </c>
      <c r="AZ43" s="30" t="inlineStr">
        <is>
          <t>No</t>
        </is>
      </c>
      <c r="BA43" s="30">
        <f>IF(AZ43="No",10,IF(AZ43="Yes",-5,0))</f>
        <v/>
      </c>
      <c r="BB43" s="30" t="inlineStr">
        <is>
          <t>No</t>
        </is>
      </c>
      <c r="BC43" s="30">
        <f>IF(BB43="No",5,IF(BB43="Yes",-5,0))</f>
        <v/>
      </c>
      <c r="BD43" s="30" t="inlineStr">
        <is>
          <t>Yes</t>
        </is>
      </c>
      <c r="BE43" s="30">
        <f>IF(BD43="Yes",10,0)</f>
        <v/>
      </c>
      <c r="BF43" s="30" t="inlineStr">
        <is>
          <t>Yes</t>
        </is>
      </c>
      <c r="BG43" s="30">
        <f>IF(BF43="Yes",10,0)</f>
        <v/>
      </c>
      <c r="BH43" s="30" t="inlineStr">
        <is>
          <t>Yes</t>
        </is>
      </c>
      <c r="BI43" s="30">
        <f>IF(BH43="Yes",10,0)</f>
        <v/>
      </c>
      <c r="BJ43" s="30" t="inlineStr">
        <is>
          <t>P/BV between 2.5x to 5x and Growth more than 20%</t>
        </is>
      </c>
      <c r="BK43" s="30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0" t="inlineStr">
        <is>
          <t>0 to 20</t>
        </is>
      </c>
      <c r="BM43" s="30">
        <f>IF(BL43="Above 40",20,IF(BL43="20 to 40",10,IF(BL43="0 to 20",-5,0)))</f>
        <v/>
      </c>
      <c r="BN43" s="30" t="inlineStr">
        <is>
          <t>Between 50 to 75</t>
        </is>
      </c>
      <c r="BO43" s="30">
        <f>IF(BN43="Between 50 to 75",10,IF(BN43="Above 75",0,0))</f>
        <v/>
      </c>
      <c r="BP43" s="30" t="inlineStr">
        <is>
          <t>Stage 2</t>
        </is>
      </c>
      <c r="BQ43" s="30">
        <f>IF(BP43="Stage 2",20,IF(BP43="Stage 1",0,IF(BP43="Stage 3",5,IF(BP43="Stage 4",-5,0))))</f>
        <v/>
      </c>
      <c r="BR43" s="30" t="inlineStr">
        <is>
          <t>Positive Trend</t>
        </is>
      </c>
      <c r="BS43" s="30">
        <f>IF(BR43="Positive Trend",20,IF(BR43="Negative Trend",-10,0))</f>
        <v/>
      </c>
      <c r="BT43" s="30" t="inlineStr">
        <is>
          <t>Uptrend</t>
        </is>
      </c>
      <c r="BU43" s="30">
        <f>IF(BT43="Uptrend",10,IF(BT43="Sideways",5,0))</f>
        <v/>
      </c>
      <c r="BV43" s="30" t="inlineStr">
        <is>
          <t>Uptrend</t>
        </is>
      </c>
      <c r="BW43" s="30">
        <f>IF(BV43="Uptrend",10,IF(BV43="Sideways",5,0))</f>
        <v/>
      </c>
      <c r="BX43" s="30" t="inlineStr">
        <is>
          <t>Close to 52 week high or retracement</t>
        </is>
      </c>
      <c r="BY43" s="30">
        <f>IF(BX43="Overhead supply in last 2 years in last 2 years",-5,IF(BX43="Close to 52 week high or retracement",5,IF(BX43="Blue sky scenario",10,IF(BX43="Long term Downtrend",-10,0))))</f>
        <v/>
      </c>
      <c r="BZ43" s="30" t="inlineStr">
        <is>
          <t>Yes</t>
        </is>
      </c>
      <c r="CA43" s="30">
        <f>IF(BZ43="Yes",10,0)</f>
        <v/>
      </c>
    </row>
    <row r="44">
      <c r="A44" s="30">
        <f>IF(B44=0,"",RANK(B44,$B$2:$B$72,0))</f>
        <v/>
      </c>
      <c r="B44" s="31">
        <f>SUM(N44,Y44,AA44,AC44,AE44,AG44,AI44,AK44,AM44,AO44,AQ44,AS44,AU44,AW44,AY44,BA44,BC44,BE44,BG44,BI44,BK44,BM44,BO44,BQ44,BS44,BU44,BW44,BY44,CA44)</f>
        <v/>
      </c>
      <c r="C44" s="32" t="inlineStr">
        <is>
          <t>CREST</t>
        </is>
      </c>
      <c r="D44" s="32" t="inlineStr">
        <is>
          <t>Crest Ventures Limited</t>
        </is>
      </c>
      <c r="E44" s="30" t="inlineStr">
        <is>
          <t>financials</t>
        </is>
      </c>
      <c r="F44" s="30" t="inlineStr">
        <is>
          <t>finance &amp; investments</t>
        </is>
      </c>
      <c r="G44" s="30" t="inlineStr">
        <is>
          <t>smallcap</t>
        </is>
      </c>
      <c r="H44" s="31" t="n">
        <v>1112.67</v>
      </c>
      <c r="I44" s="31" t="n">
        <v>398.75</v>
      </c>
      <c r="J44" s="31" t="n">
        <v>1.96</v>
      </c>
      <c r="K44" s="31" t="n">
        <v>11101</v>
      </c>
      <c r="L44" s="30" t="n">
        <v>15</v>
      </c>
      <c r="M44" s="30" t="inlineStr">
        <is>
          <t>Underperforming</t>
        </is>
      </c>
      <c r="N44" s="31">
        <f>IF(M44="Underperforming",-5,IF(L44&gt;=95,15,IF(L44&gt;=90,10,IF(L44&gt;=80,5,0))))</f>
        <v/>
      </c>
      <c r="O44" s="31" t="n">
        <v>59.09</v>
      </c>
      <c r="P44" s="31" t="n">
        <v>15.11</v>
      </c>
      <c r="Q44" s="31" t="n">
        <v>305.54</v>
      </c>
      <c r="R44" s="30" t="inlineStr">
        <is>
          <t>Near 52W High Breakout</t>
        </is>
      </c>
      <c r="S44" s="30" t="inlineStr">
        <is>
          <t>Nifty Bank</t>
        </is>
      </c>
      <c r="T44" s="31" t="n">
        <v>2.37</v>
      </c>
      <c r="U44" s="31" t="n">
        <v>1.1</v>
      </c>
      <c r="V44" s="31" t="n">
        <v>-1.24</v>
      </c>
      <c r="W44" s="31" t="n">
        <v>5.04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Fragmented with High ROE</t>
        </is>
      </c>
      <c r="AA44" s="30">
        <f>IF(Z44="Fragmented with Low ROE",-5,IF(Z44="Fragmented with High ROE",10,IF(Z44= "highly cyclical",5,0)))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Consistency)",15,IF(AF44="Shallow Cyclical (2 to 3 years growth)",10,IF(AF44 = "Cyclical in an Uptick",5,IF(AF44 = "Cyclical in an Downtick",-10,0))))</f>
        <v/>
      </c>
      <c r="AH44" s="30" t="inlineStr">
        <is>
          <t>Yes</t>
        </is>
      </c>
      <c r="AI44" s="30">
        <f>IF(AH44="Yes",10,0)</f>
        <v/>
      </c>
      <c r="AJ44" s="30" t="inlineStr">
        <is>
          <t>Yes</t>
        </is>
      </c>
      <c r="AK44" s="30">
        <f>IF(AJ44="Yes",10,0)</f>
        <v/>
      </c>
      <c r="AL44" s="30" t="n"/>
      <c r="AM44" s="30">
        <f>IF(AL44="No",10,0)</f>
        <v/>
      </c>
      <c r="AN44" s="30" t="inlineStr">
        <is>
          <t>Yes</t>
        </is>
      </c>
      <c r="AO44" s="30">
        <f>IF(AN44="Yes",10,0)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Yes</t>
        </is>
      </c>
      <c r="AS44" s="30">
        <f>IF(AR44="Yes",5,0)</f>
        <v/>
      </c>
      <c r="AT44" s="30" t="inlineStr">
        <is>
          <t>No</t>
        </is>
      </c>
      <c r="AU44" s="30">
        <f>IF(AT44="No",10,IF(AT44="Yes",-10,0))</f>
        <v/>
      </c>
      <c r="AV44" s="30" t="inlineStr">
        <is>
          <t>No</t>
        </is>
      </c>
      <c r="AW44" s="30">
        <f>IF(AV44="No",10,0)</f>
        <v/>
      </c>
      <c r="AX44" s="30" t="inlineStr">
        <is>
          <t>No</t>
        </is>
      </c>
      <c r="AY44" s="30">
        <f>IF(AX44="No",10,IF(AX44= "Yes CEO Resignation",-5,0))</f>
        <v/>
      </c>
      <c r="AZ44" s="30" t="inlineStr">
        <is>
          <t>No</t>
        </is>
      </c>
      <c r="BA44" s="30">
        <f>IF(AZ44="No",10,IF(AZ44="Yes",-5,0))</f>
        <v/>
      </c>
      <c r="BB44" s="30" t="inlineStr">
        <is>
          <t>No</t>
        </is>
      </c>
      <c r="BC44" s="30">
        <f>IF(BB44="No",5,IF(BB44="Yes",-5,0))</f>
        <v/>
      </c>
      <c r="BD44" s="30" t="inlineStr">
        <is>
          <t>Yes</t>
        </is>
      </c>
      <c r="BE44" s="30">
        <f>IF(BD44="Yes",10,0)</f>
        <v/>
      </c>
      <c r="BF44" s="30" t="inlineStr">
        <is>
          <t>Yes</t>
        </is>
      </c>
      <c r="BG44" s="30">
        <f>IF(BF44="Yes",10,0)</f>
        <v/>
      </c>
      <c r="BH44" s="30" t="inlineStr">
        <is>
          <t>Yes</t>
        </is>
      </c>
      <c r="BI44" s="30">
        <f>IF(BH44="Yes",10,0)</f>
        <v/>
      </c>
      <c r="BJ44" s="30" t="inlineStr">
        <is>
          <t>P/BV less than 2.5x and Growth less than 20%</t>
        </is>
      </c>
      <c r="BK44" s="30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0" t="inlineStr">
        <is>
          <t>0 to 20</t>
        </is>
      </c>
      <c r="BM44" s="30">
        <f>IF(BL44="Above 40",20,IF(BL44="20 to 40",10,IF(BL44="0 to 20",-5,0)))</f>
        <v/>
      </c>
      <c r="BN44" s="30" t="inlineStr">
        <is>
          <t>Between 50 to 75</t>
        </is>
      </c>
      <c r="BO44" s="30">
        <f>IF(BN44="Between 50 to 75",10,IF(BN44="Above 75",0,0))</f>
        <v/>
      </c>
      <c r="BP44" s="30" t="inlineStr">
        <is>
          <t>Stage 2</t>
        </is>
      </c>
      <c r="BQ44" s="30">
        <f>IF(BP44="Stage 2",20,IF(BP44="Stage 1",0,IF(BP44="Stage 3",5,IF(BP44="Stage 4",-5,0))))</f>
        <v/>
      </c>
      <c r="BR44" s="30" t="inlineStr">
        <is>
          <t>Positive Trend</t>
        </is>
      </c>
      <c r="BS44" s="30">
        <f>IF(BR44="Positive Trend",20,IF(BR44="Negative Trend",-10,0))</f>
        <v/>
      </c>
      <c r="BT44" s="30" t="inlineStr">
        <is>
          <t>Uptrend</t>
        </is>
      </c>
      <c r="BU44" s="30">
        <f>IF(BT44="Uptrend",10,IF(BT44="Sideways",5,0))</f>
        <v/>
      </c>
      <c r="BV44" s="30" t="inlineStr">
        <is>
          <t>Uptrend</t>
        </is>
      </c>
      <c r="BW44" s="30">
        <f>IF(BV44="Uptrend",10,IF(BV44="Sideways",5,0))</f>
        <v/>
      </c>
      <c r="BX44" s="30" t="inlineStr">
        <is>
          <t>Close to 52 week high or retracement</t>
        </is>
      </c>
      <c r="BY44" s="30">
        <f>IF(BX44="Overhead supply in last 2 years in last 2 years",-5,IF(BX44="Close to 52 week high or retracement",5,IF(BX44="Blue sky scenario",10,IF(BX44="Long term Downtrend",-10,0))))</f>
        <v/>
      </c>
      <c r="BZ44" s="30" t="inlineStr">
        <is>
          <t>Yes</t>
        </is>
      </c>
      <c r="CA44" s="30">
        <f>IF(BZ44="Yes",10,0)</f>
        <v/>
      </c>
    </row>
    <row r="45">
      <c r="A45" s="30">
        <f>IF(B45=0,"",RANK(B45,$B$2:$B$72,0))</f>
        <v/>
      </c>
      <c r="B45" s="31">
        <f>SUM(N45,Y45,AA45,AC45,AE45,AG45,AI45,AK45,AM45,AO45,AQ45,AS45,AU45,AW45,AY45,BA45,BC45,BE45,BG45,BI45,BK45,BM45,BO45,BQ45,BS45,BU45,BW45,BY45,CA45)</f>
        <v/>
      </c>
      <c r="C45" s="30" t="inlineStr">
        <is>
          <t>SHRIRAMFIN</t>
        </is>
      </c>
      <c r="D45" s="30" t="inlineStr">
        <is>
          <t>Shriram Finance Ltd</t>
        </is>
      </c>
      <c r="E45" s="30" t="inlineStr">
        <is>
          <t>financials</t>
        </is>
      </c>
      <c r="F45" s="30" t="inlineStr">
        <is>
          <t>finance &amp; investments</t>
        </is>
      </c>
      <c r="G45" s="30" t="inlineStr">
        <is>
          <t>largecap</t>
        </is>
      </c>
      <c r="H45" s="31" t="n">
        <v>236621.44</v>
      </c>
      <c r="I45" s="31" t="n">
        <v>1007.5</v>
      </c>
      <c r="J45" s="31" t="n">
        <v>0.17</v>
      </c>
      <c r="K45" s="31" t="n">
        <v>4353419</v>
      </c>
      <c r="L45" s="30" t="n">
        <v>44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57.22</v>
      </c>
      <c r="P45" s="31" t="n">
        <v>10.25</v>
      </c>
      <c r="Q45" s="31" t="n">
        <v>823.1900000000001</v>
      </c>
      <c r="R45" s="30" t="inlineStr">
        <is>
          <t>Earnings / Momentum Support</t>
        </is>
      </c>
      <c r="S45" s="30" t="inlineStr">
        <is>
          <t>Nifty Bank</t>
        </is>
      </c>
      <c r="T45" s="31" t="n">
        <v>2.37</v>
      </c>
      <c r="U45" s="31" t="n">
        <v>52.8</v>
      </c>
      <c r="V45" s="31" t="n">
        <v>49.27</v>
      </c>
      <c r="W45" s="31" t="n">
        <v>11.5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Fragmented with High ROE</t>
        </is>
      </c>
      <c r="AA45" s="30">
        <f>IF(Z45="Fragmented with Low ROE",-5,IF(Z45="Fragmented with High ROE",10,IF(Z45= "highly cyclical",5,0)))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Consistency)",15,IF(AF45="Shallow Cyclical (2 to 3 years growth)",10,IF(AF45 = "Cyclical in an Uptick",5,IF(AF45 = "Cyclical in an Downtick",-10,0))))</f>
        <v/>
      </c>
      <c r="AH45" s="30" t="inlineStr">
        <is>
          <t>Yes</t>
        </is>
      </c>
      <c r="AI45" s="30">
        <f>IF(AH45="Yes",10,0)</f>
        <v/>
      </c>
      <c r="AJ45" s="30" t="inlineStr">
        <is>
          <t>Yes</t>
        </is>
      </c>
      <c r="AK45" s="30">
        <f>IF(AJ45="Yes",10,0)</f>
        <v/>
      </c>
      <c r="AL45" s="30" t="n"/>
      <c r="AM45" s="30">
        <f>IF(AL45="No",10,0)</f>
        <v/>
      </c>
      <c r="AN45" s="30" t="inlineStr">
        <is>
          <t>Yes</t>
        </is>
      </c>
      <c r="AO45" s="30">
        <f>IF(AN45="Yes",10,0)</f>
        <v/>
      </c>
      <c r="AP45" s="30" t="inlineStr">
        <is>
          <t>No</t>
        </is>
      </c>
      <c r="AQ45" s="30">
        <f>IF(AP45="Yes",10,0)</f>
        <v/>
      </c>
      <c r="AR45" s="30" t="inlineStr">
        <is>
          <t>Yes</t>
        </is>
      </c>
      <c r="AS45" s="30">
        <f>IF(AR45="Yes",5,0)</f>
        <v/>
      </c>
      <c r="AT45" s="30" t="inlineStr">
        <is>
          <t>No</t>
        </is>
      </c>
      <c r="AU45" s="30">
        <f>IF(AT45="No",10,IF(AT45="Yes",-10,0))</f>
        <v/>
      </c>
      <c r="AV45" s="30" t="inlineStr">
        <is>
          <t>No</t>
        </is>
      </c>
      <c r="AW45" s="30">
        <f>IF(AV45="No",10,0)</f>
        <v/>
      </c>
      <c r="AX45" s="30" t="inlineStr">
        <is>
          <t>No</t>
        </is>
      </c>
      <c r="AY45" s="30">
        <f>IF(AX45="No",10,IF(AX45= "Yes CEO Resignation",-5,0))</f>
        <v/>
      </c>
      <c r="AZ45" s="30" t="inlineStr">
        <is>
          <t>No</t>
        </is>
      </c>
      <c r="BA45" s="30">
        <f>IF(AZ45="No",10,IF(AZ45="Yes",-5,0))</f>
        <v/>
      </c>
      <c r="BB45" s="30" t="inlineStr">
        <is>
          <t>No</t>
        </is>
      </c>
      <c r="BC45" s="30">
        <f>IF(BB45="No",5,IF(BB45="Yes",-5,0))</f>
        <v/>
      </c>
      <c r="BD45" s="30" t="inlineStr">
        <is>
          <t>Yes</t>
        </is>
      </c>
      <c r="BE45" s="30">
        <f>IF(BD45="Yes",10,0)</f>
        <v/>
      </c>
      <c r="BF45" s="30" t="inlineStr">
        <is>
          <t>Yes</t>
        </is>
      </c>
      <c r="BG45" s="30">
        <f>IF(BF45="Yes",10,0)</f>
        <v/>
      </c>
      <c r="BH45" s="30" t="inlineStr">
        <is>
          <t>Yes</t>
        </is>
      </c>
      <c r="BI45" s="30">
        <f>IF(BH45="Yes",10,0)</f>
        <v/>
      </c>
      <c r="BJ45" s="30" t="inlineStr">
        <is>
          <t>P/BV between 2.5x to 5x and Growth more than 20%</t>
        </is>
      </c>
      <c r="BK45" s="30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0" t="inlineStr">
        <is>
          <t>0 to 20</t>
        </is>
      </c>
      <c r="BM45" s="30">
        <f>IF(BL45="Above 40",20,IF(BL45="20 to 40",10,IF(BL45="0 to 20",-5,0)))</f>
        <v/>
      </c>
      <c r="BN45" s="30" t="inlineStr">
        <is>
          <t>Between 50 to 75</t>
        </is>
      </c>
      <c r="BO45" s="30">
        <f>IF(BN45="Between 50 to 75",10,IF(BN45="Above 75",0,0))</f>
        <v/>
      </c>
      <c r="BP45" s="30" t="inlineStr">
        <is>
          <t>Stage 2</t>
        </is>
      </c>
      <c r="BQ45" s="30">
        <f>IF(BP45="Stage 2",20,IF(BP45="Stage 1",0,IF(BP45="Stage 3",5,IF(BP45="Stage 4",-5,0))))</f>
        <v/>
      </c>
      <c r="BR45" s="30" t="inlineStr">
        <is>
          <t>Positive Trend</t>
        </is>
      </c>
      <c r="BS45" s="30">
        <f>IF(BR45="Positive Trend",20,IF(BR45="Negative Trend",-10,0))</f>
        <v/>
      </c>
      <c r="BT45" s="30" t="inlineStr">
        <is>
          <t>Uptrend</t>
        </is>
      </c>
      <c r="BU45" s="30">
        <f>IF(BT45="Uptrend",10,IF(BT45="Sideways",5,0))</f>
        <v/>
      </c>
      <c r="BV45" s="30" t="inlineStr">
        <is>
          <t>Uptrend</t>
        </is>
      </c>
      <c r="BW45" s="30">
        <f>IF(BV45="Uptrend",10,IF(BV45="Sideways",5,0))</f>
        <v/>
      </c>
      <c r="BX45" s="30" t="inlineStr">
        <is>
          <t>Close to 52 week high or retracement</t>
        </is>
      </c>
      <c r="BY45" s="30">
        <f>IF(BX45="Overhead supply in last 2 years in last 2 years",-5,IF(BX45="Close to 52 week high or retracement",5,IF(BX45="Blue sky scenario",10,IF(BX45="Long term Downtrend",-10,0))))</f>
        <v/>
      </c>
      <c r="BZ45" s="30" t="inlineStr">
        <is>
          <t>Yes</t>
        </is>
      </c>
      <c r="CA45" s="30">
        <f>IF(BZ45="Yes",10,0)</f>
        <v/>
      </c>
    </row>
    <row r="46">
      <c r="A46" s="30">
        <f>IF(B46=0,"",RANK(B46,$B$2:$B$72,0))</f>
        <v/>
      </c>
      <c r="B46" s="31">
        <f>SUM(N46,Y46,AA46,AC46,AE46,AG46,AI46,AK46,AM46,AO46,AQ46,AS46,AU46,AW46,AY46,BA46,BC46,BE46,BG46,BI46,BK46,BM46,BO46,BQ46,BS46,BU46,BW46,BY46,CA46)</f>
        <v/>
      </c>
      <c r="C46" s="30" t="inlineStr">
        <is>
          <t>IDFCFIRSTB</t>
        </is>
      </c>
      <c r="D46" s="30" t="inlineStr">
        <is>
          <t>IDFC First Bank Ltd</t>
        </is>
      </c>
      <c r="E46" s="30" t="inlineStr">
        <is>
          <t>bank</t>
        </is>
      </c>
      <c r="F46" s="30" t="inlineStr">
        <is>
          <t>banks - private sector</t>
        </is>
      </c>
      <c r="G46" s="30" t="inlineStr">
        <is>
          <t>largecap</t>
        </is>
      </c>
      <c r="H46" s="31" t="n">
        <v>66663.17</v>
      </c>
      <c r="I46" s="31" t="n">
        <v>77.38</v>
      </c>
      <c r="J46" s="31" t="n">
        <v>-0.15</v>
      </c>
      <c r="K46" s="31" t="n">
        <v>20456804</v>
      </c>
      <c r="L46" s="30" t="n">
        <v>28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57.63</v>
      </c>
      <c r="P46" s="31" t="n">
        <v>27.44</v>
      </c>
      <c r="Q46" s="31" t="n">
        <v>64.01000000000001</v>
      </c>
      <c r="R46" s="30" t="inlineStr">
        <is>
          <t>Earnings / Momentum Support</t>
        </is>
      </c>
      <c r="S46" s="30" t="inlineStr">
        <is>
          <t>Nifty Bank</t>
        </is>
      </c>
      <c r="T46" s="31" t="n">
        <v>2.37</v>
      </c>
      <c r="U46" s="31" t="n">
        <v>10.6</v>
      </c>
      <c r="V46" s="31" t="n">
        <v>8.050000000000001</v>
      </c>
      <c r="W46" s="31" t="n">
        <v>8.15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Fragmented with High ROE</t>
        </is>
      </c>
      <c r="AA46" s="30">
        <f>IF(Z46="Fragmented with Low ROE",-5,IF(Z46="Fragmented with High ROE",10,IF(Z46= "highly cyclical",5,0)))</f>
        <v/>
      </c>
      <c r="AB46" s="30" t="inlineStr">
        <is>
          <t>Yes</t>
        </is>
      </c>
      <c r="AC46" s="30">
        <f>IF(AB46="No",5,0)</f>
        <v/>
      </c>
      <c r="AD46" s="30" t="inlineStr">
        <is>
          <t>Headwind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Consistency)",15,IF(AF46="Shallow Cyclical (2 to 3 years growth)",10,IF(AF46 = "Cyclical in an Uptick",5,IF(AF46 = "Cyclical in an Downtick",-10,0))))</f>
        <v/>
      </c>
      <c r="AH46" s="30" t="inlineStr">
        <is>
          <t>Yes</t>
        </is>
      </c>
      <c r="AI46" s="30">
        <f>IF(AH46="Yes",10,0)</f>
        <v/>
      </c>
      <c r="AJ46" s="30" t="inlineStr">
        <is>
          <t>Yes</t>
        </is>
      </c>
      <c r="AK46" s="30">
        <f>IF(AJ46="Yes",10,0)</f>
        <v/>
      </c>
      <c r="AL46" s="30" t="n"/>
      <c r="AM46" s="30">
        <f>IF(AL46="No",10,0)</f>
        <v/>
      </c>
      <c r="AN46" s="30" t="inlineStr">
        <is>
          <t>Yes</t>
        </is>
      </c>
      <c r="AO46" s="30">
        <f>IF(AN46="Yes",10,0)</f>
        <v/>
      </c>
      <c r="AP46" s="30" t="inlineStr">
        <is>
          <t>No</t>
        </is>
      </c>
      <c r="AQ46" s="30">
        <f>IF(AP46="Yes",10,0)</f>
        <v/>
      </c>
      <c r="AR46" s="30" t="inlineStr">
        <is>
          <t>Yes</t>
        </is>
      </c>
      <c r="AS46" s="30">
        <f>IF(AR46="Yes",5,0)</f>
        <v/>
      </c>
      <c r="AT46" s="30" t="inlineStr">
        <is>
          <t>No</t>
        </is>
      </c>
      <c r="AU46" s="30">
        <f>IF(AT46="No",10,IF(AT46="Yes",-10,0))</f>
        <v/>
      </c>
      <c r="AV46" s="30" t="inlineStr">
        <is>
          <t>No</t>
        </is>
      </c>
      <c r="AW46" s="30">
        <f>IF(AV46="No",10,0)</f>
        <v/>
      </c>
      <c r="AX46" s="30" t="inlineStr">
        <is>
          <t>No</t>
        </is>
      </c>
      <c r="AY46" s="30">
        <f>IF(AX46="No",10,IF(AX46= "Yes CEO Resignation",-5,0))</f>
        <v/>
      </c>
      <c r="AZ46" s="30" t="inlineStr">
        <is>
          <t>No</t>
        </is>
      </c>
      <c r="BA46" s="30">
        <f>IF(AZ46="No",10,IF(AZ46="Yes",-5,0))</f>
        <v/>
      </c>
      <c r="BB46" s="30" t="inlineStr">
        <is>
          <t>No</t>
        </is>
      </c>
      <c r="BC46" s="30">
        <f>IF(BB46="No",5,IF(BB46="Yes",-5,0))</f>
        <v/>
      </c>
      <c r="BD46" s="30" t="inlineStr">
        <is>
          <t>Yes</t>
        </is>
      </c>
      <c r="BE46" s="30">
        <f>IF(BD46="Yes",10,0)</f>
        <v/>
      </c>
      <c r="BF46" s="30" t="inlineStr">
        <is>
          <t>Yes</t>
        </is>
      </c>
      <c r="BG46" s="30">
        <f>IF(BF46="Yes",10,0)</f>
        <v/>
      </c>
      <c r="BH46" s="30" t="inlineStr">
        <is>
          <t>Yes</t>
        </is>
      </c>
      <c r="BI46" s="30">
        <f>IF(BH46="Yes",10,0)</f>
        <v/>
      </c>
      <c r="BJ46" s="30" t="inlineStr">
        <is>
          <t>P/BV less than 2.5x and Growth less than 20%</t>
        </is>
      </c>
      <c r="BK46" s="30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0" t="inlineStr">
        <is>
          <t>20 to 40</t>
        </is>
      </c>
      <c r="BM46" s="30">
        <f>IF(BL46="Above 40",20,IF(BL46="20 to 40",10,IF(BL46="0 to 20",-5,0)))</f>
        <v/>
      </c>
      <c r="BN46" s="30" t="inlineStr">
        <is>
          <t>Between 50 to 75</t>
        </is>
      </c>
      <c r="BO46" s="30">
        <f>IF(BN46="Between 50 to 75",10,IF(BN46="Above 75",0,0))</f>
        <v/>
      </c>
      <c r="BP46" s="30" t="inlineStr">
        <is>
          <t>Stage 2</t>
        </is>
      </c>
      <c r="BQ46" s="30">
        <f>IF(BP46="Stage 2",20,IF(BP46="Stage 1",0,IF(BP46="Stage 3",5,IF(BP46="Stage 4",-5,0))))</f>
        <v/>
      </c>
      <c r="BR46" s="30" t="inlineStr">
        <is>
          <t>Positive Trend</t>
        </is>
      </c>
      <c r="BS46" s="30">
        <f>IF(BR46="Positive Trend",20,IF(BR46="Negative Trend",-10,0))</f>
        <v/>
      </c>
      <c r="BT46" s="30" t="inlineStr">
        <is>
          <t>Uptrend</t>
        </is>
      </c>
      <c r="BU46" s="30">
        <f>IF(BT46="Uptrend",10,IF(BT46="Sideways",5,0))</f>
        <v/>
      </c>
      <c r="BV46" s="30" t="inlineStr">
        <is>
          <t>Uptrend</t>
        </is>
      </c>
      <c r="BW46" s="30">
        <f>IF(BV46="Uptrend",10,IF(BV46="Sideways",5,0))</f>
        <v/>
      </c>
      <c r="BX46" s="30" t="inlineStr">
        <is>
          <t>Close to 52 week high or retracement</t>
        </is>
      </c>
      <c r="BY46" s="30">
        <f>IF(BX46="Overhead supply in last 2 years in last 2 years",-5,IF(BX46="Close to 52 week high or retracement",5,IF(BX46="Blue sky scenario",10,IF(BX46="Long term Downtrend",-10,0))))</f>
        <v/>
      </c>
      <c r="BZ46" s="30" t="inlineStr">
        <is>
          <t>Yes</t>
        </is>
      </c>
      <c r="CA46" s="30">
        <f>IF(BZ46="Yes",10,0)</f>
        <v/>
      </c>
    </row>
    <row r="47">
      <c r="A47" s="30">
        <f>IF(B47=0,"",RANK(B47,$B$2:$B$72,0))</f>
        <v/>
      </c>
      <c r="B47" s="31">
        <f>SUM(N47,Y47,AA47,AC47,AE47,AG47,AI47,AK47,AM47,AO47,AQ47,AS47,AU47,AW47,AY47,BA47,BC47,BE47,BG47,BI47,BK47,BM47,BO47,BQ47,BS47,BU47,BW47,BY47,CA47)</f>
        <v/>
      </c>
      <c r="C47" s="30" t="inlineStr">
        <is>
          <t>MUFIN</t>
        </is>
      </c>
      <c r="D47" s="30" t="inlineStr">
        <is>
          <t>Mufin Green Finance Ltd</t>
        </is>
      </c>
      <c r="E47" s="30" t="inlineStr">
        <is>
          <t>financials</t>
        </is>
      </c>
      <c r="F47" s="30" t="inlineStr">
        <is>
          <t>finance &amp; investments</t>
        </is>
      </c>
      <c r="G47" s="30" t="inlineStr">
        <is>
          <t>smallcap</t>
        </is>
      </c>
      <c r="H47" s="31" t="n">
        <v>2452.65</v>
      </c>
      <c r="I47" s="31" t="n">
        <v>128.71</v>
      </c>
      <c r="J47" s="31" t="n">
        <v>3.99</v>
      </c>
      <c r="K47" s="31" t="n">
        <v>3207403</v>
      </c>
      <c r="L47" s="30" t="n">
        <v>65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66.43000000000001</v>
      </c>
      <c r="P47" s="31" t="n">
        <v>18.94</v>
      </c>
      <c r="Q47" s="31" t="n">
        <v>103.7</v>
      </c>
      <c r="R47" s="30" t="inlineStr">
        <is>
          <t>Near 52W High Breakout</t>
        </is>
      </c>
      <c r="S47" s="30" t="inlineStr">
        <is>
          <t>Nifty Bank</t>
        </is>
      </c>
      <c r="T47" s="31" t="n">
        <v>2.37</v>
      </c>
      <c r="U47" s="31" t="n">
        <v>74.95</v>
      </c>
      <c r="V47" s="31" t="n">
        <v>70.90000000000001</v>
      </c>
      <c r="W47" s="31" t="n">
        <v>17.98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Fragmented with High ROE</t>
        </is>
      </c>
      <c r="AA47" s="30">
        <f>IF(Z47="Fragmented with Low ROE",-5,IF(Z47="Fragmented with High ROE",10,IF(Z47= "highly cyclical",5,0)))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Consistency)",15,IF(AF47="Shallow Cyclical (2 to 3 years growth)",10,IF(AF47 = "Cyclical in an Uptick",5,IF(AF47 = "Cyclical in an Downtick",-10,0))))</f>
        <v/>
      </c>
      <c r="AH47" s="30" t="inlineStr">
        <is>
          <t>Yes</t>
        </is>
      </c>
      <c r="AI47" s="30">
        <f>IF(AH47="Yes",10,0)</f>
        <v/>
      </c>
      <c r="AJ47" s="30" t="inlineStr">
        <is>
          <t>Yes</t>
        </is>
      </c>
      <c r="AK47" s="30">
        <f>IF(AJ47="Yes",10,0)</f>
        <v/>
      </c>
      <c r="AL47" s="30" t="n"/>
      <c r="AM47" s="30">
        <f>IF(AL47="No",10,0)</f>
        <v/>
      </c>
      <c r="AN47" s="30" t="inlineStr">
        <is>
          <t>Yes</t>
        </is>
      </c>
      <c r="AO47" s="30">
        <f>IF(AN47="Yes",10,0)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Yes</t>
        </is>
      </c>
      <c r="AS47" s="30">
        <f>IF(AR47="Yes",5,0)</f>
        <v/>
      </c>
      <c r="AT47" s="30" t="inlineStr">
        <is>
          <t>No</t>
        </is>
      </c>
      <c r="AU47" s="30">
        <f>IF(AT47="No",10,IF(AT47="Yes",-10,0))</f>
        <v/>
      </c>
      <c r="AV47" s="30" t="inlineStr">
        <is>
          <t>No</t>
        </is>
      </c>
      <c r="AW47" s="30">
        <f>IF(AV47="No",10,0)</f>
        <v/>
      </c>
      <c r="AX47" s="30" t="inlineStr">
        <is>
          <t>No</t>
        </is>
      </c>
      <c r="AY47" s="30">
        <f>IF(AX47="No",10,IF(AX47= "Yes CEO Resignation",-5,0))</f>
        <v/>
      </c>
      <c r="AZ47" s="30" t="inlineStr">
        <is>
          <t>No</t>
        </is>
      </c>
      <c r="BA47" s="30">
        <f>IF(AZ47="No",10,IF(AZ47="Yes",-5,0))</f>
        <v/>
      </c>
      <c r="BB47" s="30" t="inlineStr">
        <is>
          <t>No</t>
        </is>
      </c>
      <c r="BC47" s="30">
        <f>IF(BB47="No",5,IF(BB47="Yes",-5,0))</f>
        <v/>
      </c>
      <c r="BD47" s="30" t="inlineStr">
        <is>
          <t>Yes</t>
        </is>
      </c>
      <c r="BE47" s="30">
        <f>IF(BD47="Yes",10,0)</f>
        <v/>
      </c>
      <c r="BF47" s="30" t="inlineStr">
        <is>
          <t>Yes</t>
        </is>
      </c>
      <c r="BG47" s="30">
        <f>IF(BF47="Yes",10,0)</f>
        <v/>
      </c>
      <c r="BH47" s="30" t="inlineStr">
        <is>
          <t>Yes</t>
        </is>
      </c>
      <c r="BI47" s="30">
        <f>IF(BH47="Yes",10,0)</f>
        <v/>
      </c>
      <c r="BJ47" s="30" t="inlineStr">
        <is>
          <t>P/BV above 5x</t>
        </is>
      </c>
      <c r="BK47" s="30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0" t="inlineStr">
        <is>
          <t>0 to 20</t>
        </is>
      </c>
      <c r="BM47" s="30">
        <f>IF(BL47="Above 40",20,IF(BL47="20 to 40",10,IF(BL47="0 to 20",-5,0)))</f>
        <v/>
      </c>
      <c r="BN47" s="30" t="inlineStr">
        <is>
          <t>Between 50 to 75</t>
        </is>
      </c>
      <c r="BO47" s="30">
        <f>IF(BN47="Between 50 to 75",10,IF(BN47="Above 75",0,0))</f>
        <v/>
      </c>
      <c r="BP47" s="30" t="inlineStr">
        <is>
          <t>Stage 2</t>
        </is>
      </c>
      <c r="BQ47" s="30">
        <f>IF(BP47="Stage 2",20,IF(BP47="Stage 1",0,IF(BP47="Stage 3",5,IF(BP47="Stage 4",-5,0))))</f>
        <v/>
      </c>
      <c r="BR47" s="30" t="inlineStr">
        <is>
          <t>Positive Trend</t>
        </is>
      </c>
      <c r="BS47" s="30">
        <f>IF(BR47="Positive Trend",20,IF(BR47="Negative Trend",-10,0))</f>
        <v/>
      </c>
      <c r="BT47" s="30" t="inlineStr">
        <is>
          <t>Uptrend</t>
        </is>
      </c>
      <c r="BU47" s="30">
        <f>IF(BT47="Uptrend",10,IF(BT47="Sideways",5,0))</f>
        <v/>
      </c>
      <c r="BV47" s="30" t="inlineStr">
        <is>
          <t>Uptrend</t>
        </is>
      </c>
      <c r="BW47" s="30">
        <f>IF(BV47="Uptrend",10,IF(BV47="Sideways",5,0))</f>
        <v/>
      </c>
      <c r="BX47" s="30" t="inlineStr">
        <is>
          <t>Close to 52 week high or retracement</t>
        </is>
      </c>
      <c r="BY47" s="30">
        <f>IF(BX47="Overhead supply in last 2 years in last 2 years",-5,IF(BX47="Close to 52 week high or retracement",5,IF(BX47="Blue sky scenario",10,IF(BX47="Long term Downtrend",-10,0))))</f>
        <v/>
      </c>
      <c r="BZ47" s="30" t="inlineStr">
        <is>
          <t>Yes</t>
        </is>
      </c>
      <c r="CA47" s="30">
        <f>IF(BZ47="Yes",10,0)</f>
        <v/>
      </c>
    </row>
    <row r="48">
      <c r="A48" s="30">
        <f>IF(B48=0,"",RANK(B48,$B$2:$B$72,0))</f>
        <v/>
      </c>
      <c r="B48" s="31">
        <f>SUM(N48,Y48,AA48,AC48,AE48,AG48,AI48,AK48,AM48,AO48,AQ48,AS48,AU48,AW48,AY48,BA48,BC48,BE48,BG48,BI48,BK48,BM48,BO48,BQ48,BS48,BU48,BW48,BY48,CA48)</f>
        <v/>
      </c>
      <c r="C48" s="30" t="inlineStr">
        <is>
          <t>BANKINDIA</t>
        </is>
      </c>
      <c r="D48" s="30" t="inlineStr">
        <is>
          <t>Bank Of India Ltd</t>
        </is>
      </c>
      <c r="E48" s="30" t="inlineStr">
        <is>
          <t>bank</t>
        </is>
      </c>
      <c r="F48" s="30" t="inlineStr">
        <is>
          <t>banks - public sector</t>
        </is>
      </c>
      <c r="G48" s="30" t="inlineStr">
        <is>
          <t>largecap</t>
        </is>
      </c>
      <c r="H48" s="31" t="n">
        <v>66318.71000000001</v>
      </c>
      <c r="I48" s="31" t="n">
        <v>147.14</v>
      </c>
      <c r="J48" s="31" t="n">
        <v>1.01</v>
      </c>
      <c r="K48" s="31" t="n">
        <v>8514850</v>
      </c>
      <c r="L48" s="30" t="n">
        <v>25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55.82</v>
      </c>
      <c r="P48" s="31" t="n">
        <v>8.949999999999999</v>
      </c>
      <c r="Q48" s="31" t="n">
        <v>120.15</v>
      </c>
      <c r="R48" s="30" t="inlineStr">
        <is>
          <t>Earnings / Momentum Support</t>
        </is>
      </c>
      <c r="S48" s="30" t="inlineStr">
        <is>
          <t>Nifty Bank</t>
        </is>
      </c>
      <c r="T48" s="31" t="n">
        <v>2.37</v>
      </c>
      <c r="U48" s="31" t="n">
        <v>39.12</v>
      </c>
      <c r="V48" s="31" t="n">
        <v>35.9</v>
      </c>
      <c r="W48" s="31" t="n">
        <v>7.24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Fragmented with High ROE</t>
        </is>
      </c>
      <c r="AA48" s="30">
        <f>IF(Z48="Fragmented with Low ROE",-5,IF(Z48="Fragmented with High ROE",10,IF(Z48= "highly cyclical",5,0)))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Consistency)",15,IF(AF48="Shallow Cyclical (2 to 3 years growth)",10,IF(AF48 = "Cyclical in an Uptick",5,IF(AF48 = "Cyclical in an Downtick",-10,0))))</f>
        <v/>
      </c>
      <c r="AH48" s="30" t="inlineStr">
        <is>
          <t>Yes</t>
        </is>
      </c>
      <c r="AI48" s="30">
        <f>IF(AH48="Yes",10,0)</f>
        <v/>
      </c>
      <c r="AJ48" s="30" t="inlineStr">
        <is>
          <t>Yes</t>
        </is>
      </c>
      <c r="AK48" s="30">
        <f>IF(AJ48="Yes",10,0)</f>
        <v/>
      </c>
      <c r="AL48" s="30" t="n"/>
      <c r="AM48" s="30">
        <f>IF(AL48="No",10,0)</f>
        <v/>
      </c>
      <c r="AN48" s="30" t="inlineStr">
        <is>
          <t>Yes</t>
        </is>
      </c>
      <c r="AO48" s="30">
        <f>IF(AN48="Yes",10,0)</f>
        <v/>
      </c>
      <c r="AP48" s="30" t="inlineStr">
        <is>
          <t>No</t>
        </is>
      </c>
      <c r="AQ48" s="30">
        <f>IF(AP48="Yes",10,0)</f>
        <v/>
      </c>
      <c r="AR48" s="30" t="inlineStr">
        <is>
          <t>Yes</t>
        </is>
      </c>
      <c r="AS48" s="30">
        <f>IF(AR48="Yes",5,0)</f>
        <v/>
      </c>
      <c r="AT48" s="30" t="inlineStr">
        <is>
          <t>No</t>
        </is>
      </c>
      <c r="AU48" s="30">
        <f>IF(AT48="No",10,IF(AT48="Yes",-10,0))</f>
        <v/>
      </c>
      <c r="AV48" s="30" t="inlineStr">
        <is>
          <t>No</t>
        </is>
      </c>
      <c r="AW48" s="30">
        <f>IF(AV48="No",10,0)</f>
        <v/>
      </c>
      <c r="AX48" s="30" t="inlineStr">
        <is>
          <t>No</t>
        </is>
      </c>
      <c r="AY48" s="30">
        <f>IF(AX48="No",10,IF(AX48= "Yes CEO Resignation",-5,0))</f>
        <v/>
      </c>
      <c r="AZ48" s="30" t="inlineStr">
        <is>
          <t>No</t>
        </is>
      </c>
      <c r="BA48" s="30">
        <f>IF(AZ48="No",10,IF(AZ48="Yes",-5,0))</f>
        <v/>
      </c>
      <c r="BB48" s="30" t="inlineStr">
        <is>
          <t>No</t>
        </is>
      </c>
      <c r="BC48" s="30">
        <f>IF(BB48="No",5,IF(BB48="Yes",-5,0))</f>
        <v/>
      </c>
      <c r="BD48" s="30" t="inlineStr">
        <is>
          <t>Yes</t>
        </is>
      </c>
      <c r="BE48" s="30">
        <f>IF(BD48="Yes",10,0)</f>
        <v/>
      </c>
      <c r="BF48" s="30" t="inlineStr">
        <is>
          <t>Yes</t>
        </is>
      </c>
      <c r="BG48" s="30">
        <f>IF(BF48="Yes",10,0)</f>
        <v/>
      </c>
      <c r="BH48" s="30" t="inlineStr">
        <is>
          <t>Yes</t>
        </is>
      </c>
      <c r="BI48" s="30">
        <f>IF(BH48="Yes",10,0)</f>
        <v/>
      </c>
      <c r="BJ48" s="30" t="inlineStr">
        <is>
          <t>P/BV less than 2.5x and Growth less than 20%</t>
        </is>
      </c>
      <c r="BK48" s="30">
        <f>IF(BJ48="P/BV less than 2.5x and Growth more than 20%",20,IF(BJ48 = "P/BV less than 2.5x and Growth less than 20%",5,IF(BJ48="P/BV between 2.5x to 5x and Growth more than 20%",10,IF(BJ48= "P/BV between 2.5x to 5x and Growth less than 20%",-5,IF(BJ48= "P/BV above 5x",-5,0)))))</f>
        <v/>
      </c>
      <c r="BL48" s="30" t="inlineStr">
        <is>
          <t>0 to 20</t>
        </is>
      </c>
      <c r="BM48" s="30">
        <f>IF(BL48="Above 40",20,IF(BL48="20 to 40",10,IF(BL48="0 to 20",-5,0)))</f>
        <v/>
      </c>
      <c r="BN48" s="30" t="inlineStr">
        <is>
          <t>Between 50 to 75</t>
        </is>
      </c>
      <c r="BO48" s="30">
        <f>IF(BN48="Between 50 to 75",10,IF(BN48="Above 75",0,0))</f>
        <v/>
      </c>
      <c r="BP48" s="30" t="inlineStr">
        <is>
          <t>Stage 2</t>
        </is>
      </c>
      <c r="BQ48" s="30">
        <f>IF(BP48="Stage 2",20,IF(BP48="Stage 1",0,IF(BP48="Stage 3",5,IF(BP48="Stage 4",-5,0))))</f>
        <v/>
      </c>
      <c r="BR48" s="30" t="inlineStr">
        <is>
          <t>Positive Trend</t>
        </is>
      </c>
      <c r="BS48" s="30">
        <f>IF(BR48="Positive Trend",20,IF(BR48="Negative Trend",-10,0))</f>
        <v/>
      </c>
      <c r="BT48" s="30" t="inlineStr">
        <is>
          <t>Uptrend</t>
        </is>
      </c>
      <c r="BU48" s="30">
        <f>IF(BT48="Uptrend",10,IF(BT48="Sideways",5,0))</f>
        <v/>
      </c>
      <c r="BV48" s="30" t="inlineStr">
        <is>
          <t>Uptrend</t>
        </is>
      </c>
      <c r="BW48" s="30">
        <f>IF(BV48="Uptrend",10,IF(BV48="Sideways",5,0))</f>
        <v/>
      </c>
      <c r="BX48" s="30" t="inlineStr">
        <is>
          <t>Close to 52 week high or retracement</t>
        </is>
      </c>
      <c r="BY48" s="30">
        <f>IF(BX48="Overhead supply in last 2 years in last 2 years",-5,IF(BX48="Close to 52 week high or retracement",5,IF(BX48="Blue sky scenario",10,IF(BX48="Long term Downtrend",-10,0))))</f>
        <v/>
      </c>
      <c r="BZ48" s="30" t="inlineStr">
        <is>
          <t>Yes</t>
        </is>
      </c>
      <c r="CA48" s="30">
        <f>IF(BZ48="Yes",10,0)</f>
        <v/>
      </c>
    </row>
    <row r="49">
      <c r="A49" s="30">
        <f>IF(B49=0,"",RANK(B49,$B$2:$B$72,0))</f>
        <v/>
      </c>
      <c r="B49" s="31">
        <f>SUM(N49,Y49,AA49,AC49,AE49,AG49,AI49,AK49,AM49,AO49,AQ49,AS49,AU49,AW49,AY49,BA49,BC49,BE49,BG49,BI49,BK49,BM49,BO49,BQ49,BS49,BU49,BW49,BY49,CA49)</f>
        <v/>
      </c>
      <c r="C49" s="30" t="inlineStr">
        <is>
          <t>MANAPPURAM</t>
        </is>
      </c>
      <c r="D49" s="30" t="inlineStr">
        <is>
          <t>Manappuram Finance Limited</t>
        </is>
      </c>
      <c r="E49" s="30" t="inlineStr">
        <is>
          <t>financials</t>
        </is>
      </c>
      <c r="F49" s="30" t="inlineStr">
        <is>
          <t>finance &amp; investments</t>
        </is>
      </c>
      <c r="G49" s="30" t="inlineStr">
        <is>
          <t>largecap</t>
        </is>
      </c>
      <c r="H49" s="31" t="n">
        <v>29819.22</v>
      </c>
      <c r="I49" s="31" t="n">
        <v>319.05</v>
      </c>
      <c r="J49" s="31" t="n">
        <v>0.5</v>
      </c>
      <c r="K49" s="31" t="n">
        <v>2097434</v>
      </c>
      <c r="L49" s="30" t="n">
        <v>32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59.53</v>
      </c>
      <c r="P49" s="31" t="n">
        <v>19.42</v>
      </c>
      <c r="Q49" s="31" t="n">
        <v>259.76</v>
      </c>
      <c r="R49" s="30" t="inlineStr">
        <is>
          <t>Near 52W High Breakout</t>
        </is>
      </c>
      <c r="S49" s="30" t="inlineStr">
        <is>
          <t>Nifty Bank</t>
        </is>
      </c>
      <c r="T49" s="31" t="n">
        <v>2.37</v>
      </c>
      <c r="U49" s="31" t="n">
        <v>18.37</v>
      </c>
      <c r="V49" s="31" t="n">
        <v>15.63</v>
      </c>
      <c r="W49" s="31" t="n">
        <v>8.67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Fragmented with High ROE</t>
        </is>
      </c>
      <c r="AA49" s="30">
        <f>IF(Z49="Fragmented with Low ROE",-5,IF(Z49="Fragmented with High ROE",10,IF(Z49= "highly cyclical",5,0)))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Consistency)",15,IF(AF49="Shallow Cyclical (2 to 3 years growth)",10,IF(AF49 = "Cyclical in an Uptick",5,IF(AF49 = "Cyclical in an Downtick",-10,0))))</f>
        <v/>
      </c>
      <c r="AH49" s="30" t="inlineStr">
        <is>
          <t>Yes</t>
        </is>
      </c>
      <c r="AI49" s="30">
        <f>IF(AH49="Yes",10,0)</f>
        <v/>
      </c>
      <c r="AJ49" s="30" t="inlineStr">
        <is>
          <t>Yes</t>
        </is>
      </c>
      <c r="AK49" s="30">
        <f>IF(AJ49="Yes",10,0)</f>
        <v/>
      </c>
      <c r="AL49" s="30" t="n"/>
      <c r="AM49" s="30">
        <f>IF(AL49="No",10,0)</f>
        <v/>
      </c>
      <c r="AN49" s="30" t="inlineStr">
        <is>
          <t>Yes</t>
        </is>
      </c>
      <c r="AO49" s="30">
        <f>IF(AN49="Yes",10,0)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Yes</t>
        </is>
      </c>
      <c r="AS49" s="30">
        <f>IF(AR49="Yes",5,0)</f>
        <v/>
      </c>
      <c r="AT49" s="30" t="inlineStr">
        <is>
          <t>No</t>
        </is>
      </c>
      <c r="AU49" s="30">
        <f>IF(AT49="No",10,IF(AT49="Yes",-10,0))</f>
        <v/>
      </c>
      <c r="AV49" s="30" t="inlineStr">
        <is>
          <t>No</t>
        </is>
      </c>
      <c r="AW49" s="30">
        <f>IF(AV49="No",10,0)</f>
        <v/>
      </c>
      <c r="AX49" s="30" t="inlineStr">
        <is>
          <t>No</t>
        </is>
      </c>
      <c r="AY49" s="30">
        <f>IF(AX49="No",10,IF(AX49= "Yes CEO Resignation",-5,0))</f>
        <v/>
      </c>
      <c r="AZ49" s="30" t="inlineStr">
        <is>
          <t>No</t>
        </is>
      </c>
      <c r="BA49" s="30">
        <f>IF(AZ49="No",10,IF(AZ49="Yes",-5,0))</f>
        <v/>
      </c>
      <c r="BB49" s="30" t="inlineStr">
        <is>
          <t>No</t>
        </is>
      </c>
      <c r="BC49" s="30">
        <f>IF(BB49="No",5,IF(BB49="Yes",-5,0))</f>
        <v/>
      </c>
      <c r="BD49" s="30" t="inlineStr">
        <is>
          <t>Yes</t>
        </is>
      </c>
      <c r="BE49" s="30">
        <f>IF(BD49="Yes",10,0)</f>
        <v/>
      </c>
      <c r="BF49" s="30" t="inlineStr">
        <is>
          <t>Yes</t>
        </is>
      </c>
      <c r="BG49" s="30">
        <f>IF(BF49="Yes",10,0)</f>
        <v/>
      </c>
      <c r="BH49" s="30" t="inlineStr">
        <is>
          <t>Yes</t>
        </is>
      </c>
      <c r="BI49" s="30">
        <f>IF(BH49="Yes",10,0)</f>
        <v/>
      </c>
      <c r="BJ49" s="30" t="inlineStr">
        <is>
          <t>P/BV less than 2.5x and Growth more than 20%</t>
        </is>
      </c>
      <c r="BK49" s="30">
        <f>IF(BJ49="P/BV less than 2.5x and Growth more than 20%",20,IF(BJ49 = "P/BV less than 2.5x and Growth less than 20%",5,IF(BJ49="P/BV between 2.5x to 5x and Growth more than 20%",10,IF(BJ49= "P/BV between 2.5x to 5x and Growth less than 20%",-5,IF(BJ49= "P/BV above 5x",-5,0)))))</f>
        <v/>
      </c>
      <c r="BL49" s="30" t="inlineStr">
        <is>
          <t>0 to 20</t>
        </is>
      </c>
      <c r="BM49" s="30">
        <f>IF(BL49="Above 40",20,IF(BL49="20 to 40",10,IF(BL49="0 to 20",-5,0)))</f>
        <v/>
      </c>
      <c r="BN49" s="30" t="inlineStr">
        <is>
          <t>Between 50 to 75</t>
        </is>
      </c>
      <c r="BO49" s="30">
        <f>IF(BN49="Between 50 to 75",10,IF(BN49="Above 75",0,0))</f>
        <v/>
      </c>
      <c r="BP49" s="30" t="inlineStr">
        <is>
          <t>Stage 2</t>
        </is>
      </c>
      <c r="BQ49" s="30">
        <f>IF(BP49="Stage 2",20,IF(BP49="Stage 1",0,IF(BP49="Stage 3",5,IF(BP49="Stage 4",-5,0))))</f>
        <v/>
      </c>
      <c r="BR49" s="30" t="inlineStr">
        <is>
          <t>Negative Trend</t>
        </is>
      </c>
      <c r="BS49" s="30">
        <f>IF(BR49="Positive Trend",20,IF(BR49="Negative Trend",-10,0))</f>
        <v/>
      </c>
      <c r="BT49" s="30" t="inlineStr">
        <is>
          <t>Uptrend</t>
        </is>
      </c>
      <c r="BU49" s="30">
        <f>IF(BT49="Uptrend",10,IF(BT49="Sideways",5,0))</f>
        <v/>
      </c>
      <c r="BV49" s="30" t="inlineStr">
        <is>
          <t>Uptrend</t>
        </is>
      </c>
      <c r="BW49" s="30">
        <f>IF(BV49="Uptrend",10,IF(BV49="Sideways",5,0))</f>
        <v/>
      </c>
      <c r="BX49" s="30" t="inlineStr">
        <is>
          <t>Blue sky scenario</t>
        </is>
      </c>
      <c r="BY49" s="30">
        <f>IF(BX49="Overhead supply in last 2 years in last 2 years",-5,IF(BX49="Close to 52 week high or retracement",5,IF(BX49="Blue sky scenario",10,IF(BX49="Long term Downtrend",-10,0))))</f>
        <v/>
      </c>
      <c r="BZ49" s="30" t="inlineStr">
        <is>
          <t>Yes</t>
        </is>
      </c>
      <c r="CA49" s="30">
        <f>IF(BZ49="Yes",10,0)</f>
        <v/>
      </c>
    </row>
    <row r="50">
      <c r="A50" s="30">
        <f>IF(B50=0,"",RANK(B50,$B$2:$B$72,0))</f>
        <v/>
      </c>
      <c r="B50" s="31">
        <f>SUM(N50,Y50,AA50,AC50,AE50,AG50,AI50,AK50,AM50,AO50,AQ50,AS50,AU50,AW50,AY50,BA50,BC50,BE50,BG50,BI50,BK50,BM50,BO50,BQ50,BS50,BU50,BW50,BY50,CA50)</f>
        <v/>
      </c>
      <c r="C50" s="32" t="inlineStr">
        <is>
          <t>HUDCO</t>
        </is>
      </c>
      <c r="D50" s="32" t="inlineStr">
        <is>
          <t>Housing and Urban Development Corporation Ltd</t>
        </is>
      </c>
      <c r="E50" s="30" t="inlineStr">
        <is>
          <t>financials</t>
        </is>
      </c>
      <c r="F50" s="30" t="inlineStr">
        <is>
          <t>finance - term-lending institutions</t>
        </is>
      </c>
      <c r="G50" s="30" t="inlineStr">
        <is>
          <t>largecap</t>
        </is>
      </c>
      <c r="H50" s="31" t="n">
        <v>42606.44</v>
      </c>
      <c r="I50" s="31" t="n">
        <v>213.65</v>
      </c>
      <c r="J50" s="31" t="n">
        <v>0.39</v>
      </c>
      <c r="K50" s="31" t="n">
        <v>2812799</v>
      </c>
      <c r="L50" s="30" t="n">
        <v>16</v>
      </c>
      <c r="M50" s="30" t="inlineStr">
        <is>
          <t>Underperforming</t>
        </is>
      </c>
      <c r="N50" s="31">
        <f>IF(M50="Underperforming",-5,IF(L50&gt;=95,15,IF(L50&gt;=90,10,IF(L50&gt;=80,5,0))))</f>
        <v/>
      </c>
      <c r="O50" s="31" t="n">
        <v>55.43</v>
      </c>
      <c r="P50" s="31" t="n">
        <v>18.02</v>
      </c>
      <c r="Q50" s="31" t="n">
        <v>188.24</v>
      </c>
      <c r="R50" s="30" t="inlineStr">
        <is>
          <t>Earnings / Momentum Support</t>
        </is>
      </c>
      <c r="S50" s="30" t="inlineStr">
        <is>
          <t>Nifty Bank</t>
        </is>
      </c>
      <c r="T50" s="31" t="n">
        <v>2.37</v>
      </c>
      <c r="U50" s="31" t="n">
        <v>-3.32</v>
      </c>
      <c r="V50" s="31" t="n">
        <v>-5.56</v>
      </c>
      <c r="W50" s="31" t="n">
        <v>5.23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Fragmented with High ROE</t>
        </is>
      </c>
      <c r="AA50" s="30">
        <f>IF(Z50="Fragmented with Low ROE",-5,IF(Z50="Fragmented with High ROE",10,IF(Z50= "highly cyclical",5,0)))</f>
        <v/>
      </c>
      <c r="AB50" s="30" t="inlineStr">
        <is>
          <t>Yes</t>
        </is>
      </c>
      <c r="AC50" s="30">
        <f>IF(AB50="No",5,0)</f>
        <v/>
      </c>
      <c r="AD50" s="30" t="inlineStr">
        <is>
          <t>Headwind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Consistency)",15,IF(AF50="Shallow Cyclical (2 to 3 years growth)",10,IF(AF50 = "Cyclical in an Uptick",5,IF(AF50 = "Cyclical in an Downtick",-10,0))))</f>
        <v/>
      </c>
      <c r="AH50" s="30" t="inlineStr">
        <is>
          <t>Yes</t>
        </is>
      </c>
      <c r="AI50" s="30">
        <f>IF(AH50="Yes",10,0)</f>
        <v/>
      </c>
      <c r="AJ50" s="30" t="inlineStr">
        <is>
          <t>Yes</t>
        </is>
      </c>
      <c r="AK50" s="30">
        <f>IF(AJ50="Yes",10,0)</f>
        <v/>
      </c>
      <c r="AL50" s="30" t="n"/>
      <c r="AM50" s="30">
        <f>IF(AL50="No",10,0)</f>
        <v/>
      </c>
      <c r="AN50" s="30" t="inlineStr">
        <is>
          <t>Yes</t>
        </is>
      </c>
      <c r="AO50" s="30">
        <f>IF(AN50="Yes",10,0)</f>
        <v/>
      </c>
      <c r="AP50" s="30" t="inlineStr">
        <is>
          <t>No</t>
        </is>
      </c>
      <c r="AQ50" s="30">
        <f>IF(AP50="Yes",10,0)</f>
        <v/>
      </c>
      <c r="AR50" s="30" t="inlineStr">
        <is>
          <t>Yes</t>
        </is>
      </c>
      <c r="AS50" s="30">
        <f>IF(AR50="Yes",5,0)</f>
        <v/>
      </c>
      <c r="AT50" s="30" t="inlineStr">
        <is>
          <t>No</t>
        </is>
      </c>
      <c r="AU50" s="30">
        <f>IF(AT50="No",10,IF(AT50="Yes",-10,0))</f>
        <v/>
      </c>
      <c r="AV50" s="30" t="inlineStr">
        <is>
          <t>No</t>
        </is>
      </c>
      <c r="AW50" s="30">
        <f>IF(AV50="No",10,0)</f>
        <v/>
      </c>
      <c r="AX50" s="30" t="inlineStr">
        <is>
          <t>No</t>
        </is>
      </c>
      <c r="AY50" s="30">
        <f>IF(AX50="No",10,IF(AX50= "Yes CEO Resignation",-5,0))</f>
        <v/>
      </c>
      <c r="AZ50" s="30" t="inlineStr">
        <is>
          <t>No</t>
        </is>
      </c>
      <c r="BA50" s="30">
        <f>IF(AZ50="No",10,IF(AZ50="Yes",-5,0))</f>
        <v/>
      </c>
      <c r="BB50" s="30" t="inlineStr">
        <is>
          <t>No</t>
        </is>
      </c>
      <c r="BC50" s="30">
        <f>IF(BB50="No",5,IF(BB50="Yes",-5,0))</f>
        <v/>
      </c>
      <c r="BD50" s="30" t="inlineStr">
        <is>
          <t>Yes</t>
        </is>
      </c>
      <c r="BE50" s="30">
        <f>IF(BD50="Yes",10,0)</f>
        <v/>
      </c>
      <c r="BF50" s="30" t="inlineStr">
        <is>
          <t>Yes</t>
        </is>
      </c>
      <c r="BG50" s="30">
        <f>IF(BF50="Yes",10,0)</f>
        <v/>
      </c>
      <c r="BH50" s="30" t="inlineStr">
        <is>
          <t>Yes</t>
        </is>
      </c>
      <c r="BI50" s="30">
        <f>IF(BH50="Yes",10,0)</f>
        <v/>
      </c>
      <c r="BJ50" s="30" t="inlineStr">
        <is>
          <t>P/BV less than 2.5x and Growth more than 20%</t>
        </is>
      </c>
      <c r="BK50" s="30">
        <f>IF(BJ50="P/BV less than 2.5x and Growth more than 20%",20,IF(BJ50 = "P/BV less than 2.5x and Growth less than 20%",5,IF(BJ50="P/BV between 2.5x to 5x and Growth more than 20%",10,IF(BJ50= "P/BV between 2.5x to 5x and Growth less than 20%",-5,IF(BJ50= "P/BV above 5x",-5,0)))))</f>
        <v/>
      </c>
      <c r="BL50" s="30" t="inlineStr">
        <is>
          <t>0 to 20</t>
        </is>
      </c>
      <c r="BM50" s="30">
        <f>IF(BL50="Above 40",20,IF(BL50="20 to 40",10,IF(BL50="0 to 20",-5,0)))</f>
        <v/>
      </c>
      <c r="BN50" s="30" t="inlineStr">
        <is>
          <t>Between 50 to 75</t>
        </is>
      </c>
      <c r="BO50" s="30">
        <f>IF(BN50="Between 50 to 75",10,IF(BN50="Above 75",0,0))</f>
        <v/>
      </c>
      <c r="BP50" s="30" t="inlineStr">
        <is>
          <t>Stage 2</t>
        </is>
      </c>
      <c r="BQ50" s="30">
        <f>IF(BP50="Stage 2",20,IF(BP50="Stage 1",0,IF(BP50="Stage 3",5,IF(BP50="Stage 4",-5,0))))</f>
        <v/>
      </c>
      <c r="BR50" s="30" t="inlineStr">
        <is>
          <t>Positive Trend</t>
        </is>
      </c>
      <c r="BS50" s="30">
        <f>IF(BR50="Positive Trend",20,IF(BR50="Negative Trend",-10,0))</f>
        <v/>
      </c>
      <c r="BT50" s="30" t="inlineStr">
        <is>
          <t>Uptrend</t>
        </is>
      </c>
      <c r="BU50" s="30">
        <f>IF(BT50="Uptrend",10,IF(BT50="Sideways",5,0))</f>
        <v/>
      </c>
      <c r="BV50" s="30" t="inlineStr">
        <is>
          <t>Uptrend</t>
        </is>
      </c>
      <c r="BW50" s="30">
        <f>IF(BV50="Uptrend",10,IF(BV50="Sideways",5,0))</f>
        <v/>
      </c>
      <c r="BX50" s="30" t="inlineStr">
        <is>
          <t>Close to 52 week high or retracement</t>
        </is>
      </c>
      <c r="BY50" s="30">
        <f>IF(BX50="Overhead supply in last 2 years in last 2 years",-5,IF(BX50="Close to 52 week high or retracement",5,IF(BX50="Blue sky scenario",10,IF(BX50="Long term Downtrend",-10,0))))</f>
        <v/>
      </c>
      <c r="BZ50" s="30" t="inlineStr">
        <is>
          <t>Yes</t>
        </is>
      </c>
      <c r="CA50" s="30">
        <f>IF(BZ50="Yes",10,0)</f>
        <v/>
      </c>
    </row>
    <row r="51">
      <c r="A51" s="30">
        <f>IF(B51=0,"",RANK(B51,$B$2:$B$72,0))</f>
        <v/>
      </c>
      <c r="B51" s="31">
        <f>SUM(N51,Y51,AA51,AC51,AE51,AG51,AI51,AK51,AM51,AO51,AQ51,AS51,AU51,AW51,AY51,BA51,BC51,BE51,BG51,BI51,BK51,BM51,BO51,BQ51,BS51,BU51,BW51,BY51,CA51)</f>
        <v/>
      </c>
      <c r="C51" s="30" t="inlineStr">
        <is>
          <t>SAMMAANCAP</t>
        </is>
      </c>
      <c r="D51" s="30" t="inlineStr">
        <is>
          <t>Sammaan Capital Ltd</t>
        </is>
      </c>
      <c r="E51" s="30" t="inlineStr">
        <is>
          <t>financials</t>
        </is>
      </c>
      <c r="F51" s="30" t="inlineStr">
        <is>
          <t>finance - housing</t>
        </is>
      </c>
      <c r="G51" s="30" t="inlineStr">
        <is>
          <t>largecap</t>
        </is>
      </c>
      <c r="H51" s="31" t="n">
        <v>20910.31</v>
      </c>
      <c r="I51" s="31" t="n">
        <v>176.1</v>
      </c>
      <c r="J51" s="31" t="n">
        <v>-2.17</v>
      </c>
      <c r="K51" s="31" t="n">
        <v>9009472</v>
      </c>
      <c r="L51" s="30" t="n">
        <v>57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61.47</v>
      </c>
      <c r="P51" s="31" t="n">
        <v>19.79</v>
      </c>
      <c r="Q51" s="31" t="n">
        <v>143.1</v>
      </c>
      <c r="R51" s="30" t="inlineStr">
        <is>
          <t>Earnings / Momentum Support</t>
        </is>
      </c>
      <c r="S51" s="30" t="inlineStr">
        <is>
          <t>Nifty Bank</t>
        </is>
      </c>
      <c r="T51" s="31" t="n">
        <v>2.37</v>
      </c>
      <c r="U51" s="31" t="n">
        <v>48.13</v>
      </c>
      <c r="V51" s="31" t="n">
        <v>44.71</v>
      </c>
      <c r="W51" s="31" t="n">
        <v>14.43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Fragmented with High ROE</t>
        </is>
      </c>
      <c r="AA51" s="30">
        <f>IF(Z51="Fragmented with Low ROE",-5,IF(Z51="Fragmented with High ROE",10,IF(Z51= "highly cyclical",5,0)))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Consistency)",15,IF(AF51="Shallow Cyclical (2 to 3 years growth)",10,IF(AF51 = "Cyclical in an Uptick",5,IF(AF51 = "Cyclical in an Downtick",-10,0))))</f>
        <v/>
      </c>
      <c r="AH51" s="30" t="inlineStr">
        <is>
          <t>Yes</t>
        </is>
      </c>
      <c r="AI51" s="30">
        <f>IF(AH51="Yes",10,0)</f>
        <v/>
      </c>
      <c r="AJ51" s="30" t="inlineStr">
        <is>
          <t>Yes</t>
        </is>
      </c>
      <c r="AK51" s="30">
        <f>IF(AJ51="Yes",10,0)</f>
        <v/>
      </c>
      <c r="AL51" s="30" t="n"/>
      <c r="AM51" s="30">
        <f>IF(AL51="No",10,0)</f>
        <v/>
      </c>
      <c r="AN51" s="30" t="inlineStr">
        <is>
          <t>Yes</t>
        </is>
      </c>
      <c r="AO51" s="30">
        <f>IF(AN51="Yes",10,0)</f>
        <v/>
      </c>
      <c r="AP51" s="30" t="inlineStr">
        <is>
          <t>No</t>
        </is>
      </c>
      <c r="AQ51" s="30">
        <f>IF(AP51="Yes",10,0)</f>
        <v/>
      </c>
      <c r="AR51" s="30" t="inlineStr">
        <is>
          <t>Yes</t>
        </is>
      </c>
      <c r="AS51" s="30">
        <f>IF(AR51="Yes",5,0)</f>
        <v/>
      </c>
      <c r="AT51" s="30" t="inlineStr">
        <is>
          <t>No</t>
        </is>
      </c>
      <c r="AU51" s="30">
        <f>IF(AT51="No",10,IF(AT51="Yes",-10,0))</f>
        <v/>
      </c>
      <c r="AV51" s="30" t="inlineStr">
        <is>
          <t>No</t>
        </is>
      </c>
      <c r="AW51" s="30">
        <f>IF(AV51="No",10,0)</f>
        <v/>
      </c>
      <c r="AX51" s="30" t="inlineStr">
        <is>
          <t>No</t>
        </is>
      </c>
      <c r="AY51" s="30">
        <f>IF(AX51="No",10,IF(AX51= "Yes CEO Resignation",-5,0))</f>
        <v/>
      </c>
      <c r="AZ51" s="30" t="inlineStr">
        <is>
          <t>No</t>
        </is>
      </c>
      <c r="BA51" s="30">
        <f>IF(AZ51="No",10,IF(AZ51="Yes",-5,0))</f>
        <v/>
      </c>
      <c r="BB51" s="30" t="inlineStr">
        <is>
          <t>No</t>
        </is>
      </c>
      <c r="BC51" s="30">
        <f>IF(BB51="No",5,IF(BB51="Yes",-5,0))</f>
        <v/>
      </c>
      <c r="BD51" s="30" t="inlineStr">
        <is>
          <t>Yes</t>
        </is>
      </c>
      <c r="BE51" s="30">
        <f>IF(BD51="Yes",10,0)</f>
        <v/>
      </c>
      <c r="BF51" s="30" t="inlineStr">
        <is>
          <t>Yes</t>
        </is>
      </c>
      <c r="BG51" s="30">
        <f>IF(BF51="Yes",10,0)</f>
        <v/>
      </c>
      <c r="BH51" s="30" t="inlineStr">
        <is>
          <t>Yes</t>
        </is>
      </c>
      <c r="BI51" s="30">
        <f>IF(BH51="Yes",10,0)</f>
        <v/>
      </c>
      <c r="BJ51" s="30" t="inlineStr">
        <is>
          <t>P/BV less than 2.5x and Growth less than 20%</t>
        </is>
      </c>
      <c r="BK51" s="30">
        <f>IF(BJ51="P/BV less than 2.5x and Growth more than 20%",20,IF(BJ51 = "P/BV less than 2.5x and Growth less than 20%",5,IF(BJ51="P/BV between 2.5x to 5x and Growth more than 20%",10,IF(BJ51= "P/BV between 2.5x to 5x and Growth less than 20%",-5,IF(BJ51= "P/BV above 5x",-5,0)))))</f>
        <v/>
      </c>
      <c r="BL51" s="30" t="inlineStr">
        <is>
          <t>0 to 20</t>
        </is>
      </c>
      <c r="BM51" s="30">
        <f>IF(BL51="Above 40",20,IF(BL51="20 to 40",10,IF(BL51="0 to 20",-5,0)))</f>
        <v/>
      </c>
      <c r="BN51" s="30" t="inlineStr">
        <is>
          <t>Between 50 to 75</t>
        </is>
      </c>
      <c r="BO51" s="30">
        <f>IF(BN51="Between 50 to 75",10,IF(BN51="Above 75",0,0))</f>
        <v/>
      </c>
      <c r="BP51" s="30" t="inlineStr">
        <is>
          <t>Stage 2</t>
        </is>
      </c>
      <c r="BQ51" s="30">
        <f>IF(BP51="Stage 2",20,IF(BP51="Stage 1",0,IF(BP51="Stage 3",5,IF(BP51="Stage 4",-5,0))))</f>
        <v/>
      </c>
      <c r="BR51" s="30" t="inlineStr">
        <is>
          <t>Positive Trend</t>
        </is>
      </c>
      <c r="BS51" s="30">
        <f>IF(BR51="Positive Trend",20,IF(BR51="Negative Trend",-10,0))</f>
        <v/>
      </c>
      <c r="BT51" s="30" t="inlineStr">
        <is>
          <t>Uptrend</t>
        </is>
      </c>
      <c r="BU51" s="30">
        <f>IF(BT51="Uptrend",10,IF(BT51="Sideways",5,0))</f>
        <v/>
      </c>
      <c r="BV51" s="30" t="inlineStr">
        <is>
          <t>Uptrend</t>
        </is>
      </c>
      <c r="BW51" s="30">
        <f>IF(BV51="Uptrend",10,IF(BV51="Sideways",5,0))</f>
        <v/>
      </c>
      <c r="BX51" s="30" t="inlineStr">
        <is>
          <t>Close to 52 week high or retracement</t>
        </is>
      </c>
      <c r="BY51" s="30">
        <f>IF(BX51="Overhead supply in last 2 years in last 2 years",-5,IF(BX51="Close to 52 week high or retracement",5,IF(BX51="Blue sky scenario",10,IF(BX51="Long term Downtrend",-10,0))))</f>
        <v/>
      </c>
      <c r="BZ51" s="30" t="inlineStr">
        <is>
          <t>Yes</t>
        </is>
      </c>
      <c r="CA51" s="30">
        <f>IF(BZ51="Yes",10,0)</f>
        <v/>
      </c>
    </row>
    <row r="52">
      <c r="A52" s="30">
        <f>IF(B52=0,"",RANK(B52,$B$2:$B$72,0))</f>
        <v/>
      </c>
      <c r="B52" s="31">
        <f>SUM(N52,Y52,AA52,AC52,AE52,AG52,AI52,AK52,AM52,AO52,AQ52,AS52,AU52,AW52,AY52,BA52,BC52,BE52,BG52,BI52,BK52,BM52,BO52,BQ52,BS52,BU52,BW52,BY52,CA52)</f>
        <v/>
      </c>
      <c r="C52" s="32" t="inlineStr">
        <is>
          <t>MANBA</t>
        </is>
      </c>
      <c r="D52" s="32" t="inlineStr">
        <is>
          <t>Manba Finance Ltd</t>
        </is>
      </c>
      <c r="E52" s="30" t="inlineStr">
        <is>
          <t>financials</t>
        </is>
      </c>
      <c r="F52" s="30" t="inlineStr">
        <is>
          <t>finance &amp; investments</t>
        </is>
      </c>
      <c r="G52" s="30" t="inlineStr">
        <is>
          <t>smallcap</t>
        </is>
      </c>
      <c r="H52" s="31" t="n">
        <v>640.65</v>
      </c>
      <c r="I52" s="31" t="n">
        <v>129.73</v>
      </c>
      <c r="J52" s="31" t="n">
        <v>1.73</v>
      </c>
      <c r="K52" s="31" t="n">
        <v>104834</v>
      </c>
      <c r="L52" s="30" t="n">
        <v>3</v>
      </c>
      <c r="M52" s="30" t="inlineStr">
        <is>
          <t>Underperforming</t>
        </is>
      </c>
      <c r="N52" s="31">
        <f>IF(M52="Underperforming",-5,IF(L52&gt;=95,15,IF(L52&gt;=90,10,IF(L52&gt;=80,5,0))))</f>
        <v/>
      </c>
      <c r="O52" s="31" t="n">
        <v>58.22</v>
      </c>
      <c r="P52" s="31" t="n">
        <v>26.58</v>
      </c>
      <c r="Q52" s="31" t="n">
        <v>101.49</v>
      </c>
      <c r="R52" s="30" t="inlineStr">
        <is>
          <t>Earnings / Momentum Support</t>
        </is>
      </c>
      <c r="S52" s="30" t="inlineStr">
        <is>
          <t>Nifty Bank</t>
        </is>
      </c>
      <c r="T52" s="31" t="n">
        <v>2.37</v>
      </c>
      <c r="U52" s="31" t="n">
        <v>-6.75</v>
      </c>
      <c r="V52" s="31" t="n">
        <v>-8.91</v>
      </c>
      <c r="W52" s="31" t="n">
        <v>1.87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Fragmented with High ROE</t>
        </is>
      </c>
      <c r="AA52" s="30">
        <f>IF(Z52="Fragmented with Low ROE",-5,IF(Z52="Fragmented with High ROE",10,IF(Z52= "highly cyclical",5,0)))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Headwind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Consistency)",15,IF(AF52="Shallow Cyclical (2 to 3 years growth)",10,IF(AF52 = "Cyclical in an Uptick",5,IF(AF52 = "Cyclical in an Downtick",-10,0))))</f>
        <v/>
      </c>
      <c r="AH52" s="30" t="inlineStr">
        <is>
          <t>Yes</t>
        </is>
      </c>
      <c r="AI52" s="30">
        <f>IF(AH52="Yes",10,0)</f>
        <v/>
      </c>
      <c r="AJ52" s="30" t="inlineStr">
        <is>
          <t>Yes</t>
        </is>
      </c>
      <c r="AK52" s="30">
        <f>IF(AJ52="Yes",10,0)</f>
        <v/>
      </c>
      <c r="AL52" s="30" t="n"/>
      <c r="AM52" s="30">
        <f>IF(AL52="No",10,0)</f>
        <v/>
      </c>
      <c r="AN52" s="30" t="inlineStr">
        <is>
          <t>Yes</t>
        </is>
      </c>
      <c r="AO52" s="30">
        <f>IF(AN52="Yes",10,0)</f>
        <v/>
      </c>
      <c r="AP52" s="30" t="inlineStr">
        <is>
          <t>No</t>
        </is>
      </c>
      <c r="AQ52" s="30">
        <f>IF(AP52="Yes",10,0)</f>
        <v/>
      </c>
      <c r="AR52" s="30" t="inlineStr">
        <is>
          <t>Yes</t>
        </is>
      </c>
      <c r="AS52" s="30">
        <f>IF(AR52="Yes",5,0)</f>
        <v/>
      </c>
      <c r="AT52" s="30" t="inlineStr">
        <is>
          <t>No</t>
        </is>
      </c>
      <c r="AU52" s="30">
        <f>IF(AT52="No",10,IF(AT52="Yes",-10,0))</f>
        <v/>
      </c>
      <c r="AV52" s="30" t="inlineStr">
        <is>
          <t>No</t>
        </is>
      </c>
      <c r="AW52" s="30">
        <f>IF(AV52="No",10,0)</f>
        <v/>
      </c>
      <c r="AX52" s="30" t="inlineStr">
        <is>
          <t>No</t>
        </is>
      </c>
      <c r="AY52" s="30">
        <f>IF(AX52="No",10,IF(AX52= "Yes CEO Resignation",-5,0))</f>
        <v/>
      </c>
      <c r="AZ52" s="30" t="inlineStr">
        <is>
          <t>No</t>
        </is>
      </c>
      <c r="BA52" s="30">
        <f>IF(AZ52="No",10,IF(AZ52="Yes",-5,0))</f>
        <v/>
      </c>
      <c r="BB52" s="30" t="inlineStr">
        <is>
          <t>No</t>
        </is>
      </c>
      <c r="BC52" s="30">
        <f>IF(BB52="No",5,IF(BB52="Yes",-5,0))</f>
        <v/>
      </c>
      <c r="BD52" s="30" t="inlineStr">
        <is>
          <t>Yes</t>
        </is>
      </c>
      <c r="BE52" s="30">
        <f>IF(BD52="Yes",10,0)</f>
        <v/>
      </c>
      <c r="BF52" s="30" t="inlineStr">
        <is>
          <t>Yes</t>
        </is>
      </c>
      <c r="BG52" s="30">
        <f>IF(BF52="Yes",10,0)</f>
        <v/>
      </c>
      <c r="BH52" s="30" t="inlineStr">
        <is>
          <t>Yes</t>
        </is>
      </c>
      <c r="BI52" s="30">
        <f>IF(BH52="Yes",10,0)</f>
        <v/>
      </c>
      <c r="BJ52" s="30" t="inlineStr">
        <is>
          <t>P/BV less than 2.5x and Growth more than 20%</t>
        </is>
      </c>
      <c r="BK52" s="30">
        <f>IF(BJ52="P/BV less than 2.5x and Growth more than 20%",20,IF(BJ52 = "P/BV less than 2.5x and Growth less than 20%",5,IF(BJ52="P/BV between 2.5x to 5x and Growth more than 20%",10,IF(BJ52= "P/BV between 2.5x to 5x and Growth less than 20%",-5,IF(BJ52= "P/BV above 5x",-5,0)))))</f>
        <v/>
      </c>
      <c r="BL52" s="30" t="inlineStr">
        <is>
          <t>20 to 40</t>
        </is>
      </c>
      <c r="BM52" s="30">
        <f>IF(BL52="Above 40",20,IF(BL52="20 to 40",10,IF(BL52="0 to 20",-5,0)))</f>
        <v/>
      </c>
      <c r="BN52" s="30" t="inlineStr">
        <is>
          <t>Between 50 to 75</t>
        </is>
      </c>
      <c r="BO52" s="30">
        <f>IF(BN52="Between 50 to 75",10,IF(BN52="Above 75",0,0))</f>
        <v/>
      </c>
      <c r="BP52" s="30" t="inlineStr">
        <is>
          <t>Stage 1</t>
        </is>
      </c>
      <c r="BQ52" s="30">
        <f>IF(BP52="Stage 2",20,IF(BP52="Stage 1",0,IF(BP52="Stage 3",5,IF(BP52="Stage 4",-5,0))))</f>
        <v/>
      </c>
      <c r="BR52" s="30" t="inlineStr">
        <is>
          <t>Positive Trend</t>
        </is>
      </c>
      <c r="BS52" s="30">
        <f>IF(BR52="Positive Trend",20,IF(BR52="Negative Trend",-10,0))</f>
        <v/>
      </c>
      <c r="BT52" s="30" t="inlineStr">
        <is>
          <t>Uptrend</t>
        </is>
      </c>
      <c r="BU52" s="30">
        <f>IF(BT52="Uptrend",10,IF(BT52="Sideways",5,0))</f>
        <v/>
      </c>
      <c r="BV52" s="30" t="inlineStr">
        <is>
          <t>Uptrend</t>
        </is>
      </c>
      <c r="BW52" s="30">
        <f>IF(BV52="Uptrend",10,IF(BV52="Sideways",5,0))</f>
        <v/>
      </c>
      <c r="BX52" s="30" t="inlineStr">
        <is>
          <t>Close to 52 week high or retracement</t>
        </is>
      </c>
      <c r="BY52" s="30">
        <f>IF(BX52="Overhead supply in last 2 years in last 2 years",-5,IF(BX52="Close to 52 week high or retracement",5,IF(BX52="Blue sky scenario",10,IF(BX52="Long term Downtrend",-10,0))))</f>
        <v/>
      </c>
      <c r="BZ52" s="30" t="inlineStr">
        <is>
          <t>Yes</t>
        </is>
      </c>
      <c r="CA52" s="30">
        <f>IF(BZ52="Yes",10,0)</f>
        <v/>
      </c>
    </row>
    <row r="53">
      <c r="A53" s="30">
        <f>IF(B53=0,"",RANK(B53,$B$2:$B$72,0))</f>
        <v/>
      </c>
      <c r="B53" s="31">
        <f>SUM(N53,Y53,AA53,AC53,AE53,AG53,AI53,AK53,AM53,AO53,AQ53,AS53,AU53,AW53,AY53,BA53,BC53,BE53,BG53,BI53,BK53,BM53,BO53,BQ53,BS53,BU53,BW53,BY53,CA53)</f>
        <v/>
      </c>
      <c r="C53" s="32" t="inlineStr">
        <is>
          <t>GEOJITFSL</t>
        </is>
      </c>
      <c r="D53" s="32" t="inlineStr">
        <is>
          <t>Geojit Financial Services Ltd</t>
        </is>
      </c>
      <c r="E53" s="30" t="inlineStr">
        <is>
          <t>financials</t>
        </is>
      </c>
      <c r="F53" s="30" t="inlineStr">
        <is>
          <t>finance &amp; investments</t>
        </is>
      </c>
      <c r="G53" s="30" t="inlineStr">
        <is>
          <t>smallcap</t>
        </is>
      </c>
      <c r="H53" s="31" t="n">
        <v>2177.99</v>
      </c>
      <c r="I53" s="31" t="n">
        <v>79.09</v>
      </c>
      <c r="J53" s="31" t="n">
        <v>1.36</v>
      </c>
      <c r="K53" s="31" t="n">
        <v>506489</v>
      </c>
      <c r="L53" s="30" t="n">
        <v>28</v>
      </c>
      <c r="M53" s="30" t="inlineStr">
        <is>
          <t>Underperforming</t>
        </is>
      </c>
      <c r="N53" s="31">
        <f>IF(M53="Underperforming",-5,IF(L53&gt;=95,15,IF(L53&gt;=90,10,IF(L53&gt;=80,5,0))))</f>
        <v/>
      </c>
      <c r="O53" s="31" t="n">
        <v>61.93</v>
      </c>
      <c r="P53" s="31" t="n">
        <v>16.78</v>
      </c>
      <c r="Q53" s="31" t="n">
        <v>61</v>
      </c>
      <c r="R53" s="30" t="inlineStr">
        <is>
          <t>Earnings / Momentum Support</t>
        </is>
      </c>
      <c r="S53" s="30" t="inlineStr">
        <is>
          <t>Nifty Bank</t>
        </is>
      </c>
      <c r="T53" s="31" t="n">
        <v>2.37</v>
      </c>
      <c r="U53" s="31" t="n">
        <v>0.89</v>
      </c>
      <c r="V53" s="31" t="n">
        <v>-1.45</v>
      </c>
      <c r="W53" s="31" t="n">
        <v>8.09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Fragmented with High ROE</t>
        </is>
      </c>
      <c r="AA53" s="30">
        <f>IF(Z53="Fragmented with Low ROE",-5,IF(Z53="Fragmented with High ROE",10,IF(Z53= "highly cyclical",5,0)))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Consistency)",15,IF(AF53="Shallow Cyclical (2 to 3 years growth)",10,IF(AF53 = "Cyclical in an Uptick",5,IF(AF53 = "Cyclical in an Downtick",-10,0))))</f>
        <v/>
      </c>
      <c r="AH53" s="30" t="inlineStr">
        <is>
          <t>Yes</t>
        </is>
      </c>
      <c r="AI53" s="30">
        <f>IF(AH53="Yes",10,0)</f>
        <v/>
      </c>
      <c r="AJ53" s="30" t="inlineStr">
        <is>
          <t>Yes</t>
        </is>
      </c>
      <c r="AK53" s="30">
        <f>IF(AJ53="Yes",10,0)</f>
        <v/>
      </c>
      <c r="AL53" s="30" t="n"/>
      <c r="AM53" s="30">
        <f>IF(AL53="No",10,0)</f>
        <v/>
      </c>
      <c r="AN53" s="30" t="inlineStr">
        <is>
          <t>Yes</t>
        </is>
      </c>
      <c r="AO53" s="30">
        <f>IF(AN53="Yes",10,0)</f>
        <v/>
      </c>
      <c r="AP53" s="30" t="inlineStr">
        <is>
          <t>No</t>
        </is>
      </c>
      <c r="AQ53" s="30">
        <f>IF(AP53="Yes",10,0)</f>
        <v/>
      </c>
      <c r="AR53" s="30" t="inlineStr">
        <is>
          <t>Yes</t>
        </is>
      </c>
      <c r="AS53" s="30">
        <f>IF(AR53="Yes",5,0)</f>
        <v/>
      </c>
      <c r="AT53" s="30" t="inlineStr">
        <is>
          <t>No</t>
        </is>
      </c>
      <c r="AU53" s="30">
        <f>IF(AT53="No",10,IF(AT53="Yes",-10,0))</f>
        <v/>
      </c>
      <c r="AV53" s="30" t="inlineStr">
        <is>
          <t>No</t>
        </is>
      </c>
      <c r="AW53" s="30">
        <f>IF(AV53="No",10,0)</f>
        <v/>
      </c>
      <c r="AX53" s="30" t="inlineStr">
        <is>
          <t>No</t>
        </is>
      </c>
      <c r="AY53" s="30">
        <f>IF(AX53="No",10,IF(AX53= "Yes CEO Resignation",-5,0))</f>
        <v/>
      </c>
      <c r="AZ53" s="30" t="inlineStr">
        <is>
          <t>No</t>
        </is>
      </c>
      <c r="BA53" s="30">
        <f>IF(AZ53="No",10,IF(AZ53="Yes",-5,0))</f>
        <v/>
      </c>
      <c r="BB53" s="30" t="inlineStr">
        <is>
          <t>No</t>
        </is>
      </c>
      <c r="BC53" s="30">
        <f>IF(BB53="No",5,IF(BB53="Yes",-5,0))</f>
        <v/>
      </c>
      <c r="BD53" s="30" t="inlineStr">
        <is>
          <t>Yes</t>
        </is>
      </c>
      <c r="BE53" s="30">
        <f>IF(BD53="Yes",10,0)</f>
        <v/>
      </c>
      <c r="BF53" s="30" t="inlineStr">
        <is>
          <t>Yes</t>
        </is>
      </c>
      <c r="BG53" s="30">
        <f>IF(BF53="Yes",10,0)</f>
        <v/>
      </c>
      <c r="BH53" s="30" t="inlineStr">
        <is>
          <t>Yes</t>
        </is>
      </c>
      <c r="BI53" s="30">
        <f>IF(BH53="Yes",10,0)</f>
        <v/>
      </c>
      <c r="BJ53" s="30" t="inlineStr">
        <is>
          <t>P/BV less than 2.5x and Growth less than 20%</t>
        </is>
      </c>
      <c r="BK53" s="30">
        <f>IF(BJ53="P/BV less than 2.5x and Growth more than 20%",20,IF(BJ53 = "P/BV less than 2.5x and Growth less than 20%",5,IF(BJ53="P/BV between 2.5x to 5x and Growth more than 20%",10,IF(BJ53= "P/BV between 2.5x to 5x and Growth less than 20%",-5,IF(BJ53= "P/BV above 5x",-5,0)))))</f>
        <v/>
      </c>
      <c r="BL53" s="30" t="inlineStr">
        <is>
          <t>0 to 20</t>
        </is>
      </c>
      <c r="BM53" s="30">
        <f>IF(BL53="Above 40",20,IF(BL53="20 to 40",10,IF(BL53="0 to 20",-5,0)))</f>
        <v/>
      </c>
      <c r="BN53" s="30" t="inlineStr">
        <is>
          <t>Between 50 to 75</t>
        </is>
      </c>
      <c r="BO53" s="30">
        <f>IF(BN53="Between 50 to 75",10,IF(BN53="Above 75",0,0))</f>
        <v/>
      </c>
      <c r="BP53" s="30" t="inlineStr">
        <is>
          <t>Stage 2</t>
        </is>
      </c>
      <c r="BQ53" s="30">
        <f>IF(BP53="Stage 2",20,IF(BP53="Stage 1",0,IF(BP53="Stage 3",5,IF(BP53="Stage 4",-5,0))))</f>
        <v/>
      </c>
      <c r="BR53" s="30" t="inlineStr">
        <is>
          <t>Positive Trend</t>
        </is>
      </c>
      <c r="BS53" s="30">
        <f>IF(BR53="Positive Trend",20,IF(BR53="Negative Trend",-10,0))</f>
        <v/>
      </c>
      <c r="BT53" s="30" t="inlineStr">
        <is>
          <t>Uptrend</t>
        </is>
      </c>
      <c r="BU53" s="30">
        <f>IF(BT53="Uptrend",10,IF(BT53="Sideways",5,0))</f>
        <v/>
      </c>
      <c r="BV53" s="30" t="inlineStr">
        <is>
          <t>Uptrend</t>
        </is>
      </c>
      <c r="BW53" s="30">
        <f>IF(BV53="Uptrend",10,IF(BV53="Sideways",5,0))</f>
        <v/>
      </c>
      <c r="BX53" s="30" t="inlineStr">
        <is>
          <t>Close to 52 week high or retracement</t>
        </is>
      </c>
      <c r="BY53" s="30">
        <f>IF(BX53="Overhead supply in last 2 years in last 2 years",-5,IF(BX53="Close to 52 week high or retracement",5,IF(BX53="Blue sky scenario",10,IF(BX53="Long term Downtrend",-10,0))))</f>
        <v/>
      </c>
      <c r="BZ53" s="30" t="inlineStr">
        <is>
          <t>Yes</t>
        </is>
      </c>
      <c r="CA53" s="30">
        <f>IF(BZ53="Yes",10,0)</f>
        <v/>
      </c>
    </row>
    <row r="54">
      <c r="A54" s="30">
        <f>IF(B54=0,"",RANK(B54,$B$2:$B$72,0))</f>
        <v/>
      </c>
      <c r="B54" s="31">
        <f>SUM(N54,Y54,AA54,AC54,AE54,AG54,AI54,AK54,AM54,AO54,AQ54,AS54,AU54,AW54,AY54,BA54,BC54,BE54,BG54,BI54,BK54,BM54,BO54,BQ54,BS54,BU54,BW54,BY54,CA54)</f>
        <v/>
      </c>
      <c r="C54" s="30" t="inlineStr">
        <is>
          <t>LTF</t>
        </is>
      </c>
      <c r="D54" s="30" t="inlineStr">
        <is>
          <t>L&amp;T Finance Ltd</t>
        </is>
      </c>
      <c r="E54" s="30" t="inlineStr">
        <is>
          <t>financials</t>
        </is>
      </c>
      <c r="F54" s="30" t="inlineStr">
        <is>
          <t>finance &amp; investments</t>
        </is>
      </c>
      <c r="G54" s="30" t="inlineStr">
        <is>
          <t>largecap</t>
        </is>
      </c>
      <c r="H54" s="31" t="n">
        <v>73691.56</v>
      </c>
      <c r="I54" s="31" t="n">
        <v>294.15</v>
      </c>
      <c r="J54" s="31" t="n">
        <v>-0.03</v>
      </c>
      <c r="K54" s="31" t="n">
        <v>2767001</v>
      </c>
      <c r="L54" s="30" t="n">
        <v>51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55.91</v>
      </c>
      <c r="P54" s="31" t="n">
        <v>15.31</v>
      </c>
      <c r="Q54" s="31" t="n">
        <v>236.35</v>
      </c>
      <c r="R54" s="30" t="inlineStr">
        <is>
          <t>Earnings / Momentum Support</t>
        </is>
      </c>
      <c r="S54" s="30" t="inlineStr">
        <is>
          <t>Nifty Bank</t>
        </is>
      </c>
      <c r="T54" s="31" t="n">
        <v>2.37</v>
      </c>
      <c r="U54" s="31" t="n">
        <v>56.37</v>
      </c>
      <c r="V54" s="31" t="n">
        <v>52.75</v>
      </c>
      <c r="W54" s="31" t="n">
        <v>13.21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Fragmented with High ROE</t>
        </is>
      </c>
      <c r="AA54" s="30">
        <f>IF(Z54="Fragmented with Low ROE",-5,IF(Z54="Fragmented with High ROE",10,IF(Z54= "highly cyclical",5,0)))</f>
        <v/>
      </c>
      <c r="AB54" s="30" t="inlineStr">
        <is>
          <t>Yes</t>
        </is>
      </c>
      <c r="AC54" s="30">
        <f>IF(AB54="No",5,0)</f>
        <v/>
      </c>
      <c r="AD54" s="30" t="inlineStr">
        <is>
          <t>Headwind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Consistency)",15,IF(AF54="Shallow Cyclical (2 to 3 years growth)",10,IF(AF54 = "Cyclical in an Uptick",5,IF(AF54 = "Cyclical in an Downtick",-10,0))))</f>
        <v/>
      </c>
      <c r="AH54" s="30" t="inlineStr">
        <is>
          <t>Yes</t>
        </is>
      </c>
      <c r="AI54" s="30">
        <f>IF(AH54="Yes",10,0)</f>
        <v/>
      </c>
      <c r="AJ54" s="30" t="inlineStr">
        <is>
          <t>Yes</t>
        </is>
      </c>
      <c r="AK54" s="30">
        <f>IF(AJ54="Yes",10,0)</f>
        <v/>
      </c>
      <c r="AL54" s="30" t="n"/>
      <c r="AM54" s="30">
        <f>IF(AL54="No",10,0)</f>
        <v/>
      </c>
      <c r="AN54" s="30" t="inlineStr">
        <is>
          <t>Yes</t>
        </is>
      </c>
      <c r="AO54" s="30">
        <f>IF(AN54="Yes",10,0)</f>
        <v/>
      </c>
      <c r="AP54" s="30" t="inlineStr">
        <is>
          <t>No</t>
        </is>
      </c>
      <c r="AQ54" s="30">
        <f>IF(AP54="Yes",10,0)</f>
        <v/>
      </c>
      <c r="AR54" s="30" t="inlineStr">
        <is>
          <t>Yes</t>
        </is>
      </c>
      <c r="AS54" s="30">
        <f>IF(AR54="Yes",5,0)</f>
        <v/>
      </c>
      <c r="AT54" s="30" t="inlineStr">
        <is>
          <t>No</t>
        </is>
      </c>
      <c r="AU54" s="30">
        <f>IF(AT54="No",10,IF(AT54="Yes",-10,0))</f>
        <v/>
      </c>
      <c r="AV54" s="30" t="inlineStr">
        <is>
          <t>No</t>
        </is>
      </c>
      <c r="AW54" s="30">
        <f>IF(AV54="No",10,0)</f>
        <v/>
      </c>
      <c r="AX54" s="30" t="inlineStr">
        <is>
          <t>No</t>
        </is>
      </c>
      <c r="AY54" s="30">
        <f>IF(AX54="No",10,IF(AX54= "Yes CEO Resignation",-5,0))</f>
        <v/>
      </c>
      <c r="AZ54" s="30" t="inlineStr">
        <is>
          <t>No</t>
        </is>
      </c>
      <c r="BA54" s="30">
        <f>IF(AZ54="No",10,IF(AZ54="Yes",-5,0))</f>
        <v/>
      </c>
      <c r="BB54" s="30" t="inlineStr">
        <is>
          <t>No</t>
        </is>
      </c>
      <c r="BC54" s="30">
        <f>IF(BB54="No",5,IF(BB54="Yes",-5,0))</f>
        <v/>
      </c>
      <c r="BD54" s="30" t="inlineStr">
        <is>
          <t>Yes</t>
        </is>
      </c>
      <c r="BE54" s="30">
        <f>IF(BD54="Yes",10,0)</f>
        <v/>
      </c>
      <c r="BF54" s="30" t="inlineStr">
        <is>
          <t>Yes</t>
        </is>
      </c>
      <c r="BG54" s="30">
        <f>IF(BF54="Yes",10,0)</f>
        <v/>
      </c>
      <c r="BH54" s="30" t="inlineStr">
        <is>
          <t>Yes</t>
        </is>
      </c>
      <c r="BI54" s="30">
        <f>IF(BH54="Yes",10,0)</f>
        <v/>
      </c>
      <c r="BJ54" s="30" t="inlineStr">
        <is>
          <t>P/BV between 2.5x to 5x and Growth more than 20%</t>
        </is>
      </c>
      <c r="BK54" s="30">
        <f>IF(BJ54="P/BV less than 2.5x and Growth more than 20%",20,IF(BJ54 = "P/BV less than 2.5x and Growth less than 20%",5,IF(BJ54="P/BV between 2.5x to 5x and Growth more than 20%",10,IF(BJ54= "P/BV between 2.5x to 5x and Growth less than 20%",-5,IF(BJ54= "P/BV above 5x",-5,0)))))</f>
        <v/>
      </c>
      <c r="BL54" s="30" t="inlineStr">
        <is>
          <t>0 to 20</t>
        </is>
      </c>
      <c r="BM54" s="30">
        <f>IF(BL54="Above 40",20,IF(BL54="20 to 40",10,IF(BL54="0 to 20",-5,0)))</f>
        <v/>
      </c>
      <c r="BN54" s="30" t="inlineStr">
        <is>
          <t>Between 50 to 75</t>
        </is>
      </c>
      <c r="BO54" s="30">
        <f>IF(BN54="Between 50 to 75",10,IF(BN54="Above 75",0,0))</f>
        <v/>
      </c>
      <c r="BP54" s="30" t="inlineStr">
        <is>
          <t>Stage 2</t>
        </is>
      </c>
      <c r="BQ54" s="30">
        <f>IF(BP54="Stage 2",20,IF(BP54="Stage 1",0,IF(BP54="Stage 3",5,IF(BP54="Stage 4",-5,0))))</f>
        <v/>
      </c>
      <c r="BR54" s="30" t="inlineStr">
        <is>
          <t>Positive Trend</t>
        </is>
      </c>
      <c r="BS54" s="30">
        <f>IF(BR54="Positive Trend",20,IF(BR54="Negative Trend",-10,0))</f>
        <v/>
      </c>
      <c r="BT54" s="30" t="inlineStr">
        <is>
          <t>Uptrend</t>
        </is>
      </c>
      <c r="BU54" s="30">
        <f>IF(BT54="Uptrend",10,IF(BT54="Sideways",5,0))</f>
        <v/>
      </c>
      <c r="BV54" s="30" t="inlineStr">
        <is>
          <t>Uptrend</t>
        </is>
      </c>
      <c r="BW54" s="30">
        <f>IF(BV54="Uptrend",10,IF(BV54="Sideways",5,0))</f>
        <v/>
      </c>
      <c r="BX54" s="30" t="inlineStr">
        <is>
          <t>Close to 52 week high or retracement</t>
        </is>
      </c>
      <c r="BY54" s="30">
        <f>IF(BX54="Overhead supply in last 2 years in last 2 years",-5,IF(BX54="Close to 52 week high or retracement",5,IF(BX54="Blue sky scenario",10,IF(BX54="Long term Downtrend",-10,0))))</f>
        <v/>
      </c>
      <c r="BZ54" s="30" t="inlineStr">
        <is>
          <t>Yes</t>
        </is>
      </c>
      <c r="CA54" s="30">
        <f>IF(BZ54="Yes",10,0)</f>
        <v/>
      </c>
    </row>
    <row r="55">
      <c r="A55" s="30">
        <f>IF(B55=0,"",RANK(B55,$B$2:$B$72,0))</f>
        <v/>
      </c>
      <c r="B55" s="31">
        <f>SUM(N55,Y55,AA55,AC55,AE55,AG55,AI55,AK55,AM55,AO55,AQ55,AS55,AU55,AW55,AY55,BA55,BC55,BE55,BG55,BI55,BK55,BM55,BO55,BQ55,BS55,BU55,BW55,BY55,CA55)</f>
        <v/>
      </c>
      <c r="C55" s="30" t="inlineStr">
        <is>
          <t>UJJIVANSFB</t>
        </is>
      </c>
      <c r="D55" s="30" t="inlineStr">
        <is>
          <t>Ujjivan Small Finance Bank Ltd</t>
        </is>
      </c>
      <c r="E55" s="30" t="inlineStr">
        <is>
          <t>bank</t>
        </is>
      </c>
      <c r="F55" s="30" t="inlineStr">
        <is>
          <t>banks - private sector</t>
        </is>
      </c>
      <c r="G55" s="30" t="inlineStr">
        <is>
          <t>midcap</t>
        </is>
      </c>
      <c r="H55" s="31" t="n">
        <v>11149.24</v>
      </c>
      <c r="I55" s="31" t="n">
        <v>56.75</v>
      </c>
      <c r="J55" s="31" t="n">
        <v>-1.12</v>
      </c>
      <c r="K55" s="31" t="n">
        <v>4356583</v>
      </c>
      <c r="L55" s="30" t="n">
        <v>14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52.16</v>
      </c>
      <c r="P55" s="31" t="n">
        <v>15.79</v>
      </c>
      <c r="Q55" s="31" t="n">
        <v>48.93</v>
      </c>
      <c r="R55" s="30" t="inlineStr">
        <is>
          <t>Earnings / Momentum Support</t>
        </is>
      </c>
      <c r="S55" s="30" t="inlineStr">
        <is>
          <t>Nifty Bank</t>
        </is>
      </c>
      <c r="T55" s="31" t="n">
        <v>2.37</v>
      </c>
      <c r="U55" s="31" t="n">
        <v>17.81</v>
      </c>
      <c r="V55" s="31" t="n">
        <v>15.09</v>
      </c>
      <c r="W55" s="31" t="n">
        <v>4.91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Fragmented with High ROE</t>
        </is>
      </c>
      <c r="AA55" s="30">
        <f>IF(Z55="Fragmented with Low ROE",-5,IF(Z55="Fragmented with High ROE",10,IF(Z55= "highly cyclical",5,0)))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Consistency)",15,IF(AF55="Shallow Cyclical (2 to 3 years growth)",10,IF(AF55 = "Cyclical in an Uptick",5,IF(AF55 = "Cyclical in an Downtick",-10,0))))</f>
        <v/>
      </c>
      <c r="AH55" s="30" t="inlineStr">
        <is>
          <t>Yes</t>
        </is>
      </c>
      <c r="AI55" s="30">
        <f>IF(AH55="Yes",10,0)</f>
        <v/>
      </c>
      <c r="AJ55" s="30" t="inlineStr">
        <is>
          <t>Yes</t>
        </is>
      </c>
      <c r="AK55" s="30">
        <f>IF(AJ55="Yes",10,0)</f>
        <v/>
      </c>
      <c r="AL55" s="30" t="n"/>
      <c r="AM55" s="30">
        <f>IF(AL55="No",10,0)</f>
        <v/>
      </c>
      <c r="AN55" s="30" t="inlineStr">
        <is>
          <t>Yes</t>
        </is>
      </c>
      <c r="AO55" s="30">
        <f>IF(AN55="Yes",10,0)</f>
        <v/>
      </c>
      <c r="AP55" s="30" t="inlineStr">
        <is>
          <t>No</t>
        </is>
      </c>
      <c r="AQ55" s="30">
        <f>IF(AP55="Yes",10,0)</f>
        <v/>
      </c>
      <c r="AR55" s="30" t="inlineStr">
        <is>
          <t>Yes</t>
        </is>
      </c>
      <c r="AS55" s="30">
        <f>IF(AR55="Yes",5,0)</f>
        <v/>
      </c>
      <c r="AT55" s="30" t="inlineStr">
        <is>
          <t>No</t>
        </is>
      </c>
      <c r="AU55" s="30">
        <f>IF(AT55="No",10,IF(AT55="Yes",-10,0))</f>
        <v/>
      </c>
      <c r="AV55" s="30" t="inlineStr">
        <is>
          <t>No</t>
        </is>
      </c>
      <c r="AW55" s="30">
        <f>IF(AV55="No",10,0)</f>
        <v/>
      </c>
      <c r="AX55" s="30" t="inlineStr">
        <is>
          <t>No</t>
        </is>
      </c>
      <c r="AY55" s="30">
        <f>IF(AX55="No",10,IF(AX55= "Yes CEO Resignation",-5,0))</f>
        <v/>
      </c>
      <c r="AZ55" s="30" t="inlineStr">
        <is>
          <t>No</t>
        </is>
      </c>
      <c r="BA55" s="30">
        <f>IF(AZ55="No",10,IF(AZ55="Yes",-5,0))</f>
        <v/>
      </c>
      <c r="BB55" s="30" t="inlineStr">
        <is>
          <t>No</t>
        </is>
      </c>
      <c r="BC55" s="30">
        <f>IF(BB55="No",5,IF(BB55="Yes",-5,0))</f>
        <v/>
      </c>
      <c r="BD55" s="30" t="inlineStr">
        <is>
          <t>Yes</t>
        </is>
      </c>
      <c r="BE55" s="30">
        <f>IF(BD55="Yes",10,0)</f>
        <v/>
      </c>
      <c r="BF55" s="30" t="inlineStr">
        <is>
          <t>Yes</t>
        </is>
      </c>
      <c r="BG55" s="30">
        <f>IF(BF55="Yes",10,0)</f>
        <v/>
      </c>
      <c r="BH55" s="30" t="inlineStr">
        <is>
          <t>Yes</t>
        </is>
      </c>
      <c r="BI55" s="30">
        <f>IF(BH55="Yes",10,0)</f>
        <v/>
      </c>
      <c r="BJ55" s="30" t="inlineStr">
        <is>
          <t>P/BV less than 2.5x and Growth more than 20%</t>
        </is>
      </c>
      <c r="BK55" s="30">
        <f>IF(BJ55="P/BV less than 2.5x and Growth more than 20%",20,IF(BJ55 = "P/BV less than 2.5x and Growth less than 20%",5,IF(BJ55="P/BV between 2.5x to 5x and Growth more than 20%",10,IF(BJ55= "P/BV between 2.5x to 5x and Growth less than 20%",-5,IF(BJ55= "P/BV above 5x",-5,0)))))</f>
        <v/>
      </c>
      <c r="BL55" s="30" t="inlineStr">
        <is>
          <t>0 to 20</t>
        </is>
      </c>
      <c r="BM55" s="30">
        <f>IF(BL55="Above 40",20,IF(BL55="20 to 40",10,IF(BL55="0 to 20",-5,0)))</f>
        <v/>
      </c>
      <c r="BN55" s="30" t="inlineStr">
        <is>
          <t>Between 50 to 75</t>
        </is>
      </c>
      <c r="BO55" s="30">
        <f>IF(BN55="Between 50 to 75",10,IF(BN55="Above 75",0,0))</f>
        <v/>
      </c>
      <c r="BP55" s="30" t="inlineStr">
        <is>
          <t>Stage 1</t>
        </is>
      </c>
      <c r="BQ55" s="30">
        <f>IF(BP55="Stage 2",20,IF(BP55="Stage 1",0,IF(BP55="Stage 3",5,IF(BP55="Stage 4",-5,0))))</f>
        <v/>
      </c>
      <c r="BR55" s="30" t="inlineStr">
        <is>
          <t>Positive Trend</t>
        </is>
      </c>
      <c r="BS55" s="30">
        <f>IF(BR55="Positive Trend",20,IF(BR55="Negative Trend",-10,0))</f>
        <v/>
      </c>
      <c r="BT55" s="30" t="inlineStr">
        <is>
          <t>Uptrend</t>
        </is>
      </c>
      <c r="BU55" s="30">
        <f>IF(BT55="Uptrend",10,IF(BT55="Sideways",5,0))</f>
        <v/>
      </c>
      <c r="BV55" s="30" t="inlineStr">
        <is>
          <t>Uptrend</t>
        </is>
      </c>
      <c r="BW55" s="30">
        <f>IF(BV55="Uptrend",10,IF(BV55="Sideways",5,0))</f>
        <v/>
      </c>
      <c r="BX55" s="30" t="inlineStr">
        <is>
          <t>Close to 52 week high or retracement</t>
        </is>
      </c>
      <c r="BY55" s="30">
        <f>IF(BX55="Overhead supply in last 2 years in last 2 years",-5,IF(BX55="Close to 52 week high or retracement",5,IF(BX55="Blue sky scenario",10,IF(BX55="Long term Downtrend",-10,0))))</f>
        <v/>
      </c>
      <c r="BZ55" s="30" t="inlineStr">
        <is>
          <t>Yes</t>
        </is>
      </c>
      <c r="CA55" s="30">
        <f>IF(BZ55="Yes",10,0)</f>
        <v/>
      </c>
    </row>
    <row r="56">
      <c r="A56" s="30">
        <f>IF(B56=0,"",RANK(B56,$B$2:$B$72,0))</f>
        <v/>
      </c>
      <c r="B56" s="31">
        <f>SUM(N56,Y56,AA56,AC56,AE56,AG56,AI56,AK56,AM56,AO56,AQ56,AS56,AU56,AW56,AY56,BA56,BC56,BE56,BG56,BI56,BK56,BM56,BO56,BQ56,BS56,BU56,BW56,BY56,CA56)</f>
        <v/>
      </c>
      <c r="C56" s="30" t="inlineStr">
        <is>
          <t>IIFLCAPS</t>
        </is>
      </c>
      <c r="D56" s="30" t="inlineStr">
        <is>
          <t>IIFL Capital Services Ltd</t>
        </is>
      </c>
      <c r="E56" s="30" t="inlineStr">
        <is>
          <t>financials</t>
        </is>
      </c>
      <c r="F56" s="30" t="inlineStr">
        <is>
          <t>finance &amp; investments</t>
        </is>
      </c>
      <c r="G56" s="30" t="inlineStr">
        <is>
          <t>midcap</t>
        </is>
      </c>
      <c r="H56" s="31" t="n">
        <v>10679.1</v>
      </c>
      <c r="I56" s="31" t="n">
        <v>346.2</v>
      </c>
      <c r="J56" s="31" t="n">
        <v>0.96</v>
      </c>
      <c r="K56" s="31" t="n">
        <v>2513993</v>
      </c>
      <c r="L56" s="30" t="n">
        <v>28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57.56</v>
      </c>
      <c r="P56" s="31" t="n">
        <v>19.14</v>
      </c>
      <c r="Q56" s="31" t="n">
        <v>277.58</v>
      </c>
      <c r="R56" s="30" t="inlineStr">
        <is>
          <t>Earnings / Momentum Support</t>
        </is>
      </c>
      <c r="S56" s="30" t="inlineStr">
        <is>
          <t>Nifty Bank</t>
        </is>
      </c>
      <c r="T56" s="31" t="n">
        <v>2.37</v>
      </c>
      <c r="U56" s="31" t="n">
        <v>7.12</v>
      </c>
      <c r="V56" s="31" t="n">
        <v>4.64</v>
      </c>
      <c r="W56" s="31" t="n">
        <v>8.09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Fragmented with High ROE</t>
        </is>
      </c>
      <c r="AA56" s="30">
        <f>IF(Z56="Fragmented with Low ROE",-5,IF(Z56="Fragmented with High ROE",10,IF(Z56= "highly cyclical",5,0)))</f>
        <v/>
      </c>
      <c r="AB56" s="30" t="inlineStr">
        <is>
          <t>Yes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Consistency)",15,IF(AF56="Shallow Cyclical (2 to 3 years growth)",10,IF(AF56 = "Cyclical in an Uptick",5,IF(AF56 = "Cyclical in an Downtick",-10,0))))</f>
        <v/>
      </c>
      <c r="AH56" s="30" t="inlineStr">
        <is>
          <t>Yes</t>
        </is>
      </c>
      <c r="AI56" s="30">
        <f>IF(AH56="Yes",10,0)</f>
        <v/>
      </c>
      <c r="AJ56" s="30" t="inlineStr">
        <is>
          <t>Yes</t>
        </is>
      </c>
      <c r="AK56" s="30">
        <f>IF(AJ56="Yes",10,0)</f>
        <v/>
      </c>
      <c r="AL56" s="30" t="n"/>
      <c r="AM56" s="30">
        <f>IF(AL56="No",10,0)</f>
        <v/>
      </c>
      <c r="AN56" s="30" t="inlineStr">
        <is>
          <t>Yes</t>
        </is>
      </c>
      <c r="AO56" s="30">
        <f>IF(AN56="Yes",10,0)</f>
        <v/>
      </c>
      <c r="AP56" s="30" t="inlineStr">
        <is>
          <t>No</t>
        </is>
      </c>
      <c r="AQ56" s="30">
        <f>IF(AP56="Yes",10,0)</f>
        <v/>
      </c>
      <c r="AR56" s="30" t="inlineStr">
        <is>
          <t>Yes</t>
        </is>
      </c>
      <c r="AS56" s="30">
        <f>IF(AR56="Yes",5,0)</f>
        <v/>
      </c>
      <c r="AT56" s="30" t="inlineStr">
        <is>
          <t>No</t>
        </is>
      </c>
      <c r="AU56" s="30">
        <f>IF(AT56="No",10,IF(AT56="Yes",-10,0))</f>
        <v/>
      </c>
      <c r="AV56" s="30" t="inlineStr">
        <is>
          <t>No</t>
        </is>
      </c>
      <c r="AW56" s="30">
        <f>IF(AV56="No",10,0)</f>
        <v/>
      </c>
      <c r="AX56" s="30" t="inlineStr">
        <is>
          <t>No</t>
        </is>
      </c>
      <c r="AY56" s="30">
        <f>IF(AX56="No",10,IF(AX56= "Yes CEO Resignation",-5,0))</f>
        <v/>
      </c>
      <c r="AZ56" s="30" t="inlineStr">
        <is>
          <t>No</t>
        </is>
      </c>
      <c r="BA56" s="30">
        <f>IF(AZ56="No",10,IF(AZ56="Yes",-5,0))</f>
        <v/>
      </c>
      <c r="BB56" s="30" t="inlineStr">
        <is>
          <t>No</t>
        </is>
      </c>
      <c r="BC56" s="30">
        <f>IF(BB56="No",5,IF(BB56="Yes",-5,0))</f>
        <v/>
      </c>
      <c r="BD56" s="30" t="inlineStr">
        <is>
          <t>Yes</t>
        </is>
      </c>
      <c r="BE56" s="30">
        <f>IF(BD56="Yes",10,0)</f>
        <v/>
      </c>
      <c r="BF56" s="30" t="inlineStr">
        <is>
          <t>Yes</t>
        </is>
      </c>
      <c r="BG56" s="30">
        <f>IF(BF56="Yes",10,0)</f>
        <v/>
      </c>
      <c r="BH56" s="30" t="inlineStr">
        <is>
          <t>Yes</t>
        </is>
      </c>
      <c r="BI56" s="30">
        <f>IF(BH56="Yes",10,0)</f>
        <v/>
      </c>
      <c r="BJ56" s="30" t="inlineStr">
        <is>
          <t>P/BV between 2.5x to 5x and Growth less than 20%</t>
        </is>
      </c>
      <c r="BK56" s="30">
        <f>IF(BJ56="P/BV less than 2.5x and Growth more than 20%",20,IF(BJ56 = "P/BV less than 2.5x and Growth less than 20%",5,IF(BJ56="P/BV between 2.5x to 5x and Growth more than 20%",10,IF(BJ56= "P/BV between 2.5x to 5x and Growth less than 20%",-5,IF(BJ56= "P/BV above 5x",-5,0)))))</f>
        <v/>
      </c>
      <c r="BL56" s="30" t="inlineStr">
        <is>
          <t>0 to 20</t>
        </is>
      </c>
      <c r="BM56" s="30">
        <f>IF(BL56="Above 40",20,IF(BL56="20 to 40",10,IF(BL56="0 to 20",-5,0)))</f>
        <v/>
      </c>
      <c r="BN56" s="30" t="inlineStr">
        <is>
          <t>Between 50 to 75</t>
        </is>
      </c>
      <c r="BO56" s="30">
        <f>IF(BN56="Between 50 to 75",10,IF(BN56="Above 75",0,0))</f>
        <v/>
      </c>
      <c r="BP56" s="30" t="inlineStr">
        <is>
          <t>Stage 2</t>
        </is>
      </c>
      <c r="BQ56" s="30">
        <f>IF(BP56="Stage 2",20,IF(BP56="Stage 1",0,IF(BP56="Stage 3",5,IF(BP56="Stage 4",-5,0))))</f>
        <v/>
      </c>
      <c r="BR56" s="30" t="inlineStr">
        <is>
          <t>Positive Trend</t>
        </is>
      </c>
      <c r="BS56" s="30">
        <f>IF(BR56="Positive Trend",20,IF(BR56="Negative Trend",-10,0))</f>
        <v/>
      </c>
      <c r="BT56" s="30" t="inlineStr">
        <is>
          <t>Uptrend</t>
        </is>
      </c>
      <c r="BU56" s="30">
        <f>IF(BT56="Uptrend",10,IF(BT56="Sideways",5,0))</f>
        <v/>
      </c>
      <c r="BV56" s="30" t="inlineStr">
        <is>
          <t>Uptrend</t>
        </is>
      </c>
      <c r="BW56" s="30">
        <f>IF(BV56="Uptrend",10,IF(BV56="Sideways",5,0))</f>
        <v/>
      </c>
      <c r="BX56" s="30" t="inlineStr">
        <is>
          <t>Close to 52 week high or retracement</t>
        </is>
      </c>
      <c r="BY56" s="30">
        <f>IF(BX56="Overhead supply in last 2 years in last 2 years",-5,IF(BX56="Close to 52 week high or retracement",5,IF(BX56="Blue sky scenario",10,IF(BX56="Long term Downtrend",-10,0))))</f>
        <v/>
      </c>
      <c r="BZ56" s="30" t="inlineStr">
        <is>
          <t>Yes</t>
        </is>
      </c>
      <c r="CA56" s="30">
        <f>IF(BZ56="Yes",10,0)</f>
        <v/>
      </c>
    </row>
    <row r="57">
      <c r="A57" s="30">
        <f>IF(B57=0,"",RANK(B57,$B$2:$B$72,0))</f>
        <v/>
      </c>
      <c r="B57" s="31">
        <f>SUM(N57,Y57,AA57,AC57,AE57,AG57,AI57,AK57,AM57,AO57,AQ57,AS57,AU57,AW57,AY57,BA57,BC57,BE57,BG57,BI57,BK57,BM57,BO57,BQ57,BS57,BU57,BW57,BY57,CA57)</f>
        <v/>
      </c>
      <c r="C57" s="30" t="inlineStr">
        <is>
          <t>NIVABUPA</t>
        </is>
      </c>
      <c r="D57" s="30" t="inlineStr">
        <is>
          <t>Niva Bupa Health Insurance Company Ltd</t>
        </is>
      </c>
      <c r="E57" s="30" t="inlineStr">
        <is>
          <t>financials</t>
        </is>
      </c>
      <c r="F57" s="30" t="inlineStr">
        <is>
          <t>finance &amp; investments</t>
        </is>
      </c>
      <c r="G57" s="30" t="inlineStr">
        <is>
          <t>midcap</t>
        </is>
      </c>
      <c r="H57" s="31" t="n">
        <v>15574.06</v>
      </c>
      <c r="I57" s="31" t="n">
        <v>84.7</v>
      </c>
      <c r="J57" s="31" t="n">
        <v>0.47</v>
      </c>
      <c r="K57" s="31" t="n">
        <v>828536</v>
      </c>
      <c r="L57" s="30" t="n">
        <v>19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60.8</v>
      </c>
      <c r="P57" s="31" t="n">
        <v>24.21</v>
      </c>
      <c r="Q57" s="31" t="n">
        <v>70.84999999999999</v>
      </c>
      <c r="R57" s="30" t="inlineStr">
        <is>
          <t>Earnings / Momentum Support</t>
        </is>
      </c>
      <c r="S57" s="30" t="inlineStr">
        <is>
          <t>Nifty Bank</t>
        </is>
      </c>
      <c r="T57" s="31" t="n">
        <v>2.37</v>
      </c>
      <c r="U57" s="31" t="n">
        <v>4.37</v>
      </c>
      <c r="V57" s="31" t="n">
        <v>1.96</v>
      </c>
      <c r="W57" s="31" t="n">
        <v>5.58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Fragmented with High ROE</t>
        </is>
      </c>
      <c r="AA57" s="30">
        <f>IF(Z57="Fragmented with Low ROE",-5,IF(Z57="Fragmented with High ROE",10,IF(Z57= "highly cyclical",5,0)))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Consistency)",15,IF(AF57="Shallow Cyclical (2 to 3 years growth)",10,IF(AF57 = "Cyclical in an Uptick",5,IF(AF57 = "Cyclical in an Downtick",-10,0))))</f>
        <v/>
      </c>
      <c r="AH57" s="30" t="inlineStr">
        <is>
          <t>Yes</t>
        </is>
      </c>
      <c r="AI57" s="30">
        <f>IF(AH57="Yes",10,0)</f>
        <v/>
      </c>
      <c r="AJ57" s="30" t="inlineStr">
        <is>
          <t>Yes</t>
        </is>
      </c>
      <c r="AK57" s="30">
        <f>IF(AJ57="Yes",10,0)</f>
        <v/>
      </c>
      <c r="AL57" s="30" t="n"/>
      <c r="AM57" s="30">
        <f>IF(AL57="No",10,0)</f>
        <v/>
      </c>
      <c r="AN57" s="30" t="inlineStr">
        <is>
          <t>Yes</t>
        </is>
      </c>
      <c r="AO57" s="30">
        <f>IF(AN57="Yes",10,0)</f>
        <v/>
      </c>
      <c r="AP57" s="30" t="inlineStr">
        <is>
          <t>No</t>
        </is>
      </c>
      <c r="AQ57" s="30">
        <f>IF(AP57="Yes",10,0)</f>
        <v/>
      </c>
      <c r="AR57" s="30" t="inlineStr">
        <is>
          <t>Yes</t>
        </is>
      </c>
      <c r="AS57" s="30">
        <f>IF(AR57="Yes",5,0)</f>
        <v/>
      </c>
      <c r="AT57" s="30" t="inlineStr">
        <is>
          <t>No</t>
        </is>
      </c>
      <c r="AU57" s="30">
        <f>IF(AT57="No",10,IF(AT57="Yes",-10,0))</f>
        <v/>
      </c>
      <c r="AV57" s="30" t="inlineStr">
        <is>
          <t>No</t>
        </is>
      </c>
      <c r="AW57" s="30">
        <f>IF(AV57="No",10,0)</f>
        <v/>
      </c>
      <c r="AX57" s="30" t="inlineStr">
        <is>
          <t>No</t>
        </is>
      </c>
      <c r="AY57" s="30">
        <f>IF(AX57="No",10,IF(AX57= "Yes CEO Resignation",-5,0))</f>
        <v/>
      </c>
      <c r="AZ57" s="30" t="inlineStr">
        <is>
          <t>No</t>
        </is>
      </c>
      <c r="BA57" s="30">
        <f>IF(AZ57="No",10,IF(AZ57="Yes",-5,0))</f>
        <v/>
      </c>
      <c r="BB57" s="30" t="inlineStr">
        <is>
          <t>No</t>
        </is>
      </c>
      <c r="BC57" s="30">
        <f>IF(BB57="No",5,IF(BB57="Yes",-5,0))</f>
        <v/>
      </c>
      <c r="BD57" s="30" t="inlineStr">
        <is>
          <t>Yes</t>
        </is>
      </c>
      <c r="BE57" s="30">
        <f>IF(BD57="Yes",10,0)</f>
        <v/>
      </c>
      <c r="BF57" s="30" t="inlineStr">
        <is>
          <t>Yes</t>
        </is>
      </c>
      <c r="BG57" s="30">
        <f>IF(BF57="Yes",10,0)</f>
        <v/>
      </c>
      <c r="BH57" s="30" t="inlineStr">
        <is>
          <t>Yes</t>
        </is>
      </c>
      <c r="BI57" s="30">
        <f>IF(BH57="Yes",10,0)</f>
        <v/>
      </c>
      <c r="BJ57" s="30" t="inlineStr">
        <is>
          <t>P/BV between 2.5x to 5x and Growth more than 20%</t>
        </is>
      </c>
      <c r="BK57" s="30">
        <f>IF(BJ57="P/BV less than 2.5x and Growth more than 20%",20,IF(BJ57 = "P/BV less than 2.5x and Growth less than 20%",5,IF(BJ57="P/BV between 2.5x to 5x and Growth more than 20%",10,IF(BJ57= "P/BV between 2.5x to 5x and Growth less than 20%",-5,IF(BJ57= "P/BV above 5x",-5,0)))))</f>
        <v/>
      </c>
      <c r="BL57" s="30" t="inlineStr">
        <is>
          <t>20 to 40</t>
        </is>
      </c>
      <c r="BM57" s="30">
        <f>IF(BL57="Above 40",20,IF(BL57="20 to 40",10,IF(BL57="0 to 20",-5,0)))</f>
        <v/>
      </c>
      <c r="BN57" s="30" t="inlineStr">
        <is>
          <t>Between 50 to 75</t>
        </is>
      </c>
      <c r="BO57" s="30">
        <f>IF(BN57="Between 50 to 75",10,IF(BN57="Above 75",0,0))</f>
        <v/>
      </c>
      <c r="BP57" s="30" t="inlineStr">
        <is>
          <t>Stage 2</t>
        </is>
      </c>
      <c r="BQ57" s="30">
        <f>IF(BP57="Stage 2",20,IF(BP57="Stage 1",0,IF(BP57="Stage 3",5,IF(BP57="Stage 4",-5,0))))</f>
        <v/>
      </c>
      <c r="BR57" s="30" t="inlineStr">
        <is>
          <t>Negative Trend</t>
        </is>
      </c>
      <c r="BS57" s="30">
        <f>IF(BR57="Positive Trend",20,IF(BR57="Negative Trend",-10,0))</f>
        <v/>
      </c>
      <c r="BT57" s="30" t="inlineStr">
        <is>
          <t>Uptrend</t>
        </is>
      </c>
      <c r="BU57" s="30">
        <f>IF(BT57="Uptrend",10,IF(BT57="Sideways",5,0))</f>
        <v/>
      </c>
      <c r="BV57" s="30" t="inlineStr">
        <is>
          <t>Uptrend</t>
        </is>
      </c>
      <c r="BW57" s="30">
        <f>IF(BV57="Uptrend",10,IF(BV57="Sideways",5,0))</f>
        <v/>
      </c>
      <c r="BX57" s="30" t="inlineStr">
        <is>
          <t>Close to 52 week high or retracement</t>
        </is>
      </c>
      <c r="BY57" s="30">
        <f>IF(BX57="Overhead supply in last 2 years in last 2 years",-5,IF(BX57="Close to 52 week high or retracement",5,IF(BX57="Blue sky scenario",10,IF(BX57="Long term Downtrend",-10,0))))</f>
        <v/>
      </c>
      <c r="BZ57" s="30" t="inlineStr">
        <is>
          <t>Yes</t>
        </is>
      </c>
      <c r="CA57" s="30">
        <f>IF(BZ57="Yes",10,0)</f>
        <v/>
      </c>
    </row>
    <row r="58">
      <c r="A58" s="30">
        <f>IF(B58=0,"",RANK(B58,$B$2:$B$72,0))</f>
        <v/>
      </c>
      <c r="B58" s="31">
        <f>SUM(N58,Y58,AA58,AC58,AE58,AG58,AI58,AK58,AM58,AO58,AQ58,AS58,AU58,AW58,AY58,BA58,BC58,BE58,BG58,BI58,BK58,BM58,BO58,BQ58,BS58,BU58,BW58,BY58,CA58)</f>
        <v/>
      </c>
      <c r="C58" s="30" t="inlineStr">
        <is>
          <t>CANFINHOME</t>
        </is>
      </c>
      <c r="D58" s="30" t="inlineStr">
        <is>
          <t>Can Fin Homes Limited</t>
        </is>
      </c>
      <c r="E58" s="30" t="inlineStr">
        <is>
          <t>financials</t>
        </is>
      </c>
      <c r="F58" s="30" t="inlineStr">
        <is>
          <t>finance - housing</t>
        </is>
      </c>
      <c r="G58" s="30" t="inlineStr">
        <is>
          <t>midcap</t>
        </is>
      </c>
      <c r="H58" s="31" t="n">
        <v>11585.74</v>
      </c>
      <c r="I58" s="31" t="n">
        <v>879.75</v>
      </c>
      <c r="J58" s="31" t="n">
        <v>1.11</v>
      </c>
      <c r="K58" s="31" t="n">
        <v>111341</v>
      </c>
      <c r="L58" s="30" t="n">
        <v>16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54.64</v>
      </c>
      <c r="P58" s="31" t="n">
        <v>16.13</v>
      </c>
      <c r="Q58" s="31" t="n">
        <v>735.72</v>
      </c>
      <c r="R58" s="30" t="inlineStr">
        <is>
          <t>Earnings / Momentum Support</t>
        </is>
      </c>
      <c r="S58" s="30" t="inlineStr">
        <is>
          <t>Nifty Bank</t>
        </is>
      </c>
      <c r="T58" s="31" t="n">
        <v>2.37</v>
      </c>
      <c r="U58" s="31" t="n">
        <v>16.84</v>
      </c>
      <c r="V58" s="31" t="n">
        <v>14.13</v>
      </c>
      <c r="W58" s="31" t="n">
        <v>5.15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Fragmented with High ROE</t>
        </is>
      </c>
      <c r="AA58" s="30">
        <f>IF(Z58="Fragmented with Low ROE",-5,IF(Z58="Fragmented with High ROE",10,IF(Z58= "highly cyclical",5,0)))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Headwind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Consistency)",15,IF(AF58="Shallow Cyclical (2 to 3 years growth)",10,IF(AF58 = "Cyclical in an Uptick",5,IF(AF58 = "Cyclical in an Downtick",-10,0))))</f>
        <v/>
      </c>
      <c r="AH58" s="30" t="inlineStr">
        <is>
          <t>Yes</t>
        </is>
      </c>
      <c r="AI58" s="30">
        <f>IF(AH58="Yes",10,0)</f>
        <v/>
      </c>
      <c r="AJ58" s="30" t="inlineStr">
        <is>
          <t>Yes</t>
        </is>
      </c>
      <c r="AK58" s="30">
        <f>IF(AJ58="Yes",10,0)</f>
        <v/>
      </c>
      <c r="AL58" s="30" t="n"/>
      <c r="AM58" s="30">
        <f>IF(AL58="No",10,0)</f>
        <v/>
      </c>
      <c r="AN58" s="30" t="inlineStr">
        <is>
          <t>Yes</t>
        </is>
      </c>
      <c r="AO58" s="30">
        <f>IF(AN58="Yes",10,0)</f>
        <v/>
      </c>
      <c r="AP58" s="30" t="inlineStr">
        <is>
          <t>No</t>
        </is>
      </c>
      <c r="AQ58" s="30">
        <f>IF(AP58="Yes",10,0)</f>
        <v/>
      </c>
      <c r="AR58" s="30" t="inlineStr">
        <is>
          <t>Yes</t>
        </is>
      </c>
      <c r="AS58" s="30">
        <f>IF(AR58="Yes",5,0)</f>
        <v/>
      </c>
      <c r="AT58" s="30" t="inlineStr">
        <is>
          <t>No</t>
        </is>
      </c>
      <c r="AU58" s="30">
        <f>IF(AT58="No",10,IF(AT58="Yes",-10,0))</f>
        <v/>
      </c>
      <c r="AV58" s="30" t="inlineStr">
        <is>
          <t>No</t>
        </is>
      </c>
      <c r="AW58" s="30">
        <f>IF(AV58="No",10,0)</f>
        <v/>
      </c>
      <c r="AX58" s="30" t="inlineStr">
        <is>
          <t>No</t>
        </is>
      </c>
      <c r="AY58" s="30">
        <f>IF(AX58="No",10,IF(AX58= "Yes CEO Resignation",-5,0))</f>
        <v/>
      </c>
      <c r="AZ58" s="30" t="inlineStr">
        <is>
          <t>No</t>
        </is>
      </c>
      <c r="BA58" s="30">
        <f>IF(AZ58="No",10,IF(AZ58="Yes",-5,0))</f>
        <v/>
      </c>
      <c r="BB58" s="30" t="inlineStr">
        <is>
          <t>No</t>
        </is>
      </c>
      <c r="BC58" s="30">
        <f>IF(BB58="No",5,IF(BB58="Yes",-5,0))</f>
        <v/>
      </c>
      <c r="BD58" s="30" t="inlineStr">
        <is>
          <t>Yes</t>
        </is>
      </c>
      <c r="BE58" s="30">
        <f>IF(BD58="Yes",10,0)</f>
        <v/>
      </c>
      <c r="BF58" s="30" t="inlineStr">
        <is>
          <t>Yes</t>
        </is>
      </c>
      <c r="BG58" s="30">
        <f>IF(BF58="Yes",10,0)</f>
        <v/>
      </c>
      <c r="BH58" s="30" t="inlineStr">
        <is>
          <t>Yes</t>
        </is>
      </c>
      <c r="BI58" s="30">
        <f>IF(BH58="Yes",10,0)</f>
        <v/>
      </c>
      <c r="BJ58" s="30" t="inlineStr">
        <is>
          <t>P/BV less than 2.5x and Growth more than 20%</t>
        </is>
      </c>
      <c r="BK58" s="30">
        <f>IF(BJ58="P/BV less than 2.5x and Growth more than 20%",20,IF(BJ58 = "P/BV less than 2.5x and Growth less than 20%",5,IF(BJ58="P/BV between 2.5x to 5x and Growth more than 20%",10,IF(BJ58= "P/BV between 2.5x to 5x and Growth less than 20%",-5,IF(BJ58= "P/BV above 5x",-5,0)))))</f>
        <v/>
      </c>
      <c r="BL58" s="30" t="inlineStr">
        <is>
          <t>0 to 20</t>
        </is>
      </c>
      <c r="BM58" s="30">
        <f>IF(BL58="Above 40",20,IF(BL58="20 to 40",10,IF(BL58="0 to 20",-5,0)))</f>
        <v/>
      </c>
      <c r="BN58" s="30" t="inlineStr">
        <is>
          <t>Between 50 to 75</t>
        </is>
      </c>
      <c r="BO58" s="30">
        <f>IF(BN58="Between 50 to 75",10,IF(BN58="Above 75",0,0))</f>
        <v/>
      </c>
      <c r="BP58" s="30" t="inlineStr">
        <is>
          <t>Stage 1</t>
        </is>
      </c>
      <c r="BQ58" s="30">
        <f>IF(BP58="Stage 2",20,IF(BP58="Stage 1",0,IF(BP58="Stage 3",5,IF(BP58="Stage 4",-5,0))))</f>
        <v/>
      </c>
      <c r="BR58" s="30" t="inlineStr">
        <is>
          <t>Positive Trend</t>
        </is>
      </c>
      <c r="BS58" s="30">
        <f>IF(BR58="Positive Trend",20,IF(BR58="Negative Trend",-10,0))</f>
        <v/>
      </c>
      <c r="BT58" s="30" t="inlineStr">
        <is>
          <t>Uptrend</t>
        </is>
      </c>
      <c r="BU58" s="30">
        <f>IF(BT58="Uptrend",10,IF(BT58="Sideways",5,0))</f>
        <v/>
      </c>
      <c r="BV58" s="30" t="inlineStr">
        <is>
          <t>Uptrend</t>
        </is>
      </c>
      <c r="BW58" s="30">
        <f>IF(BV58="Uptrend",10,IF(BV58="Sideways",5,0))</f>
        <v/>
      </c>
      <c r="BX58" s="30" t="inlineStr">
        <is>
          <t>Close to 52 week high or retracement</t>
        </is>
      </c>
      <c r="BY58" s="30">
        <f>IF(BX58="Overhead supply in last 2 years in last 2 years",-5,IF(BX58="Close to 52 week high or retracement",5,IF(BX58="Blue sky scenario",10,IF(BX58="Long term Downtrend",-10,0))))</f>
        <v/>
      </c>
      <c r="BZ58" s="30" t="inlineStr">
        <is>
          <t>Yes</t>
        </is>
      </c>
      <c r="CA58" s="30">
        <f>IF(BZ58="Yes",10,0)</f>
        <v/>
      </c>
    </row>
    <row r="59">
      <c r="A59" s="30">
        <f>IF(B59=0,"",RANK(B59,$B$2:$B$72,0))</f>
        <v/>
      </c>
      <c r="B59" s="31">
        <f>SUM(N59,Y59,AA59,AC59,AE59,AG59,AI59,AK59,AM59,AO59,AQ59,AS59,AU59,AW59,AY59,BA59,BC59,BE59,BG59,BI59,BK59,BM59,BO59,BQ59,BS59,BU59,BW59,BY59,CA59)</f>
        <v/>
      </c>
      <c r="C59" s="30" t="inlineStr">
        <is>
          <t>AADHARHFC</t>
        </is>
      </c>
      <c r="D59" s="30" t="inlineStr">
        <is>
          <t>Aadhar Housing Finance Ltd</t>
        </is>
      </c>
      <c r="E59" s="30" t="inlineStr">
        <is>
          <t>financials</t>
        </is>
      </c>
      <c r="F59" s="30" t="inlineStr">
        <is>
          <t>finance - housing</t>
        </is>
      </c>
      <c r="G59" s="30" t="inlineStr">
        <is>
          <t>largecap</t>
        </is>
      </c>
      <c r="H59" s="31" t="n">
        <v>21131.63</v>
      </c>
      <c r="I59" s="31" t="n">
        <v>487.9</v>
      </c>
      <c r="J59" s="31" t="n">
        <v>0.6</v>
      </c>
      <c r="K59" s="31" t="n">
        <v>178302</v>
      </c>
      <c r="L59" s="30" t="n">
        <v>12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53.54</v>
      </c>
      <c r="P59" s="31" t="n">
        <v>19.55</v>
      </c>
      <c r="Q59" s="31" t="n">
        <v>412.69</v>
      </c>
      <c r="R59" s="30" t="inlineStr">
        <is>
          <t>Earnings / Momentum Support</t>
        </is>
      </c>
      <c r="S59" s="30" t="inlineStr">
        <is>
          <t>Nifty Bank</t>
        </is>
      </c>
      <c r="T59" s="31" t="n">
        <v>2.37</v>
      </c>
      <c r="U59" s="31" t="n">
        <v>11.52</v>
      </c>
      <c r="V59" s="31" t="n">
        <v>8.94</v>
      </c>
      <c r="W59" s="31" t="n">
        <v>4.57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Fragmented with High ROE</t>
        </is>
      </c>
      <c r="AA59" s="30">
        <f>IF(Z59="Fragmented with Low ROE",-5,IF(Z59="Fragmented with High ROE",10,IF(Z59= "highly cyclical",5,0)))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Consistency)",15,IF(AF59="Shallow Cyclical (2 to 3 years growth)",10,IF(AF59 = "Cyclical in an Uptick",5,IF(AF59 = "Cyclical in an Downtick",-10,0))))</f>
        <v/>
      </c>
      <c r="AH59" s="30" t="inlineStr">
        <is>
          <t>Yes</t>
        </is>
      </c>
      <c r="AI59" s="30">
        <f>IF(AH59="Yes",10,0)</f>
        <v/>
      </c>
      <c r="AJ59" s="30" t="inlineStr">
        <is>
          <t>Yes</t>
        </is>
      </c>
      <c r="AK59" s="30">
        <f>IF(AJ59="Yes",10,0)</f>
        <v/>
      </c>
      <c r="AL59" s="30" t="n"/>
      <c r="AM59" s="30">
        <f>IF(AL59="No",10,0)</f>
        <v/>
      </c>
      <c r="AN59" s="30" t="inlineStr">
        <is>
          <t>Yes</t>
        </is>
      </c>
      <c r="AO59" s="30">
        <f>IF(AN59="Yes",10,0)</f>
        <v/>
      </c>
      <c r="AP59" s="30" t="inlineStr">
        <is>
          <t>No</t>
        </is>
      </c>
      <c r="AQ59" s="30">
        <f>IF(AP59="Yes",10,0)</f>
        <v/>
      </c>
      <c r="AR59" s="30" t="inlineStr">
        <is>
          <t>Yes</t>
        </is>
      </c>
      <c r="AS59" s="30">
        <f>IF(AR59="Yes",5,0)</f>
        <v/>
      </c>
      <c r="AT59" s="30" t="inlineStr">
        <is>
          <t>No</t>
        </is>
      </c>
      <c r="AU59" s="30">
        <f>IF(AT59="No",10,IF(AT59="Yes",-10,0))</f>
        <v/>
      </c>
      <c r="AV59" s="30" t="inlineStr">
        <is>
          <t>No</t>
        </is>
      </c>
      <c r="AW59" s="30">
        <f>IF(AV59="No",10,0)</f>
        <v/>
      </c>
      <c r="AX59" s="30" t="inlineStr">
        <is>
          <t>No</t>
        </is>
      </c>
      <c r="AY59" s="30">
        <f>IF(AX59="No",10,IF(AX59= "Yes CEO Resignation",-5,0))</f>
        <v/>
      </c>
      <c r="AZ59" s="30" t="inlineStr">
        <is>
          <t>No</t>
        </is>
      </c>
      <c r="BA59" s="30">
        <f>IF(AZ59="No",10,IF(AZ59="Yes",-5,0))</f>
        <v/>
      </c>
      <c r="BB59" s="30" t="inlineStr">
        <is>
          <t>No</t>
        </is>
      </c>
      <c r="BC59" s="30">
        <f>IF(BB59="No",5,IF(BB59="Yes",-5,0))</f>
        <v/>
      </c>
      <c r="BD59" s="30" t="inlineStr">
        <is>
          <t>Yes</t>
        </is>
      </c>
      <c r="BE59" s="30">
        <f>IF(BD59="Yes",10,0)</f>
        <v/>
      </c>
      <c r="BF59" s="30" t="inlineStr">
        <is>
          <t>Yes</t>
        </is>
      </c>
      <c r="BG59" s="30">
        <f>IF(BF59="Yes",10,0)</f>
        <v/>
      </c>
      <c r="BH59" s="30" t="inlineStr">
        <is>
          <t>Yes</t>
        </is>
      </c>
      <c r="BI59" s="30">
        <f>IF(BH59="Yes",10,0)</f>
        <v/>
      </c>
      <c r="BJ59" s="30" t="inlineStr">
        <is>
          <t>P/BV between 2.5x to 5x and Growth more than 20%</t>
        </is>
      </c>
      <c r="BK59" s="30">
        <f>IF(BJ59="P/BV less than 2.5x and Growth more than 20%",20,IF(BJ59 = "P/BV less than 2.5x and Growth less than 20%",5,IF(BJ59="P/BV between 2.5x to 5x and Growth more than 20%",10,IF(BJ59= "P/BV between 2.5x to 5x and Growth less than 20%",-5,IF(BJ59= "P/BV above 5x",-5,0)))))</f>
        <v/>
      </c>
      <c r="BL59" s="30" t="inlineStr">
        <is>
          <t>0 to 20</t>
        </is>
      </c>
      <c r="BM59" s="30">
        <f>IF(BL59="Above 40",20,IF(BL59="20 to 40",10,IF(BL59="0 to 20",-5,0)))</f>
        <v/>
      </c>
      <c r="BN59" s="30" t="inlineStr">
        <is>
          <t>Between 50 to 75</t>
        </is>
      </c>
      <c r="BO59" s="30">
        <f>IF(BN59="Between 50 to 75",10,IF(BN59="Above 75",0,0))</f>
        <v/>
      </c>
      <c r="BP59" s="30" t="inlineStr">
        <is>
          <t>Stage 1</t>
        </is>
      </c>
      <c r="BQ59" s="30">
        <f>IF(BP59="Stage 2",20,IF(BP59="Stage 1",0,IF(BP59="Stage 3",5,IF(BP59="Stage 4",-5,0))))</f>
        <v/>
      </c>
      <c r="BR59" s="30" t="inlineStr">
        <is>
          <t>Positive Trend</t>
        </is>
      </c>
      <c r="BS59" s="30">
        <f>IF(BR59="Positive Trend",20,IF(BR59="Negative Trend",-10,0))</f>
        <v/>
      </c>
      <c r="BT59" s="30" t="inlineStr">
        <is>
          <t>Uptrend</t>
        </is>
      </c>
      <c r="BU59" s="30">
        <f>IF(BT59="Uptrend",10,IF(BT59="Sideways",5,0))</f>
        <v/>
      </c>
      <c r="BV59" s="30" t="inlineStr">
        <is>
          <t>Uptrend</t>
        </is>
      </c>
      <c r="BW59" s="30">
        <f>IF(BV59="Uptrend",10,IF(BV59="Sideways",5,0))</f>
        <v/>
      </c>
      <c r="BX59" s="30" t="inlineStr">
        <is>
          <t>Close to 52 week high or retracement</t>
        </is>
      </c>
      <c r="BY59" s="30">
        <f>IF(BX59="Overhead supply in last 2 years in last 2 years",-5,IF(BX59="Close to 52 week high or retracement",5,IF(BX59="Blue sky scenario",10,IF(BX59="Long term Downtrend",-10,0))))</f>
        <v/>
      </c>
      <c r="BZ59" s="30" t="inlineStr">
        <is>
          <t>Yes</t>
        </is>
      </c>
      <c r="CA59" s="30">
        <f>IF(BZ59="Yes",10,0)</f>
        <v/>
      </c>
    </row>
    <row r="60">
      <c r="A60" s="30">
        <f>IF(B60=0,"",RANK(B60,$B$2:$B$72,0))</f>
        <v/>
      </c>
      <c r="B60" s="31">
        <f>SUM(N60,Y60,AA60,AC60,AE60,AG60,AI60,AK60,AM60,AO60,AQ60,AS60,AU60,AW60,AY60,BA60,BC60,BE60,BG60,BI60,BK60,BM60,BO60,BQ60,BS60,BU60,BW60,BY60,CA60)</f>
        <v/>
      </c>
      <c r="C60" s="30" t="inlineStr">
        <is>
          <t>INDIANB</t>
        </is>
      </c>
      <c r="D60" s="30" t="inlineStr">
        <is>
          <t>Indian Bank Ltd</t>
        </is>
      </c>
      <c r="E60" s="30" t="inlineStr">
        <is>
          <t>bank</t>
        </is>
      </c>
      <c r="F60" s="30" t="inlineStr">
        <is>
          <t>banks - public sector</t>
        </is>
      </c>
      <c r="G60" s="30" t="inlineStr">
        <is>
          <t>largecap</t>
        </is>
      </c>
      <c r="H60" s="31" t="n">
        <v>114936.44</v>
      </c>
      <c r="I60" s="31" t="n">
        <v>876.35</v>
      </c>
      <c r="J60" s="31" t="n">
        <v>2.7</v>
      </c>
      <c r="K60" s="31" t="n">
        <v>2138011</v>
      </c>
      <c r="L60" s="30" t="n">
        <v>30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55.77</v>
      </c>
      <c r="P60" s="31" t="n">
        <v>13.6</v>
      </c>
      <c r="Q60" s="31" t="n">
        <v>770.9299999999999</v>
      </c>
      <c r="R60" s="30" t="inlineStr">
        <is>
          <t>Earnings / Momentum Support</t>
        </is>
      </c>
      <c r="S60" s="30" t="inlineStr">
        <is>
          <t>Nifty Bank</t>
        </is>
      </c>
      <c r="T60" s="31" t="n">
        <v>2.37</v>
      </c>
      <c r="U60" s="31" t="n">
        <v>45.38</v>
      </c>
      <c r="V60" s="31" t="n">
        <v>42.01</v>
      </c>
      <c r="W60" s="31" t="n">
        <v>8.300000000000001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Fragmented with High ROE</t>
        </is>
      </c>
      <c r="AA60" s="30">
        <f>IF(Z60="Fragmented with Low ROE",-5,IF(Z60="Fragmented with High ROE",10,IF(Z60= "highly cyclical",5,0)))</f>
        <v/>
      </c>
      <c r="AB60" s="30" t="inlineStr">
        <is>
          <t>Yes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Consistency)",15,IF(AF60="Shallow Cyclical (2 to 3 years growth)",10,IF(AF60 = "Cyclical in an Uptick",5,IF(AF60 = "Cyclical in an Downtick",-10,0))))</f>
        <v/>
      </c>
      <c r="AH60" s="30" t="inlineStr">
        <is>
          <t>Yes</t>
        </is>
      </c>
      <c r="AI60" s="30">
        <f>IF(AH60="Yes",10,0)</f>
        <v/>
      </c>
      <c r="AJ60" s="30" t="inlineStr">
        <is>
          <t>Yes</t>
        </is>
      </c>
      <c r="AK60" s="30">
        <f>IF(AJ60="Yes",10,0)</f>
        <v/>
      </c>
      <c r="AL60" s="30" t="n"/>
      <c r="AM60" s="30">
        <f>IF(AL60="No",10,0)</f>
        <v/>
      </c>
      <c r="AN60" s="30" t="inlineStr">
        <is>
          <t>Yes</t>
        </is>
      </c>
      <c r="AO60" s="30">
        <f>IF(AN60="Yes",10,0)</f>
        <v/>
      </c>
      <c r="AP60" s="30" t="inlineStr">
        <is>
          <t>No</t>
        </is>
      </c>
      <c r="AQ60" s="30">
        <f>IF(AP60="Yes",10,0)</f>
        <v/>
      </c>
      <c r="AR60" s="30" t="inlineStr">
        <is>
          <t>Yes</t>
        </is>
      </c>
      <c r="AS60" s="30">
        <f>IF(AR60="Yes",5,0)</f>
        <v/>
      </c>
      <c r="AT60" s="30" t="inlineStr">
        <is>
          <t>No</t>
        </is>
      </c>
      <c r="AU60" s="30">
        <f>IF(AT60="No",10,IF(AT60="Yes",-10,0))</f>
        <v/>
      </c>
      <c r="AV60" s="30" t="inlineStr">
        <is>
          <t>No</t>
        </is>
      </c>
      <c r="AW60" s="30">
        <f>IF(AV60="No",10,0)</f>
        <v/>
      </c>
      <c r="AX60" s="30" t="inlineStr">
        <is>
          <t>No</t>
        </is>
      </c>
      <c r="AY60" s="30">
        <f>IF(AX60="No",10,IF(AX60= "Yes CEO Resignation",-5,0))</f>
        <v/>
      </c>
      <c r="AZ60" s="30" t="inlineStr">
        <is>
          <t>No</t>
        </is>
      </c>
      <c r="BA60" s="30">
        <f>IF(AZ60="No",10,IF(AZ60="Yes",-5,0))</f>
        <v/>
      </c>
      <c r="BB60" s="30" t="inlineStr">
        <is>
          <t>No</t>
        </is>
      </c>
      <c r="BC60" s="30">
        <f>IF(BB60="No",5,IF(BB60="Yes",-5,0))</f>
        <v/>
      </c>
      <c r="BD60" s="30" t="inlineStr">
        <is>
          <t>Yes</t>
        </is>
      </c>
      <c r="BE60" s="30">
        <f>IF(BD60="Yes",10,0)</f>
        <v/>
      </c>
      <c r="BF60" s="30" t="inlineStr">
        <is>
          <t>Yes</t>
        </is>
      </c>
      <c r="BG60" s="30">
        <f>IF(BF60="Yes",10,0)</f>
        <v/>
      </c>
      <c r="BH60" s="30" t="inlineStr">
        <is>
          <t>Yes</t>
        </is>
      </c>
      <c r="BI60" s="30">
        <f>IF(BH60="Yes",10,0)</f>
        <v/>
      </c>
      <c r="BJ60" s="30" t="inlineStr">
        <is>
          <t>P/BV less than 2.5x and Growth less than 20%</t>
        </is>
      </c>
      <c r="BK60" s="30">
        <f>IF(BJ60="P/BV less than 2.5x and Growth more than 20%",20,IF(BJ60 = "P/BV less than 2.5x and Growth less than 20%",5,IF(BJ60="P/BV between 2.5x to 5x and Growth more than 20%",10,IF(BJ60= "P/BV between 2.5x to 5x and Growth less than 20%",-5,IF(BJ60= "P/BV above 5x",-5,0)))))</f>
        <v/>
      </c>
      <c r="BL60" s="30" t="inlineStr">
        <is>
          <t>0 to 20</t>
        </is>
      </c>
      <c r="BM60" s="30">
        <f>IF(BL60="Above 40",20,IF(BL60="20 to 40",10,IF(BL60="0 to 20",-5,0)))</f>
        <v/>
      </c>
      <c r="BN60" s="30" t="inlineStr">
        <is>
          <t>Between 50 to 75</t>
        </is>
      </c>
      <c r="BO60" s="30">
        <f>IF(BN60="Between 50 to 75",10,IF(BN60="Above 75",0,0))</f>
        <v/>
      </c>
      <c r="BP60" s="30" t="inlineStr">
        <is>
          <t>Stage 1</t>
        </is>
      </c>
      <c r="BQ60" s="30">
        <f>IF(BP60="Stage 2",20,IF(BP60="Stage 1",0,IF(BP60="Stage 3",5,IF(BP60="Stage 4",-5,0))))</f>
        <v/>
      </c>
      <c r="BR60" s="30" t="inlineStr">
        <is>
          <t>Positive Trend</t>
        </is>
      </c>
      <c r="BS60" s="30">
        <f>IF(BR60="Positive Trend",20,IF(BR60="Negative Trend",-10,0))</f>
        <v/>
      </c>
      <c r="BT60" s="30" t="inlineStr">
        <is>
          <t>Uptrend</t>
        </is>
      </c>
      <c r="BU60" s="30">
        <f>IF(BT60="Uptrend",10,IF(BT60="Sideways",5,0))</f>
        <v/>
      </c>
      <c r="BV60" s="30" t="inlineStr">
        <is>
          <t>Uptrend</t>
        </is>
      </c>
      <c r="BW60" s="30">
        <f>IF(BV60="Uptrend",10,IF(BV60="Sideways",5,0))</f>
        <v/>
      </c>
      <c r="BX60" s="30" t="inlineStr">
        <is>
          <t>Close to 52 week high or retracement</t>
        </is>
      </c>
      <c r="BY60" s="30">
        <f>IF(BX60="Overhead supply in last 2 years in last 2 years",-5,IF(BX60="Close to 52 week high or retracement",5,IF(BX60="Blue sky scenario",10,IF(BX60="Long term Downtrend",-10,0))))</f>
        <v/>
      </c>
      <c r="BZ60" s="30" t="inlineStr">
        <is>
          <t>Yes</t>
        </is>
      </c>
      <c r="CA60" s="30">
        <f>IF(BZ60="Yes",10,0)</f>
        <v/>
      </c>
    </row>
    <row r="61">
      <c r="A61" s="30">
        <f>IF(B61=0,"",RANK(B61,$B$2:$B$72,0))</f>
        <v/>
      </c>
      <c r="B61" s="31">
        <f>SUM(N61,Y61,AA61,AC61,AE61,AG61,AI61,AK61,AM61,AO61,AQ61,AS61,AU61,AW61,AY61,BA61,BC61,BE61,BG61,BI61,BK61,BM61,BO61,BQ61,BS61,BU61,BW61,BY61,CA61)</f>
        <v/>
      </c>
      <c r="C61" s="30" t="inlineStr">
        <is>
          <t>BANKBARODA</t>
        </is>
      </c>
      <c r="D61" s="30" t="inlineStr">
        <is>
          <t>Bank Of Baroda Ltd</t>
        </is>
      </c>
      <c r="E61" s="30" t="inlineStr">
        <is>
          <t>bank</t>
        </is>
      </c>
      <c r="F61" s="30" t="inlineStr">
        <is>
          <t>banks - public sector</t>
        </is>
      </c>
      <c r="G61" s="30" t="inlineStr">
        <is>
          <t>largecap</t>
        </is>
      </c>
      <c r="H61" s="31" t="n">
        <v>142393.46</v>
      </c>
      <c r="I61" s="31" t="n">
        <v>281.85</v>
      </c>
      <c r="J61" s="31" t="n">
        <v>2.36</v>
      </c>
      <c r="K61" s="31" t="n">
        <v>11929170</v>
      </c>
      <c r="L61" s="30" t="n">
        <v>17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56.61</v>
      </c>
      <c r="P61" s="31" t="n">
        <v>8.77</v>
      </c>
      <c r="Q61" s="31" t="n">
        <v>235.41</v>
      </c>
      <c r="R61" s="30" t="inlineStr">
        <is>
          <t>Earnings / Momentum Support</t>
        </is>
      </c>
      <c r="S61" s="30" t="inlineStr">
        <is>
          <t>Nifty Bank</t>
        </is>
      </c>
      <c r="T61" s="31" t="n">
        <v>2.37</v>
      </c>
      <c r="U61" s="31" t="n">
        <v>24.26</v>
      </c>
      <c r="V61" s="31" t="n">
        <v>21.39</v>
      </c>
      <c r="W61" s="31" t="n">
        <v>5.45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Fragmented with High ROE</t>
        </is>
      </c>
      <c r="AA61" s="30">
        <f>IF(Z61="Fragmented with Low ROE",-5,IF(Z61="Fragmented with High ROE",10,IF(Z61= "highly cyclical",5,0)))</f>
        <v/>
      </c>
      <c r="AB61" s="30" t="inlineStr">
        <is>
          <t>Yes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Consistency)",15,IF(AF61="Shallow Cyclical (2 to 3 years growth)",10,IF(AF61 = "Cyclical in an Uptick",5,IF(AF61 = "Cyclical in an Downtick",-10,0))))</f>
        <v/>
      </c>
      <c r="AH61" s="30" t="inlineStr">
        <is>
          <t>Yes</t>
        </is>
      </c>
      <c r="AI61" s="30">
        <f>IF(AH61="Yes",10,0)</f>
        <v/>
      </c>
      <c r="AJ61" s="30" t="inlineStr">
        <is>
          <t>Yes</t>
        </is>
      </c>
      <c r="AK61" s="30">
        <f>IF(AJ61="Yes",10,0)</f>
        <v/>
      </c>
      <c r="AL61" s="30" t="n"/>
      <c r="AM61" s="30">
        <f>IF(AL61="No",10,0)</f>
        <v/>
      </c>
      <c r="AN61" s="30" t="inlineStr">
        <is>
          <t>Yes</t>
        </is>
      </c>
      <c r="AO61" s="30">
        <f>IF(AN61="Yes",10,0)</f>
        <v/>
      </c>
      <c r="AP61" s="30" t="inlineStr">
        <is>
          <t>No</t>
        </is>
      </c>
      <c r="AQ61" s="30">
        <f>IF(AP61="Yes",10,0)</f>
        <v/>
      </c>
      <c r="AR61" s="30" t="inlineStr">
        <is>
          <t>Yes</t>
        </is>
      </c>
      <c r="AS61" s="30">
        <f>IF(AR61="Yes",5,0)</f>
        <v/>
      </c>
      <c r="AT61" s="30" t="inlineStr">
        <is>
          <t>No</t>
        </is>
      </c>
      <c r="AU61" s="30">
        <f>IF(AT61="No",10,IF(AT61="Yes",-10,0))</f>
        <v/>
      </c>
      <c r="AV61" s="30" t="inlineStr">
        <is>
          <t>No</t>
        </is>
      </c>
      <c r="AW61" s="30">
        <f>IF(AV61="No",10,0)</f>
        <v/>
      </c>
      <c r="AX61" s="30" t="inlineStr">
        <is>
          <t>No</t>
        </is>
      </c>
      <c r="AY61" s="30">
        <f>IF(AX61="No",10,IF(AX61= "Yes CEO Resignation",-5,0))</f>
        <v/>
      </c>
      <c r="AZ61" s="30" t="inlineStr">
        <is>
          <t>No</t>
        </is>
      </c>
      <c r="BA61" s="30">
        <f>IF(AZ61="No",10,IF(AZ61="Yes",-5,0))</f>
        <v/>
      </c>
      <c r="BB61" s="30" t="inlineStr">
        <is>
          <t>No</t>
        </is>
      </c>
      <c r="BC61" s="30">
        <f>IF(BB61="No",5,IF(BB61="Yes",-5,0))</f>
        <v/>
      </c>
      <c r="BD61" s="30" t="inlineStr">
        <is>
          <t>Yes</t>
        </is>
      </c>
      <c r="BE61" s="30">
        <f>IF(BD61="Yes",10,0)</f>
        <v/>
      </c>
      <c r="BF61" s="30" t="inlineStr">
        <is>
          <t>Yes</t>
        </is>
      </c>
      <c r="BG61" s="30">
        <f>IF(BF61="Yes",10,0)</f>
        <v/>
      </c>
      <c r="BH61" s="30" t="inlineStr">
        <is>
          <t>Yes</t>
        </is>
      </c>
      <c r="BI61" s="30">
        <f>IF(BH61="Yes",10,0)</f>
        <v/>
      </c>
      <c r="BJ61" s="30" t="inlineStr">
        <is>
          <t>P/BV less than 2.5x and Growth less than 20%</t>
        </is>
      </c>
      <c r="BK61" s="30">
        <f>IF(BJ61="P/BV less than 2.5x and Growth more than 20%",20,IF(BJ61 = "P/BV less than 2.5x and Growth less than 20%",5,IF(BJ61="P/BV between 2.5x to 5x and Growth more than 20%",10,IF(BJ61= "P/BV between 2.5x to 5x and Growth less than 20%",-5,IF(BJ61= "P/BV above 5x",-5,0)))))</f>
        <v/>
      </c>
      <c r="BL61" s="30" t="inlineStr">
        <is>
          <t>0 to 20</t>
        </is>
      </c>
      <c r="BM61" s="30">
        <f>IF(BL61="Above 40",20,IF(BL61="20 to 40",10,IF(BL61="0 to 20",-5,0)))</f>
        <v/>
      </c>
      <c r="BN61" s="30" t="inlineStr">
        <is>
          <t>Between 50 to 75</t>
        </is>
      </c>
      <c r="BO61" s="30">
        <f>IF(BN61="Between 50 to 75",10,IF(BN61="Above 75",0,0))</f>
        <v/>
      </c>
      <c r="BP61" s="30" t="inlineStr">
        <is>
          <t>Stage 1</t>
        </is>
      </c>
      <c r="BQ61" s="30">
        <f>IF(BP61="Stage 2",20,IF(BP61="Stage 1",0,IF(BP61="Stage 3",5,IF(BP61="Stage 4",-5,0))))</f>
        <v/>
      </c>
      <c r="BR61" s="30" t="inlineStr">
        <is>
          <t>Positive Trend</t>
        </is>
      </c>
      <c r="BS61" s="30">
        <f>IF(BR61="Positive Trend",20,IF(BR61="Negative Trend",-10,0))</f>
        <v/>
      </c>
      <c r="BT61" s="30" t="inlineStr">
        <is>
          <t>Uptrend</t>
        </is>
      </c>
      <c r="BU61" s="30">
        <f>IF(BT61="Uptrend",10,IF(BT61="Sideways",5,0))</f>
        <v/>
      </c>
      <c r="BV61" s="30" t="inlineStr">
        <is>
          <t>Uptrend</t>
        </is>
      </c>
      <c r="BW61" s="30">
        <f>IF(BV61="Uptrend",10,IF(BV61="Sideways",5,0))</f>
        <v/>
      </c>
      <c r="BX61" s="30" t="inlineStr">
        <is>
          <t>Close to 52 week high or retracement</t>
        </is>
      </c>
      <c r="BY61" s="30">
        <f>IF(BX61="Overhead supply in last 2 years in last 2 years",-5,IF(BX61="Close to 52 week high or retracement",5,IF(BX61="Blue sky scenario",10,IF(BX61="Long term Downtrend",-10,0))))</f>
        <v/>
      </c>
      <c r="BZ61" s="30" t="inlineStr">
        <is>
          <t>Yes</t>
        </is>
      </c>
      <c r="CA61" s="30">
        <f>IF(BZ61="Yes",10,0)</f>
        <v/>
      </c>
    </row>
    <row r="62">
      <c r="A62" s="30">
        <f>IF(B62=0,"",RANK(B62,$B$2:$B$72,0))</f>
        <v/>
      </c>
      <c r="B62" s="31">
        <f>SUM(N62,Y62,AA62,AC62,AE62,AG62,AI62,AK62,AM62,AO62,AQ62,AS62,AU62,AW62,AY62,BA62,BC62,BE62,BG62,BI62,BK62,BM62,BO62,BQ62,BS62,BU62,BW62,BY62,CA62)</f>
        <v/>
      </c>
      <c r="C62" s="30" t="inlineStr">
        <is>
          <t>UNIONBANK</t>
        </is>
      </c>
      <c r="D62" s="30" t="inlineStr">
        <is>
          <t>Union Bank Of India Ltd</t>
        </is>
      </c>
      <c r="E62" s="30" t="inlineStr">
        <is>
          <t>bank</t>
        </is>
      </c>
      <c r="F62" s="30" t="inlineStr">
        <is>
          <t>banks - public sector</t>
        </is>
      </c>
      <c r="G62" s="30" t="inlineStr">
        <is>
          <t>largecap</t>
        </is>
      </c>
      <c r="H62" s="31" t="n">
        <v>130198.78</v>
      </c>
      <c r="I62" s="31" t="n">
        <v>173.75</v>
      </c>
      <c r="J62" s="31" t="n">
        <v>1.87</v>
      </c>
      <c r="K62" s="31" t="n">
        <v>12653845</v>
      </c>
      <c r="L62" s="30" t="n">
        <v>12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53.83</v>
      </c>
      <c r="P62" s="31" t="n">
        <v>18.33</v>
      </c>
      <c r="Q62" s="31" t="n">
        <v>155.83</v>
      </c>
      <c r="R62" s="30" t="inlineStr">
        <is>
          <t>Earnings / Momentum Support</t>
        </is>
      </c>
      <c r="S62" s="30" t="inlineStr">
        <is>
          <t>Nifty Bank</t>
        </is>
      </c>
      <c r="T62" s="31" t="n">
        <v>2.37</v>
      </c>
      <c r="U62" s="31" t="n">
        <v>25.2</v>
      </c>
      <c r="V62" s="31" t="n">
        <v>22.3</v>
      </c>
      <c r="W62" s="31" t="n">
        <v>4.37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Fragmented with High ROE</t>
        </is>
      </c>
      <c r="AA62" s="30">
        <f>IF(Z62="Fragmented with Low ROE",-5,IF(Z62="Fragmented with High ROE",10,IF(Z62= "highly cyclical",5,0)))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Consistency)",15,IF(AF62="Shallow Cyclical (2 to 3 years growth)",10,IF(AF62 = "Cyclical in an Uptick",5,IF(AF62 = "Cyclical in an Downtick",-10,0))))</f>
        <v/>
      </c>
      <c r="AH62" s="30" t="inlineStr">
        <is>
          <t>Yes</t>
        </is>
      </c>
      <c r="AI62" s="30">
        <f>IF(AH62="Yes",10,0)</f>
        <v/>
      </c>
      <c r="AJ62" s="30" t="inlineStr">
        <is>
          <t>Yes</t>
        </is>
      </c>
      <c r="AK62" s="30">
        <f>IF(AJ62="Yes",10,0)</f>
        <v/>
      </c>
      <c r="AL62" s="30" t="n"/>
      <c r="AM62" s="30">
        <f>IF(AL62="No",10,0)</f>
        <v/>
      </c>
      <c r="AN62" s="30" t="inlineStr">
        <is>
          <t>Yes</t>
        </is>
      </c>
      <c r="AO62" s="30">
        <f>IF(AN62="Yes",10,0)</f>
        <v/>
      </c>
      <c r="AP62" s="30" t="inlineStr">
        <is>
          <t>No</t>
        </is>
      </c>
      <c r="AQ62" s="30">
        <f>IF(AP62="Yes",10,0)</f>
        <v/>
      </c>
      <c r="AR62" s="30" t="inlineStr">
        <is>
          <t>Yes</t>
        </is>
      </c>
      <c r="AS62" s="30">
        <f>IF(AR62="Yes",5,0)</f>
        <v/>
      </c>
      <c r="AT62" s="30" t="inlineStr">
        <is>
          <t>No</t>
        </is>
      </c>
      <c r="AU62" s="30">
        <f>IF(AT62="No",10,IF(AT62="Yes",-10,0))</f>
        <v/>
      </c>
      <c r="AV62" s="30" t="inlineStr">
        <is>
          <t>No</t>
        </is>
      </c>
      <c r="AW62" s="30">
        <f>IF(AV62="No",10,0)</f>
        <v/>
      </c>
      <c r="AX62" s="30" t="inlineStr">
        <is>
          <t>No</t>
        </is>
      </c>
      <c r="AY62" s="30">
        <f>IF(AX62="No",10,IF(AX62= "Yes CEO Resignation",-5,0))</f>
        <v/>
      </c>
      <c r="AZ62" s="30" t="inlineStr">
        <is>
          <t>No</t>
        </is>
      </c>
      <c r="BA62" s="30">
        <f>IF(AZ62="No",10,IF(AZ62="Yes",-5,0))</f>
        <v/>
      </c>
      <c r="BB62" s="30" t="inlineStr">
        <is>
          <t>No</t>
        </is>
      </c>
      <c r="BC62" s="30">
        <f>IF(BB62="No",5,IF(BB62="Yes",-5,0))</f>
        <v/>
      </c>
      <c r="BD62" s="30" t="inlineStr">
        <is>
          <t>Yes</t>
        </is>
      </c>
      <c r="BE62" s="30">
        <f>IF(BD62="Yes",10,0)</f>
        <v/>
      </c>
      <c r="BF62" s="30" t="inlineStr">
        <is>
          <t>Yes</t>
        </is>
      </c>
      <c r="BG62" s="30">
        <f>IF(BF62="Yes",10,0)</f>
        <v/>
      </c>
      <c r="BH62" s="30" t="inlineStr">
        <is>
          <t>Yes</t>
        </is>
      </c>
      <c r="BI62" s="30">
        <f>IF(BH62="Yes",10,0)</f>
        <v/>
      </c>
      <c r="BJ62" s="30" t="inlineStr">
        <is>
          <t>P/BV less than 2.5x and Growth less than 20%</t>
        </is>
      </c>
      <c r="BK62" s="30">
        <f>IF(BJ62="P/BV less than 2.5x and Growth more than 20%",20,IF(BJ62 = "P/BV less than 2.5x and Growth less than 20%",5,IF(BJ62="P/BV between 2.5x to 5x and Growth more than 20%",10,IF(BJ62= "P/BV between 2.5x to 5x and Growth less than 20%",-5,IF(BJ62= "P/BV above 5x",-5,0)))))</f>
        <v/>
      </c>
      <c r="BL62" s="30" t="inlineStr">
        <is>
          <t>0 to 20</t>
        </is>
      </c>
      <c r="BM62" s="30">
        <f>IF(BL62="Above 40",20,IF(BL62="20 to 40",10,IF(BL62="0 to 20",-5,0)))</f>
        <v/>
      </c>
      <c r="BN62" s="30" t="inlineStr">
        <is>
          <t>Between 50 to 75</t>
        </is>
      </c>
      <c r="BO62" s="30">
        <f>IF(BN62="Between 50 to 75",10,IF(BN62="Above 75",0,0))</f>
        <v/>
      </c>
      <c r="BP62" s="30" t="inlineStr">
        <is>
          <t>Stage 1</t>
        </is>
      </c>
      <c r="BQ62" s="30">
        <f>IF(BP62="Stage 2",20,IF(BP62="Stage 1",0,IF(BP62="Stage 3",5,IF(BP62="Stage 4",-5,0))))</f>
        <v/>
      </c>
      <c r="BR62" s="30" t="inlineStr">
        <is>
          <t>Positive Trend</t>
        </is>
      </c>
      <c r="BS62" s="30">
        <f>IF(BR62="Positive Trend",20,IF(BR62="Negative Trend",-10,0))</f>
        <v/>
      </c>
      <c r="BT62" s="30" t="inlineStr">
        <is>
          <t>Uptrend</t>
        </is>
      </c>
      <c r="BU62" s="30">
        <f>IF(BT62="Uptrend",10,IF(BT62="Sideways",5,0))</f>
        <v/>
      </c>
      <c r="BV62" s="30" t="inlineStr">
        <is>
          <t>Uptrend</t>
        </is>
      </c>
      <c r="BW62" s="30">
        <f>IF(BV62="Uptrend",10,IF(BV62="Sideways",5,0))</f>
        <v/>
      </c>
      <c r="BX62" s="30" t="inlineStr">
        <is>
          <t>Close to 52 week high or retracement</t>
        </is>
      </c>
      <c r="BY62" s="30">
        <f>IF(BX62="Overhead supply in last 2 years in last 2 years",-5,IF(BX62="Close to 52 week high or retracement",5,IF(BX62="Blue sky scenario",10,IF(BX62="Long term Downtrend",-10,0))))</f>
        <v/>
      </c>
      <c r="BZ62" s="30" t="inlineStr">
        <is>
          <t>Yes</t>
        </is>
      </c>
      <c r="CA62" s="30">
        <f>IF(BZ62="Yes",10,0)</f>
        <v/>
      </c>
    </row>
    <row r="63">
      <c r="A63" s="30">
        <f>IF(B63=0,"",RANK(B63,$B$2:$B$72,0))</f>
        <v/>
      </c>
      <c r="B63" s="31">
        <f>SUM(N63,Y63,AA63,AC63,AE63,AG63,AI63,AK63,AM63,AO63,AQ63,AS63,AU63,AW63,AY63,BA63,BC63,BE63,BG63,BI63,BK63,BM63,BO63,BQ63,BS63,BU63,BW63,BY63,CA63)</f>
        <v/>
      </c>
      <c r="C63" s="30" t="inlineStr">
        <is>
          <t>SBIN</t>
        </is>
      </c>
      <c r="D63" s="30" t="inlineStr">
        <is>
          <t>State Bank Of India Ltd</t>
        </is>
      </c>
      <c r="E63" s="30" t="inlineStr">
        <is>
          <t>bank</t>
        </is>
      </c>
      <c r="F63" s="30" t="inlineStr">
        <is>
          <t>banks - public sector</t>
        </is>
      </c>
      <c r="G63" s="30" t="inlineStr">
        <is>
          <t>largecap</t>
        </is>
      </c>
      <c r="H63" s="31" t="n">
        <v>937184.6</v>
      </c>
      <c r="I63" s="31" t="n">
        <v>1026.5</v>
      </c>
      <c r="J63" s="31" t="n">
        <v>1.1</v>
      </c>
      <c r="K63" s="31" t="n">
        <v>8190062</v>
      </c>
      <c r="L63" s="30" t="n">
        <v>18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53.61</v>
      </c>
      <c r="P63" s="31" t="n">
        <v>9.5</v>
      </c>
      <c r="Q63" s="31" t="n">
        <v>930.66</v>
      </c>
      <c r="R63" s="30" t="inlineStr">
        <is>
          <t>Earnings / Momentum Support</t>
        </is>
      </c>
      <c r="S63" s="30" t="inlineStr">
        <is>
          <t>Nifty Bank</t>
        </is>
      </c>
      <c r="T63" s="31" t="n">
        <v>2.37</v>
      </c>
      <c r="U63" s="31" t="n">
        <v>31.26</v>
      </c>
      <c r="V63" s="31" t="n">
        <v>28.22</v>
      </c>
      <c r="W63" s="31" t="n">
        <v>5.49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Fragmented with High ROE</t>
        </is>
      </c>
      <c r="AA63" s="30">
        <f>IF(Z63="Fragmented with Low ROE",-5,IF(Z63="Fragmented with High ROE",10,IF(Z63= "highly cyclical",5,0)))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Consistency)",15,IF(AF63="Shallow Cyclical (2 to 3 years growth)",10,IF(AF63 = "Cyclical in an Uptick",5,IF(AF63 = "Cyclical in an Downtick",-10,0))))</f>
        <v/>
      </c>
      <c r="AH63" s="30" t="inlineStr">
        <is>
          <t>Yes</t>
        </is>
      </c>
      <c r="AI63" s="30">
        <f>IF(AH63="Yes",10,0)</f>
        <v/>
      </c>
      <c r="AJ63" s="30" t="inlineStr">
        <is>
          <t>Yes</t>
        </is>
      </c>
      <c r="AK63" s="30">
        <f>IF(AJ63="Yes",10,0)</f>
        <v/>
      </c>
      <c r="AL63" s="30" t="n"/>
      <c r="AM63" s="30">
        <f>IF(AL63="No",10,0)</f>
        <v/>
      </c>
      <c r="AN63" s="30" t="inlineStr">
        <is>
          <t>Yes</t>
        </is>
      </c>
      <c r="AO63" s="30">
        <f>IF(AN63="Yes",10,0)</f>
        <v/>
      </c>
      <c r="AP63" s="30" t="inlineStr">
        <is>
          <t>No</t>
        </is>
      </c>
      <c r="AQ63" s="30">
        <f>IF(AP63="Yes",10,0)</f>
        <v/>
      </c>
      <c r="AR63" s="30" t="inlineStr">
        <is>
          <t>Yes</t>
        </is>
      </c>
      <c r="AS63" s="30">
        <f>IF(AR63="Yes",5,0)</f>
        <v/>
      </c>
      <c r="AT63" s="30" t="inlineStr">
        <is>
          <t>No</t>
        </is>
      </c>
      <c r="AU63" s="30">
        <f>IF(AT63="No",10,IF(AT63="Yes",-10,0))</f>
        <v/>
      </c>
      <c r="AV63" s="30" t="inlineStr">
        <is>
          <t>No</t>
        </is>
      </c>
      <c r="AW63" s="30">
        <f>IF(AV63="No",10,0)</f>
        <v/>
      </c>
      <c r="AX63" s="30" t="inlineStr">
        <is>
          <t>No</t>
        </is>
      </c>
      <c r="AY63" s="30">
        <f>IF(AX63="No",10,IF(AX63= "Yes CEO Resignation",-5,0))</f>
        <v/>
      </c>
      <c r="AZ63" s="30" t="inlineStr">
        <is>
          <t>No</t>
        </is>
      </c>
      <c r="BA63" s="30">
        <f>IF(AZ63="No",10,IF(AZ63="Yes",-5,0))</f>
        <v/>
      </c>
      <c r="BB63" s="30" t="inlineStr">
        <is>
          <t>No</t>
        </is>
      </c>
      <c r="BC63" s="30">
        <f>IF(BB63="No",5,IF(BB63="Yes",-5,0))</f>
        <v/>
      </c>
      <c r="BD63" s="30" t="inlineStr">
        <is>
          <t>Yes</t>
        </is>
      </c>
      <c r="BE63" s="30">
        <f>IF(BD63="Yes",10,0)</f>
        <v/>
      </c>
      <c r="BF63" s="30" t="inlineStr">
        <is>
          <t>Yes</t>
        </is>
      </c>
      <c r="BG63" s="30">
        <f>IF(BF63="Yes",10,0)</f>
        <v/>
      </c>
      <c r="BH63" s="30" t="inlineStr">
        <is>
          <t>Yes</t>
        </is>
      </c>
      <c r="BI63" s="30">
        <f>IF(BH63="Yes",10,0)</f>
        <v/>
      </c>
      <c r="BJ63" s="30" t="inlineStr">
        <is>
          <t>P/BV less than 2.5x and Growth less than 20%</t>
        </is>
      </c>
      <c r="BK63" s="30">
        <f>IF(BJ63="P/BV less than 2.5x and Growth more than 20%",20,IF(BJ63 = "P/BV less than 2.5x and Growth less than 20%",5,IF(BJ63="P/BV between 2.5x to 5x and Growth more than 20%",10,IF(BJ63= "P/BV between 2.5x to 5x and Growth less than 20%",-5,IF(BJ63= "P/BV above 5x",-5,0)))))</f>
        <v/>
      </c>
      <c r="BL63" s="30" t="inlineStr">
        <is>
          <t>0 to 20</t>
        </is>
      </c>
      <c r="BM63" s="30">
        <f>IF(BL63="Above 40",20,IF(BL63="20 to 40",10,IF(BL63="0 to 20",-5,0)))</f>
        <v/>
      </c>
      <c r="BN63" s="30" t="inlineStr">
        <is>
          <t>Between 50 to 75</t>
        </is>
      </c>
      <c r="BO63" s="30">
        <f>IF(BN63="Between 50 to 75",10,IF(BN63="Above 75",0,0))</f>
        <v/>
      </c>
      <c r="BP63" s="30" t="inlineStr">
        <is>
          <t>Stage 1</t>
        </is>
      </c>
      <c r="BQ63" s="30">
        <f>IF(BP63="Stage 2",20,IF(BP63="Stage 1",0,IF(BP63="Stage 3",5,IF(BP63="Stage 4",-5,0))))</f>
        <v/>
      </c>
      <c r="BR63" s="30" t="inlineStr">
        <is>
          <t>Positive Trend</t>
        </is>
      </c>
      <c r="BS63" s="30">
        <f>IF(BR63="Positive Trend",20,IF(BR63="Negative Trend",-10,0))</f>
        <v/>
      </c>
      <c r="BT63" s="30" t="inlineStr">
        <is>
          <t>Uptrend</t>
        </is>
      </c>
      <c r="BU63" s="30">
        <f>IF(BT63="Uptrend",10,IF(BT63="Sideways",5,0))</f>
        <v/>
      </c>
      <c r="BV63" s="30" t="inlineStr">
        <is>
          <t>Uptrend</t>
        </is>
      </c>
      <c r="BW63" s="30">
        <f>IF(BV63="Uptrend",10,IF(BV63="Sideways",5,0))</f>
        <v/>
      </c>
      <c r="BX63" s="30" t="inlineStr">
        <is>
          <t>Close to 52 week high or retracement</t>
        </is>
      </c>
      <c r="BY63" s="30">
        <f>IF(BX63="Overhead supply in last 2 years in last 2 years",-5,IF(BX63="Close to 52 week high or retracement",5,IF(BX63="Blue sky scenario",10,IF(BX63="Long term Downtrend",-10,0))))</f>
        <v/>
      </c>
      <c r="BZ63" s="30" t="inlineStr">
        <is>
          <t>Yes</t>
        </is>
      </c>
      <c r="CA63" s="30">
        <f>IF(BZ63="Yes",10,0)</f>
        <v/>
      </c>
    </row>
    <row r="64">
      <c r="A64" s="30">
        <f>IF(B64=0,"",RANK(B64,$B$2:$B$72,0))</f>
        <v/>
      </c>
      <c r="B64" s="31">
        <f>SUM(N64,Y64,AA64,AC64,AE64,AG64,AI64,AK64,AM64,AO64,AQ64,AS64,AU64,AW64,AY64,BA64,BC64,BE64,BG64,BI64,BK64,BM64,BO64,BQ64,BS64,BU64,BW64,BY64,CA64)</f>
        <v/>
      </c>
      <c r="C64" s="30" t="inlineStr">
        <is>
          <t>RELIGARE</t>
        </is>
      </c>
      <c r="D64" s="30" t="inlineStr">
        <is>
          <t>Religare Enterprises Limited</t>
        </is>
      </c>
      <c r="E64" s="30" t="inlineStr">
        <is>
          <t>financials</t>
        </is>
      </c>
      <c r="F64" s="30" t="inlineStr">
        <is>
          <t>finance &amp; investments</t>
        </is>
      </c>
      <c r="G64" s="30" t="inlineStr">
        <is>
          <t>midcap</t>
        </is>
      </c>
      <c r="H64" s="31" t="n">
        <v>8181.45</v>
      </c>
      <c r="I64" s="31" t="n">
        <v>245.68</v>
      </c>
      <c r="J64" s="31" t="n">
        <v>-0.04</v>
      </c>
      <c r="K64" s="31" t="n">
        <v>1069551</v>
      </c>
      <c r="L64" s="30" t="n">
        <v>14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57.71</v>
      </c>
      <c r="P64" s="31" t="n">
        <v>9.01</v>
      </c>
      <c r="Q64" s="31" t="n">
        <v>193.58</v>
      </c>
      <c r="R64" s="30" t="inlineStr">
        <is>
          <t>Earnings / Momentum Support</t>
        </is>
      </c>
      <c r="S64" s="30" t="inlineStr">
        <is>
          <t>Nifty Bank</t>
        </is>
      </c>
      <c r="T64" s="31" t="n">
        <v>2.37</v>
      </c>
      <c r="U64" s="31" t="n">
        <v>9.140000000000001</v>
      </c>
      <c r="V64" s="31" t="n">
        <v>6.61</v>
      </c>
      <c r="W64" s="31" t="n">
        <v>4.9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Fragmented with High ROE</t>
        </is>
      </c>
      <c r="AA64" s="30">
        <f>IF(Z64="Fragmented with Low ROE",-5,IF(Z64="Fragmented with High ROE",10,IF(Z64= "highly cyclical",5,0)))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Headwind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Consistency)",15,IF(AF64="Shallow Cyclical (2 to 3 years growth)",10,IF(AF64 = "Cyclical in an Uptick",5,IF(AF64 = "Cyclical in an Downtick",-10,0))))</f>
        <v/>
      </c>
      <c r="AH64" s="30" t="inlineStr">
        <is>
          <t>Yes</t>
        </is>
      </c>
      <c r="AI64" s="30">
        <f>IF(AH64="Yes",10,0)</f>
        <v/>
      </c>
      <c r="AJ64" s="30" t="inlineStr">
        <is>
          <t>Yes</t>
        </is>
      </c>
      <c r="AK64" s="30">
        <f>IF(AJ64="Yes",10,0)</f>
        <v/>
      </c>
      <c r="AL64" s="30" t="n"/>
      <c r="AM64" s="30">
        <f>IF(AL64="No",10,0)</f>
        <v/>
      </c>
      <c r="AN64" s="30" t="inlineStr">
        <is>
          <t>Yes</t>
        </is>
      </c>
      <c r="AO64" s="30">
        <f>IF(AN64="Yes",10,0)</f>
        <v/>
      </c>
      <c r="AP64" s="30" t="inlineStr">
        <is>
          <t>No</t>
        </is>
      </c>
      <c r="AQ64" s="30">
        <f>IF(AP64="Yes",10,0)</f>
        <v/>
      </c>
      <c r="AR64" s="30" t="inlineStr">
        <is>
          <t>Yes</t>
        </is>
      </c>
      <c r="AS64" s="30">
        <f>IF(AR64="Yes",5,0)</f>
        <v/>
      </c>
      <c r="AT64" s="30" t="inlineStr">
        <is>
          <t>No</t>
        </is>
      </c>
      <c r="AU64" s="30">
        <f>IF(AT64="No",10,IF(AT64="Yes",-10,0))</f>
        <v/>
      </c>
      <c r="AV64" s="30" t="inlineStr">
        <is>
          <t>No</t>
        </is>
      </c>
      <c r="AW64" s="30">
        <f>IF(AV64="No",10,0)</f>
        <v/>
      </c>
      <c r="AX64" s="30" t="inlineStr">
        <is>
          <t>No</t>
        </is>
      </c>
      <c r="AY64" s="30">
        <f>IF(AX64="No",10,IF(AX64= "Yes CEO Resignation",-5,0))</f>
        <v/>
      </c>
      <c r="AZ64" s="30" t="inlineStr">
        <is>
          <t>No</t>
        </is>
      </c>
      <c r="BA64" s="30">
        <f>IF(AZ64="No",10,IF(AZ64="Yes",-5,0))</f>
        <v/>
      </c>
      <c r="BB64" s="30" t="inlineStr">
        <is>
          <t>No</t>
        </is>
      </c>
      <c r="BC64" s="30">
        <f>IF(BB64="No",5,IF(BB64="Yes",-5,0))</f>
        <v/>
      </c>
      <c r="BD64" s="30" t="inlineStr">
        <is>
          <t>Yes</t>
        </is>
      </c>
      <c r="BE64" s="30">
        <f>IF(BD64="Yes",10,0)</f>
        <v/>
      </c>
      <c r="BF64" s="30" t="inlineStr">
        <is>
          <t>Yes</t>
        </is>
      </c>
      <c r="BG64" s="30">
        <f>IF(BF64="Yes",10,0)</f>
        <v/>
      </c>
      <c r="BH64" s="30" t="inlineStr">
        <is>
          <t>Yes</t>
        </is>
      </c>
      <c r="BI64" s="30">
        <f>IF(BH64="Yes",10,0)</f>
        <v/>
      </c>
      <c r="BJ64" s="30" t="inlineStr">
        <is>
          <t>P/BV between 2.5x to 5x and Growth less than 20%</t>
        </is>
      </c>
      <c r="BK64" s="30">
        <f>IF(BJ64="P/BV less than 2.5x and Growth more than 20%",20,IF(BJ64 = "P/BV less than 2.5x and Growth less than 20%",5,IF(BJ64="P/BV between 2.5x to 5x and Growth more than 20%",10,IF(BJ64= "P/BV between 2.5x to 5x and Growth less than 20%",-5,IF(BJ64= "P/BV above 5x",-5,0)))))</f>
        <v/>
      </c>
      <c r="BL64" s="30" t="inlineStr">
        <is>
          <t>0 to 20</t>
        </is>
      </c>
      <c r="BM64" s="30">
        <f>IF(BL64="Above 40",20,IF(BL64="20 to 40",10,IF(BL64="0 to 20",-5,0)))</f>
        <v/>
      </c>
      <c r="BN64" s="30" t="inlineStr">
        <is>
          <t>Between 50 to 75</t>
        </is>
      </c>
      <c r="BO64" s="30">
        <f>IF(BN64="Between 50 to 75",10,IF(BN64="Above 75",0,0))</f>
        <v/>
      </c>
      <c r="BP64" s="30" t="inlineStr">
        <is>
          <t>Stage 2</t>
        </is>
      </c>
      <c r="BQ64" s="30">
        <f>IF(BP64="Stage 2",20,IF(BP64="Stage 1",0,IF(BP64="Stage 3",5,IF(BP64="Stage 4",-5,0))))</f>
        <v/>
      </c>
      <c r="BR64" s="30" t="inlineStr">
        <is>
          <t>Positive Trend</t>
        </is>
      </c>
      <c r="BS64" s="30">
        <f>IF(BR64="Positive Trend",20,IF(BR64="Negative Trend",-10,0))</f>
        <v/>
      </c>
      <c r="BT64" s="30" t="inlineStr">
        <is>
          <t>Uptrend</t>
        </is>
      </c>
      <c r="BU64" s="30">
        <f>IF(BT64="Uptrend",10,IF(BT64="Sideways",5,0))</f>
        <v/>
      </c>
      <c r="BV64" s="30" t="inlineStr">
        <is>
          <t>Uptrend</t>
        </is>
      </c>
      <c r="BW64" s="30">
        <f>IF(BV64="Uptrend",10,IF(BV64="Sideways",5,0))</f>
        <v/>
      </c>
      <c r="BX64" s="30" t="inlineStr">
        <is>
          <t>Close to 52 week high or retracement</t>
        </is>
      </c>
      <c r="BY64" s="30">
        <f>IF(BX64="Overhead supply in last 2 years in last 2 years",-5,IF(BX64="Close to 52 week high or retracement",5,IF(BX64="Blue sky scenario",10,IF(BX64="Long term Downtrend",-10,0))))</f>
        <v/>
      </c>
      <c r="BZ64" s="30" t="inlineStr">
        <is>
          <t>Yes</t>
        </is>
      </c>
      <c r="CA64" s="30">
        <f>IF(BZ64="Yes",10,0)</f>
        <v/>
      </c>
    </row>
    <row r="65">
      <c r="A65" s="30">
        <f>IF(B65=0,"",RANK(B65,$B$2:$B$72,0))</f>
        <v/>
      </c>
      <c r="B65" s="31">
        <f>SUM(N65,Y65,AA65,AC65,AE65,AG65,AI65,AK65,AM65,AO65,AQ65,AS65,AU65,AW65,AY65,BA65,BC65,BE65,BG65,BI65,BK65,BM65,BO65,BQ65,BS65,BU65,BW65,BY65,CA65)</f>
        <v/>
      </c>
      <c r="C65" s="32" t="inlineStr">
        <is>
          <t>360ONE</t>
        </is>
      </c>
      <c r="D65" s="32" t="inlineStr">
        <is>
          <t>360 ONE WAM Ltd</t>
        </is>
      </c>
      <c r="E65" s="30" t="inlineStr">
        <is>
          <t>financials</t>
        </is>
      </c>
      <c r="F65" s="30" t="inlineStr">
        <is>
          <t>finance &amp; investments</t>
        </is>
      </c>
      <c r="G65" s="30" t="inlineStr">
        <is>
          <t>largecap</t>
        </is>
      </c>
      <c r="H65" s="31" t="n">
        <v>46039.85</v>
      </c>
      <c r="I65" s="31" t="n">
        <v>1136.9</v>
      </c>
      <c r="J65" s="31" t="n">
        <v>0.29</v>
      </c>
      <c r="K65" s="31" t="n">
        <v>382759</v>
      </c>
      <c r="L65" s="30" t="n">
        <v>4</v>
      </c>
      <c r="M65" s="30" t="inlineStr">
        <is>
          <t>Underperforming</t>
        </is>
      </c>
      <c r="N65" s="31">
        <f>IF(M65="Underperforming",-5,IF(L65&gt;=95,15,IF(L65&gt;=90,10,IF(L65&gt;=80,5,0))))</f>
        <v/>
      </c>
      <c r="O65" s="31" t="n">
        <v>55.63</v>
      </c>
      <c r="P65" s="31" t="n">
        <v>14.22</v>
      </c>
      <c r="Q65" s="31" t="n">
        <v>902.89</v>
      </c>
      <c r="R65" s="30" t="inlineStr">
        <is>
          <t>Earnings / Momentum Support</t>
        </is>
      </c>
      <c r="S65" s="30" t="inlineStr">
        <is>
          <t>Nifty Bank</t>
        </is>
      </c>
      <c r="T65" s="31" t="n">
        <v>2.37</v>
      </c>
      <c r="U65" s="31" t="n">
        <v>1.06</v>
      </c>
      <c r="V65" s="31" t="n">
        <v>-1.28</v>
      </c>
      <c r="W65" s="31" t="n">
        <v>2.42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Fragmented with High ROE</t>
        </is>
      </c>
      <c r="AA65" s="30">
        <f>IF(Z65="Fragmented with Low ROE",-5,IF(Z65="Fragmented with High ROE",10,IF(Z65= "highly cyclical",5,0)))</f>
        <v/>
      </c>
      <c r="AB65" s="30" t="inlineStr">
        <is>
          <t>Yes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Consistency)",15,IF(AF65="Shallow Cyclical (2 to 3 years growth)",10,IF(AF65 = "Cyclical in an Uptick",5,IF(AF65 = "Cyclical in an Downtick",-10,0))))</f>
        <v/>
      </c>
      <c r="AH65" s="30" t="inlineStr">
        <is>
          <t>Yes</t>
        </is>
      </c>
      <c r="AI65" s="30">
        <f>IF(AH65="Yes",10,0)</f>
        <v/>
      </c>
      <c r="AJ65" s="30" t="inlineStr">
        <is>
          <t>Yes</t>
        </is>
      </c>
      <c r="AK65" s="30">
        <f>IF(AJ65="Yes",10,0)</f>
        <v/>
      </c>
      <c r="AL65" s="30" t="n"/>
      <c r="AM65" s="30">
        <f>IF(AL65="No",10,0)</f>
        <v/>
      </c>
      <c r="AN65" s="30" t="inlineStr">
        <is>
          <t>Yes</t>
        </is>
      </c>
      <c r="AO65" s="30">
        <f>IF(AN65="Yes",10,0)</f>
        <v/>
      </c>
      <c r="AP65" s="30" t="inlineStr">
        <is>
          <t>No</t>
        </is>
      </c>
      <c r="AQ65" s="30">
        <f>IF(AP65="Yes",10,0)</f>
        <v/>
      </c>
      <c r="AR65" s="30" t="inlineStr">
        <is>
          <t>Yes</t>
        </is>
      </c>
      <c r="AS65" s="30">
        <f>IF(AR65="Yes",5,0)</f>
        <v/>
      </c>
      <c r="AT65" s="30" t="inlineStr">
        <is>
          <t>No</t>
        </is>
      </c>
      <c r="AU65" s="30">
        <f>IF(AT65="No",10,IF(AT65="Yes",-10,0))</f>
        <v/>
      </c>
      <c r="AV65" s="30" t="inlineStr">
        <is>
          <t>No</t>
        </is>
      </c>
      <c r="AW65" s="30">
        <f>IF(AV65="No",10,0)</f>
        <v/>
      </c>
      <c r="AX65" s="30" t="inlineStr">
        <is>
          <t>No</t>
        </is>
      </c>
      <c r="AY65" s="30">
        <f>IF(AX65="No",10,IF(AX65= "Yes CEO Resignation",-5,0))</f>
        <v/>
      </c>
      <c r="AZ65" s="30" t="inlineStr">
        <is>
          <t>No</t>
        </is>
      </c>
      <c r="BA65" s="30">
        <f>IF(AZ65="No",10,IF(AZ65="Yes",-5,0))</f>
        <v/>
      </c>
      <c r="BB65" s="30" t="inlineStr">
        <is>
          <t>No</t>
        </is>
      </c>
      <c r="BC65" s="30">
        <f>IF(BB65="No",5,IF(BB65="Yes",-5,0))</f>
        <v/>
      </c>
      <c r="BD65" s="30" t="inlineStr">
        <is>
          <t>Yes</t>
        </is>
      </c>
      <c r="BE65" s="30">
        <f>IF(BD65="Yes",10,0)</f>
        <v/>
      </c>
      <c r="BF65" s="30" t="inlineStr">
        <is>
          <t>Yes</t>
        </is>
      </c>
      <c r="BG65" s="30">
        <f>IF(BF65="Yes",10,0)</f>
        <v/>
      </c>
      <c r="BH65" s="30" t="inlineStr">
        <is>
          <t>Yes</t>
        </is>
      </c>
      <c r="BI65" s="30">
        <f>IF(BH65="Yes",10,0)</f>
        <v/>
      </c>
      <c r="BJ65" s="30" t="inlineStr">
        <is>
          <t>P/BV between 2.5x to 5x and Growth less than 20%</t>
        </is>
      </c>
      <c r="BK65" s="30">
        <f>IF(BJ65="P/BV less than 2.5x and Growth more than 20%",20,IF(BJ65 = "P/BV less than 2.5x and Growth less than 20%",5,IF(BJ65="P/BV between 2.5x to 5x and Growth more than 20%",10,IF(BJ65= "P/BV between 2.5x to 5x and Growth less than 20%",-5,IF(BJ65= "P/BV above 5x",-5,0)))))</f>
        <v/>
      </c>
      <c r="BL65" s="30" t="inlineStr">
        <is>
          <t>0 to 20</t>
        </is>
      </c>
      <c r="BM65" s="30">
        <f>IF(BL65="Above 40",20,IF(BL65="20 to 40",10,IF(BL65="0 to 20",-5,0)))</f>
        <v/>
      </c>
      <c r="BN65" s="30" t="inlineStr">
        <is>
          <t>Between 50 to 75</t>
        </is>
      </c>
      <c r="BO65" s="30">
        <f>IF(BN65="Between 50 to 75",10,IF(BN65="Above 75",0,0))</f>
        <v/>
      </c>
      <c r="BP65" s="30" t="inlineStr">
        <is>
          <t>Stage 2</t>
        </is>
      </c>
      <c r="BQ65" s="30">
        <f>IF(BP65="Stage 2",20,IF(BP65="Stage 1",0,IF(BP65="Stage 3",5,IF(BP65="Stage 4",-5,0))))</f>
        <v/>
      </c>
      <c r="BR65" s="30" t="inlineStr">
        <is>
          <t>Positive Trend</t>
        </is>
      </c>
      <c r="BS65" s="30">
        <f>IF(BR65="Positive Trend",20,IF(BR65="Negative Trend",-10,0))</f>
        <v/>
      </c>
      <c r="BT65" s="30" t="inlineStr">
        <is>
          <t>Uptrend</t>
        </is>
      </c>
      <c r="BU65" s="30">
        <f>IF(BT65="Uptrend",10,IF(BT65="Sideways",5,0))</f>
        <v/>
      </c>
      <c r="BV65" s="30" t="inlineStr">
        <is>
          <t>Uptrend</t>
        </is>
      </c>
      <c r="BW65" s="30">
        <f>IF(BV65="Uptrend",10,IF(BV65="Sideways",5,0))</f>
        <v/>
      </c>
      <c r="BX65" s="30" t="inlineStr">
        <is>
          <t>Close to 52 week high or retracement</t>
        </is>
      </c>
      <c r="BY65" s="30">
        <f>IF(BX65="Overhead supply in last 2 years in last 2 years",-5,IF(BX65="Close to 52 week high or retracement",5,IF(BX65="Blue sky scenario",10,IF(BX65="Long term Downtrend",-10,0))))</f>
        <v/>
      </c>
      <c r="BZ65" s="30" t="inlineStr">
        <is>
          <t>Yes</t>
        </is>
      </c>
      <c r="CA65" s="30">
        <f>IF(BZ65="Yes",10,0)</f>
        <v/>
      </c>
    </row>
    <row r="66">
      <c r="A66" s="30">
        <f>IF(B66=0,"",RANK(B66,$B$2:$B$72,0))</f>
        <v/>
      </c>
      <c r="B66" s="31">
        <f>SUM(N66,Y66,AA66,AC66,AE66,AG66,AI66,AK66,AM66,AO66,AQ66,AS66,AU66,AW66,AY66,BA66,BC66,BE66,BG66,BI66,BK66,BM66,BO66,BQ66,BS66,BU66,BW66,BY66,CA66)</f>
        <v/>
      </c>
      <c r="C66" s="30" t="inlineStr">
        <is>
          <t>CHOLAFIN</t>
        </is>
      </c>
      <c r="D66" s="30" t="inlineStr">
        <is>
          <t>Cholamandalam Investment And Finance Company Limited</t>
        </is>
      </c>
      <c r="E66" s="30" t="inlineStr">
        <is>
          <t>financials</t>
        </is>
      </c>
      <c r="F66" s="30" t="inlineStr">
        <is>
          <t>finance &amp; investments</t>
        </is>
      </c>
      <c r="G66" s="30" t="inlineStr">
        <is>
          <t>largecap</t>
        </is>
      </c>
      <c r="H66" s="31" t="n">
        <v>143176.33</v>
      </c>
      <c r="I66" s="31" t="n">
        <v>1679.2</v>
      </c>
      <c r="J66" s="31" t="n">
        <v>-0.07000000000000001</v>
      </c>
      <c r="K66" s="31" t="n">
        <v>980447</v>
      </c>
      <c r="L66" s="30" t="n">
        <v>16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55.95</v>
      </c>
      <c r="P66" s="31" t="n">
        <v>11.37</v>
      </c>
      <c r="Q66" s="31" t="n">
        <v>1329.56</v>
      </c>
      <c r="R66" s="30" t="inlineStr">
        <is>
          <t>Earnings / Momentum Support</t>
        </is>
      </c>
      <c r="S66" s="30" t="inlineStr">
        <is>
          <t>Nifty Bank</t>
        </is>
      </c>
      <c r="T66" s="31" t="n">
        <v>2.37</v>
      </c>
      <c r="U66" s="31" t="n">
        <v>7.94</v>
      </c>
      <c r="V66" s="31" t="n">
        <v>5.45</v>
      </c>
      <c r="W66" s="31" t="n">
        <v>5.28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Fragmented with High ROE</t>
        </is>
      </c>
      <c r="AA66" s="30">
        <f>IF(Z66="Fragmented with Low ROE",-5,IF(Z66="Fragmented with High ROE",10,IF(Z66= "highly cyclical",5,0)))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Headwind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Consistency)",15,IF(AF66="Shallow Cyclical (2 to 3 years growth)",10,IF(AF66 = "Cyclical in an Uptick",5,IF(AF66 = "Cyclical in an Downtick",-10,0))))</f>
        <v/>
      </c>
      <c r="AH66" s="30" t="inlineStr">
        <is>
          <t>Yes</t>
        </is>
      </c>
      <c r="AI66" s="30">
        <f>IF(AH66="Yes",10,0)</f>
        <v/>
      </c>
      <c r="AJ66" s="30" t="inlineStr">
        <is>
          <t>Yes</t>
        </is>
      </c>
      <c r="AK66" s="30">
        <f>IF(AJ66="Yes",10,0)</f>
        <v/>
      </c>
      <c r="AL66" s="30" t="n"/>
      <c r="AM66" s="30">
        <f>IF(AL66="No",10,0)</f>
        <v/>
      </c>
      <c r="AN66" s="30" t="inlineStr">
        <is>
          <t>Yes</t>
        </is>
      </c>
      <c r="AO66" s="30">
        <f>IF(AN66="Yes",10,0)</f>
        <v/>
      </c>
      <c r="AP66" s="30" t="inlineStr">
        <is>
          <t>No</t>
        </is>
      </c>
      <c r="AQ66" s="30">
        <f>IF(AP66="Yes",10,0)</f>
        <v/>
      </c>
      <c r="AR66" s="30" t="inlineStr">
        <is>
          <t>Yes</t>
        </is>
      </c>
      <c r="AS66" s="30">
        <f>IF(AR66="Yes",5,0)</f>
        <v/>
      </c>
      <c r="AT66" s="30" t="inlineStr">
        <is>
          <t>No</t>
        </is>
      </c>
      <c r="AU66" s="30">
        <f>IF(AT66="No",10,IF(AT66="Yes",-10,0))</f>
        <v/>
      </c>
      <c r="AV66" s="30" t="inlineStr">
        <is>
          <t>No</t>
        </is>
      </c>
      <c r="AW66" s="30">
        <f>IF(AV66="No",10,0)</f>
        <v/>
      </c>
      <c r="AX66" s="30" t="inlineStr">
        <is>
          <t>No</t>
        </is>
      </c>
      <c r="AY66" s="30">
        <f>IF(AX66="No",10,IF(AX66= "Yes CEO Resignation",-5,0))</f>
        <v/>
      </c>
      <c r="AZ66" s="30" t="inlineStr">
        <is>
          <t>No</t>
        </is>
      </c>
      <c r="BA66" s="30">
        <f>IF(AZ66="No",10,IF(AZ66="Yes",-5,0))</f>
        <v/>
      </c>
      <c r="BB66" s="30" t="inlineStr">
        <is>
          <t>No</t>
        </is>
      </c>
      <c r="BC66" s="30">
        <f>IF(BB66="No",5,IF(BB66="Yes",-5,0))</f>
        <v/>
      </c>
      <c r="BD66" s="30" t="inlineStr">
        <is>
          <t>Yes</t>
        </is>
      </c>
      <c r="BE66" s="30">
        <f>IF(BD66="Yes",10,0)</f>
        <v/>
      </c>
      <c r="BF66" s="30" t="inlineStr">
        <is>
          <t>Yes</t>
        </is>
      </c>
      <c r="BG66" s="30">
        <f>IF(BF66="Yes",10,0)</f>
        <v/>
      </c>
      <c r="BH66" s="30" t="inlineStr">
        <is>
          <t>Yes</t>
        </is>
      </c>
      <c r="BI66" s="30">
        <f>IF(BH66="Yes",10,0)</f>
        <v/>
      </c>
      <c r="BJ66" s="30" t="inlineStr">
        <is>
          <t>P/BV between 2.5x to 5x and Growth more than 20%</t>
        </is>
      </c>
      <c r="BK66" s="30">
        <f>IF(BJ66="P/BV less than 2.5x and Growth more than 20%",20,IF(BJ66 = "P/BV less than 2.5x and Growth less than 20%",5,IF(BJ66="P/BV between 2.5x to 5x and Growth more than 20%",10,IF(BJ66= "P/BV between 2.5x to 5x and Growth less than 20%",-5,IF(BJ66= "P/BV above 5x",-5,0)))))</f>
        <v/>
      </c>
      <c r="BL66" s="30" t="inlineStr">
        <is>
          <t>0 to 20</t>
        </is>
      </c>
      <c r="BM66" s="30">
        <f>IF(BL66="Above 40",20,IF(BL66="20 to 40",10,IF(BL66="0 to 20",-5,0)))</f>
        <v/>
      </c>
      <c r="BN66" s="30" t="inlineStr">
        <is>
          <t>Between 50 to 75</t>
        </is>
      </c>
      <c r="BO66" s="30">
        <f>IF(BN66="Between 50 to 75",10,IF(BN66="Above 75",0,0))</f>
        <v/>
      </c>
      <c r="BP66" s="30" t="inlineStr">
        <is>
          <t>Stage 1</t>
        </is>
      </c>
      <c r="BQ66" s="30">
        <f>IF(BP66="Stage 2",20,IF(BP66="Stage 1",0,IF(BP66="Stage 3",5,IF(BP66="Stage 4",-5,0))))</f>
        <v/>
      </c>
      <c r="BR66" s="30" t="inlineStr">
        <is>
          <t>Positive Trend</t>
        </is>
      </c>
      <c r="BS66" s="30">
        <f>IF(BR66="Positive Trend",20,IF(BR66="Negative Trend",-10,0))</f>
        <v/>
      </c>
      <c r="BT66" s="30" t="inlineStr">
        <is>
          <t>Uptrend</t>
        </is>
      </c>
      <c r="BU66" s="30">
        <f>IF(BT66="Uptrend",10,IF(BT66="Sideways",5,0))</f>
        <v/>
      </c>
      <c r="BV66" s="30" t="inlineStr">
        <is>
          <t>Uptrend</t>
        </is>
      </c>
      <c r="BW66" s="30">
        <f>IF(BV66="Uptrend",10,IF(BV66="Sideways",5,0))</f>
        <v/>
      </c>
      <c r="BX66" s="30" t="inlineStr">
        <is>
          <t>Close to 52 week high or retracement</t>
        </is>
      </c>
      <c r="BY66" s="30">
        <f>IF(BX66="Overhead supply in last 2 years in last 2 years",-5,IF(BX66="Close to 52 week high or retracement",5,IF(BX66="Blue sky scenario",10,IF(BX66="Long term Downtrend",-10,0))))</f>
        <v/>
      </c>
      <c r="BZ66" s="30" t="inlineStr">
        <is>
          <t>Yes</t>
        </is>
      </c>
      <c r="CA66" s="30">
        <f>IF(BZ66="Yes",10,0)</f>
        <v/>
      </c>
    </row>
    <row r="67">
      <c r="A67" s="30">
        <f>IF(B67=0,"",RANK(B67,$B$2:$B$72,0))</f>
        <v/>
      </c>
      <c r="B67" s="31">
        <f>SUM(N67,Y67,AA67,AC67,AE67,AG67,AI67,AK67,AM67,AO67,AQ67,AS67,AU67,AW67,AY67,BA67,BC67,BE67,BG67,BI67,BK67,BM67,BO67,BQ67,BS67,BU67,BW67,BY67,CA67)</f>
        <v/>
      </c>
      <c r="C67" s="30" t="inlineStr">
        <is>
          <t>HDFCAMC</t>
        </is>
      </c>
      <c r="D67" s="30" t="inlineStr">
        <is>
          <t>HDFC Asset Management Company Ltd</t>
        </is>
      </c>
      <c r="E67" s="30" t="inlineStr">
        <is>
          <t>financials</t>
        </is>
      </c>
      <c r="F67" s="30" t="inlineStr">
        <is>
          <t>finance &amp; investments</t>
        </is>
      </c>
      <c r="G67" s="30" t="inlineStr">
        <is>
          <t>largecap</t>
        </is>
      </c>
      <c r="H67" s="31" t="n">
        <v>113894.47</v>
      </c>
      <c r="I67" s="31" t="n">
        <v>2711.1</v>
      </c>
      <c r="J67" s="31" t="n">
        <v>1.97</v>
      </c>
      <c r="K67" s="31" t="n">
        <v>912665</v>
      </c>
      <c r="L67" s="30" t="n">
        <v>21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55.29</v>
      </c>
      <c r="P67" s="31" t="n">
        <v>14.17</v>
      </c>
      <c r="Q67" s="31" t="n">
        <v>2255.33</v>
      </c>
      <c r="R67" s="30" t="inlineStr">
        <is>
          <t>Earnings / Momentum Support</t>
        </is>
      </c>
      <c r="S67" s="30" t="inlineStr">
        <is>
          <t>Nifty Bank</t>
        </is>
      </c>
      <c r="T67" s="31" t="n">
        <v>2.37</v>
      </c>
      <c r="U67" s="31" t="n">
        <v>11.74</v>
      </c>
      <c r="V67" s="31" t="n">
        <v>9.16</v>
      </c>
      <c r="W67" s="31" t="n">
        <v>6.18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Fragmented with High ROE</t>
        </is>
      </c>
      <c r="AA67" s="30">
        <f>IF(Z67="Fragmented with Low ROE",-5,IF(Z67="Fragmented with High ROE",10,IF(Z67= "highly cyclical",5,0)))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Consistency)",15,IF(AF67="Shallow Cyclical (2 to 3 years growth)",10,IF(AF67 = "Cyclical in an Uptick",5,IF(AF67 = "Cyclical in an Downtick",-10,0))))</f>
        <v/>
      </c>
      <c r="AH67" s="30" t="inlineStr">
        <is>
          <t>Yes</t>
        </is>
      </c>
      <c r="AI67" s="30">
        <f>IF(AH67="Yes",10,0)</f>
        <v/>
      </c>
      <c r="AJ67" s="30" t="inlineStr">
        <is>
          <t>Yes</t>
        </is>
      </c>
      <c r="AK67" s="30">
        <f>IF(AJ67="Yes",10,0)</f>
        <v/>
      </c>
      <c r="AL67" s="30" t="n"/>
      <c r="AM67" s="30">
        <f>IF(AL67="No",10,0)</f>
        <v/>
      </c>
      <c r="AN67" s="30" t="inlineStr">
        <is>
          <t>Yes</t>
        </is>
      </c>
      <c r="AO67" s="30">
        <f>IF(AN67="Yes",10,0)</f>
        <v/>
      </c>
      <c r="AP67" s="30" t="inlineStr">
        <is>
          <t>No</t>
        </is>
      </c>
      <c r="AQ67" s="30">
        <f>IF(AP67="Yes",10,0)</f>
        <v/>
      </c>
      <c r="AR67" s="30" t="inlineStr">
        <is>
          <t>Yes</t>
        </is>
      </c>
      <c r="AS67" s="30">
        <f>IF(AR67="Yes",5,0)</f>
        <v/>
      </c>
      <c r="AT67" s="30" t="inlineStr">
        <is>
          <t>No</t>
        </is>
      </c>
      <c r="AU67" s="30">
        <f>IF(AT67="No",10,IF(AT67="Yes",-10,0))</f>
        <v/>
      </c>
      <c r="AV67" s="30" t="inlineStr">
        <is>
          <t>No</t>
        </is>
      </c>
      <c r="AW67" s="30">
        <f>IF(AV67="No",10,0)</f>
        <v/>
      </c>
      <c r="AX67" s="30" t="inlineStr">
        <is>
          <t>No</t>
        </is>
      </c>
      <c r="AY67" s="30">
        <f>IF(AX67="No",10,IF(AX67= "Yes CEO Resignation",-5,0))</f>
        <v/>
      </c>
      <c r="AZ67" s="30" t="inlineStr">
        <is>
          <t>No</t>
        </is>
      </c>
      <c r="BA67" s="30">
        <f>IF(AZ67="No",10,IF(AZ67="Yes",-5,0))</f>
        <v/>
      </c>
      <c r="BB67" s="30" t="inlineStr">
        <is>
          <t>No</t>
        </is>
      </c>
      <c r="BC67" s="30">
        <f>IF(BB67="No",5,IF(BB67="Yes",-5,0))</f>
        <v/>
      </c>
      <c r="BD67" s="30" t="inlineStr">
        <is>
          <t>Yes</t>
        </is>
      </c>
      <c r="BE67" s="30">
        <f>IF(BD67="Yes",10,0)</f>
        <v/>
      </c>
      <c r="BF67" s="30" t="inlineStr">
        <is>
          <t>Yes</t>
        </is>
      </c>
      <c r="BG67" s="30">
        <f>IF(BF67="Yes",10,0)</f>
        <v/>
      </c>
      <c r="BH67" s="30" t="inlineStr">
        <is>
          <t>Yes</t>
        </is>
      </c>
      <c r="BI67" s="30">
        <f>IF(BH67="Yes",10,0)</f>
        <v/>
      </c>
      <c r="BJ67" s="30" t="inlineStr">
        <is>
          <t>P/BV above 5x</t>
        </is>
      </c>
      <c r="BK67" s="30">
        <f>IF(BJ67="P/BV less than 2.5x and Growth more than 20%",20,IF(BJ67 = "P/BV less than 2.5x and Growth less than 20%",5,IF(BJ67="P/BV between 2.5x to 5x and Growth more than 20%",10,IF(BJ67= "P/BV between 2.5x to 5x and Growth less than 20%",-5,IF(BJ67= "P/BV above 5x",-5,0)))))</f>
        <v/>
      </c>
      <c r="BL67" s="30" t="inlineStr">
        <is>
          <t>0 to 20</t>
        </is>
      </c>
      <c r="BM67" s="30">
        <f>IF(BL67="Above 40",20,IF(BL67="20 to 40",10,IF(BL67="0 to 20",-5,0)))</f>
        <v/>
      </c>
      <c r="BN67" s="30" t="inlineStr">
        <is>
          <t>Between 50 to 75</t>
        </is>
      </c>
      <c r="BO67" s="30">
        <f>IF(BN67="Between 50 to 75",10,IF(BN67="Above 75",0,0))</f>
        <v/>
      </c>
      <c r="BP67" s="30" t="inlineStr">
        <is>
          <t>Stage 1</t>
        </is>
      </c>
      <c r="BQ67" s="30">
        <f>IF(BP67="Stage 2",20,IF(BP67="Stage 1",0,IF(BP67="Stage 3",5,IF(BP67="Stage 4",-5,0))))</f>
        <v/>
      </c>
      <c r="BR67" s="30" t="inlineStr">
        <is>
          <t>Positive Trend</t>
        </is>
      </c>
      <c r="BS67" s="30">
        <f>IF(BR67="Positive Trend",20,IF(BR67="Negative Trend",-10,0))</f>
        <v/>
      </c>
      <c r="BT67" s="30" t="inlineStr">
        <is>
          <t>Uptrend</t>
        </is>
      </c>
      <c r="BU67" s="30">
        <f>IF(BT67="Uptrend",10,IF(BT67="Sideways",5,0))</f>
        <v/>
      </c>
      <c r="BV67" s="30" t="inlineStr">
        <is>
          <t>Uptrend</t>
        </is>
      </c>
      <c r="BW67" s="30">
        <f>IF(BV67="Uptrend",10,IF(BV67="Sideways",5,0))</f>
        <v/>
      </c>
      <c r="BX67" s="30" t="inlineStr">
        <is>
          <t>Close to 52 week high or retracement</t>
        </is>
      </c>
      <c r="BY67" s="30">
        <f>IF(BX67="Overhead supply in last 2 years in last 2 years",-5,IF(BX67="Close to 52 week high or retracement",5,IF(BX67="Blue sky scenario",10,IF(BX67="Long term Downtrend",-10,0))))</f>
        <v/>
      </c>
      <c r="BZ67" s="30" t="inlineStr">
        <is>
          <t>Yes</t>
        </is>
      </c>
      <c r="CA67" s="30">
        <f>IF(BZ67="Yes",10,0)</f>
        <v/>
      </c>
    </row>
    <row r="68">
      <c r="A68" s="30">
        <f>IF(B68=0,"",RANK(B68,$B$2:$B$72,0))</f>
        <v/>
      </c>
      <c r="B68" s="31">
        <f>SUM(N68,Y68,AA68,AC68,AE68,AG68,AI68,AK68,AM68,AO68,AQ68,AS68,AU68,AW68,AY68,BA68,BC68,BE68,BG68,BI68,BK68,BM68,BO68,BQ68,BS68,BU68,BW68,BY68,CA68)</f>
        <v/>
      </c>
      <c r="C68" s="32" t="inlineStr">
        <is>
          <t>CHOICEIN</t>
        </is>
      </c>
      <c r="D68" s="32" t="inlineStr">
        <is>
          <t>Choice International Ltd</t>
        </is>
      </c>
      <c r="E68" s="30" t="inlineStr">
        <is>
          <t>financials</t>
        </is>
      </c>
      <c r="F68" s="30" t="inlineStr">
        <is>
          <t>finance &amp; investments</t>
        </is>
      </c>
      <c r="G68" s="30" t="inlineStr">
        <is>
          <t>midcap</t>
        </is>
      </c>
      <c r="H68" s="31" t="n">
        <v>15810.45</v>
      </c>
      <c r="I68" s="31" t="n">
        <v>709.75</v>
      </c>
      <c r="J68" s="31" t="n">
        <v>0.01</v>
      </c>
      <c r="K68" s="31" t="n">
        <v>738782</v>
      </c>
      <c r="L68" s="30" t="n">
        <v>10</v>
      </c>
      <c r="M68" s="30" t="inlineStr">
        <is>
          <t>Underperforming</t>
        </is>
      </c>
      <c r="N68" s="31">
        <f>IF(M68="Underperforming",-5,IF(L68&gt;=95,15,IF(L68&gt;=90,10,IF(L68&gt;=80,5,0))))</f>
        <v/>
      </c>
      <c r="O68" s="31" t="n">
        <v>50.79</v>
      </c>
      <c r="P68" s="31" t="n">
        <v>26.45</v>
      </c>
      <c r="Q68" s="31" t="n">
        <v>578.91</v>
      </c>
      <c r="R68" s="30" t="inlineStr">
        <is>
          <t>Earnings / Momentum Support</t>
        </is>
      </c>
      <c r="S68" s="30" t="inlineStr">
        <is>
          <t>Nifty Bank</t>
        </is>
      </c>
      <c r="T68" s="31" t="n">
        <v>2.37</v>
      </c>
      <c r="U68" s="31" t="n">
        <v>0.75</v>
      </c>
      <c r="V68" s="31" t="n">
        <v>-1.59</v>
      </c>
      <c r="W68" s="31" t="n">
        <v>4.21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Fragmented with High ROE</t>
        </is>
      </c>
      <c r="AA68" s="30">
        <f>IF(Z68="Fragmented with Low ROE",-5,IF(Z68="Fragmented with High ROE",10,IF(Z68= "highly cyclical",5,0)))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Headwind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Consistency)",15,IF(AF68="Shallow Cyclical (2 to 3 years growth)",10,IF(AF68 = "Cyclical in an Uptick",5,IF(AF68 = "Cyclical in an Downtick",-10,0))))</f>
        <v/>
      </c>
      <c r="AH68" s="30" t="inlineStr">
        <is>
          <t>Yes</t>
        </is>
      </c>
      <c r="AI68" s="30">
        <f>IF(AH68="Yes",10,0)</f>
        <v/>
      </c>
      <c r="AJ68" s="30" t="inlineStr">
        <is>
          <t>Yes</t>
        </is>
      </c>
      <c r="AK68" s="30">
        <f>IF(AJ68="Yes",10,0)</f>
        <v/>
      </c>
      <c r="AL68" s="30" t="n"/>
      <c r="AM68" s="30">
        <f>IF(AL68="No",10,0)</f>
        <v/>
      </c>
      <c r="AN68" s="30" t="inlineStr">
        <is>
          <t>Yes</t>
        </is>
      </c>
      <c r="AO68" s="30">
        <f>IF(AN68="Yes",10,0)</f>
        <v/>
      </c>
      <c r="AP68" s="30" t="inlineStr">
        <is>
          <t>No</t>
        </is>
      </c>
      <c r="AQ68" s="30">
        <f>IF(AP68="Yes",10,0)</f>
        <v/>
      </c>
      <c r="AR68" s="30" t="inlineStr">
        <is>
          <t>Yes</t>
        </is>
      </c>
      <c r="AS68" s="30">
        <f>IF(AR68="Yes",5,0)</f>
        <v/>
      </c>
      <c r="AT68" s="30" t="inlineStr">
        <is>
          <t>No</t>
        </is>
      </c>
      <c r="AU68" s="30">
        <f>IF(AT68="No",10,IF(AT68="Yes",-10,0))</f>
        <v/>
      </c>
      <c r="AV68" s="30" t="inlineStr">
        <is>
          <t>No</t>
        </is>
      </c>
      <c r="AW68" s="30">
        <f>IF(AV68="No",10,0)</f>
        <v/>
      </c>
      <c r="AX68" s="30" t="inlineStr">
        <is>
          <t>No</t>
        </is>
      </c>
      <c r="AY68" s="30">
        <f>IF(AX68="No",10,IF(AX68= "Yes CEO Resignation",-5,0))</f>
        <v/>
      </c>
      <c r="AZ68" s="30" t="inlineStr">
        <is>
          <t>No</t>
        </is>
      </c>
      <c r="BA68" s="30">
        <f>IF(AZ68="No",10,IF(AZ68="Yes",-5,0))</f>
        <v/>
      </c>
      <c r="BB68" s="30" t="inlineStr">
        <is>
          <t>No</t>
        </is>
      </c>
      <c r="BC68" s="30">
        <f>IF(BB68="No",5,IF(BB68="Yes",-5,0))</f>
        <v/>
      </c>
      <c r="BD68" s="30" t="inlineStr">
        <is>
          <t>Yes</t>
        </is>
      </c>
      <c r="BE68" s="30">
        <f>IF(BD68="Yes",10,0)</f>
        <v/>
      </c>
      <c r="BF68" s="30" t="inlineStr">
        <is>
          <t>Yes</t>
        </is>
      </c>
      <c r="BG68" s="30">
        <f>IF(BF68="Yes",10,0)</f>
        <v/>
      </c>
      <c r="BH68" s="30" t="inlineStr">
        <is>
          <t>Yes</t>
        </is>
      </c>
      <c r="BI68" s="30">
        <f>IF(BH68="Yes",10,0)</f>
        <v/>
      </c>
      <c r="BJ68" s="30" t="inlineStr">
        <is>
          <t>P/BV above 5x</t>
        </is>
      </c>
      <c r="BK68" s="30">
        <f>IF(BJ68="P/BV less than 2.5x and Growth more than 20%",20,IF(BJ68 = "P/BV less than 2.5x and Growth less than 20%",5,IF(BJ68="P/BV between 2.5x to 5x and Growth more than 20%",10,IF(BJ68= "P/BV between 2.5x to 5x and Growth less than 20%",-5,IF(BJ68= "P/BV above 5x",-5,0)))))</f>
        <v/>
      </c>
      <c r="BL68" s="30" t="inlineStr">
        <is>
          <t>20 to 40</t>
        </is>
      </c>
      <c r="BM68" s="30">
        <f>IF(BL68="Above 40",20,IF(BL68="20 to 40",10,IF(BL68="0 to 20",-5,0)))</f>
        <v/>
      </c>
      <c r="BN68" s="30" t="inlineStr">
        <is>
          <t>Between 50 to 75</t>
        </is>
      </c>
      <c r="BO68" s="30">
        <f>IF(BN68="Between 50 to 75",10,IF(BN68="Above 75",0,0))</f>
        <v/>
      </c>
      <c r="BP68" s="30" t="inlineStr">
        <is>
          <t>Stage 1</t>
        </is>
      </c>
      <c r="BQ68" s="30">
        <f>IF(BP68="Stage 2",20,IF(BP68="Stage 1",0,IF(BP68="Stage 3",5,IF(BP68="Stage 4",-5,0))))</f>
        <v/>
      </c>
      <c r="BR68" s="30" t="inlineStr">
        <is>
          <t>Positive Trend</t>
        </is>
      </c>
      <c r="BS68" s="30">
        <f>IF(BR68="Positive Trend",20,IF(BR68="Negative Trend",-10,0))</f>
        <v/>
      </c>
      <c r="BT68" s="30" t="inlineStr">
        <is>
          <t>Uptrend</t>
        </is>
      </c>
      <c r="BU68" s="30">
        <f>IF(BT68="Uptrend",10,IF(BT68="Sideways",5,0))</f>
        <v/>
      </c>
      <c r="BV68" s="30" t="inlineStr">
        <is>
          <t>Uptrend</t>
        </is>
      </c>
      <c r="BW68" s="30">
        <f>IF(BV68="Uptrend",10,IF(BV68="Sideways",5,0))</f>
        <v/>
      </c>
      <c r="BX68" s="30" t="inlineStr">
        <is>
          <t>Close to 52 week high or retracement</t>
        </is>
      </c>
      <c r="BY68" s="30">
        <f>IF(BX68="Overhead supply in last 2 years in last 2 years",-5,IF(BX68="Close to 52 week high or retracement",5,IF(BX68="Blue sky scenario",10,IF(BX68="Long term Downtrend",-10,0))))</f>
        <v/>
      </c>
      <c r="BZ68" s="30" t="inlineStr">
        <is>
          <t>Yes</t>
        </is>
      </c>
      <c r="CA68" s="30">
        <f>IF(BZ68="Yes",10,0)</f>
        <v/>
      </c>
    </row>
    <row r="69">
      <c r="A69" s="30">
        <f>IF(B69=0,"",RANK(B69,$B$2:$B$72,0))</f>
        <v/>
      </c>
      <c r="B69" s="31">
        <f>SUM(N69,Y69,AA69,AC69,AE69,AG69,AI69,AK69,AM69,AO69,AQ69,AS69,AU69,AW69,AY69,BA69,BC69,BE69,BG69,BI69,BK69,BM69,BO69,BQ69,BS69,BU69,BW69,BY69,CA69)</f>
        <v/>
      </c>
      <c r="C69" s="30" t="inlineStr">
        <is>
          <t>AIIL</t>
        </is>
      </c>
      <c r="D69" s="30" t="inlineStr">
        <is>
          <t>Authum Investment &amp; Infrastructure Ltd</t>
        </is>
      </c>
      <c r="E69" s="30" t="inlineStr">
        <is>
          <t>financials</t>
        </is>
      </c>
      <c r="F69" s="30" t="inlineStr">
        <is>
          <t>finance &amp; investments</t>
        </is>
      </c>
      <c r="G69" s="30" t="inlineStr">
        <is>
          <t>largecap</t>
        </is>
      </c>
      <c r="H69" s="31" t="n">
        <v>46847.52</v>
      </c>
      <c r="I69" s="31" t="n">
        <v>548.75</v>
      </c>
      <c r="J69" s="31" t="n">
        <v>-0.53</v>
      </c>
      <c r="K69" s="31" t="n">
        <v>356580</v>
      </c>
      <c r="L69" s="30" t="n">
        <v>11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56.58</v>
      </c>
      <c r="P69" s="31" t="n">
        <v>11.21</v>
      </c>
      <c r="Q69" s="31" t="n">
        <v>386.8</v>
      </c>
      <c r="R69" s="30" t="inlineStr">
        <is>
          <t>Volume Spike / Accumulation</t>
        </is>
      </c>
      <c r="S69" s="30" t="inlineStr">
        <is>
          <t>Nifty Bank</t>
        </is>
      </c>
      <c r="T69" s="31" t="n">
        <v>2.37</v>
      </c>
      <c r="U69" s="31" t="n">
        <v>6.02</v>
      </c>
      <c r="V69" s="31" t="n">
        <v>3.57</v>
      </c>
      <c r="W69" s="31" t="n">
        <v>4.35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Fragmented with High ROE</t>
        </is>
      </c>
      <c r="AA69" s="30">
        <f>IF(Z69="Fragmented with Low ROE",-5,IF(Z69="Fragmented with High ROE",10,IF(Z69= "highly cyclical",5,0)))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Headwind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Consistency)",15,IF(AF69="Shallow Cyclical (2 to 3 years growth)",10,IF(AF69 = "Cyclical in an Uptick",5,IF(AF69 = "Cyclical in an Downtick",-10,0))))</f>
        <v/>
      </c>
      <c r="AH69" s="30" t="inlineStr">
        <is>
          <t>Yes</t>
        </is>
      </c>
      <c r="AI69" s="30">
        <f>IF(AH69="Yes",10,0)</f>
        <v/>
      </c>
      <c r="AJ69" s="30" t="inlineStr">
        <is>
          <t>Yes</t>
        </is>
      </c>
      <c r="AK69" s="30">
        <f>IF(AJ69="Yes",10,0)</f>
        <v/>
      </c>
      <c r="AL69" s="30" t="n"/>
      <c r="AM69" s="30">
        <f>IF(AL69="No",10,0)</f>
        <v/>
      </c>
      <c r="AN69" s="30" t="inlineStr">
        <is>
          <t>Yes</t>
        </is>
      </c>
      <c r="AO69" s="30">
        <f>IF(AN69="Yes",10,0)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Yes</t>
        </is>
      </c>
      <c r="AS69" s="30">
        <f>IF(AR69="Yes",5,0)</f>
        <v/>
      </c>
      <c r="AT69" s="30" t="inlineStr">
        <is>
          <t>No</t>
        </is>
      </c>
      <c r="AU69" s="30">
        <f>IF(AT69="No",10,IF(AT69="Yes",-10,0))</f>
        <v/>
      </c>
      <c r="AV69" s="30" t="inlineStr">
        <is>
          <t>No</t>
        </is>
      </c>
      <c r="AW69" s="30">
        <f>IF(AV69="No",10,0)</f>
        <v/>
      </c>
      <c r="AX69" s="30" t="inlineStr">
        <is>
          <t>No</t>
        </is>
      </c>
      <c r="AY69" s="30">
        <f>IF(AX69="No",10,IF(AX69= "Yes CEO Resignation",-5,0))</f>
        <v/>
      </c>
      <c r="AZ69" s="30" t="inlineStr">
        <is>
          <t>No</t>
        </is>
      </c>
      <c r="BA69" s="30">
        <f>IF(AZ69="No",10,IF(AZ69="Yes",-5,0))</f>
        <v/>
      </c>
      <c r="BB69" s="30" t="inlineStr">
        <is>
          <t>No</t>
        </is>
      </c>
      <c r="BC69" s="30">
        <f>IF(BB69="No",5,IF(BB69="Yes",-5,0))</f>
        <v/>
      </c>
      <c r="BD69" s="30" t="inlineStr">
        <is>
          <t>Yes</t>
        </is>
      </c>
      <c r="BE69" s="30">
        <f>IF(BD69="Yes",10,0)</f>
        <v/>
      </c>
      <c r="BF69" s="30" t="inlineStr">
        <is>
          <t>Yes</t>
        </is>
      </c>
      <c r="BG69" s="30">
        <f>IF(BF69="Yes",10,0)</f>
        <v/>
      </c>
      <c r="BH69" s="30" t="inlineStr">
        <is>
          <t>Yes</t>
        </is>
      </c>
      <c r="BI69" s="30">
        <f>IF(BH69="Yes",10,0)</f>
        <v/>
      </c>
      <c r="BJ69" s="30" t="inlineStr">
        <is>
          <t>P/BV between 2.5x to 5x and Growth less than 20%</t>
        </is>
      </c>
      <c r="BK69" s="30">
        <f>IF(BJ69="P/BV less than 2.5x and Growth more than 20%",20,IF(BJ69 = "P/BV less than 2.5x and Growth less than 20%",5,IF(BJ69="P/BV between 2.5x to 5x and Growth more than 20%",10,IF(BJ69= "P/BV between 2.5x to 5x and Growth less than 20%",-5,IF(BJ69= "P/BV above 5x",-5,0)))))</f>
        <v/>
      </c>
      <c r="BL69" s="30" t="inlineStr">
        <is>
          <t>0 to 20</t>
        </is>
      </c>
      <c r="BM69" s="30">
        <f>IF(BL69="Above 40",20,IF(BL69="20 to 40",10,IF(BL69="0 to 20",-5,0)))</f>
        <v/>
      </c>
      <c r="BN69" s="30" t="inlineStr">
        <is>
          <t>Between 50 to 75</t>
        </is>
      </c>
      <c r="BO69" s="30">
        <f>IF(BN69="Between 50 to 75",10,IF(BN69="Above 75",0,0))</f>
        <v/>
      </c>
      <c r="BP69" s="30" t="inlineStr">
        <is>
          <t>Stage 1</t>
        </is>
      </c>
      <c r="BQ69" s="30">
        <f>IF(BP69="Stage 2",20,IF(BP69="Stage 1",0,IF(BP69="Stage 3",5,IF(BP69="Stage 4",-5,0))))</f>
        <v/>
      </c>
      <c r="BR69" s="30" t="inlineStr">
        <is>
          <t>Positive Trend</t>
        </is>
      </c>
      <c r="BS69" s="30">
        <f>IF(BR69="Positive Trend",20,IF(BR69="Negative Trend",-10,0))</f>
        <v/>
      </c>
      <c r="BT69" s="30" t="inlineStr">
        <is>
          <t>Uptrend</t>
        </is>
      </c>
      <c r="BU69" s="30">
        <f>IF(BT69="Uptrend",10,IF(BT69="Sideways",5,0))</f>
        <v/>
      </c>
      <c r="BV69" s="30" t="inlineStr">
        <is>
          <t>Uptrend</t>
        </is>
      </c>
      <c r="BW69" s="30">
        <f>IF(BV69="Uptrend",10,IF(BV69="Sideways",5,0))</f>
        <v/>
      </c>
      <c r="BX69" s="30" t="inlineStr">
        <is>
          <t>Close to 52 week high or retracement</t>
        </is>
      </c>
      <c r="BY69" s="30">
        <f>IF(BX69="Overhead supply in last 2 years in last 2 years",-5,IF(BX69="Close to 52 week high or retracement",5,IF(BX69="Blue sky scenario",10,IF(BX69="Long term Downtrend",-10,0))))</f>
        <v/>
      </c>
      <c r="BZ69" s="30" t="inlineStr">
        <is>
          <t>Yes</t>
        </is>
      </c>
      <c r="CA69" s="30">
        <f>IF(BZ69="Yes",10,0)</f>
        <v/>
      </c>
    </row>
    <row r="70">
      <c r="A70" s="30">
        <f>IF(B70=0,"",RANK(B70,$B$2:$B$72,0))</f>
        <v/>
      </c>
      <c r="B70" s="31">
        <f>SUM(N70,Y70,AA70,AC70,AE70,AG70,AI70,AK70,AM70,AO70,AQ70,AS70,AU70,AW70,AY70,BA70,BC70,BE70,BG70,BI70,BK70,BM70,BO70,BQ70,BS70,BU70,BW70,BY70,CA70)</f>
        <v/>
      </c>
      <c r="C70" s="32" t="inlineStr">
        <is>
          <t>KOTAKBANK</t>
        </is>
      </c>
      <c r="D70" s="32" t="inlineStr">
        <is>
          <t>Kotak Mahindra Bank Limited</t>
        </is>
      </c>
      <c r="E70" s="30" t="inlineStr">
        <is>
          <t>bank</t>
        </is>
      </c>
      <c r="F70" s="30" t="inlineStr">
        <is>
          <t>banks - private sector</t>
        </is>
      </c>
      <c r="G70" s="30" t="inlineStr">
        <is>
          <t>largecap</t>
        </is>
      </c>
      <c r="H70" s="31" t="n">
        <v>81125.39</v>
      </c>
      <c r="I70" s="31" t="n">
        <v>404.5</v>
      </c>
      <c r="J70" s="31" t="n">
        <v>-0.82</v>
      </c>
      <c r="K70" s="31" t="n">
        <v>11654415</v>
      </c>
      <c r="L70" s="30" t="n">
        <v>1</v>
      </c>
      <c r="M70" s="30" t="inlineStr">
        <is>
          <t>Underperforming</t>
        </is>
      </c>
      <c r="N70" s="31">
        <f>IF(M70="Underperforming",-5,IF(L70&gt;=95,15,IF(L70&gt;=90,10,IF(L70&gt;=80,5,0))))</f>
        <v/>
      </c>
      <c r="O70" s="31" t="n">
        <v>54.57</v>
      </c>
      <c r="P70" s="31" t="n">
        <v>18.53</v>
      </c>
      <c r="Q70" s="31" t="n">
        <v>349.83</v>
      </c>
      <c r="R70" s="30" t="inlineStr">
        <is>
          <t>Earnings / Momentum Support</t>
        </is>
      </c>
      <c r="S70" s="30" t="inlineStr">
        <is>
          <t>Nifty Bank</t>
        </is>
      </c>
      <c r="T70" s="31" t="n">
        <v>2.37</v>
      </c>
      <c r="U70" s="31" t="n">
        <v>-6.68</v>
      </c>
      <c r="V70" s="31" t="n">
        <v>-8.84</v>
      </c>
      <c r="W70" s="31" t="n">
        <v>1.11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Fragmented with High ROE</t>
        </is>
      </c>
      <c r="AA70" s="30">
        <f>IF(Z70="Fragmented with Low ROE",-5,IF(Z70="Fragmented with High ROE",10,IF(Z70= "highly cyclical",5,0)))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Headwind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Consistency)",15,IF(AF70="Shallow Cyclical (2 to 3 years growth)",10,IF(AF70 = "Cyclical in an Uptick",5,IF(AF70 = "Cyclical in an Downtick",-10,0))))</f>
        <v/>
      </c>
      <c r="AH70" s="30" t="inlineStr">
        <is>
          <t>Yes</t>
        </is>
      </c>
      <c r="AI70" s="30">
        <f>IF(AH70="Yes",10,0)</f>
        <v/>
      </c>
      <c r="AJ70" s="30" t="inlineStr">
        <is>
          <t>Yes</t>
        </is>
      </c>
      <c r="AK70" s="30">
        <f>IF(AJ70="Yes",10,0)</f>
        <v/>
      </c>
      <c r="AL70" s="30" t="n"/>
      <c r="AM70" s="30">
        <f>IF(AL70="No",10,0)</f>
        <v/>
      </c>
      <c r="AN70" s="30" t="inlineStr">
        <is>
          <t>Yes</t>
        </is>
      </c>
      <c r="AO70" s="30">
        <f>IF(AN70="Yes",10,0)</f>
        <v/>
      </c>
      <c r="AP70" s="30" t="inlineStr">
        <is>
          <t>No</t>
        </is>
      </c>
      <c r="AQ70" s="30">
        <f>IF(AP70="Yes",10,0)</f>
        <v/>
      </c>
      <c r="AR70" s="30" t="inlineStr">
        <is>
          <t>Yes</t>
        </is>
      </c>
      <c r="AS70" s="30">
        <f>IF(AR70="Yes",5,0)</f>
        <v/>
      </c>
      <c r="AT70" s="30" t="inlineStr">
        <is>
          <t>No</t>
        </is>
      </c>
      <c r="AU70" s="30">
        <f>IF(AT70="No",10,IF(AT70="Yes",-10,0))</f>
        <v/>
      </c>
      <c r="AV70" s="30" t="inlineStr">
        <is>
          <t>No</t>
        </is>
      </c>
      <c r="AW70" s="30">
        <f>IF(AV70="No",10,0)</f>
        <v/>
      </c>
      <c r="AX70" s="30" t="inlineStr">
        <is>
          <t>No</t>
        </is>
      </c>
      <c r="AY70" s="30">
        <f>IF(AX70="No",10,IF(AX70= "Yes CEO Resignation",-5,0))</f>
        <v/>
      </c>
      <c r="AZ70" s="30" t="inlineStr">
        <is>
          <t>No</t>
        </is>
      </c>
      <c r="BA70" s="30">
        <f>IF(AZ70="No",10,IF(AZ70="Yes",-5,0))</f>
        <v/>
      </c>
      <c r="BB70" s="30" t="inlineStr">
        <is>
          <t>No</t>
        </is>
      </c>
      <c r="BC70" s="30">
        <f>IF(BB70="No",5,IF(BB70="Yes",-5,0))</f>
        <v/>
      </c>
      <c r="BD70" s="30" t="inlineStr">
        <is>
          <t>Yes</t>
        </is>
      </c>
      <c r="BE70" s="30">
        <f>IF(BD70="Yes",10,0)</f>
        <v/>
      </c>
      <c r="BF70" s="30" t="inlineStr">
        <is>
          <t>Yes</t>
        </is>
      </c>
      <c r="BG70" s="30">
        <f>IF(BF70="Yes",10,0)</f>
        <v/>
      </c>
      <c r="BH70" s="30" t="inlineStr">
        <is>
          <t>Yes</t>
        </is>
      </c>
      <c r="BI70" s="30">
        <f>IF(BH70="Yes",10,0)</f>
        <v/>
      </c>
      <c r="BJ70" s="30" t="inlineStr">
        <is>
          <t>P/BV less than 2.5x and Growth less than 20%</t>
        </is>
      </c>
      <c r="BK70" s="30">
        <f>IF(BJ70="P/BV less than 2.5x and Growth more than 20%",20,IF(BJ70 = "P/BV less than 2.5x and Growth less than 20%",5,IF(BJ70="P/BV between 2.5x to 5x and Growth more than 20%",10,IF(BJ70= "P/BV between 2.5x to 5x and Growth less than 20%",-5,IF(BJ70= "P/BV above 5x",-5,0)))))</f>
        <v/>
      </c>
      <c r="BL70" s="30" t="inlineStr">
        <is>
          <t>0 to 20</t>
        </is>
      </c>
      <c r="BM70" s="30">
        <f>IF(BL70="Above 40",20,IF(BL70="20 to 40",10,IF(BL70="0 to 20",-5,0)))</f>
        <v/>
      </c>
      <c r="BN70" s="30" t="inlineStr">
        <is>
          <t>Between 50 to 75</t>
        </is>
      </c>
      <c r="BO70" s="30">
        <f>IF(BN70="Between 50 to 75",10,IF(BN70="Above 75",0,0))</f>
        <v/>
      </c>
      <c r="BP70" s="30" t="inlineStr">
        <is>
          <t>Stage 1</t>
        </is>
      </c>
      <c r="BQ70" s="30">
        <f>IF(BP70="Stage 2",20,IF(BP70="Stage 1",0,IF(BP70="Stage 3",5,IF(BP70="Stage 4",-5,0))))</f>
        <v/>
      </c>
      <c r="BR70" s="30" t="inlineStr">
        <is>
          <t>Positive Trend</t>
        </is>
      </c>
      <c r="BS70" s="30">
        <f>IF(BR70="Positive Trend",20,IF(BR70="Negative Trend",-10,0))</f>
        <v/>
      </c>
      <c r="BT70" s="30" t="inlineStr">
        <is>
          <t>Uptrend</t>
        </is>
      </c>
      <c r="BU70" s="30">
        <f>IF(BT70="Uptrend",10,IF(BT70="Sideways",5,0))</f>
        <v/>
      </c>
      <c r="BV70" s="30" t="inlineStr">
        <is>
          <t>Uptrend</t>
        </is>
      </c>
      <c r="BW70" s="30">
        <f>IF(BV70="Uptrend",10,IF(BV70="Sideways",5,0))</f>
        <v/>
      </c>
      <c r="BX70" s="30" t="inlineStr">
        <is>
          <t>Close to 52 week high or retracement</t>
        </is>
      </c>
      <c r="BY70" s="30">
        <f>IF(BX70="Overhead supply in last 2 years in last 2 years",-5,IF(BX70="Close to 52 week high or retracement",5,IF(BX70="Blue sky scenario",10,IF(BX70="Long term Downtrend",-10,0))))</f>
        <v/>
      </c>
      <c r="BZ70" s="30" t="inlineStr">
        <is>
          <t>Yes</t>
        </is>
      </c>
      <c r="CA70" s="30">
        <f>IF(BZ70="Yes",10,0)</f>
        <v/>
      </c>
    </row>
    <row r="71">
      <c r="A71" s="30">
        <f>IF(B71=0,"",RANK(B71,$B$2:$B$72,0))</f>
        <v/>
      </c>
      <c r="B71" s="31">
        <f>SUM(N71,Y71,AA71,AC71,AE71,AG71,AI71,AK71,AM71,AO71,AQ71,AS71,AU71,AW71,AY71,BA71,BC71,BE71,BG71,BI71,BK71,BM71,BO71,BQ71,BS71,BU71,BW71,BY71,CA71)</f>
        <v/>
      </c>
      <c r="C71" s="30" t="inlineStr">
        <is>
          <t>BAJFINANCE</t>
        </is>
      </c>
      <c r="D71" s="30" t="inlineStr">
        <is>
          <t>Bajaj Finance Limited</t>
        </is>
      </c>
      <c r="E71" s="30" t="inlineStr">
        <is>
          <t>financials</t>
        </is>
      </c>
      <c r="F71" s="30" t="inlineStr">
        <is>
          <t>finance &amp; investments</t>
        </is>
      </c>
      <c r="G71" s="30" t="inlineStr">
        <is>
          <t>largecap</t>
        </is>
      </c>
      <c r="H71" s="31" t="n">
        <v>597140.47</v>
      </c>
      <c r="I71" s="31" t="n">
        <v>958.4</v>
      </c>
      <c r="J71" s="31" t="n">
        <v>-0.13</v>
      </c>
      <c r="K71" s="31" t="n">
        <v>5682977</v>
      </c>
      <c r="L71" s="30" t="n">
        <v>13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53.72</v>
      </c>
      <c r="P71" s="31" t="n">
        <v>13.57</v>
      </c>
      <c r="Q71" s="31" t="n">
        <v>783.28</v>
      </c>
      <c r="R71" s="30" t="inlineStr">
        <is>
          <t>Earnings / Momentum Support</t>
        </is>
      </c>
      <c r="S71" s="30" t="inlineStr">
        <is>
          <t>Nifty Bank</t>
        </is>
      </c>
      <c r="T71" s="31" t="n">
        <v>2.37</v>
      </c>
      <c r="U71" s="31" t="n">
        <v>5.9</v>
      </c>
      <c r="V71" s="31" t="n">
        <v>3.45</v>
      </c>
      <c r="W71" s="31" t="n">
        <v>4.88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Fragmented with High ROE</t>
        </is>
      </c>
      <c r="AA71" s="30">
        <f>IF(Z71="Fragmented with Low ROE",-5,IF(Z71="Fragmented with High ROE",10,IF(Z71= "highly cyclical",5,0)))</f>
        <v/>
      </c>
      <c r="AB71" s="30" t="inlineStr">
        <is>
          <t>Yes</t>
        </is>
      </c>
      <c r="AC71" s="30">
        <f>IF(AB71="No",5,0)</f>
        <v/>
      </c>
      <c r="AD71" s="30" t="inlineStr">
        <is>
          <t>Headwind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Consistency)",15,IF(AF71="Shallow Cyclical (2 to 3 years growth)",10,IF(AF71 = "Cyclical in an Uptick",5,IF(AF71 = "Cyclical in an Downtick",-10,0))))</f>
        <v/>
      </c>
      <c r="AH71" s="30" t="inlineStr">
        <is>
          <t>Yes</t>
        </is>
      </c>
      <c r="AI71" s="30">
        <f>IF(AH71="Yes",10,0)</f>
        <v/>
      </c>
      <c r="AJ71" s="30" t="inlineStr">
        <is>
          <t>Yes</t>
        </is>
      </c>
      <c r="AK71" s="30">
        <f>IF(AJ71="Yes",10,0)</f>
        <v/>
      </c>
      <c r="AL71" s="30" t="n"/>
      <c r="AM71" s="30">
        <f>IF(AL71="No",10,0)</f>
        <v/>
      </c>
      <c r="AN71" s="30" t="inlineStr">
        <is>
          <t>Yes</t>
        </is>
      </c>
      <c r="AO71" s="30">
        <f>IF(AN71="Yes",10,0)</f>
        <v/>
      </c>
      <c r="AP71" s="30" t="inlineStr">
        <is>
          <t>No</t>
        </is>
      </c>
      <c r="AQ71" s="30">
        <f>IF(AP71="Yes",10,0)</f>
        <v/>
      </c>
      <c r="AR71" s="30" t="inlineStr">
        <is>
          <t>Yes</t>
        </is>
      </c>
      <c r="AS71" s="30">
        <f>IF(AR71="Yes",5,0)</f>
        <v/>
      </c>
      <c r="AT71" s="30" t="inlineStr">
        <is>
          <t>No</t>
        </is>
      </c>
      <c r="AU71" s="30">
        <f>IF(AT71="No",10,IF(AT71="Yes",-10,0))</f>
        <v/>
      </c>
      <c r="AV71" s="30" t="inlineStr">
        <is>
          <t>No</t>
        </is>
      </c>
      <c r="AW71" s="30">
        <f>IF(AV71="No",10,0)</f>
        <v/>
      </c>
      <c r="AX71" s="30" t="inlineStr">
        <is>
          <t>No</t>
        </is>
      </c>
      <c r="AY71" s="30">
        <f>IF(AX71="No",10,IF(AX71= "Yes CEO Resignation",-5,0))</f>
        <v/>
      </c>
      <c r="AZ71" s="30" t="inlineStr">
        <is>
          <t>No</t>
        </is>
      </c>
      <c r="BA71" s="30">
        <f>IF(AZ71="No",10,IF(AZ71="Yes",-5,0))</f>
        <v/>
      </c>
      <c r="BB71" s="30" t="inlineStr">
        <is>
          <t>No</t>
        </is>
      </c>
      <c r="BC71" s="30">
        <f>IF(BB71="No",5,IF(BB71="Yes",-5,0))</f>
        <v/>
      </c>
      <c r="BD71" s="30" t="inlineStr">
        <is>
          <t>Yes</t>
        </is>
      </c>
      <c r="BE71" s="30">
        <f>IF(BD71="Yes",10,0)</f>
        <v/>
      </c>
      <c r="BF71" s="30" t="inlineStr">
        <is>
          <t>Yes</t>
        </is>
      </c>
      <c r="BG71" s="30">
        <f>IF(BF71="Yes",10,0)</f>
        <v/>
      </c>
      <c r="BH71" s="30" t="inlineStr">
        <is>
          <t>Yes</t>
        </is>
      </c>
      <c r="BI71" s="30">
        <f>IF(BH71="Yes",10,0)</f>
        <v/>
      </c>
      <c r="BJ71" s="30" t="inlineStr">
        <is>
          <t>P/BV above 5x</t>
        </is>
      </c>
      <c r="BK71" s="30">
        <f>IF(BJ71="P/BV less than 2.5x and Growth more than 20%",20,IF(BJ71 = "P/BV less than 2.5x and Growth less than 20%",5,IF(BJ71="P/BV between 2.5x to 5x and Growth more than 20%",10,IF(BJ71= "P/BV between 2.5x to 5x and Growth less than 20%",-5,IF(BJ71= "P/BV above 5x",-5,0)))))</f>
        <v/>
      </c>
      <c r="BL71" s="30" t="inlineStr">
        <is>
          <t>0 to 20</t>
        </is>
      </c>
      <c r="BM71" s="30">
        <f>IF(BL71="Above 40",20,IF(BL71="20 to 40",10,IF(BL71="0 to 20",-5,0)))</f>
        <v/>
      </c>
      <c r="BN71" s="30" t="inlineStr">
        <is>
          <t>Between 50 to 75</t>
        </is>
      </c>
      <c r="BO71" s="30">
        <f>IF(BN71="Between 50 to 75",10,IF(BN71="Above 75",0,0))</f>
        <v/>
      </c>
      <c r="BP71" s="30" t="inlineStr">
        <is>
          <t>Stage 1</t>
        </is>
      </c>
      <c r="BQ71" s="30">
        <f>IF(BP71="Stage 2",20,IF(BP71="Stage 1",0,IF(BP71="Stage 3",5,IF(BP71="Stage 4",-5,0))))</f>
        <v/>
      </c>
      <c r="BR71" s="30" t="inlineStr">
        <is>
          <t>Positive Trend</t>
        </is>
      </c>
      <c r="BS71" s="30">
        <f>IF(BR71="Positive Trend",20,IF(BR71="Negative Trend",-10,0))</f>
        <v/>
      </c>
      <c r="BT71" s="30" t="inlineStr">
        <is>
          <t>Uptrend</t>
        </is>
      </c>
      <c r="BU71" s="30">
        <f>IF(BT71="Uptrend",10,IF(BT71="Sideways",5,0))</f>
        <v/>
      </c>
      <c r="BV71" s="30" t="inlineStr">
        <is>
          <t>Uptrend</t>
        </is>
      </c>
      <c r="BW71" s="30">
        <f>IF(BV71="Uptrend",10,IF(BV71="Sideways",5,0))</f>
        <v/>
      </c>
      <c r="BX71" s="30" t="inlineStr">
        <is>
          <t>Close to 52 week high or retracement</t>
        </is>
      </c>
      <c r="BY71" s="30">
        <f>IF(BX71="Overhead supply in last 2 years in last 2 years",-5,IF(BX71="Close to 52 week high or retracement",5,IF(BX71="Blue sky scenario",10,IF(BX71="Long term Downtrend",-10,0))))</f>
        <v/>
      </c>
      <c r="BZ71" s="30" t="inlineStr">
        <is>
          <t>Yes</t>
        </is>
      </c>
      <c r="CA71" s="30">
        <f>IF(BZ71="Yes",10,0)</f>
        <v/>
      </c>
    </row>
    <row r="72">
      <c r="A72" s="30">
        <f>IF(B72=0,"",RANK(B72,$B$2:$B$72,0))</f>
        <v/>
      </c>
      <c r="B72" s="31">
        <f>SUM(N72,Y72,AA72,AC72,AE72,AG72,AI72,AK72,AM72,AO72,AQ72,AS72,AU72,AW72,AY72,BA72,BC72,BE72,BG72,BI72,BK72,BM72,BO72,BQ72,BS72,BU72,BW72,BY72,CA72)</f>
        <v/>
      </c>
      <c r="C72" s="32" t="inlineStr">
        <is>
          <t>ICICIBANK</t>
        </is>
      </c>
      <c r="D72" s="32" t="inlineStr">
        <is>
          <t>Icici Bank Limited</t>
        </is>
      </c>
      <c r="E72" s="30" t="inlineStr">
        <is>
          <t>bank</t>
        </is>
      </c>
      <c r="F72" s="30" t="inlineStr">
        <is>
          <t>banks - private sector</t>
        </is>
      </c>
      <c r="G72" s="30" t="inlineStr">
        <is>
          <t>largecap</t>
        </is>
      </c>
      <c r="H72" s="31" t="n">
        <v>955373.8199999999</v>
      </c>
      <c r="I72" s="31" t="n">
        <v>1336.8</v>
      </c>
      <c r="J72" s="31" t="n">
        <v>0.19</v>
      </c>
      <c r="K72" s="31" t="n">
        <v>8026424</v>
      </c>
      <c r="L72" s="30" t="n">
        <v>1</v>
      </c>
      <c r="M72" s="30" t="inlineStr">
        <is>
          <t>Underperforming</t>
        </is>
      </c>
      <c r="N72" s="31">
        <f>IF(M72="Underperforming",-5,IF(L72&gt;=95,15,IF(L72&gt;=90,10,IF(L72&gt;=80,5,0))))</f>
        <v/>
      </c>
      <c r="O72" s="31" t="n">
        <v>53.18</v>
      </c>
      <c r="P72" s="31" t="n">
        <v>15.07</v>
      </c>
      <c r="Q72" s="31" t="n">
        <v>1172.5</v>
      </c>
      <c r="R72" s="30" t="inlineStr">
        <is>
          <t>Earnings / Momentum Support</t>
        </is>
      </c>
      <c r="S72" s="30" t="inlineStr">
        <is>
          <t>Nifty Bank</t>
        </is>
      </c>
      <c r="T72" s="31" t="n">
        <v>2.37</v>
      </c>
      <c r="U72" s="31" t="n">
        <v>-5.6</v>
      </c>
      <c r="V72" s="31" t="n">
        <v>-7.79</v>
      </c>
      <c r="W72" s="31" t="n">
        <v>0.45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Fragmented with High ROE</t>
        </is>
      </c>
      <c r="AA72" s="30">
        <f>IF(Z72="Fragmented with Low ROE",-5,IF(Z72="Fragmented with High ROE",10,IF(Z72= "highly cyclical",5,0)))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Headwind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Consistency)",15,IF(AF72="Shallow Cyclical (2 to 3 years growth)",10,IF(AF72 = "Cyclical in an Uptick",5,IF(AF72 = "Cyclical in an Downtick",-10,0))))</f>
        <v/>
      </c>
      <c r="AH72" s="30" t="inlineStr">
        <is>
          <t>Yes</t>
        </is>
      </c>
      <c r="AI72" s="30">
        <f>IF(AH72="Yes",10,0)</f>
        <v/>
      </c>
      <c r="AJ72" s="30" t="inlineStr">
        <is>
          <t>Yes</t>
        </is>
      </c>
      <c r="AK72" s="30">
        <f>IF(AJ72="Yes",10,0)</f>
        <v/>
      </c>
      <c r="AL72" s="30" t="n"/>
      <c r="AM72" s="30">
        <f>IF(AL72="No",10,0)</f>
        <v/>
      </c>
      <c r="AN72" s="30" t="inlineStr">
        <is>
          <t>Yes</t>
        </is>
      </c>
      <c r="AO72" s="30">
        <f>IF(AN72="Yes",10,0)</f>
        <v/>
      </c>
      <c r="AP72" s="30" t="inlineStr">
        <is>
          <t>No</t>
        </is>
      </c>
      <c r="AQ72" s="30">
        <f>IF(AP72="Yes",10,0)</f>
        <v/>
      </c>
      <c r="AR72" s="30" t="inlineStr">
        <is>
          <t>Yes</t>
        </is>
      </c>
      <c r="AS72" s="30">
        <f>IF(AR72="Yes",5,0)</f>
        <v/>
      </c>
      <c r="AT72" s="30" t="inlineStr">
        <is>
          <t>No</t>
        </is>
      </c>
      <c r="AU72" s="30">
        <f>IF(AT72="No",10,IF(AT72="Yes",-10,0))</f>
        <v/>
      </c>
      <c r="AV72" s="30" t="inlineStr">
        <is>
          <t>No</t>
        </is>
      </c>
      <c r="AW72" s="30">
        <f>IF(AV72="No",10,0)</f>
        <v/>
      </c>
      <c r="AX72" s="30" t="inlineStr">
        <is>
          <t>No</t>
        </is>
      </c>
      <c r="AY72" s="30">
        <f>IF(AX72="No",10,IF(AX72= "Yes CEO Resignation",-5,0))</f>
        <v/>
      </c>
      <c r="AZ72" s="30" t="inlineStr">
        <is>
          <t>No</t>
        </is>
      </c>
      <c r="BA72" s="30">
        <f>IF(AZ72="No",10,IF(AZ72="Yes",-5,0))</f>
        <v/>
      </c>
      <c r="BB72" s="30" t="inlineStr">
        <is>
          <t>No</t>
        </is>
      </c>
      <c r="BC72" s="30">
        <f>IF(BB72="No",5,IF(BB72="Yes",-5,0))</f>
        <v/>
      </c>
      <c r="BD72" s="30" t="inlineStr">
        <is>
          <t>Yes</t>
        </is>
      </c>
      <c r="BE72" s="30">
        <f>IF(BD72="Yes",10,0)</f>
        <v/>
      </c>
      <c r="BF72" s="30" t="inlineStr">
        <is>
          <t>Yes</t>
        </is>
      </c>
      <c r="BG72" s="30">
        <f>IF(BF72="Yes",10,0)</f>
        <v/>
      </c>
      <c r="BH72" s="30" t="inlineStr">
        <is>
          <t>Yes</t>
        </is>
      </c>
      <c r="BI72" s="30">
        <f>IF(BH72="Yes",10,0)</f>
        <v/>
      </c>
      <c r="BJ72" s="30" t="inlineStr">
        <is>
          <t>P/BV between 2.5x to 5x and Growth less than 20%</t>
        </is>
      </c>
      <c r="BK72" s="30">
        <f>IF(BJ72="P/BV less than 2.5x and Growth more than 20%",20,IF(BJ72 = "P/BV less than 2.5x and Growth less than 20%",5,IF(BJ72="P/BV between 2.5x to 5x and Growth more than 20%",10,IF(BJ72= "P/BV between 2.5x to 5x and Growth less than 20%",-5,IF(BJ72= "P/BV above 5x",-5,0)))))</f>
        <v/>
      </c>
      <c r="BL72" s="30" t="inlineStr">
        <is>
          <t>0 to 20</t>
        </is>
      </c>
      <c r="BM72" s="30">
        <f>IF(BL72="Above 40",20,IF(BL72="20 to 40",10,IF(BL72="0 to 20",-5,0)))</f>
        <v/>
      </c>
      <c r="BN72" s="30" t="inlineStr">
        <is>
          <t>Between 50 to 75</t>
        </is>
      </c>
      <c r="BO72" s="30">
        <f>IF(BN72="Between 50 to 75",10,IF(BN72="Above 75",0,0))</f>
        <v/>
      </c>
      <c r="BP72" s="30" t="inlineStr">
        <is>
          <t>Stage 1</t>
        </is>
      </c>
      <c r="BQ72" s="30">
        <f>IF(BP72="Stage 2",20,IF(BP72="Stage 1",0,IF(BP72="Stage 3",5,IF(BP72="Stage 4",-5,0))))</f>
        <v/>
      </c>
      <c r="BR72" s="30" t="inlineStr">
        <is>
          <t>Positive Trend</t>
        </is>
      </c>
      <c r="BS72" s="30">
        <f>IF(BR72="Positive Trend",20,IF(BR72="Negative Trend",-10,0))</f>
        <v/>
      </c>
      <c r="BT72" s="30" t="inlineStr">
        <is>
          <t>Uptrend</t>
        </is>
      </c>
      <c r="BU72" s="30">
        <f>IF(BT72="Uptrend",10,IF(BT72="Sideways",5,0))</f>
        <v/>
      </c>
      <c r="BV72" s="30" t="inlineStr">
        <is>
          <t>Uptrend</t>
        </is>
      </c>
      <c r="BW72" s="30">
        <f>IF(BV72="Uptrend",10,IF(BV72="Sideways",5,0))</f>
        <v/>
      </c>
      <c r="BX72" s="30" t="inlineStr">
        <is>
          <t>Close to 52 week high or retracement</t>
        </is>
      </c>
      <c r="BY72" s="30">
        <f>IF(BX72="Overhead supply in last 2 years in last 2 years",-5,IF(BX72="Close to 52 week high or retracement",5,IF(BX72="Blue sky scenario",10,IF(BX72="Long term Downtrend",-10,0))))</f>
        <v/>
      </c>
      <c r="BZ72" s="30" t="inlineStr">
        <is>
          <t>Yes</t>
        </is>
      </c>
      <c r="CA72" s="30">
        <f>IF(BZ72="Yes",10,0)</f>
        <v/>
      </c>
    </row>
  </sheetData>
  <autoFilter ref="A1:CA72"/>
  <conditionalFormatting sqref="B2:B7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72">
    <cfRule type="cellIs" priority="34" operator="equal" dxfId="3" stopIfTrue="1">
      <formula>"Underperforming"</formula>
    </cfRule>
  </conditionalFormatting>
  <conditionalFormatting sqref="N2:N72">
    <cfRule type="cellIs" priority="35" operator="equal" dxfId="3" stopIfTrue="1">
      <formula>-5</formula>
    </cfRule>
  </conditionalFormatting>
  <conditionalFormatting sqref="Q2:Q72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72" showDropDown="0" showInputMessage="0" showErrorMessage="0" allowBlank="1" type="list">
      <formula1>"Growing Industry,Stagnant Industry,Cyclical in an Upturn"</formula1>
    </dataValidation>
    <dataValidation sqref="Z2:Z72" showDropDown="0" showInputMessage="0" showErrorMessage="0" allowBlank="1" type="list">
      <formula1>"Fragmented with Low ROE,Fragmented with High ROE,Highly Cyclical"</formula1>
    </dataValidation>
    <dataValidation sqref="AB2:AB72" showDropDown="0" showInputMessage="0" showErrorMessage="0" allowBlank="1" type="list">
      <formula1>"Yes,No"</formula1>
    </dataValidation>
    <dataValidation sqref="AD2:AD72" showDropDown="0" showInputMessage="0" showErrorMessage="0" allowBlank="1" type="list">
      <formula1>"Tailwind,Headwind"</formula1>
    </dataValidation>
    <dataValidation sqref="AF2:AF7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2" showDropDown="0" showInputMessage="0" showErrorMessage="0" allowBlank="1" type="list">
      <formula1>"Yes,No"</formula1>
    </dataValidation>
    <dataValidation sqref="AJ2:AJ72" showDropDown="0" showInputMessage="0" showErrorMessage="0" allowBlank="1" type="list">
      <formula1>"Yes,No,Not Applicable"</formula1>
    </dataValidation>
    <dataValidation sqref="AL2:AL72" showDropDown="0" showInputMessage="0" showErrorMessage="0" allowBlank="1" type="list">
      <formula1>"Yes,No"</formula1>
    </dataValidation>
    <dataValidation sqref="AN2:AN72" showDropDown="0" showInputMessage="0" showErrorMessage="0" allowBlank="1" type="list">
      <formula1>"Yes,No"</formula1>
    </dataValidation>
    <dataValidation sqref="AP2:AP72" showDropDown="0" showInputMessage="0" showErrorMessage="0" allowBlank="1" type="list">
      <formula1>"Yes,No"</formula1>
    </dataValidation>
    <dataValidation sqref="AR2:AR72" showDropDown="0" showInputMessage="0" showErrorMessage="0" allowBlank="1" type="list">
      <formula1>"Yes,No"</formula1>
    </dataValidation>
    <dataValidation sqref="AT2:AT72" showDropDown="0" showInputMessage="0" showErrorMessage="0" allowBlank="1" type="list">
      <formula1>"No,Yes"</formula1>
    </dataValidation>
    <dataValidation sqref="AV2:AV72" showDropDown="0" showInputMessage="0" showErrorMessage="0" allowBlank="1" type="list">
      <formula1>"No,Yes"</formula1>
    </dataValidation>
    <dataValidation sqref="AX2:AX72" showDropDown="0" showInputMessage="0" showErrorMessage="0" allowBlank="1" type="list">
      <formula1>"No,Yes CEO Resignation,Yes CEO Retirement"</formula1>
    </dataValidation>
    <dataValidation sqref="AZ2:AZ72" showDropDown="0" showInputMessage="0" showErrorMessage="0" allowBlank="1" type="list">
      <formula1>"No,Yes"</formula1>
    </dataValidation>
    <dataValidation sqref="BB2:BB72" showDropDown="0" showInputMessage="0" showErrorMessage="0" allowBlank="1" type="list">
      <formula1>"No,Yes"</formula1>
    </dataValidation>
    <dataValidation sqref="BD2:BD72" showDropDown="0" showInputMessage="0" showErrorMessage="0" allowBlank="1" type="list">
      <formula1>"Yes,No"</formula1>
    </dataValidation>
    <dataValidation sqref="BF2:BF72" showDropDown="0" showInputMessage="0" showErrorMessage="0" allowBlank="1" type="list">
      <formula1>"Yes,No"</formula1>
    </dataValidation>
    <dataValidation sqref="BH2:BH72" showDropDown="0" showInputMessage="0" showErrorMessage="0" allowBlank="1" type="list">
      <formula1>"Yes,No"</formula1>
    </dataValidation>
    <dataValidation sqref="BJ2:BJ7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2" showDropDown="0" showInputMessage="0" showErrorMessage="0" allowBlank="1" type="list">
      <formula1>"Above 40,20 to 40,0 to 20"</formula1>
    </dataValidation>
    <dataValidation sqref="BN2:BN72" showDropDown="0" showInputMessage="0" showErrorMessage="0" allowBlank="1" type="list">
      <formula1>"Between 50 to 75,Above 75,Below 45"</formula1>
    </dataValidation>
    <dataValidation sqref="BP2:BP72" showDropDown="0" showInputMessage="0" showErrorMessage="0" allowBlank="1" type="list">
      <formula1>"Stage 1,Stage 2,Stage 3,Stage 4"</formula1>
    </dataValidation>
    <dataValidation sqref="BR2:BR72" showDropDown="0" showInputMessage="0" showErrorMessage="0" allowBlank="1" type="list">
      <formula1>"Positive Trend,Negative Trend"</formula1>
    </dataValidation>
    <dataValidation sqref="BT2:BT72" showDropDown="0" showInputMessage="0" showErrorMessage="0" allowBlank="1" type="list">
      <formula1>"Uptrend,Sideways,Downtrend"</formula1>
    </dataValidation>
    <dataValidation sqref="BV2:BV72" showDropDown="0" showInputMessage="0" showErrorMessage="0" allowBlank="1" type="list">
      <formula1>"Uptrend,Sideways,Downtrend"</formula1>
    </dataValidation>
    <dataValidation sqref="BX2:BX7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8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IF(B2=0,"",RANK(B2,$B$2:$B$18,0))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139.2</v>
      </c>
      <c r="E2" s="31" t="inlineStr">
        <is>
          <t>5%</t>
        </is>
      </c>
      <c r="F2" s="31" t="n">
        <v>50000</v>
      </c>
      <c r="G2" s="31" t="n">
        <v>457</v>
      </c>
      <c r="H2" s="30" t="inlineStr">
        <is>
          <t>BLUSPRING</t>
        </is>
      </c>
      <c r="I2" s="30" t="inlineStr">
        <is>
          <t>Bluspring Enterprises Ltd</t>
        </is>
      </c>
      <c r="J2" s="30" t="inlineStr">
        <is>
          <t>miscellaneous</t>
        </is>
      </c>
      <c r="K2" s="30" t="inlineStr">
        <is>
          <t>diversified - large</t>
        </is>
      </c>
      <c r="L2" s="30" t="inlineStr">
        <is>
          <t>smallcap</t>
        </is>
      </c>
      <c r="M2" s="31" t="n">
        <v>1369.33</v>
      </c>
      <c r="N2" s="31" t="n">
        <v>109.35</v>
      </c>
      <c r="O2" s="31" t="n">
        <v>19.09</v>
      </c>
      <c r="P2" s="31" t="n">
        <v>12171273</v>
      </c>
      <c r="Q2" s="30" t="n">
        <v>95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74.5</v>
      </c>
      <c r="U2" s="31" t="n">
        <v>34.2</v>
      </c>
      <c r="V2" s="31" t="n">
        <v>79.48</v>
      </c>
      <c r="W2" s="30" t="inlineStr">
        <is>
          <t>Volume Spike &amp; Near 52W High Breakout</t>
        </is>
      </c>
      <c r="X2" s="30" t="inlineStr">
        <is>
          <t>Nifty 50</t>
        </is>
      </c>
      <c r="Y2" s="31" t="n">
        <v>-4.09</v>
      </c>
      <c r="Z2" s="31" t="n">
        <v>52.3</v>
      </c>
      <c r="AA2" s="31" t="n">
        <v>58.79</v>
      </c>
      <c r="AB2" s="31" t="n">
        <v>48.9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20 to 40</t>
        </is>
      </c>
      <c r="BD2" s="30">
        <f>IF(BC2="Above 40",20,IF(BC2="20 to 40",10,IF(BC2="0 to 20",-5,0)))</f>
        <v/>
      </c>
      <c r="BE2" s="30" t="inlineStr">
        <is>
          <t>Between 50 to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Between 50% to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IF(B3=0,"",RANK(B3,$B$2:$B$18,0))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138.6</v>
      </c>
      <c r="E3" s="31" t="inlineStr">
        <is>
          <t>5%</t>
        </is>
      </c>
      <c r="F3" s="31" t="n">
        <v>50000</v>
      </c>
      <c r="G3" s="31" t="n">
        <v>15</v>
      </c>
      <c r="H3" s="30" t="inlineStr">
        <is>
          <t>STYLAMIND</t>
        </is>
      </c>
      <c r="I3" s="30" t="inlineStr">
        <is>
          <t>Stylam Industries Ltd</t>
        </is>
      </c>
      <c r="J3" s="30" t="inlineStr">
        <is>
          <t>building materials</t>
        </is>
      </c>
      <c r="K3" s="30" t="inlineStr">
        <is>
          <t>miscellaneous</t>
        </is>
      </c>
      <c r="L3" s="30" t="inlineStr">
        <is>
          <t>midcap</t>
        </is>
      </c>
      <c r="M3" s="31" t="n">
        <v>5514.39</v>
      </c>
      <c r="N3" s="31" t="n">
        <v>3293.9</v>
      </c>
      <c r="O3" s="31" t="n">
        <v>1.24</v>
      </c>
      <c r="P3" s="31" t="n">
        <v>16165</v>
      </c>
      <c r="Q3" s="30" t="n">
        <v>81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91.29000000000001</v>
      </c>
      <c r="U3" s="31" t="n">
        <v>59.6</v>
      </c>
      <c r="V3" s="31" t="n">
        <v>2816.03</v>
      </c>
      <c r="W3" s="30" t="inlineStr">
        <is>
          <t>Near 52W High Breakout</t>
        </is>
      </c>
      <c r="X3" s="30" t="inlineStr">
        <is>
          <t>Nifty Infra</t>
        </is>
      </c>
      <c r="Y3" s="31" t="n">
        <v>3.72</v>
      </c>
      <c r="Z3" s="31" t="n">
        <v>100.1</v>
      </c>
      <c r="AA3" s="31" t="n">
        <v>92.93000000000001</v>
      </c>
      <c r="AB3" s="31" t="n">
        <v>26.22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IF(B4=0,"",RANK(B4,$B$2:$B$18,0))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139.5</v>
      </c>
      <c r="E4" s="31" t="inlineStr">
        <is>
          <t>5%</t>
        </is>
      </c>
      <c r="F4" s="31" t="n">
        <v>50000</v>
      </c>
      <c r="G4" s="31" t="n">
        <v>105</v>
      </c>
      <c r="H4" s="30" t="inlineStr">
        <is>
          <t>BLISSGVS</t>
        </is>
      </c>
      <c r="I4" s="30" t="inlineStr">
        <is>
          <t>Bliss Gvs Pharma Limited</t>
        </is>
      </c>
      <c r="J4" s="30" t="inlineStr">
        <is>
          <t>healthcare</t>
        </is>
      </c>
      <c r="K4" s="30" t="inlineStr">
        <is>
          <t>pharmaceuticals - indian - formulations</t>
        </is>
      </c>
      <c r="L4" s="30" t="inlineStr">
        <is>
          <t>smallcap</t>
        </is>
      </c>
      <c r="M4" s="31" t="n">
        <v>4780.6</v>
      </c>
      <c r="N4" s="31" t="n">
        <v>474.85</v>
      </c>
      <c r="O4" s="31" t="n">
        <v>5.08</v>
      </c>
      <c r="P4" s="31" t="n">
        <v>1969782</v>
      </c>
      <c r="Q4" s="30" t="n">
        <v>96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89.90000000000001</v>
      </c>
      <c r="U4" s="31" t="n">
        <v>63.47</v>
      </c>
      <c r="V4" s="31" t="n">
        <v>366.04</v>
      </c>
      <c r="W4" s="30" t="inlineStr">
        <is>
          <t>Near 52W High Breakout</t>
        </is>
      </c>
      <c r="X4" s="30" t="inlineStr">
        <is>
          <t>Nifty Pharma</t>
        </is>
      </c>
      <c r="Y4" s="31" t="n">
        <v>11.72</v>
      </c>
      <c r="Z4" s="31" t="n">
        <v>244.84</v>
      </c>
      <c r="AA4" s="31" t="n">
        <v>208.66</v>
      </c>
      <c r="AB4" s="31" t="n">
        <v>59.51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Annuity, Lower One Time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Above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Above 2</t>
        </is>
      </c>
      <c r="BZ4" s="30">
        <f>IF(BY4="Above 2",0,IF(BY4="Between 1.5 to 2",5,IF(BY4="Less than 1.5",10,0)))</f>
        <v/>
      </c>
      <c r="CA4" s="30" t="inlineStr">
        <is>
          <t>Above 70%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IF(B5=0,"",RANK(B5,$B$2:$B$18,0))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139.9</v>
      </c>
      <c r="E5" s="31" t="inlineStr">
        <is>
          <t>5%</t>
        </is>
      </c>
      <c r="F5" s="31" t="n">
        <v>50000</v>
      </c>
      <c r="G5" s="31" t="n">
        <v>1979</v>
      </c>
      <c r="H5" s="30" t="inlineStr">
        <is>
          <t>GAYAPROJ</t>
        </is>
      </c>
      <c r="I5" s="30" t="inlineStr">
        <is>
          <t>Gayatri Projects Limited</t>
        </is>
      </c>
      <c r="J5" s="30" t="inlineStr">
        <is>
          <t>realty</t>
        </is>
      </c>
      <c r="K5" s="30" t="inlineStr">
        <is>
          <t>construction</t>
        </is>
      </c>
      <c r="L5" s="30" t="inlineStr">
        <is>
          <t>smallcap</t>
        </is>
      </c>
      <c r="M5" s="31" t="n">
        <v>713.54</v>
      </c>
      <c r="N5" s="31" t="n">
        <v>25.26</v>
      </c>
      <c r="O5" s="31" t="n">
        <v>4.86</v>
      </c>
      <c r="P5" s="31" t="n">
        <v>2517674</v>
      </c>
      <c r="Q5" s="30" t="n">
        <v>94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80.98</v>
      </c>
      <c r="U5" s="31" t="n">
        <v>60.34</v>
      </c>
      <c r="V5" s="31" t="n">
        <v>20.43</v>
      </c>
      <c r="W5" s="30" t="inlineStr">
        <is>
          <t>Near 52W High Breakout</t>
        </is>
      </c>
      <c r="X5" s="30" t="inlineStr">
        <is>
          <t>Nifty Realty</t>
        </is>
      </c>
      <c r="Y5" s="31" t="n">
        <v>-19.64</v>
      </c>
      <c r="Z5" s="31" t="n">
        <v>195.44</v>
      </c>
      <c r="AA5" s="31" t="n">
        <v>267.63</v>
      </c>
      <c r="AB5" s="31" t="n">
        <v>45.44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Above 2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IF(B6=0,"",RANK(B6,$B$2:$B$18,0))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140</v>
      </c>
      <c r="E6" s="31" t="inlineStr">
        <is>
          <t>5%</t>
        </is>
      </c>
      <c r="F6" s="31" t="n">
        <v>50000</v>
      </c>
      <c r="G6" s="31" t="n">
        <v>139</v>
      </c>
      <c r="H6" s="30" t="inlineStr">
        <is>
          <t>BHAGYANGR</t>
        </is>
      </c>
      <c r="I6" s="30" t="inlineStr">
        <is>
          <t>Bhagyanagar India</t>
        </is>
      </c>
      <c r="J6" s="30" t="inlineStr">
        <is>
          <t>power &amp; utilities</t>
        </is>
      </c>
      <c r="K6" s="30" t="inlineStr">
        <is>
          <t>power generation and supply</t>
        </is>
      </c>
      <c r="L6" s="30" t="inlineStr">
        <is>
          <t>smallcap</t>
        </is>
      </c>
      <c r="M6" s="31" t="n">
        <v>1095.51</v>
      </c>
      <c r="N6" s="31" t="n">
        <v>359.5</v>
      </c>
      <c r="O6" s="31" t="n">
        <v>4.99</v>
      </c>
      <c r="P6" s="31" t="n">
        <v>134205</v>
      </c>
      <c r="Q6" s="30" t="n">
        <v>98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80.20999999999999</v>
      </c>
      <c r="U6" s="31" t="n">
        <v>60.03</v>
      </c>
      <c r="V6" s="31" t="n">
        <v>257.99</v>
      </c>
      <c r="W6" s="30" t="inlineStr">
        <is>
          <t>Near 52W High Breakout</t>
        </is>
      </c>
      <c r="X6" s="30" t="inlineStr">
        <is>
          <t>Nifty IT</t>
        </is>
      </c>
      <c r="Y6" s="31" t="n">
        <v>-26.11</v>
      </c>
      <c r="Z6" s="31" t="n">
        <v>358.14</v>
      </c>
      <c r="AA6" s="31" t="n">
        <v>520.05</v>
      </c>
      <c r="AB6" s="31" t="n">
        <v>72.90000000000001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B2B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One Time, Lower Annuity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No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Between 50% to 70%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Between 0.7 to 1.2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IF(B7=0,"",RANK(B7,$B$2:$B$18,0))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139.5</v>
      </c>
      <c r="E7" s="31" t="inlineStr">
        <is>
          <t>5%</t>
        </is>
      </c>
      <c r="F7" s="31" t="n">
        <v>50000</v>
      </c>
      <c r="G7" s="31" t="n">
        <v>56</v>
      </c>
      <c r="H7" s="30" t="inlineStr">
        <is>
          <t>RATEGAIN</t>
        </is>
      </c>
      <c r="I7" s="30" t="inlineStr">
        <is>
          <t>Rategain Travel Technologies Ltd</t>
        </is>
      </c>
      <c r="J7" s="30" t="inlineStr">
        <is>
          <t>i.t</t>
        </is>
      </c>
      <c r="K7" s="30" t="inlineStr">
        <is>
          <t>computers - software - medium / small</t>
        </is>
      </c>
      <c r="L7" s="30" t="inlineStr">
        <is>
          <t>midcap</t>
        </is>
      </c>
      <c r="M7" s="31" t="n">
        <v>9977.299999999999</v>
      </c>
      <c r="N7" s="31" t="n">
        <v>886.2</v>
      </c>
      <c r="O7" s="31" t="n">
        <v>4.96</v>
      </c>
      <c r="P7" s="31" t="n">
        <v>863360</v>
      </c>
      <c r="Q7" s="30" t="n">
        <v>92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78.59999999999999</v>
      </c>
      <c r="U7" s="31" t="n">
        <v>26.79</v>
      </c>
      <c r="V7" s="31" t="n">
        <v>693.17</v>
      </c>
      <c r="W7" s="30" t="inlineStr">
        <is>
          <t>Near 52W High Breakout</t>
        </is>
      </c>
      <c r="X7" s="30" t="inlineStr">
        <is>
          <t>Nifty IT</t>
        </is>
      </c>
      <c r="Y7" s="31" t="n">
        <v>-26.11</v>
      </c>
      <c r="Z7" s="31" t="n">
        <v>104.69</v>
      </c>
      <c r="AA7" s="31" t="n">
        <v>177.03</v>
      </c>
      <c r="AB7" s="31" t="n">
        <v>38.34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Annuity, Lower One Time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20 to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Between 1.5 to 2</t>
        </is>
      </c>
      <c r="BZ7" s="30">
        <f>IF(BY7="Above 2",0,IF(BY7="Between 1.5 to 2",5,IF(BY7="Less than 1.5",10,0)))</f>
        <v/>
      </c>
      <c r="CA7" s="30" t="inlineStr">
        <is>
          <t>Between 50% to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IF(B8=0,"",RANK(B8,$B$2:$B$18,0))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138.5</v>
      </c>
      <c r="E8" s="31" t="inlineStr">
        <is>
          <t>5%</t>
        </is>
      </c>
      <c r="F8" s="31" t="n">
        <v>50000</v>
      </c>
      <c r="G8" s="31" t="n">
        <v>87</v>
      </c>
      <c r="H8" s="30" t="inlineStr">
        <is>
          <t>SHILPAMED</t>
        </is>
      </c>
      <c r="I8" s="30" t="inlineStr">
        <is>
          <t>Shilpa Medicare Limited</t>
        </is>
      </c>
      <c r="J8" s="30" t="inlineStr">
        <is>
          <t>healthcare</t>
        </is>
      </c>
      <c r="K8" s="30" t="inlineStr">
        <is>
          <t>pharmaceuticals - indian - formulations</t>
        </is>
      </c>
      <c r="L8" s="30" t="inlineStr">
        <is>
          <t>midcap</t>
        </is>
      </c>
      <c r="M8" s="31" t="n">
        <v>10804.92</v>
      </c>
      <c r="N8" s="31" t="n">
        <v>572.4</v>
      </c>
      <c r="O8" s="31" t="n">
        <v>3.61</v>
      </c>
      <c r="P8" s="31" t="n">
        <v>1320326</v>
      </c>
      <c r="Q8" s="30" t="n">
        <v>80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81.59</v>
      </c>
      <c r="U8" s="31" t="n">
        <v>49.64</v>
      </c>
      <c r="V8" s="31" t="n">
        <v>446.91</v>
      </c>
      <c r="W8" s="30" t="inlineStr">
        <is>
          <t>Near 52W High Breakout</t>
        </is>
      </c>
      <c r="X8" s="30" t="inlineStr">
        <is>
          <t>Nifty Pharma</t>
        </is>
      </c>
      <c r="Y8" s="31" t="n">
        <v>11.72</v>
      </c>
      <c r="Z8" s="31" t="n">
        <v>30.18</v>
      </c>
      <c r="AA8" s="31" t="n">
        <v>16.52</v>
      </c>
      <c r="AB8" s="31" t="n">
        <v>25.24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Yes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Annuity, Lower One Time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Above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IF(B9=0,"",RANK(B9,$B$2:$B$18,0))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139.1</v>
      </c>
      <c r="E9" s="31" t="inlineStr">
        <is>
          <t>5%</t>
        </is>
      </c>
      <c r="F9" s="31" t="n">
        <v>50000</v>
      </c>
      <c r="G9" s="31" t="n">
        <v>7</v>
      </c>
      <c r="H9" s="30" t="inlineStr">
        <is>
          <t>GRWRHITECH</t>
        </is>
      </c>
      <c r="I9" s="30" t="inlineStr">
        <is>
          <t>Garware Hi Tech Films Ltd</t>
        </is>
      </c>
      <c r="J9" s="30" t="inlineStr">
        <is>
          <t>industrials</t>
        </is>
      </c>
      <c r="K9" s="30" t="inlineStr">
        <is>
          <t>packaging</t>
        </is>
      </c>
      <c r="L9" s="30" t="inlineStr">
        <is>
          <t>midcap</t>
        </is>
      </c>
      <c r="M9" s="31" t="n">
        <v>14823.43</v>
      </c>
      <c r="N9" s="31" t="n">
        <v>6485.5</v>
      </c>
      <c r="O9" s="31" t="n">
        <v>1.65</v>
      </c>
      <c r="P9" s="31" t="n">
        <v>79688</v>
      </c>
      <c r="Q9" s="30" t="n">
        <v>87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76.29000000000001</v>
      </c>
      <c r="U9" s="31" t="n">
        <v>30.73</v>
      </c>
      <c r="V9" s="31" t="n">
        <v>4872.44</v>
      </c>
      <c r="W9" s="30" t="inlineStr">
        <is>
          <t>Near 52W High Breakout</t>
        </is>
      </c>
      <c r="X9" s="30" t="inlineStr">
        <is>
          <t>Nifty 50</t>
        </is>
      </c>
      <c r="Y9" s="31" t="n">
        <v>-4.09</v>
      </c>
      <c r="Z9" s="31" t="n">
        <v>61.56</v>
      </c>
      <c r="AA9" s="31" t="n">
        <v>68.44</v>
      </c>
      <c r="AB9" s="31" t="n">
        <v>29.52</v>
      </c>
      <c r="AC9" s="30" t="inlineStr">
        <is>
          <t>Cyclical in an Upturn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Less than 1.5</t>
        </is>
      </c>
      <c r="BZ9" s="30">
        <f>IF(BY9="Above 2",0,IF(BY9="Between 1.5 to 2",5,IF(BY9="Less than 1.5",10,0)))</f>
        <v/>
      </c>
      <c r="CA9" s="30" t="inlineStr">
        <is>
          <t>Between 50% to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IF(B10=0,"",RANK(B10,$B$2:$B$18,0))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138.5</v>
      </c>
      <c r="E10" s="31" t="inlineStr">
        <is>
          <t>5%</t>
        </is>
      </c>
      <c r="F10" s="31" t="n">
        <v>50000</v>
      </c>
      <c r="G10" s="31" t="n">
        <v>31</v>
      </c>
      <c r="H10" s="30" t="inlineStr">
        <is>
          <t>ASTRAMICRO</t>
        </is>
      </c>
      <c r="I10" s="30" t="inlineStr">
        <is>
          <t>Astra Microwave Products Limited</t>
        </is>
      </c>
      <c r="J10" s="30" t="inlineStr">
        <is>
          <t>aerospace &amp; defence</t>
        </is>
      </c>
      <c r="K10" s="30" t="inlineStr">
        <is>
          <t>telecommunications - equipment</t>
        </is>
      </c>
      <c r="L10" s="30" t="inlineStr">
        <is>
          <t>midcap</t>
        </is>
      </c>
      <c r="M10" s="31" t="n">
        <v>14052.81</v>
      </c>
      <c r="N10" s="31" t="n">
        <v>1574.4</v>
      </c>
      <c r="O10" s="31" t="n">
        <v>6.37</v>
      </c>
      <c r="P10" s="31" t="n">
        <v>2695624</v>
      </c>
      <c r="Q10" s="30" t="n">
        <v>82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80.20999999999999</v>
      </c>
      <c r="U10" s="31" t="n">
        <v>32.78</v>
      </c>
      <c r="V10" s="31" t="n">
        <v>1243.53</v>
      </c>
      <c r="W10" s="30" t="inlineStr">
        <is>
          <t>Near 52W High Breakout</t>
        </is>
      </c>
      <c r="X10" s="30" t="inlineStr">
        <is>
          <t>Nifty 50</t>
        </is>
      </c>
      <c r="Y10" s="31" t="n">
        <v>-4.09</v>
      </c>
      <c r="Z10" s="31" t="n">
        <v>42.41</v>
      </c>
      <c r="AA10" s="31" t="n">
        <v>48.48</v>
      </c>
      <c r="AB10" s="31" t="n">
        <v>26.87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Oligopoly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Between 1.5 to 2</t>
        </is>
      </c>
      <c r="BZ10" s="30">
        <f>IF(BY10="Above 2",0,IF(BY10="Between 1.5 to 2",5,IF(BY10="Less than 1.5",10,0)))</f>
        <v/>
      </c>
      <c r="CA10" s="30" t="inlineStr">
        <is>
          <t>Above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IF(B11=0,"",RANK(B11,$B$2:$B$18,0))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52W Breakout</t>
        </is>
      </c>
      <c r="D11" s="31" t="n">
        <v>139</v>
      </c>
      <c r="E11" s="31" t="inlineStr">
        <is>
          <t>5%</t>
        </is>
      </c>
      <c r="F11" s="31" t="n">
        <v>50000</v>
      </c>
      <c r="G11" s="31" t="n">
        <v>41</v>
      </c>
      <c r="H11" s="30" t="inlineStr">
        <is>
          <t>RPEL</t>
        </is>
      </c>
      <c r="I11" s="30" t="inlineStr">
        <is>
          <t>Raghav Productivity Enhancers Ltd</t>
        </is>
      </c>
      <c r="J11" s="30" t="inlineStr">
        <is>
          <t>building materials</t>
        </is>
      </c>
      <c r="K11" s="30" t="inlineStr">
        <is>
          <t>refractories / intermediates</t>
        </is>
      </c>
      <c r="L11" s="30" t="inlineStr">
        <is>
          <t>midcap</t>
        </is>
      </c>
      <c r="M11" s="31" t="n">
        <v>5525.05</v>
      </c>
      <c r="N11" s="31" t="n">
        <v>1206.65</v>
      </c>
      <c r="O11" s="31" t="n">
        <v>0.27</v>
      </c>
      <c r="P11" s="31" t="n">
        <v>72591</v>
      </c>
      <c r="Q11" s="30" t="n">
        <v>90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77.65000000000001</v>
      </c>
      <c r="U11" s="31" t="n">
        <v>32.05</v>
      </c>
      <c r="V11" s="31" t="n">
        <v>937.6</v>
      </c>
      <c r="W11" s="30" t="inlineStr">
        <is>
          <t>Near 52W High Breakout</t>
        </is>
      </c>
      <c r="X11" s="30" t="inlineStr">
        <is>
          <t>Nifty Infra</t>
        </is>
      </c>
      <c r="Y11" s="31" t="n">
        <v>3.72</v>
      </c>
      <c r="Z11" s="31" t="n">
        <v>71.89</v>
      </c>
      <c r="AA11" s="31" t="n">
        <v>65.73</v>
      </c>
      <c r="AB11" s="31" t="n">
        <v>35.54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Above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Blue sky scenario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Less than 50%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IF(B12=0,"",RANK(B12,$B$2:$B$18,0))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139</v>
      </c>
      <c r="E12" s="31" t="inlineStr">
        <is>
          <t>5%</t>
        </is>
      </c>
      <c r="F12" s="31" t="n">
        <v>50000</v>
      </c>
      <c r="G12" s="31" t="n">
        <v>23</v>
      </c>
      <c r="H12" s="30" t="inlineStr">
        <is>
          <t>KERNEX</t>
        </is>
      </c>
      <c r="I12" s="30" t="inlineStr">
        <is>
          <t>Kernex Microsystems (india) Limited</t>
        </is>
      </c>
      <c r="J12" s="30" t="inlineStr">
        <is>
          <t>consumer discretionary</t>
        </is>
      </c>
      <c r="K12" s="30" t="inlineStr">
        <is>
          <t>electronics - components</t>
        </is>
      </c>
      <c r="L12" s="30" t="inlineStr">
        <is>
          <t>smallcap</t>
        </is>
      </c>
      <c r="M12" s="31" t="n">
        <v>3452.9</v>
      </c>
      <c r="N12" s="31" t="n">
        <v>2103.5</v>
      </c>
      <c r="O12" s="31" t="n">
        <v>2.36</v>
      </c>
      <c r="P12" s="31" t="n">
        <v>340990</v>
      </c>
      <c r="Q12" s="30" t="n">
        <v>94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75.19</v>
      </c>
      <c r="U12" s="31" t="n">
        <v>34.4</v>
      </c>
      <c r="V12" s="31" t="n">
        <v>1579.97</v>
      </c>
      <c r="W12" s="30" t="inlineStr">
        <is>
          <t>Near 52W High Breakout</t>
        </is>
      </c>
      <c r="X12" s="30" t="inlineStr">
        <is>
          <t>Nifty 50</t>
        </is>
      </c>
      <c r="Y12" s="31" t="n">
        <v>-4.09</v>
      </c>
      <c r="Z12" s="31" t="n">
        <v>75.56</v>
      </c>
      <c r="AA12" s="31" t="n">
        <v>83.04000000000001</v>
      </c>
      <c r="AB12" s="31" t="n">
        <v>43.41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Above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No</t>
        </is>
      </c>
      <c r="BX12" s="30">
        <f>IF(BW12="NO",5,0)</f>
        <v/>
      </c>
      <c r="BY12" s="30" t="inlineStr">
        <is>
          <t>Above 2</t>
        </is>
      </c>
      <c r="BZ12" s="30">
        <f>IF(BY12="Above 2",0,IF(BY12="Between 1.5 to 2",5,IF(BY12="Less than 1.5",10,0)))</f>
        <v/>
      </c>
      <c r="CA12" s="30" t="inlineStr">
        <is>
          <t>Negative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IF(B13=0,"",RANK(B13,$B$2:$B$18,0))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138.9</v>
      </c>
      <c r="E13" s="31" t="inlineStr">
        <is>
          <t>5%</t>
        </is>
      </c>
      <c r="F13" s="31" t="n">
        <v>50000</v>
      </c>
      <c r="G13" s="31" t="n">
        <v>457</v>
      </c>
      <c r="H13" s="30" t="inlineStr">
        <is>
          <t>GMRAIRPORT</t>
        </is>
      </c>
      <c r="I13" s="30" t="inlineStr">
        <is>
          <t>GMR Airports Ltd</t>
        </is>
      </c>
      <c r="J13" s="30" t="inlineStr">
        <is>
          <t>miscellaneous</t>
        </is>
      </c>
      <c r="K13" s="30" t="inlineStr">
        <is>
          <t>miscellaneous</t>
        </is>
      </c>
      <c r="L13" s="30" t="inlineStr">
        <is>
          <t>largecap</t>
        </is>
      </c>
      <c r="M13" s="31" t="n">
        <v>113519.55</v>
      </c>
      <c r="N13" s="31" t="n">
        <v>109.32</v>
      </c>
      <c r="O13" s="31" t="n">
        <v>1.68</v>
      </c>
      <c r="P13" s="31" t="n">
        <v>13734304</v>
      </c>
      <c r="Q13" s="30" t="n">
        <v>41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64.20999999999999</v>
      </c>
      <c r="U13" s="31" t="n">
        <v>13.83</v>
      </c>
      <c r="V13" s="31" t="n">
        <v>89.58</v>
      </c>
      <c r="W13" s="30" t="inlineStr">
        <is>
          <t>Near 52W High Breakout</t>
        </is>
      </c>
      <c r="X13" s="30" t="inlineStr">
        <is>
          <t>Nifty 50</t>
        </is>
      </c>
      <c r="Y13" s="31" t="n">
        <v>-4.09</v>
      </c>
      <c r="Z13" s="31" t="n">
        <v>35.01</v>
      </c>
      <c r="AA13" s="31" t="n">
        <v>40.77</v>
      </c>
      <c r="AB13" s="31" t="n">
        <v>10.93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No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One Time, Lower Annuity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0 to 20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More than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IF(B14=0,"",RANK(B14,$B$2:$B$18,0))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138.7</v>
      </c>
      <c r="E14" s="31" t="inlineStr">
        <is>
          <t>5%</t>
        </is>
      </c>
      <c r="F14" s="31" t="n">
        <v>50000</v>
      </c>
      <c r="G14" s="31" t="n">
        <v>82</v>
      </c>
      <c r="H14" s="30" t="inlineStr">
        <is>
          <t>AVL</t>
        </is>
      </c>
      <c r="I14" s="30" t="inlineStr">
        <is>
          <t>Aditya Vision Ltd</t>
        </is>
      </c>
      <c r="J14" s="30" t="inlineStr">
        <is>
          <t>consumer discretionary</t>
        </is>
      </c>
      <c r="K14" s="30" t="inlineStr">
        <is>
          <t>trading</t>
        </is>
      </c>
      <c r="L14" s="30" t="inlineStr">
        <is>
          <t>midcap</t>
        </is>
      </c>
      <c r="M14" s="31" t="n">
        <v>7630.77</v>
      </c>
      <c r="N14" s="31" t="n">
        <v>607.5</v>
      </c>
      <c r="O14" s="31" t="n">
        <v>2.81</v>
      </c>
      <c r="P14" s="31" t="n">
        <v>868817</v>
      </c>
      <c r="Q14" s="30" t="n">
        <v>73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66.34999999999999</v>
      </c>
      <c r="U14" s="31" t="n">
        <v>23.5</v>
      </c>
      <c r="V14" s="31" t="n">
        <v>477.29</v>
      </c>
      <c r="W14" s="30" t="inlineStr">
        <is>
          <t>Volume Spike &amp; Near 52W High Breakout</t>
        </is>
      </c>
      <c r="X14" s="30" t="inlineStr">
        <is>
          <t>Nifty 50</t>
        </is>
      </c>
      <c r="Y14" s="31" t="n">
        <v>-4.09</v>
      </c>
      <c r="Z14" s="31" t="n">
        <v>71.36</v>
      </c>
      <c r="AA14" s="31" t="n">
        <v>78.67</v>
      </c>
      <c r="AB14" s="31" t="n">
        <v>21.22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No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One Time, Lower Annuity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Between 50 to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More than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Between 1.5 to 2</t>
        </is>
      </c>
      <c r="BZ14" s="30">
        <f>IF(BY14="Above 2",0,IF(BY14="Between 1.5 to 2",5,IF(BY14="Less than 1.5",10,0)))</f>
        <v/>
      </c>
      <c r="CA14" s="30" t="inlineStr">
        <is>
          <t>Less than 50%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Between 0.7 to 1.2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IF(B15=0,"",RANK(B15,$B$2:$B$18,0))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138.7</v>
      </c>
      <c r="E15" s="31" t="inlineStr">
        <is>
          <t>5%</t>
        </is>
      </c>
      <c r="F15" s="31" t="n">
        <v>50000</v>
      </c>
      <c r="G15" s="31" t="n">
        <v>20</v>
      </c>
      <c r="H15" s="30" t="inlineStr">
        <is>
          <t>SASKEN</t>
        </is>
      </c>
      <c r="I15" s="30" t="inlineStr">
        <is>
          <t>Sasken Communication Technologies Limited</t>
        </is>
      </c>
      <c r="J15" s="30" t="inlineStr">
        <is>
          <t>i.t</t>
        </is>
      </c>
      <c r="K15" s="30" t="inlineStr">
        <is>
          <t>computers - software - medium / small</t>
        </is>
      </c>
      <c r="L15" s="30" t="inlineStr">
        <is>
          <t>smallcap</t>
        </is>
      </c>
      <c r="M15" s="31" t="n">
        <v>3323.41</v>
      </c>
      <c r="N15" s="31" t="n">
        <v>2407.2</v>
      </c>
      <c r="O15" s="31" t="n">
        <v>10</v>
      </c>
      <c r="P15" s="31" t="n">
        <v>63741</v>
      </c>
      <c r="Q15" s="30" t="n">
        <v>92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76.47</v>
      </c>
      <c r="U15" s="31" t="n">
        <v>34.11</v>
      </c>
      <c r="V15" s="31" t="n">
        <v>1773.44</v>
      </c>
      <c r="W15" s="30" t="inlineStr">
        <is>
          <t>Near 52W High Breakout</t>
        </is>
      </c>
      <c r="X15" s="30" t="inlineStr">
        <is>
          <t>Nifty IT</t>
        </is>
      </c>
      <c r="Y15" s="31" t="n">
        <v>-26.11</v>
      </c>
      <c r="Z15" s="31" t="n">
        <v>75.51000000000001</v>
      </c>
      <c r="AA15" s="31" t="n">
        <v>137.54</v>
      </c>
      <c r="AB15" s="31" t="n">
        <v>39.44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No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Annuity, Lower One Time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Negative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IF(B16=0,"",RANK(B16,$B$2:$B$18,0))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139.5</v>
      </c>
      <c r="E16" s="31" t="inlineStr">
        <is>
          <t>5%</t>
        </is>
      </c>
      <c r="F16" s="31" t="n">
        <v>50000</v>
      </c>
      <c r="G16" s="31" t="n">
        <v>10</v>
      </c>
      <c r="H16" s="30" t="inlineStr">
        <is>
          <t>DATAPATTNS</t>
        </is>
      </c>
      <c r="I16" s="30" t="inlineStr">
        <is>
          <t>Data Patterns (India) Ltd</t>
        </is>
      </c>
      <c r="J16" s="30" t="inlineStr">
        <is>
          <t>aerospace &amp; defence</t>
        </is>
      </c>
      <c r="K16" s="30" t="inlineStr">
        <is>
          <t>electronics - components</t>
        </is>
      </c>
      <c r="L16" s="30" t="inlineStr">
        <is>
          <t>largecap</t>
        </is>
      </c>
      <c r="M16" s="31" t="n">
        <v>25065.7</v>
      </c>
      <c r="N16" s="31" t="n">
        <v>4769.6</v>
      </c>
      <c r="O16" s="31" t="n">
        <v>6.53</v>
      </c>
      <c r="P16" s="31" t="n">
        <v>2233651</v>
      </c>
      <c r="Q16" s="30" t="n">
        <v>74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76.44</v>
      </c>
      <c r="U16" s="31" t="n">
        <v>29.87</v>
      </c>
      <c r="V16" s="31" t="n">
        <v>3518.7</v>
      </c>
      <c r="W16" s="30" t="inlineStr">
        <is>
          <t>Near 52W High Breakout</t>
        </is>
      </c>
      <c r="X16" s="30" t="inlineStr">
        <is>
          <t>Nifty 50</t>
        </is>
      </c>
      <c r="Y16" s="31" t="n">
        <v>-4.09</v>
      </c>
      <c r="Z16" s="31" t="n">
        <v>61.74</v>
      </c>
      <c r="AA16" s="31" t="n">
        <v>68.63</v>
      </c>
      <c r="AB16" s="31" t="n">
        <v>21.6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Yes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Less than 50%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IF(B17=0,"",RANK(B17,$B$2:$B$18,0))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139.5</v>
      </c>
      <c r="E17" s="31" t="inlineStr">
        <is>
          <t>5%</t>
        </is>
      </c>
      <c r="F17" s="31" t="n">
        <v>50000</v>
      </c>
      <c r="G17" s="31" t="n">
        <v>24</v>
      </c>
      <c r="H17" s="30" t="inlineStr">
        <is>
          <t>BHARATFORG</t>
        </is>
      </c>
      <c r="I17" s="30" t="inlineStr">
        <is>
          <t>Bharat Forge Limited</t>
        </is>
      </c>
      <c r="J17" s="30" t="inlineStr">
        <is>
          <t>industrials</t>
        </is>
      </c>
      <c r="K17" s="30" t="inlineStr">
        <is>
          <t>castings &amp; forgings</t>
        </is>
      </c>
      <c r="L17" s="30" t="inlineStr">
        <is>
          <t>largecap</t>
        </is>
      </c>
      <c r="M17" s="31" t="n">
        <v>96205.78</v>
      </c>
      <c r="N17" s="31" t="n">
        <v>2034.5</v>
      </c>
      <c r="O17" s="31" t="n">
        <v>1.1</v>
      </c>
      <c r="P17" s="31" t="n">
        <v>670471</v>
      </c>
      <c r="Q17" s="30" t="n">
        <v>54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68.26000000000001</v>
      </c>
      <c r="U17" s="31" t="n">
        <v>34.49</v>
      </c>
      <c r="V17" s="31" t="n">
        <v>1684.36</v>
      </c>
      <c r="W17" s="30" t="inlineStr">
        <is>
          <t>Near 52W High Breakout</t>
        </is>
      </c>
      <c r="X17" s="30" t="inlineStr">
        <is>
          <t>Nifty 50</t>
        </is>
      </c>
      <c r="Y17" s="31" t="n">
        <v>-4.09</v>
      </c>
      <c r="Z17" s="31" t="n">
        <v>60.08</v>
      </c>
      <c r="AA17" s="31" t="n">
        <v>66.90000000000001</v>
      </c>
      <c r="AB17" s="31" t="n">
        <v>13.98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Between 50 to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Less than 12%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Above 2</t>
        </is>
      </c>
      <c r="BZ17" s="30">
        <f>IF(BY17="Above 2",0,IF(BY17="Between 1.5 to 2",5,IF(BY17="Less than 1.5",10,0)))</f>
        <v/>
      </c>
      <c r="CA17" s="30" t="inlineStr">
        <is>
          <t>Between 50% to 70%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Between 0.7 to 1.2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IF(B18=0,"",RANK(B18,$B$2:$B$18,0))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138.8</v>
      </c>
      <c r="E18" s="31" t="inlineStr">
        <is>
          <t>5%</t>
        </is>
      </c>
      <c r="F18" s="31" t="n">
        <v>50000</v>
      </c>
      <c r="G18" s="31" t="n">
        <v>25</v>
      </c>
      <c r="H18" s="30" t="inlineStr">
        <is>
          <t>KIRLOSENG</t>
        </is>
      </c>
      <c r="I18" s="30" t="inlineStr">
        <is>
          <t>Kirloskar Oil Engines Limited</t>
        </is>
      </c>
      <c r="J18" s="30" t="inlineStr">
        <is>
          <t>industrials</t>
        </is>
      </c>
      <c r="K18" s="30" t="inlineStr">
        <is>
          <t>engines</t>
        </is>
      </c>
      <c r="L18" s="30" t="inlineStr">
        <is>
          <t>largecap</t>
        </is>
      </c>
      <c r="M18" s="31" t="n">
        <v>27887.16</v>
      </c>
      <c r="N18" s="31" t="n">
        <v>1988.7</v>
      </c>
      <c r="O18" s="31" t="n">
        <v>3.66</v>
      </c>
      <c r="P18" s="31" t="n">
        <v>369553</v>
      </c>
      <c r="Q18" s="30" t="n">
        <v>85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75.84</v>
      </c>
      <c r="U18" s="31" t="n">
        <v>38.75</v>
      </c>
      <c r="V18" s="31" t="n">
        <v>1562.3</v>
      </c>
      <c r="W18" s="30" t="inlineStr">
        <is>
          <t>Near 52W High Breakout</t>
        </is>
      </c>
      <c r="X18" s="30" t="inlineStr">
        <is>
          <t>Nifty 50</t>
        </is>
      </c>
      <c r="Y18" s="31" t="n">
        <v>-4.09</v>
      </c>
      <c r="Z18" s="31" t="n">
        <v>136.43</v>
      </c>
      <c r="AA18" s="31" t="n">
        <v>146.51</v>
      </c>
      <c r="AB18" s="31" t="n">
        <v>28.64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Above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More than 20%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Between 50% to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More than 1.2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</sheetData>
  <autoFilter ref="A1:CJ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8">
    <cfRule type="cellIs" priority="36" operator="equal" dxfId="3" stopIfTrue="1">
      <formula>"Underperforming"</formula>
    </cfRule>
  </conditionalFormatting>
  <conditionalFormatting sqref="S2:S18">
    <cfRule type="cellIs" priority="37" operator="equal" dxfId="3" stopIfTrue="1">
      <formula>-5</formula>
    </cfRule>
  </conditionalFormatting>
  <conditionalFormatting sqref="V2:V18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8" showDropDown="0" showInputMessage="0" showErrorMessage="0" allowBlank="1" type="list">
      <formula1>"Growing Industry,Stagnant Industry,Cyclical in an Upturn"</formula1>
    </dataValidation>
    <dataValidation sqref="AE2:AE1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8" showDropDown="0" showInputMessage="0" showErrorMessage="0" allowBlank="1" type="list">
      <formula1>"Yes,No"</formula1>
    </dataValidation>
    <dataValidation sqref="AI2:AI18" showDropDown="0" showInputMessage="0" showErrorMessage="0" allowBlank="1" type="list">
      <formula1>"Tailwind,Headwind"</formula1>
    </dataValidation>
    <dataValidation sqref="AK2:AK18" showDropDown="0" showInputMessage="0" showErrorMessage="0" allowBlank="1" type="list">
      <formula1>"Structural (10 Years Consistency),Shallow Cyclical (2 to 3 Years Growth),Cyclical"</formula1>
    </dataValidation>
    <dataValidation sqref="AM2:AM18" showDropDown="0" showInputMessage="0" showErrorMessage="0" allowBlank="1" type="list">
      <formula1>"Yes due to Product Mix change or Operating Leverage,Yes, these are peak margins,No"</formula1>
    </dataValidation>
    <dataValidation sqref="AO2:AO18" showDropDown="0" showInputMessage="0" showErrorMessage="0" allowBlank="1" type="list">
      <formula1>"Stable,Volatile"</formula1>
    </dataValidation>
    <dataValidation sqref="AQ2:AQ18" showDropDown="0" showInputMessage="0" showErrorMessage="0" allowBlank="1" type="list">
      <formula1>"Yes,No"</formula1>
    </dataValidation>
    <dataValidation sqref="AS2:AS18" showDropDown="0" showInputMessage="0" showErrorMessage="0" allowBlank="1" type="list">
      <formula1>"B2C,B2B,B2G"</formula1>
    </dataValidation>
    <dataValidation sqref="AU2:AU18" showDropDown="0" showInputMessage="0" showErrorMessage="0" allowBlank="1" type="list">
      <formula1>"Yes,No"</formula1>
    </dataValidation>
    <dataValidation sqref="AW2:AW18" showDropDown="0" showInputMessage="0" showErrorMessage="0" allowBlank="1" type="list">
      <formula1>"Fully Annuity,Higher Annuity, Lower One time,Higher One Time, Lower Annuity,Fully One Time"</formula1>
    </dataValidation>
    <dataValidation sqref="AY2:AY18" showDropDown="0" showInputMessage="0" showErrorMessage="0" allowBlank="1" type="list">
      <formula1>"Good,Allocated capital in Non-core Areas"</formula1>
    </dataValidation>
    <dataValidation sqref="BA2:BA18" showDropDown="0" showInputMessage="0" showErrorMessage="0" allowBlank="1" type="list">
      <formula1>"Yes for more than 2 years,Yes only for next 1 to 2 years,No"</formula1>
    </dataValidation>
    <dataValidation sqref="BC2:BC18" showDropDown="0" showInputMessage="0" showErrorMessage="0" allowBlank="1" type="list">
      <formula1>"Above 40,20 to 40,0 to 20"</formula1>
    </dataValidation>
    <dataValidation sqref="BE2:BE18" showDropDown="0" showInputMessage="0" showErrorMessage="0" allowBlank="1" type="list">
      <formula1>"Between 50 to 75,Above 75,Below 45"</formula1>
    </dataValidation>
    <dataValidation sqref="BG2:BG18" showDropDown="0" showInputMessage="0" showErrorMessage="0" allowBlank="1" type="list">
      <formula1>"Stage 1,Stage 2,Stage 3,Stage 4"</formula1>
    </dataValidation>
    <dataValidation sqref="BI2:BI18" showDropDown="0" showInputMessage="0" showErrorMessage="0" allowBlank="1" type="list">
      <formula1>"Positive Trend,Negative Trend"</formula1>
    </dataValidation>
    <dataValidation sqref="BK2:BK18" showDropDown="0" showInputMessage="0" showErrorMessage="0" allowBlank="1" type="list">
      <formula1>"Uptrend,Sideways,Downtrend"</formula1>
    </dataValidation>
    <dataValidation sqref="BM2:BM18" showDropDown="0" showInputMessage="0" showErrorMessage="0" allowBlank="1" type="list">
      <formula1>"Uptrend,Sideways,Downtrend"</formula1>
    </dataValidation>
    <dataValidation sqref="BO2:BO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8" showDropDown="0" showInputMessage="0" showErrorMessage="0" allowBlank="1" type="list">
      <formula1>"Yes,No"</formula1>
    </dataValidation>
    <dataValidation sqref="BS2:BS18" showDropDown="0" showInputMessage="0" showErrorMessage="0" allowBlank="1" type="list">
      <formula1>"More than 20%,Between 12 to 20%,Less than 12%"</formula1>
    </dataValidation>
    <dataValidation sqref="BU2:BU18" showDropDown="0" showInputMessage="0" showErrorMessage="0" allowBlank="1" type="list">
      <formula1>"Yes,No"</formula1>
    </dataValidation>
    <dataValidation sqref="BW2:BW18" showDropDown="0" showInputMessage="0" showErrorMessage="0" allowBlank="1" type="list">
      <formula1>"Yes,No"</formula1>
    </dataValidation>
    <dataValidation sqref="BY2:BY18" showDropDown="0" showInputMessage="0" showErrorMessage="0" allowBlank="1" type="list">
      <formula1>"Above 2,Between 1.5 to 2,Less than 1.5"</formula1>
    </dataValidation>
    <dataValidation sqref="CA2:CA18" showDropDown="0" showInputMessage="0" showErrorMessage="0" allowBlank="1" type="list">
      <formula1>"Above 70%,Between 50% to 70%,Less than 50%,Less than 50% and Borrowings are increasing,Negative"</formula1>
    </dataValidation>
    <dataValidation sqref="CC2:CC18" showDropDown="0" showInputMessage="0" showErrorMessage="0" allowBlank="1" type="list">
      <formula1>"More than 1.2,Between 0.7 to 1.2,Less than 0.7"</formula1>
    </dataValidation>
    <dataValidation sqref="CE2:CE18" showDropDown="0" showInputMessage="0" showErrorMessage="0" allowBlank="1" type="list">
      <formula1>"Yes,No"</formula1>
    </dataValidation>
    <dataValidation sqref="CG2:CG18" showDropDown="0" showInputMessage="0" showErrorMessage="0" allowBlank="1" type="list">
      <formula1>"More than 15%,Less than 15%"</formula1>
    </dataValidation>
    <dataValidation sqref="CI2:CI1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6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IF(B2=0,"",RANK(B2,$B$2:$B$6,0))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138.9</v>
      </c>
      <c r="E2" s="31" t="inlineStr">
        <is>
          <t>5%</t>
        </is>
      </c>
      <c r="F2" s="31" t="n">
        <v>50000</v>
      </c>
      <c r="G2" s="31" t="n">
        <v>554</v>
      </c>
      <c r="H2" s="30" t="inlineStr">
        <is>
          <t>MAHABANK</t>
        </is>
      </c>
      <c r="I2" s="30" t="inlineStr">
        <is>
          <t>Bank Of Maharashtra Ltd</t>
        </is>
      </c>
      <c r="J2" s="30" t="inlineStr">
        <is>
          <t>bank</t>
        </is>
      </c>
      <c r="K2" s="30" t="inlineStr">
        <is>
          <t>banks - public sector</t>
        </is>
      </c>
      <c r="L2" s="30" t="inlineStr">
        <is>
          <t>largecap</t>
        </is>
      </c>
      <c r="M2" s="31" t="n">
        <v>67831.82000000001</v>
      </c>
      <c r="N2" s="31" t="n">
        <v>90.14</v>
      </c>
      <c r="O2" s="31" t="n">
        <v>2.21</v>
      </c>
      <c r="P2" s="31" t="n">
        <v>26656586</v>
      </c>
      <c r="Q2" s="30" t="n">
        <v>72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73.23999999999999</v>
      </c>
      <c r="U2" s="31" t="n">
        <v>43.77</v>
      </c>
      <c r="V2" s="31" t="n">
        <v>73.84999999999999</v>
      </c>
      <c r="W2" s="30" t="inlineStr">
        <is>
          <t>Near 52W High Breakout</t>
        </is>
      </c>
      <c r="X2" s="30" t="inlineStr">
        <is>
          <t>Nifty Bank</t>
        </is>
      </c>
      <c r="Y2" s="31" t="n">
        <v>2.37</v>
      </c>
      <c r="Z2" s="31" t="n">
        <v>72.45999999999999</v>
      </c>
      <c r="AA2" s="31" t="n">
        <v>68.47</v>
      </c>
      <c r="AB2" s="31" t="n">
        <v>20.37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Above 40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  <row r="3">
      <c r="A3" s="30">
        <f>IF(B3=0,"",RANK(B3,$B$2:$B$6,0))</f>
        <v/>
      </c>
      <c r="B3" s="31">
        <f>SUM(S3,AD3,AF3,AH3,AJ3,AL3,AN3,AP3,AR3,AT3,AV3,AX3,AZ3,BB3,BD3,BF3,BH3,BJ3,BL3,BN3,BP3,BR3,BT3,BV3,BX3,BZ3,CB3,CD3,CF3)</f>
        <v/>
      </c>
      <c r="C3" s="30" t="inlineStr">
        <is>
          <t>52W Breakout</t>
        </is>
      </c>
      <c r="D3" s="31" t="n">
        <v>139.7</v>
      </c>
      <c r="E3" s="31" t="inlineStr">
        <is>
          <t>5%</t>
        </is>
      </c>
      <c r="F3" s="31" t="n">
        <v>50000</v>
      </c>
      <c r="G3" s="31" t="n">
        <v>154</v>
      </c>
      <c r="H3" s="30" t="inlineStr">
        <is>
          <t>FEDERALBNK</t>
        </is>
      </c>
      <c r="I3" s="30" t="inlineStr">
        <is>
          <t>The Federal Bank  Limited</t>
        </is>
      </c>
      <c r="J3" s="30" t="inlineStr">
        <is>
          <t>bank</t>
        </is>
      </c>
      <c r="K3" s="30" t="inlineStr">
        <is>
          <t>banks - private sector</t>
        </is>
      </c>
      <c r="L3" s="30" t="inlineStr">
        <is>
          <t>largecap</t>
        </is>
      </c>
      <c r="M3" s="31" t="n">
        <v>79004.89</v>
      </c>
      <c r="N3" s="31" t="n">
        <v>322.7</v>
      </c>
      <c r="O3" s="31" t="n">
        <v>0.66</v>
      </c>
      <c r="P3" s="31" t="n">
        <v>9029691</v>
      </c>
      <c r="Q3" s="30" t="n">
        <v>57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69.76000000000001</v>
      </c>
      <c r="U3" s="31" t="n">
        <v>18.92</v>
      </c>
      <c r="V3" s="31" t="n">
        <v>276.55</v>
      </c>
      <c r="W3" s="30" t="inlineStr">
        <is>
          <t>Near 52W High Breakout</t>
        </is>
      </c>
      <c r="X3" s="30" t="inlineStr">
        <is>
          <t>Nifty Bank</t>
        </is>
      </c>
      <c r="Y3" s="31" t="n">
        <v>2.37</v>
      </c>
      <c r="Z3" s="31" t="n">
        <v>56.45</v>
      </c>
      <c r="AA3" s="31" t="n">
        <v>52.83</v>
      </c>
      <c r="AB3" s="31" t="n">
        <v>14.53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Fragmented with High ROE</t>
        </is>
      </c>
      <c r="AF3" s="30">
        <f>IF(AE3="Fragmented with Low ROE",-5,IF(AE3="Fragmented with High ROE",10,IF(AE3= "highly cyclical",5,0)))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Consistency)",15,IF(AK3="Shallow Cyclical (2 to 3 years growth)",10,IF(AK3 = "Cyclical in an Uptick",5,IF(AK3 = "Cyclical in an Downtick",-10,0))))</f>
        <v/>
      </c>
      <c r="AM3" s="30" t="inlineStr">
        <is>
          <t>Yes</t>
        </is>
      </c>
      <c r="AN3" s="30">
        <f>IF(AM3="Yes",10,0)</f>
        <v/>
      </c>
      <c r="AO3" s="30" t="inlineStr">
        <is>
          <t>Yes</t>
        </is>
      </c>
      <c r="AP3" s="30">
        <f>IF(AO3="Yes",10,0)</f>
        <v/>
      </c>
      <c r="AQ3" s="30" t="n"/>
      <c r="AR3" s="30">
        <f>IF(AQ3="No",10,0)</f>
        <v/>
      </c>
      <c r="AS3" s="30" t="inlineStr">
        <is>
          <t>Yes</t>
        </is>
      </c>
      <c r="AT3" s="30">
        <f>IF(AS3="Yes",10,0)</f>
        <v/>
      </c>
      <c r="AU3" s="30" t="inlineStr">
        <is>
          <t>Yes</t>
        </is>
      </c>
      <c r="AV3" s="30">
        <f>IF(AU3="Yes",10,0)</f>
        <v/>
      </c>
      <c r="AW3" s="30" t="inlineStr">
        <is>
          <t>Yes</t>
        </is>
      </c>
      <c r="AX3" s="30">
        <f>IF(AW3="Yes",5,0)</f>
        <v/>
      </c>
      <c r="AY3" s="30" t="inlineStr">
        <is>
          <t>No</t>
        </is>
      </c>
      <c r="AZ3" s="30">
        <f>IF(AY3="No",10,IF(AY3="Yes",-10,0))</f>
        <v/>
      </c>
      <c r="BA3" s="30" t="inlineStr">
        <is>
          <t>No</t>
        </is>
      </c>
      <c r="BB3" s="30">
        <f>IF(BA3="No",10,0)</f>
        <v/>
      </c>
      <c r="BC3" s="30" t="inlineStr">
        <is>
          <t>No</t>
        </is>
      </c>
      <c r="BD3" s="30">
        <f>IF(BC3="No",10,IF(BC3= "Yes CEO Resignation",-5,0))</f>
        <v/>
      </c>
      <c r="BE3" s="30" t="inlineStr">
        <is>
          <t>No</t>
        </is>
      </c>
      <c r="BF3" s="30">
        <f>IF(BE3="No",10,IF(BE3="Yes",-5,0))</f>
        <v/>
      </c>
      <c r="BG3" s="30" t="inlineStr">
        <is>
          <t>No</t>
        </is>
      </c>
      <c r="BH3" s="30">
        <f>IF(BG3="No",5,IF(BG3="Yes",-5,0))</f>
        <v/>
      </c>
      <c r="BI3" s="30" t="inlineStr">
        <is>
          <t>Yes</t>
        </is>
      </c>
      <c r="BJ3" s="30">
        <f>IF(BI3="Yes",10,0)</f>
        <v/>
      </c>
      <c r="BK3" s="30" t="inlineStr">
        <is>
          <t>Yes</t>
        </is>
      </c>
      <c r="BL3" s="30">
        <f>IF(BK3="Yes",10,0)</f>
        <v/>
      </c>
      <c r="BM3" s="30" t="inlineStr">
        <is>
          <t>Yes</t>
        </is>
      </c>
      <c r="BN3" s="30">
        <f>IF(BM3="Yes",10,0)</f>
        <v/>
      </c>
      <c r="BO3" s="30" t="inlineStr">
        <is>
          <t>P/BV less than 2.5x and Growth more than 20%</t>
        </is>
      </c>
      <c r="BP3" s="30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0" t="inlineStr">
        <is>
          <t>0 to 20</t>
        </is>
      </c>
      <c r="BR3" s="30">
        <f>IF(BQ3="Above 40",20,IF(BQ3="20 to 40",10,IF(BQ3="0 to 20",-5,0)))</f>
        <v/>
      </c>
      <c r="BS3" s="30" t="inlineStr">
        <is>
          <t>Between 50 to 75</t>
        </is>
      </c>
      <c r="BT3" s="30">
        <f>IF(BS3="Between 50 to 75",10,IF(BS3="Above 75",0,0))</f>
        <v/>
      </c>
      <c r="BU3" s="30" t="inlineStr">
        <is>
          <t>Stage 2</t>
        </is>
      </c>
      <c r="BV3" s="30">
        <f>IF(BU3="Stage 2",20,IF(BU3="Stage 1",0,IF(BU3="Stage 3",5,IF(BU3="Stage 4",-5,0))))</f>
        <v/>
      </c>
      <c r="BW3" s="30" t="inlineStr">
        <is>
          <t>Positive Trend</t>
        </is>
      </c>
      <c r="BX3" s="30">
        <f>IF(BW3="Positive Trend",20,IF(BW3="Negative Trend",-10,0))</f>
        <v/>
      </c>
      <c r="BY3" s="30" t="inlineStr">
        <is>
          <t>Uptrend</t>
        </is>
      </c>
      <c r="BZ3" s="30">
        <f>IF(BY3="Uptrend",10,IF(BY3="Sideways",5,0))</f>
        <v/>
      </c>
      <c r="CA3" s="30" t="inlineStr">
        <is>
          <t>Uptrend</t>
        </is>
      </c>
      <c r="CB3" s="30">
        <f>IF(CA3="Uptrend",10,IF(CA3="Sideways",5,0))</f>
        <v/>
      </c>
      <c r="CC3" s="30" t="inlineStr">
        <is>
          <t>Blue sky scenario</t>
        </is>
      </c>
      <c r="CD3" s="30">
        <f>IF(CC3="Overhead supply in last 2 years in last 2 years",-5,IF(CC3="Close to 52 week high or retracement",5,IF(CC3="Blue sky scenario",10,IF(CC3="Long term Downtrend",-10,0))))</f>
        <v/>
      </c>
      <c r="CE3" s="30" t="inlineStr">
        <is>
          <t>Yes</t>
        </is>
      </c>
      <c r="CF3" s="30">
        <f>IF(CE3="Yes",10,0)</f>
        <v/>
      </c>
    </row>
    <row r="4">
      <c r="A4" s="30">
        <f>IF(B4=0,"",RANK(B4,$B$2:$B$6,0))</f>
        <v/>
      </c>
      <c r="B4" s="31">
        <f>SUM(S4,AD4,AF4,AH4,AJ4,AL4,AN4,AP4,AR4,AT4,AV4,AX4,AZ4,BB4,BD4,BF4,BH4,BJ4,BL4,BN4,BP4,BR4,BT4,BV4,BX4,BZ4,CB4,CD4,CF4)</f>
        <v/>
      </c>
      <c r="C4" s="30" t="inlineStr">
        <is>
          <t>52W Breakout</t>
        </is>
      </c>
      <c r="D4" s="31" t="n">
        <v>139.5</v>
      </c>
      <c r="E4" s="31" t="inlineStr">
        <is>
          <t>5%</t>
        </is>
      </c>
      <c r="F4" s="31" t="n">
        <v>50000</v>
      </c>
      <c r="G4" s="31" t="n">
        <v>306</v>
      </c>
      <c r="H4" s="30" t="inlineStr">
        <is>
          <t>J&amp;KBANK</t>
        </is>
      </c>
      <c r="I4" s="30" t="inlineStr">
        <is>
          <t>The Jammu &amp; Kashmir Bank Limited</t>
        </is>
      </c>
      <c r="J4" s="30" t="inlineStr">
        <is>
          <t>bank</t>
        </is>
      </c>
      <c r="K4" s="30" t="inlineStr">
        <is>
          <t>banks - private sector</t>
        </is>
      </c>
      <c r="L4" s="30" t="inlineStr">
        <is>
          <t>midcap</t>
        </is>
      </c>
      <c r="M4" s="31" t="n">
        <v>17838.05</v>
      </c>
      <c r="N4" s="31" t="n">
        <v>162.95</v>
      </c>
      <c r="O4" s="31" t="n">
        <v>0.59</v>
      </c>
      <c r="P4" s="31" t="n">
        <v>2602084</v>
      </c>
      <c r="Q4" s="30" t="n">
        <v>66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75.34999999999999</v>
      </c>
      <c r="U4" s="31" t="n">
        <v>50.45</v>
      </c>
      <c r="V4" s="31" t="n">
        <v>132.27</v>
      </c>
      <c r="W4" s="30" t="inlineStr">
        <is>
          <t>Near 52W High Breakout</t>
        </is>
      </c>
      <c r="X4" s="30" t="inlineStr">
        <is>
          <t>Nifty Bank</t>
        </is>
      </c>
      <c r="Y4" s="31" t="n">
        <v>2.37</v>
      </c>
      <c r="Z4" s="31" t="n">
        <v>59.41</v>
      </c>
      <c r="AA4" s="31" t="n">
        <v>55.72</v>
      </c>
      <c r="AB4" s="31" t="n">
        <v>18.3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Fragmented with High ROE</t>
        </is>
      </c>
      <c r="AF4" s="30">
        <f>IF(AE4="Fragmented with Low ROE",-5,IF(AE4="Fragmented with High ROE",10,IF(AE4= "highly cyclical",5,0)))</f>
        <v/>
      </c>
      <c r="AG4" s="30" t="inlineStr">
        <is>
          <t>Yes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Consistency)",15,IF(AK4="Shallow Cyclical (2 to 3 years growth)",10,IF(AK4 = "Cyclical in an Uptick",5,IF(AK4 = "Cyclical in an Downtick",-10,0))))</f>
        <v/>
      </c>
      <c r="AM4" s="30" t="inlineStr">
        <is>
          <t>Yes</t>
        </is>
      </c>
      <c r="AN4" s="30">
        <f>IF(AM4="Yes",10,0)</f>
        <v/>
      </c>
      <c r="AO4" s="30" t="inlineStr">
        <is>
          <t>Yes</t>
        </is>
      </c>
      <c r="AP4" s="30">
        <f>IF(AO4="Yes",10,0)</f>
        <v/>
      </c>
      <c r="AQ4" s="30" t="n"/>
      <c r="AR4" s="30">
        <f>IF(AQ4="No",10,0)</f>
        <v/>
      </c>
      <c r="AS4" s="30" t="inlineStr">
        <is>
          <t>Yes</t>
        </is>
      </c>
      <c r="AT4" s="30">
        <f>IF(AS4="Yes",10,0)</f>
        <v/>
      </c>
      <c r="AU4" s="30" t="inlineStr">
        <is>
          <t>Yes</t>
        </is>
      </c>
      <c r="AV4" s="30">
        <f>IF(AU4="Yes",10,0)</f>
        <v/>
      </c>
      <c r="AW4" s="30" t="inlineStr">
        <is>
          <t>Yes</t>
        </is>
      </c>
      <c r="AX4" s="30">
        <f>IF(AW4="Yes",5,0)</f>
        <v/>
      </c>
      <c r="AY4" s="30" t="inlineStr">
        <is>
          <t>No</t>
        </is>
      </c>
      <c r="AZ4" s="30">
        <f>IF(AY4="No",10,IF(AY4="Yes",-10,0))</f>
        <v/>
      </c>
      <c r="BA4" s="30" t="inlineStr">
        <is>
          <t>No</t>
        </is>
      </c>
      <c r="BB4" s="30">
        <f>IF(BA4="No",10,0)</f>
        <v/>
      </c>
      <c r="BC4" s="30" t="inlineStr">
        <is>
          <t>No</t>
        </is>
      </c>
      <c r="BD4" s="30">
        <f>IF(BC4="No",10,IF(BC4= "Yes CEO Resignation",-5,0))</f>
        <v/>
      </c>
      <c r="BE4" s="30" t="inlineStr">
        <is>
          <t>No</t>
        </is>
      </c>
      <c r="BF4" s="30">
        <f>IF(BE4="No",10,IF(BE4="Yes",-5,0))</f>
        <v/>
      </c>
      <c r="BG4" s="30" t="inlineStr">
        <is>
          <t>No</t>
        </is>
      </c>
      <c r="BH4" s="30">
        <f>IF(BG4="No",5,IF(BG4="Yes",-5,0))</f>
        <v/>
      </c>
      <c r="BI4" s="30" t="inlineStr">
        <is>
          <t>Yes</t>
        </is>
      </c>
      <c r="BJ4" s="30">
        <f>IF(BI4="Yes",10,0)</f>
        <v/>
      </c>
      <c r="BK4" s="30" t="inlineStr">
        <is>
          <t>Yes</t>
        </is>
      </c>
      <c r="BL4" s="30">
        <f>IF(BK4="Yes",10,0)</f>
        <v/>
      </c>
      <c r="BM4" s="30" t="inlineStr">
        <is>
          <t>Yes</t>
        </is>
      </c>
      <c r="BN4" s="30">
        <f>IF(BM4="Yes",10,0)</f>
        <v/>
      </c>
      <c r="BO4" s="30" t="inlineStr">
        <is>
          <t>P/BV less than 2.5x and Growth less than 20%</t>
        </is>
      </c>
      <c r="BP4" s="30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0" t="inlineStr">
        <is>
          <t>Above 40</t>
        </is>
      </c>
      <c r="BR4" s="30">
        <f>IF(BQ4="Above 40",20,IF(BQ4="20 to 40",10,IF(BQ4="0 to 20",-5,0)))</f>
        <v/>
      </c>
      <c r="BS4" s="30" t="inlineStr">
        <is>
          <t>Above 75</t>
        </is>
      </c>
      <c r="BT4" s="30">
        <f>IF(BS4="Between 50 to 75",10,IF(BS4="Above 75",0,0))</f>
        <v/>
      </c>
      <c r="BU4" s="30" t="inlineStr">
        <is>
          <t>Stage 2</t>
        </is>
      </c>
      <c r="BV4" s="30">
        <f>IF(BU4="Stage 2",20,IF(BU4="Stage 1",0,IF(BU4="Stage 3",5,IF(BU4="Stage 4",-5,0))))</f>
        <v/>
      </c>
      <c r="BW4" s="30" t="inlineStr">
        <is>
          <t>Positive Trend</t>
        </is>
      </c>
      <c r="BX4" s="30">
        <f>IF(BW4="Positive Trend",20,IF(BW4="Negative Trend",-10,0))</f>
        <v/>
      </c>
      <c r="BY4" s="30" t="inlineStr">
        <is>
          <t>Uptrend</t>
        </is>
      </c>
      <c r="BZ4" s="30">
        <f>IF(BY4="Uptrend",10,IF(BY4="Sideways",5,0))</f>
        <v/>
      </c>
      <c r="CA4" s="30" t="inlineStr">
        <is>
          <t>Uptrend</t>
        </is>
      </c>
      <c r="CB4" s="30">
        <f>IF(CA4="Uptrend",10,IF(CA4="Sideways",5,0))</f>
        <v/>
      </c>
      <c r="CC4" s="30" t="inlineStr">
        <is>
          <t>Blue sky scenario</t>
        </is>
      </c>
      <c r="CD4" s="30">
        <f>IF(CC4="Overhead supply in last 2 years in last 2 years",-5,IF(CC4="Close to 52 week high or retracement",5,IF(CC4="Blue sky scenario",10,IF(CC4="Long term Downtrend",-10,0))))</f>
        <v/>
      </c>
      <c r="CE4" s="30" t="inlineStr">
        <is>
          <t>Yes</t>
        </is>
      </c>
      <c r="CF4" s="30">
        <f>IF(CE4="Yes",10,0)</f>
        <v/>
      </c>
    </row>
    <row r="5">
      <c r="A5" s="30">
        <f>IF(B5=0,"",RANK(B5,$B$2:$B$6,0))</f>
        <v/>
      </c>
      <c r="B5" s="31">
        <f>SUM(S5,AD5,AF5,AH5,AJ5,AL5,AN5,AP5,AR5,AT5,AV5,AX5,AZ5,BB5,BD5,BF5,BH5,BJ5,BL5,BN5,BP5,BR5,BT5,BV5,BX5,BZ5,CB5,CD5,CF5)</f>
        <v/>
      </c>
      <c r="C5" s="30" t="inlineStr">
        <is>
          <t>52W Breakout</t>
        </is>
      </c>
      <c r="D5" s="31" t="n">
        <v>139.5</v>
      </c>
      <c r="E5" s="31" t="inlineStr">
        <is>
          <t>5%</t>
        </is>
      </c>
      <c r="F5" s="31" t="n">
        <v>50000</v>
      </c>
      <c r="G5" s="31" t="n">
        <v>28</v>
      </c>
      <c r="H5" s="30" t="inlineStr">
        <is>
          <t>NUVAMA</t>
        </is>
      </c>
      <c r="I5" s="30" t="inlineStr">
        <is>
          <t>Nuvama Wealth Management Ltd</t>
        </is>
      </c>
      <c r="J5" s="30" t="inlineStr">
        <is>
          <t>financials</t>
        </is>
      </c>
      <c r="K5" s="30" t="inlineStr">
        <is>
          <t>finance &amp; investments</t>
        </is>
      </c>
      <c r="L5" s="30" t="inlineStr">
        <is>
          <t>largecap</t>
        </is>
      </c>
      <c r="M5" s="31" t="n">
        <v>30231.63</v>
      </c>
      <c r="N5" s="31" t="n">
        <v>1726.7</v>
      </c>
      <c r="O5" s="31" t="n">
        <v>3.97</v>
      </c>
      <c r="P5" s="31" t="n">
        <v>886482</v>
      </c>
      <c r="Q5" s="30" t="n">
        <v>65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66.09</v>
      </c>
      <c r="U5" s="31" t="n">
        <v>29.1</v>
      </c>
      <c r="V5" s="31" t="n">
        <v>1367.69</v>
      </c>
      <c r="W5" s="30" t="inlineStr">
        <is>
          <t>Near 52W High Breakout</t>
        </is>
      </c>
      <c r="X5" s="30" t="inlineStr">
        <is>
          <t>Nifty Bank</t>
        </is>
      </c>
      <c r="Y5" s="31" t="n">
        <v>2.37</v>
      </c>
      <c r="Z5" s="31" t="n">
        <v>27.84</v>
      </c>
      <c r="AA5" s="31" t="n">
        <v>24.88</v>
      </c>
      <c r="AB5" s="31" t="n">
        <v>17.98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Fragmented with High ROE</t>
        </is>
      </c>
      <c r="AF5" s="30">
        <f>IF(AE5="Fragmented with Low ROE",-5,IF(AE5="Fragmented with High ROE",10,IF(AE5= "highly cyclical",5,0)))</f>
        <v/>
      </c>
      <c r="AG5" s="30" t="inlineStr">
        <is>
          <t>Yes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Consistency)",15,IF(AK5="Shallow Cyclical (2 to 3 years growth)",10,IF(AK5 = "Cyclical in an Uptick",5,IF(AK5 = "Cyclical in an Downtick",-10,0))))</f>
        <v/>
      </c>
      <c r="AM5" s="30" t="inlineStr">
        <is>
          <t>Yes</t>
        </is>
      </c>
      <c r="AN5" s="30">
        <f>IF(AM5="Yes",10,0)</f>
        <v/>
      </c>
      <c r="AO5" s="30" t="inlineStr">
        <is>
          <t>Yes</t>
        </is>
      </c>
      <c r="AP5" s="30">
        <f>IF(AO5="Yes",10,0)</f>
        <v/>
      </c>
      <c r="AQ5" s="30" t="n"/>
      <c r="AR5" s="30">
        <f>IF(AQ5="No",10,0)</f>
        <v/>
      </c>
      <c r="AS5" s="30" t="inlineStr">
        <is>
          <t>Yes</t>
        </is>
      </c>
      <c r="AT5" s="30">
        <f>IF(AS5="Yes",10,0)</f>
        <v/>
      </c>
      <c r="AU5" s="30" t="inlineStr">
        <is>
          <t>Yes</t>
        </is>
      </c>
      <c r="AV5" s="30">
        <f>IF(AU5="Yes",10,0)</f>
        <v/>
      </c>
      <c r="AW5" s="30" t="inlineStr">
        <is>
          <t>Yes</t>
        </is>
      </c>
      <c r="AX5" s="30">
        <f>IF(AW5="Yes",5,0)</f>
        <v/>
      </c>
      <c r="AY5" s="30" t="inlineStr">
        <is>
          <t>No</t>
        </is>
      </c>
      <c r="AZ5" s="30">
        <f>IF(AY5="No",10,IF(AY5="Yes",-10,0))</f>
        <v/>
      </c>
      <c r="BA5" s="30" t="inlineStr">
        <is>
          <t>No</t>
        </is>
      </c>
      <c r="BB5" s="30">
        <f>IF(BA5="No",10,0)</f>
        <v/>
      </c>
      <c r="BC5" s="30" t="inlineStr">
        <is>
          <t>No</t>
        </is>
      </c>
      <c r="BD5" s="30">
        <f>IF(BC5="No",10,IF(BC5= "Yes CEO Resignation",-5,0))</f>
        <v/>
      </c>
      <c r="BE5" s="30" t="inlineStr">
        <is>
          <t>No</t>
        </is>
      </c>
      <c r="BF5" s="30">
        <f>IF(BE5="No",10,IF(BE5="Yes",-5,0))</f>
        <v/>
      </c>
      <c r="BG5" s="30" t="inlineStr">
        <is>
          <t>No</t>
        </is>
      </c>
      <c r="BH5" s="30">
        <f>IF(BG5="No",5,IF(BG5="Yes",-5,0))</f>
        <v/>
      </c>
      <c r="BI5" s="30" t="inlineStr">
        <is>
          <t>Yes</t>
        </is>
      </c>
      <c r="BJ5" s="30">
        <f>IF(BI5="Yes",10,0)</f>
        <v/>
      </c>
      <c r="BK5" s="30" t="inlineStr">
        <is>
          <t>Yes</t>
        </is>
      </c>
      <c r="BL5" s="30">
        <f>IF(BK5="Yes",10,0)</f>
        <v/>
      </c>
      <c r="BM5" s="30" t="inlineStr">
        <is>
          <t>Yes</t>
        </is>
      </c>
      <c r="BN5" s="30">
        <f>IF(BM5="Yes",10,0)</f>
        <v/>
      </c>
      <c r="BO5" s="30" t="inlineStr">
        <is>
          <t>P/BV above 5x</t>
        </is>
      </c>
      <c r="BP5" s="30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0" t="inlineStr">
        <is>
          <t>20 to 40</t>
        </is>
      </c>
      <c r="BR5" s="30">
        <f>IF(BQ5="Above 40",20,IF(BQ5="20 to 40",10,IF(BQ5="0 to 20",-5,0)))</f>
        <v/>
      </c>
      <c r="BS5" s="30" t="inlineStr">
        <is>
          <t>Between 50 to 75</t>
        </is>
      </c>
      <c r="BT5" s="30">
        <f>IF(BS5="Between 50 to 75",10,IF(BS5="Above 75",0,0))</f>
        <v/>
      </c>
      <c r="BU5" s="30" t="inlineStr">
        <is>
          <t>Stage 2</t>
        </is>
      </c>
      <c r="BV5" s="30">
        <f>IF(BU5="Stage 2",20,IF(BU5="Stage 1",0,IF(BU5="Stage 3",5,IF(BU5="Stage 4",-5,0))))</f>
        <v/>
      </c>
      <c r="BW5" s="30" t="inlineStr">
        <is>
          <t>Positive Trend</t>
        </is>
      </c>
      <c r="BX5" s="30">
        <f>IF(BW5="Positive Trend",20,IF(BW5="Negative Trend",-10,0))</f>
        <v/>
      </c>
      <c r="BY5" s="30" t="inlineStr">
        <is>
          <t>Uptrend</t>
        </is>
      </c>
      <c r="BZ5" s="30">
        <f>IF(BY5="Uptrend",10,IF(BY5="Sideways",5,0))</f>
        <v/>
      </c>
      <c r="CA5" s="30" t="inlineStr">
        <is>
          <t>Uptrend</t>
        </is>
      </c>
      <c r="CB5" s="30">
        <f>IF(CA5="Uptrend",10,IF(CA5="Sideways",5,0))</f>
        <v/>
      </c>
      <c r="CC5" s="30" t="inlineStr">
        <is>
          <t>Blue sky scenario</t>
        </is>
      </c>
      <c r="CD5" s="30">
        <f>IF(CC5="Overhead supply in last 2 years in last 2 years",-5,IF(CC5="Close to 52 week high or retracement",5,IF(CC5="Blue sky scenario",10,IF(CC5="Long term Downtrend",-10,0))))</f>
        <v/>
      </c>
      <c r="CE5" s="30" t="inlineStr">
        <is>
          <t>Yes</t>
        </is>
      </c>
      <c r="CF5" s="30">
        <f>IF(CE5="Yes",10,0)</f>
        <v/>
      </c>
    </row>
    <row r="6">
      <c r="A6" s="30">
        <f>IF(B6=0,"",RANK(B6,$B$2:$B$6,0))</f>
        <v/>
      </c>
      <c r="B6" s="31">
        <f>SUM(S6,AD6,AF6,AH6,AJ6,AL6,AN6,AP6,AR6,AT6,AV6,AX6,AZ6,BB6,BD6,BF6,BH6,BJ6,BL6,BN6,BP6,BR6,BT6,BV6,BX6,BZ6,CB6,CD6,CF6)</f>
        <v/>
      </c>
      <c r="C6" s="30" t="inlineStr">
        <is>
          <t>52W Breakout</t>
        </is>
      </c>
      <c r="D6" s="31" t="n">
        <v>139.3</v>
      </c>
      <c r="E6" s="31" t="inlineStr">
        <is>
          <t>5%</t>
        </is>
      </c>
      <c r="F6" s="31" t="n">
        <v>50000</v>
      </c>
      <c r="G6" s="31" t="n">
        <v>1031</v>
      </c>
      <c r="H6" s="30" t="inlineStr">
        <is>
          <t>SOUTHBANK</t>
        </is>
      </c>
      <c r="I6" s="30" t="inlineStr">
        <is>
          <t>The South Indian Bank Limited</t>
        </is>
      </c>
      <c r="J6" s="30" t="inlineStr">
        <is>
          <t>bank</t>
        </is>
      </c>
      <c r="K6" s="30" t="inlineStr">
        <is>
          <t>banks - private sector</t>
        </is>
      </c>
      <c r="L6" s="30" t="inlineStr">
        <is>
          <t>midcap</t>
        </is>
      </c>
      <c r="M6" s="31" t="n">
        <v>12354.92</v>
      </c>
      <c r="N6" s="31" t="n">
        <v>48.45</v>
      </c>
      <c r="O6" s="31" t="n">
        <v>2.65</v>
      </c>
      <c r="P6" s="31" t="n">
        <v>25436146</v>
      </c>
      <c r="Q6" s="30" t="n">
        <v>69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70.44</v>
      </c>
      <c r="U6" s="31" t="n">
        <v>16.26</v>
      </c>
      <c r="V6" s="31" t="n">
        <v>38.83</v>
      </c>
      <c r="W6" s="30" t="inlineStr">
        <is>
          <t>Near 52W High Breakout</t>
        </is>
      </c>
      <c r="X6" s="30" t="inlineStr">
        <is>
          <t>Nifty Bank</t>
        </is>
      </c>
      <c r="Y6" s="31" t="n">
        <v>2.37</v>
      </c>
      <c r="Z6" s="31" t="n">
        <v>68.06</v>
      </c>
      <c r="AA6" s="31" t="n">
        <v>64.17</v>
      </c>
      <c r="AB6" s="31" t="n">
        <v>19.34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Fragmented with High ROE</t>
        </is>
      </c>
      <c r="AF6" s="30">
        <f>IF(AE6="Fragmented with Low ROE",-5,IF(AE6="Fragmented with High ROE",10,IF(AE6= "highly cyclical",5,0)))</f>
        <v/>
      </c>
      <c r="AG6" s="30" t="inlineStr">
        <is>
          <t>Yes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Consistency)",15,IF(AK6="Shallow Cyclical (2 to 3 years growth)",10,IF(AK6 = "Cyclical in an Uptick",5,IF(AK6 = "Cyclical in an Downtick",-10,0))))</f>
        <v/>
      </c>
      <c r="AM6" s="30" t="inlineStr">
        <is>
          <t>Yes</t>
        </is>
      </c>
      <c r="AN6" s="30">
        <f>IF(AM6="Yes",10,0)</f>
        <v/>
      </c>
      <c r="AO6" s="30" t="inlineStr">
        <is>
          <t>Yes</t>
        </is>
      </c>
      <c r="AP6" s="30">
        <f>IF(AO6="Yes",10,0)</f>
        <v/>
      </c>
      <c r="AQ6" s="30" t="n"/>
      <c r="AR6" s="30">
        <f>IF(AQ6="No",10,0)</f>
        <v/>
      </c>
      <c r="AS6" s="30" t="inlineStr">
        <is>
          <t>Yes</t>
        </is>
      </c>
      <c r="AT6" s="30">
        <f>IF(AS6="Yes",10,0)</f>
        <v/>
      </c>
      <c r="AU6" s="30" t="inlineStr">
        <is>
          <t>Yes</t>
        </is>
      </c>
      <c r="AV6" s="30">
        <f>IF(AU6="Yes",10,0)</f>
        <v/>
      </c>
      <c r="AW6" s="30" t="inlineStr">
        <is>
          <t>Yes</t>
        </is>
      </c>
      <c r="AX6" s="30">
        <f>IF(AW6="Yes",5,0)</f>
        <v/>
      </c>
      <c r="AY6" s="30" t="inlineStr">
        <is>
          <t>No</t>
        </is>
      </c>
      <c r="AZ6" s="30">
        <f>IF(AY6="No",10,IF(AY6="Yes",-10,0))</f>
        <v/>
      </c>
      <c r="BA6" s="30" t="inlineStr">
        <is>
          <t>No</t>
        </is>
      </c>
      <c r="BB6" s="30">
        <f>IF(BA6="No",10,0)</f>
        <v/>
      </c>
      <c r="BC6" s="30" t="inlineStr">
        <is>
          <t>No</t>
        </is>
      </c>
      <c r="BD6" s="30">
        <f>IF(BC6="No",10,IF(BC6= "Yes CEO Resignation",-5,0))</f>
        <v/>
      </c>
      <c r="BE6" s="30" t="inlineStr">
        <is>
          <t>No</t>
        </is>
      </c>
      <c r="BF6" s="30">
        <f>IF(BE6="No",10,IF(BE6="Yes",-5,0))</f>
        <v/>
      </c>
      <c r="BG6" s="30" t="inlineStr">
        <is>
          <t>No</t>
        </is>
      </c>
      <c r="BH6" s="30">
        <f>IF(BG6="No",5,IF(BG6="Yes",-5,0))</f>
        <v/>
      </c>
      <c r="BI6" s="30" t="inlineStr">
        <is>
          <t>Yes</t>
        </is>
      </c>
      <c r="BJ6" s="30">
        <f>IF(BI6="Yes",10,0)</f>
        <v/>
      </c>
      <c r="BK6" s="30" t="inlineStr">
        <is>
          <t>Yes</t>
        </is>
      </c>
      <c r="BL6" s="30">
        <f>IF(BK6="Yes",10,0)</f>
        <v/>
      </c>
      <c r="BM6" s="30" t="inlineStr">
        <is>
          <t>Yes</t>
        </is>
      </c>
      <c r="BN6" s="30">
        <f>IF(BM6="Yes",10,0)</f>
        <v/>
      </c>
      <c r="BO6" s="30" t="inlineStr">
        <is>
          <t>P/BV less than 2.5x and Growth less than 20%</t>
        </is>
      </c>
      <c r="BP6" s="30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0" t="inlineStr">
        <is>
          <t>0 to 20</t>
        </is>
      </c>
      <c r="BR6" s="30">
        <f>IF(BQ6="Above 40",20,IF(BQ6="20 to 40",10,IF(BQ6="0 to 20",-5,0)))</f>
        <v/>
      </c>
      <c r="BS6" s="30" t="inlineStr">
        <is>
          <t>Between 50 to 75</t>
        </is>
      </c>
      <c r="BT6" s="30">
        <f>IF(BS6="Between 50 to 75",10,IF(BS6="Above 75",0,0))</f>
        <v/>
      </c>
      <c r="BU6" s="30" t="inlineStr">
        <is>
          <t>Stage 2</t>
        </is>
      </c>
      <c r="BV6" s="30">
        <f>IF(BU6="Stage 2",20,IF(BU6="Stage 1",0,IF(BU6="Stage 3",5,IF(BU6="Stage 4",-5,0))))</f>
        <v/>
      </c>
      <c r="BW6" s="30" t="inlineStr">
        <is>
          <t>Positive Trend</t>
        </is>
      </c>
      <c r="BX6" s="30">
        <f>IF(BW6="Positive Trend",20,IF(BW6="Negative Trend",-10,0))</f>
        <v/>
      </c>
      <c r="BY6" s="30" t="inlineStr">
        <is>
          <t>Uptrend</t>
        </is>
      </c>
      <c r="BZ6" s="30">
        <f>IF(BY6="Uptrend",10,IF(BY6="Sideways",5,0))</f>
        <v/>
      </c>
      <c r="CA6" s="30" t="inlineStr">
        <is>
          <t>Uptrend</t>
        </is>
      </c>
      <c r="CB6" s="30">
        <f>IF(CA6="Uptrend",10,IF(CA6="Sideways",5,0))</f>
        <v/>
      </c>
      <c r="CC6" s="30" t="inlineStr">
        <is>
          <t>Blue sky scenario</t>
        </is>
      </c>
      <c r="CD6" s="30">
        <f>IF(CC6="Overhead supply in last 2 years in last 2 years",-5,IF(CC6="Close to 52 week high or retracement",5,IF(CC6="Blue sky scenario",10,IF(CC6="Long term Downtrend",-10,0))))</f>
        <v/>
      </c>
      <c r="CE6" s="30" t="inlineStr">
        <is>
          <t>Yes</t>
        </is>
      </c>
      <c r="CF6" s="30">
        <f>IF(CE6="Yes",10,0)</f>
        <v/>
      </c>
    </row>
  </sheetData>
  <autoFilter ref="A1:CF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6">
    <cfRule type="cellIs" priority="34" operator="equal" dxfId="3" stopIfTrue="1">
      <formula>"Underperforming"</formula>
    </cfRule>
  </conditionalFormatting>
  <conditionalFormatting sqref="S2:S6">
    <cfRule type="cellIs" priority="35" operator="equal" dxfId="3" stopIfTrue="1">
      <formula>-5</formula>
    </cfRule>
  </conditionalFormatting>
  <conditionalFormatting sqref="V2:V6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6" showDropDown="0" showInputMessage="0" showErrorMessage="0" allowBlank="1" type="list">
      <formula1>"Growing Industry,Stagnant Industry,Cyclical in an Upturn"</formula1>
    </dataValidation>
    <dataValidation sqref="AE2:AE6" showDropDown="0" showInputMessage="0" showErrorMessage="0" allowBlank="1" type="list">
      <formula1>"Fragmented with Low ROE,Fragmented with High ROE,Highly Cyclical"</formula1>
    </dataValidation>
    <dataValidation sqref="AG2:AG6" showDropDown="0" showInputMessage="0" showErrorMessage="0" allowBlank="1" type="list">
      <formula1>"Yes,No"</formula1>
    </dataValidation>
    <dataValidation sqref="AI2:AI6" showDropDown="0" showInputMessage="0" showErrorMessage="0" allowBlank="1" type="list">
      <formula1>"Tailwind,Headwind"</formula1>
    </dataValidation>
    <dataValidation sqref="AK2:AK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6" showDropDown="0" showInputMessage="0" showErrorMessage="0" allowBlank="1" type="list">
      <formula1>"Yes,No"</formula1>
    </dataValidation>
    <dataValidation sqref="AO2:AO6" showDropDown="0" showInputMessage="0" showErrorMessage="0" allowBlank="1" type="list">
      <formula1>"Yes,No,Not Applicable"</formula1>
    </dataValidation>
    <dataValidation sqref="AQ2:AQ6" showDropDown="0" showInputMessage="0" showErrorMessage="0" allowBlank="1" type="list">
      <formula1>"Yes,No"</formula1>
    </dataValidation>
    <dataValidation sqref="AS2:AS6" showDropDown="0" showInputMessage="0" showErrorMessage="0" allowBlank="1" type="list">
      <formula1>"Yes,No"</formula1>
    </dataValidation>
    <dataValidation sqref="AU2:AU6" showDropDown="0" showInputMessage="0" showErrorMessage="0" allowBlank="1" type="list">
      <formula1>"Yes,No"</formula1>
    </dataValidation>
    <dataValidation sqref="AW2:AW6" showDropDown="0" showInputMessage="0" showErrorMessage="0" allowBlank="1" type="list">
      <formula1>"Yes,No"</formula1>
    </dataValidation>
    <dataValidation sqref="AY2:AY6" showDropDown="0" showInputMessage="0" showErrorMessage="0" allowBlank="1" type="list">
      <formula1>"No,Yes"</formula1>
    </dataValidation>
    <dataValidation sqref="BA2:BA6" showDropDown="0" showInputMessage="0" showErrorMessage="0" allowBlank="1" type="list">
      <formula1>"No,Yes"</formula1>
    </dataValidation>
    <dataValidation sqref="BC2:BC6" showDropDown="0" showInputMessage="0" showErrorMessage="0" allowBlank="1" type="list">
      <formula1>"No,Yes CEO Resignation,Yes CEO Retirement"</formula1>
    </dataValidation>
    <dataValidation sqref="BE2:BE6" showDropDown="0" showInputMessage="0" showErrorMessage="0" allowBlank="1" type="list">
      <formula1>"No,Yes"</formula1>
    </dataValidation>
    <dataValidation sqref="BG2:BG6" showDropDown="0" showInputMessage="0" showErrorMessage="0" allowBlank="1" type="list">
      <formula1>"No,Yes"</formula1>
    </dataValidation>
    <dataValidation sqref="BI2:BI6" showDropDown="0" showInputMessage="0" showErrorMessage="0" allowBlank="1" type="list">
      <formula1>"Yes,No"</formula1>
    </dataValidation>
    <dataValidation sqref="BK2:BK6" showDropDown="0" showInputMessage="0" showErrorMessage="0" allowBlank="1" type="list">
      <formula1>"Yes,No"</formula1>
    </dataValidation>
    <dataValidation sqref="BM2:BM6" showDropDown="0" showInputMessage="0" showErrorMessage="0" allowBlank="1" type="list">
      <formula1>"Yes,No"</formula1>
    </dataValidation>
    <dataValidation sqref="BO2:BO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6" showDropDown="0" showInputMessage="0" showErrorMessage="0" allowBlank="1" type="list">
      <formula1>"Above 40,20 to 40,0 to 20"</formula1>
    </dataValidation>
    <dataValidation sqref="BS2:BS6" showDropDown="0" showInputMessage="0" showErrorMessage="0" allowBlank="1" type="list">
      <formula1>"Between 50 to 75,Above 75,Below 45"</formula1>
    </dataValidation>
    <dataValidation sqref="BU2:BU6" showDropDown="0" showInputMessage="0" showErrorMessage="0" allowBlank="1" type="list">
      <formula1>"Stage 1,Stage 2,Stage 3,Stage 4"</formula1>
    </dataValidation>
    <dataValidation sqref="BW2:BW6" showDropDown="0" showInputMessage="0" showErrorMessage="0" allowBlank="1" type="list">
      <formula1>"Positive Trend,Negative Trend"</formula1>
    </dataValidation>
    <dataValidation sqref="BY2:BY6" showDropDown="0" showInputMessage="0" showErrorMessage="0" allowBlank="1" type="list">
      <formula1>"Uptrend,Sideways,Downtrend"</formula1>
    </dataValidation>
    <dataValidation sqref="CA2:CA6" showDropDown="0" showInputMessage="0" showErrorMessage="0" allowBlank="1" type="list">
      <formula1>"Uptrend,Sideways,Downtrend"</formula1>
    </dataValidation>
    <dataValidation sqref="CC2:CC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VMARCIND</t>
        </is>
      </c>
      <c r="D2" s="30" t="inlineStr">
        <is>
          <t>V-Marc India Ltd</t>
        </is>
      </c>
      <c r="E2" s="30" t="inlineStr">
        <is>
          <t>unknown</t>
        </is>
      </c>
      <c r="F2" s="30" t="inlineStr">
        <is>
          <t>Cables - Power</t>
        </is>
      </c>
      <c r="G2" s="30" t="inlineStr">
        <is>
          <t>smallcap</t>
        </is>
      </c>
      <c r="H2" s="31" t="n">
        <v>4063.73</v>
      </c>
      <c r="I2" s="31" t="n">
        <v>1664.05</v>
      </c>
      <c r="J2" s="31" t="n">
        <v>3.45</v>
      </c>
      <c r="K2" s="31" t="n">
        <v>0</v>
      </c>
      <c r="L2" s="30" t="n">
        <v>98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81.77</v>
      </c>
      <c r="P2" s="31" t="n">
        <v>45.01</v>
      </c>
      <c r="Q2" s="31" t="n">
        <v>1194.33</v>
      </c>
      <c r="R2" s="30" t="inlineStr">
        <is>
          <t>Near 52W High Breakout</t>
        </is>
      </c>
      <c r="S2" s="30" t="inlineStr">
        <is>
          <t>Nifty 50</t>
        </is>
      </c>
      <c r="T2" s="31" t="n">
        <v>-4.09</v>
      </c>
      <c r="U2" s="31" t="n">
        <v>447.7</v>
      </c>
      <c r="V2" s="31" t="n">
        <v>471.05</v>
      </c>
      <c r="W2" s="31" t="n">
        <v>79.12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B2B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One Time, Lower Annuity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Above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Less than 1.5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22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</t>
        </is>
      </c>
      <c r="G3" s="30" t="inlineStr">
        <is>
          <t>midcap</t>
        </is>
      </c>
      <c r="H3" s="31" t="n">
        <v>5602.55</v>
      </c>
      <c r="I3" s="31" t="n">
        <v>24.05</v>
      </c>
      <c r="J3" s="31" t="n">
        <v>0.71</v>
      </c>
      <c r="K3" s="31" t="n">
        <v>0</v>
      </c>
      <c r="L3" s="30" t="n">
        <v>95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73.02</v>
      </c>
      <c r="P3" s="31" t="n">
        <v>36.21</v>
      </c>
      <c r="Q3" s="31" t="n">
        <v>17.05</v>
      </c>
      <c r="R3" s="30" t="inlineStr">
        <is>
          <t>Near 52W High Breakout</t>
        </is>
      </c>
      <c r="S3" s="30" t="inlineStr">
        <is>
          <t>Nifty 50</t>
        </is>
      </c>
      <c r="T3" s="31" t="n">
        <v>-4.09</v>
      </c>
      <c r="U3" s="31" t="n">
        <v>37.04</v>
      </c>
      <c r="V3" s="31" t="n">
        <v>42.88</v>
      </c>
      <c r="W3" s="31" t="n">
        <v>47.85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20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MODINSU</t>
        </is>
      </c>
      <c r="D4" s="30" t="inlineStr">
        <is>
          <t>Modern Insulators Ltd</t>
        </is>
      </c>
      <c r="E4" s="30" t="inlineStr">
        <is>
          <t>Technology</t>
        </is>
      </c>
      <c r="F4" s="30" t="inlineStr">
        <is>
          <t>Capital Goods - Electric General</t>
        </is>
      </c>
      <c r="G4" s="30" t="inlineStr">
        <is>
          <t>smallcap</t>
        </is>
      </c>
      <c r="H4" s="31" t="n">
        <v>2252.06</v>
      </c>
      <c r="I4" s="31" t="n">
        <v>477.7</v>
      </c>
      <c r="J4" s="31" t="n">
        <v>4.99</v>
      </c>
      <c r="K4" s="31" t="n">
        <v>0</v>
      </c>
      <c r="L4" s="30" t="n">
        <v>97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74</v>
      </c>
      <c r="P4" s="31" t="n">
        <v>43.63</v>
      </c>
      <c r="Q4" s="31" t="n">
        <v>342.25</v>
      </c>
      <c r="R4" s="30" t="inlineStr">
        <is>
          <t>Near 52W High Breakout</t>
        </is>
      </c>
      <c r="S4" s="30" t="inlineStr">
        <is>
          <t>Nifty 50</t>
        </is>
      </c>
      <c r="T4" s="31" t="n">
        <v>-4.09</v>
      </c>
      <c r="U4" s="31" t="n">
        <v>370.82</v>
      </c>
      <c r="V4" s="31" t="n">
        <v>390.89</v>
      </c>
      <c r="W4" s="31" t="n">
        <v>63.86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Annuity, Lower One Time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Between 50 to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Above 2</t>
        </is>
      </c>
      <c r="BU4" s="30">
        <f>IF(BT4="Above 2",0,IF(BT4="Between 1.5 to 2",5,IF(BT4="Less than 1.5",10,0)))</f>
        <v/>
      </c>
      <c r="BV4" s="30" t="inlineStr">
        <is>
          <t>Less than 50%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25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SAKAR</t>
        </is>
      </c>
      <c r="D5" s="30" t="inlineStr">
        <is>
          <t>Sakar Healthcare Ltd</t>
        </is>
      </c>
      <c r="E5" s="30" t="inlineStr">
        <is>
          <t>healthcare</t>
        </is>
      </c>
      <c r="F5" s="30" t="inlineStr">
        <is>
          <t>Hospitals</t>
        </is>
      </c>
      <c r="G5" s="30" t="inlineStr">
        <is>
          <t>smallcap</t>
        </is>
      </c>
      <c r="H5" s="31" t="n">
        <v>1783.11</v>
      </c>
      <c r="I5" s="31" t="n">
        <v>801.4</v>
      </c>
      <c r="J5" s="31" t="n">
        <v>-2.62</v>
      </c>
      <c r="K5" s="31" t="n">
        <v>0</v>
      </c>
      <c r="L5" s="30" t="n">
        <v>87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73</v>
      </c>
      <c r="P5" s="31" t="n">
        <v>53.87</v>
      </c>
      <c r="Q5" s="31" t="n">
        <v>576.1</v>
      </c>
      <c r="R5" s="30" t="inlineStr">
        <is>
          <t>Near 52W High Breakout</t>
        </is>
      </c>
      <c r="S5" s="30" t="inlineStr">
        <is>
          <t>Nifty Pharma</t>
        </is>
      </c>
      <c r="T5" s="31" t="n">
        <v>11.72</v>
      </c>
      <c r="U5" s="31" t="n">
        <v>129.46</v>
      </c>
      <c r="V5" s="31" t="n">
        <v>105.39</v>
      </c>
      <c r="W5" s="31" t="n">
        <v>29.77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Yes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18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GVT&amp;D</t>
        </is>
      </c>
      <c r="D6" s="30" t="inlineStr">
        <is>
          <t>GE Vernova T&amp;D India Ltd</t>
        </is>
      </c>
      <c r="E6" s="30" t="inlineStr">
        <is>
          <t>industrials</t>
        </is>
      </c>
      <c r="F6" s="30" t="inlineStr">
        <is>
          <t>Electrical Equipments/HVDC</t>
        </is>
      </c>
      <c r="G6" s="30" t="inlineStr">
        <is>
          <t>largecap</t>
        </is>
      </c>
      <c r="H6" s="31" t="n">
        <v>131927.98</v>
      </c>
      <c r="I6" s="31" t="n">
        <v>5152.5</v>
      </c>
      <c r="J6" s="31" t="n">
        <v>5.75</v>
      </c>
      <c r="K6" s="31" t="n">
        <v>0</v>
      </c>
      <c r="L6" s="30" t="n">
        <v>81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71.81999999999999</v>
      </c>
      <c r="P6" s="31" t="n">
        <v>50.48</v>
      </c>
      <c r="Q6" s="31" t="n">
        <v>3909.43</v>
      </c>
      <c r="R6" s="30" t="inlineStr">
        <is>
          <t>Near 52W High Breakout</t>
        </is>
      </c>
      <c r="S6" s="30" t="inlineStr">
        <is>
          <t>Nifty 50</t>
        </is>
      </c>
      <c r="T6" s="31" t="n">
        <v>-4.09</v>
      </c>
      <c r="U6" s="31" t="n">
        <v>119.07</v>
      </c>
      <c r="V6" s="31" t="n">
        <v>128.41</v>
      </c>
      <c r="W6" s="31" t="n">
        <v>26.33</v>
      </c>
      <c r="X6" s="30" t="inlineStr">
        <is>
          <t>Cyclical in an Upturn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Yes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20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BAJAJCON</t>
        </is>
      </c>
      <c r="D7" s="30" t="inlineStr">
        <is>
          <t>Bajaj Consumer Care Ltd</t>
        </is>
      </c>
      <c r="E7" s="30" t="inlineStr">
        <is>
          <t>fmcg</t>
        </is>
      </c>
      <c r="F7" s="30" t="inlineStr">
        <is>
          <t>FMCG - Personal Care</t>
        </is>
      </c>
      <c r="G7" s="30" t="inlineStr">
        <is>
          <t>midcap</t>
        </is>
      </c>
      <c r="H7" s="31" t="n">
        <v>7874.33</v>
      </c>
      <c r="I7" s="31" t="n">
        <v>602.85</v>
      </c>
      <c r="J7" s="31" t="n">
        <v>0.4</v>
      </c>
      <c r="K7" s="31" t="n">
        <v>0</v>
      </c>
      <c r="L7" s="30" t="n">
        <v>94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78.11</v>
      </c>
      <c r="P7" s="31" t="n">
        <v>56.02</v>
      </c>
      <c r="Q7" s="31" t="n">
        <v>473.01</v>
      </c>
      <c r="R7" s="30" t="inlineStr">
        <is>
          <t>Near 52W High Breakout</t>
        </is>
      </c>
      <c r="S7" s="30" t="inlineStr">
        <is>
          <t>Nifty FMCG</t>
        </is>
      </c>
      <c r="T7" s="31" t="n">
        <v>-9.289999999999999</v>
      </c>
      <c r="U7" s="31" t="n">
        <v>256.19</v>
      </c>
      <c r="V7" s="31" t="n">
        <v>292.67</v>
      </c>
      <c r="W7" s="31" t="n">
        <v>44.77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B2C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25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VENUSREM</t>
        </is>
      </c>
      <c r="D8" s="30" t="inlineStr">
        <is>
          <t>Venus Remedies Ltd</t>
        </is>
      </c>
      <c r="E8" s="30" t="inlineStr">
        <is>
          <t>healthcare</t>
        </is>
      </c>
      <c r="F8" s="30" t="inlineStr">
        <is>
          <t>Pharmaceuticals - I V Fluids</t>
        </is>
      </c>
      <c r="G8" s="30" t="inlineStr">
        <is>
          <t>smallcap</t>
        </is>
      </c>
      <c r="H8" s="31" t="n">
        <v>2371.97</v>
      </c>
      <c r="I8" s="31" t="n">
        <v>1774.5</v>
      </c>
      <c r="J8" s="31" t="n">
        <v>-5</v>
      </c>
      <c r="K8" s="31" t="n">
        <v>0</v>
      </c>
      <c r="L8" s="30" t="n">
        <v>96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81.20999999999999</v>
      </c>
      <c r="P8" s="31" t="n">
        <v>52.86</v>
      </c>
      <c r="Q8" s="31" t="n">
        <v>1358.02</v>
      </c>
      <c r="R8" s="30" t="inlineStr">
        <is>
          <t>Near 52W High Breakout</t>
        </is>
      </c>
      <c r="S8" s="30" t="inlineStr">
        <is>
          <t>Nifty Pharma</t>
        </is>
      </c>
      <c r="T8" s="31" t="n">
        <v>11.72</v>
      </c>
      <c r="U8" s="31" t="n">
        <v>309.48</v>
      </c>
      <c r="V8" s="31" t="n">
        <v>266.52</v>
      </c>
      <c r="W8" s="31" t="n">
        <v>59.86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24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BLISSGVS</t>
        </is>
      </c>
      <c r="D9" s="30" t="inlineStr">
        <is>
          <t>Bliss GVS Pharma Ltd</t>
        </is>
      </c>
      <c r="E9" s="30" t="inlineStr">
        <is>
          <t>healthcare</t>
        </is>
      </c>
      <c r="F9" s="30" t="inlineStr">
        <is>
          <t>Pharma - Formulators</t>
        </is>
      </c>
      <c r="G9" s="30" t="inlineStr">
        <is>
          <t>midcap</t>
        </is>
      </c>
      <c r="H9" s="31" t="n">
        <v>5036.08</v>
      </c>
      <c r="I9" s="31" t="n">
        <v>474.85</v>
      </c>
      <c r="J9" s="31" t="n">
        <v>5.08</v>
      </c>
      <c r="K9" s="31" t="n">
        <v>0</v>
      </c>
      <c r="L9" s="30" t="n">
        <v>96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89.90000000000001</v>
      </c>
      <c r="P9" s="31" t="n">
        <v>63.47</v>
      </c>
      <c r="Q9" s="31" t="n">
        <v>366.04</v>
      </c>
      <c r="R9" s="30" t="inlineStr">
        <is>
          <t>Near 52W High Breakout</t>
        </is>
      </c>
      <c r="S9" s="30" t="inlineStr">
        <is>
          <t>Nifty Pharma</t>
        </is>
      </c>
      <c r="T9" s="31" t="n">
        <v>11.72</v>
      </c>
      <c r="U9" s="31" t="n">
        <v>244.84</v>
      </c>
      <c r="V9" s="31" t="n">
        <v>208.66</v>
      </c>
      <c r="W9" s="31" t="n">
        <v>59.51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22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THANGAMAYL</t>
        </is>
      </c>
      <c r="D10" s="30" t="inlineStr">
        <is>
          <t>Thangamayil Jewellery Ltd</t>
        </is>
      </c>
      <c r="E10" s="30" t="inlineStr">
        <is>
          <t>consumer discretionary</t>
        </is>
      </c>
      <c r="F10" s="30" t="inlineStr">
        <is>
          <t>Diamond, Gems &amp; Jewellery</t>
        </is>
      </c>
      <c r="G10" s="30" t="inlineStr">
        <is>
          <t>midcap</t>
        </is>
      </c>
      <c r="H10" s="31" t="n">
        <v>17507.57</v>
      </c>
      <c r="I10" s="31" t="n">
        <v>5632.7</v>
      </c>
      <c r="J10" s="31" t="n">
        <v>3.45</v>
      </c>
      <c r="K10" s="31" t="n">
        <v>0</v>
      </c>
      <c r="L10" s="30" t="n">
        <v>93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72.26000000000001</v>
      </c>
      <c r="P10" s="31" t="n">
        <v>40.06</v>
      </c>
      <c r="Q10" s="31" t="n">
        <v>4143.28</v>
      </c>
      <c r="R10" s="30" t="inlineStr">
        <is>
          <t>Near 52W High Breakout</t>
        </is>
      </c>
      <c r="S10" s="30" t="inlineStr">
        <is>
          <t>Nifty 50</t>
        </is>
      </c>
      <c r="T10" s="31" t="n">
        <v>-4.09</v>
      </c>
      <c r="U10" s="31" t="n">
        <v>201.41</v>
      </c>
      <c r="V10" s="31" t="n">
        <v>214.26</v>
      </c>
      <c r="W10" s="31" t="n">
        <v>41.68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Above 2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33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RPTECH</t>
        </is>
      </c>
      <c r="D11" s="30" t="inlineStr">
        <is>
          <t>Rashi Peripherals Ltd</t>
        </is>
      </c>
      <c r="E11" s="30" t="inlineStr">
        <is>
          <t>services</t>
        </is>
      </c>
      <c r="F11" s="30" t="inlineStr">
        <is>
          <t>Trading</t>
        </is>
      </c>
      <c r="G11" s="30" t="inlineStr">
        <is>
          <t>smallcap</t>
        </is>
      </c>
      <c r="H11" s="31" t="n">
        <v>4519.4</v>
      </c>
      <c r="I11" s="31" t="n">
        <v>685.8</v>
      </c>
      <c r="J11" s="31" t="n">
        <v>3.5</v>
      </c>
      <c r="K11" s="31" t="n">
        <v>0</v>
      </c>
      <c r="L11" s="30" t="n">
        <v>94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86.28</v>
      </c>
      <c r="P11" s="31" t="n">
        <v>53.78</v>
      </c>
      <c r="Q11" s="31" t="n">
        <v>528.36</v>
      </c>
      <c r="R11" s="30" t="inlineStr">
        <is>
          <t>Volume Spike &amp; Near 52W High Breakout</t>
        </is>
      </c>
      <c r="S11" s="30" t="inlineStr">
        <is>
          <t>Nifty 50</t>
        </is>
      </c>
      <c r="T11" s="31" t="n">
        <v>-4.09</v>
      </c>
      <c r="U11" s="31" t="n">
        <v>133.24</v>
      </c>
      <c r="V11" s="31" t="n">
        <v>143.18</v>
      </c>
      <c r="W11" s="31" t="n">
        <v>43.3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Less than 50%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27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MTARTECH</t>
        </is>
      </c>
      <c r="D12" s="30" t="inlineStr">
        <is>
          <t>MTAR Technologies Ltd</t>
        </is>
      </c>
      <c r="E12" s="30" t="inlineStr">
        <is>
          <t>aerospace &amp; defence</t>
        </is>
      </c>
      <c r="F12" s="30" t="inlineStr">
        <is>
          <t>Aerospace &amp; Defence - Equipments</t>
        </is>
      </c>
      <c r="G12" s="30" t="inlineStr">
        <is>
          <t>largecap</t>
        </is>
      </c>
      <c r="H12" s="31" t="n">
        <v>25588.9</v>
      </c>
      <c r="I12" s="31" t="n">
        <v>8319</v>
      </c>
      <c r="J12" s="31" t="n">
        <v>8.06</v>
      </c>
      <c r="K12" s="31" t="n">
        <v>0</v>
      </c>
      <c r="L12" s="30" t="n">
        <v>98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80.51000000000001</v>
      </c>
      <c r="P12" s="31" t="n">
        <v>63.49</v>
      </c>
      <c r="Q12" s="31" t="n">
        <v>5902.33</v>
      </c>
      <c r="R12" s="30" t="inlineStr">
        <is>
          <t>Near 52W High Breakout</t>
        </is>
      </c>
      <c r="S12" s="30" t="inlineStr">
        <is>
          <t>Nifty 50</t>
        </is>
      </c>
      <c r="T12" s="31" t="n">
        <v>-4.09</v>
      </c>
      <c r="U12" s="31" t="n">
        <v>384.59</v>
      </c>
      <c r="V12" s="31" t="n">
        <v>405.25</v>
      </c>
      <c r="W12" s="31" t="n">
        <v>71.5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No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One Time, Lower Annuity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26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GAYAPROJ</t>
        </is>
      </c>
      <c r="D13" s="30" t="inlineStr">
        <is>
          <t>Gayatri Projects Ltd</t>
        </is>
      </c>
      <c r="E13" s="30" t="inlineStr">
        <is>
          <t>realty</t>
        </is>
      </c>
      <c r="F13" s="30" t="inlineStr">
        <is>
          <t>Construction - Civil/Turnkey</t>
        </is>
      </c>
      <c r="G13" s="30" t="inlineStr">
        <is>
          <t>smallcap</t>
        </is>
      </c>
      <c r="H13" s="31" t="n">
        <v>1172.82</v>
      </c>
      <c r="I13" s="31" t="n">
        <v>25.26</v>
      </c>
      <c r="J13" s="31" t="n">
        <v>4.86</v>
      </c>
      <c r="K13" s="31" t="n">
        <v>0</v>
      </c>
      <c r="L13" s="30" t="n">
        <v>94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80.98</v>
      </c>
      <c r="P13" s="31" t="n">
        <v>60.34</v>
      </c>
      <c r="Q13" s="31" t="n">
        <v>20.43</v>
      </c>
      <c r="R13" s="30" t="inlineStr">
        <is>
          <t>Near 52W High Breakout</t>
        </is>
      </c>
      <c r="S13" s="30" t="inlineStr">
        <is>
          <t>Nifty Realty</t>
        </is>
      </c>
      <c r="T13" s="31" t="n">
        <v>-19.64</v>
      </c>
      <c r="U13" s="31" t="n">
        <v>195.44</v>
      </c>
      <c r="V13" s="31" t="n">
        <v>267.63</v>
      </c>
      <c r="W13" s="31" t="n">
        <v>45.44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Above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22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NETWEB</t>
        </is>
      </c>
      <c r="D14" s="30" t="inlineStr">
        <is>
          <t>Netweb Technologies India Ltd</t>
        </is>
      </c>
      <c r="E14" s="30" t="inlineStr">
        <is>
          <t>i.t</t>
        </is>
      </c>
      <c r="F14" s="30" t="inlineStr">
        <is>
          <t>Data Centre</t>
        </is>
      </c>
      <c r="G14" s="30" t="inlineStr">
        <is>
          <t>largecap</t>
        </is>
      </c>
      <c r="H14" s="31" t="n">
        <v>27966.42</v>
      </c>
      <c r="I14" s="31" t="n">
        <v>4911.5</v>
      </c>
      <c r="J14" s="31" t="n">
        <v>0.55</v>
      </c>
      <c r="K14" s="31" t="n">
        <v>0</v>
      </c>
      <c r="L14" s="30" t="n">
        <v>91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67.95999999999999</v>
      </c>
      <c r="P14" s="31" t="n">
        <v>45.2</v>
      </c>
      <c r="Q14" s="31" t="n">
        <v>3468.21</v>
      </c>
      <c r="R14" s="30" t="inlineStr">
        <is>
          <t>Near 52W High Breakout</t>
        </is>
      </c>
      <c r="S14" s="30" t="inlineStr">
        <is>
          <t>Nifty IT</t>
        </is>
      </c>
      <c r="T14" s="31" t="n">
        <v>-26.11</v>
      </c>
      <c r="U14" s="31" t="n">
        <v>178.75</v>
      </c>
      <c r="V14" s="31" t="n">
        <v>277.27</v>
      </c>
      <c r="W14" s="31" t="n">
        <v>37.07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Between 50% to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21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NGLFINE</t>
        </is>
      </c>
      <c r="D15" s="30" t="inlineStr">
        <is>
          <t>NGL Fine Chem Ltd</t>
        </is>
      </c>
      <c r="E15" s="30" t="inlineStr">
        <is>
          <t>healthcare</t>
        </is>
      </c>
      <c r="F15" s="30" t="inlineStr">
        <is>
          <t>Pharma - Animal</t>
        </is>
      </c>
      <c r="G15" s="30" t="inlineStr">
        <is>
          <t>smallcap</t>
        </is>
      </c>
      <c r="H15" s="31" t="n">
        <v>1810.35</v>
      </c>
      <c r="I15" s="31" t="n">
        <v>2930.3</v>
      </c>
      <c r="J15" s="31" t="n">
        <v>-1.56</v>
      </c>
      <c r="K15" s="31" t="n">
        <v>0</v>
      </c>
      <c r="L15" s="30" t="n">
        <v>89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73.5</v>
      </c>
      <c r="P15" s="31" t="n">
        <v>65.51000000000001</v>
      </c>
      <c r="Q15" s="31" t="n">
        <v>2026.99</v>
      </c>
      <c r="R15" s="30" t="inlineStr">
        <is>
          <t>Near 52W High Breakout</t>
        </is>
      </c>
      <c r="S15" s="30" t="inlineStr">
        <is>
          <t>Nifty Pharma</t>
        </is>
      </c>
      <c r="T15" s="31" t="n">
        <v>11.72</v>
      </c>
      <c r="U15" s="31" t="n">
        <v>193.45</v>
      </c>
      <c r="V15" s="31" t="n">
        <v>162.66</v>
      </c>
      <c r="W15" s="31" t="n">
        <v>34.23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Above 2</t>
        </is>
      </c>
      <c r="BU15" s="30">
        <f>IF(BT15="Above 2",0,IF(BT15="Between 1.5 to 2",5,IF(BT15="Less than 1.5",10,0)))</f>
        <v/>
      </c>
      <c r="BV15" s="30" t="inlineStr">
        <is>
          <t>Between 50% to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24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CUPID</t>
        </is>
      </c>
      <c r="D16" s="30" t="inlineStr">
        <is>
          <t>Cupid Ltd</t>
        </is>
      </c>
      <c r="E16" s="30" t="inlineStr">
        <is>
          <t>fmcg</t>
        </is>
      </c>
      <c r="F16" s="30" t="inlineStr">
        <is>
          <t>Contraceptives/Protectives</t>
        </is>
      </c>
      <c r="G16" s="30" t="inlineStr">
        <is>
          <t>largecap</t>
        </is>
      </c>
      <c r="H16" s="31" t="n">
        <v>22345.57</v>
      </c>
      <c r="I16" s="31" t="n">
        <v>166.18</v>
      </c>
      <c r="J16" s="31" t="n">
        <v>0.78</v>
      </c>
      <c r="K16" s="31" t="n">
        <v>0</v>
      </c>
      <c r="L16" s="30" t="n">
        <v>99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82.69</v>
      </c>
      <c r="P16" s="31" t="n">
        <v>48.57</v>
      </c>
      <c r="Q16" s="31" t="n">
        <v>128.63</v>
      </c>
      <c r="R16" s="30" t="inlineStr">
        <is>
          <t>Near 52W High Breakout</t>
        </is>
      </c>
      <c r="S16" s="30" t="inlineStr">
        <is>
          <t>Nifty FMCG</t>
        </is>
      </c>
      <c r="T16" s="31" t="n">
        <v>-9.289999999999999</v>
      </c>
      <c r="U16" s="31" t="n">
        <v>794.21</v>
      </c>
      <c r="V16" s="31" t="n">
        <v>885.78</v>
      </c>
      <c r="W16" s="31" t="n">
        <v>89.2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Annuity, Lower One Time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Above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Less than 50%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23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GOLDIAM</t>
        </is>
      </c>
      <c r="D17" s="30" t="inlineStr">
        <is>
          <t>Goldiam International Ltd</t>
        </is>
      </c>
      <c r="E17" s="30" t="inlineStr">
        <is>
          <t>consumer discretionary</t>
        </is>
      </c>
      <c r="F17" s="30" t="inlineStr">
        <is>
          <t>Lab Grown Diamonds</t>
        </is>
      </c>
      <c r="G17" s="30" t="inlineStr">
        <is>
          <t>midcap</t>
        </is>
      </c>
      <c r="H17" s="31" t="n">
        <v>5645.89</v>
      </c>
      <c r="I17" s="31" t="n">
        <v>500</v>
      </c>
      <c r="J17" s="31" t="n">
        <v>2.95</v>
      </c>
      <c r="K17" s="31" t="n">
        <v>0</v>
      </c>
      <c r="L17" s="30" t="n">
        <v>80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67.01000000000001</v>
      </c>
      <c r="P17" s="31" t="n">
        <v>28.72</v>
      </c>
      <c r="Q17" s="31" t="n">
        <v>364.19</v>
      </c>
      <c r="R17" s="30" t="inlineStr">
        <is>
          <t>Near 52W High Breakout</t>
        </is>
      </c>
      <c r="S17" s="30" t="inlineStr">
        <is>
          <t>Nifty 50</t>
        </is>
      </c>
      <c r="T17" s="31" t="n">
        <v>-4.09</v>
      </c>
      <c r="U17" s="31" t="n">
        <v>45.55</v>
      </c>
      <c r="V17" s="31" t="n">
        <v>51.76</v>
      </c>
      <c r="W17" s="31" t="n">
        <v>25.26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No</t>
        </is>
      </c>
      <c r="BS17" s="30">
        <f>IF(BR17="NO",5,0)</f>
        <v/>
      </c>
      <c r="BT17" s="30" t="inlineStr">
        <is>
          <t>Less than 1.5</t>
        </is>
      </c>
      <c r="BU17" s="30">
        <f>IF(BT17="Above 2",0,IF(BT17="Between 1.5 to 2",5,IF(BT17="Less than 1.5",10,0)))</f>
        <v/>
      </c>
      <c r="BV17" s="30" t="inlineStr">
        <is>
          <t>Less than 50%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24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TIMEX</t>
        </is>
      </c>
      <c r="D18" s="30" t="inlineStr">
        <is>
          <t>Timex Group India Ltd</t>
        </is>
      </c>
      <c r="E18" s="30" t="inlineStr">
        <is>
          <t>Consumer Cyclical</t>
        </is>
      </c>
      <c r="F18" s="30" t="inlineStr">
        <is>
          <t>Watches</t>
        </is>
      </c>
      <c r="G18" s="30" t="inlineStr">
        <is>
          <t>smallcap</t>
        </is>
      </c>
      <c r="H18" s="31" t="n">
        <v>4886.99</v>
      </c>
      <c r="I18" s="31" t="n">
        <v>484.1</v>
      </c>
      <c r="J18" s="31" t="n">
        <v>-0.93</v>
      </c>
      <c r="K18" s="31" t="n">
        <v>0</v>
      </c>
      <c r="L18" s="30" t="n">
        <v>88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72.31999999999999</v>
      </c>
      <c r="P18" s="31" t="n">
        <v>30.01</v>
      </c>
      <c r="Q18" s="31" t="n">
        <v>373.83</v>
      </c>
      <c r="R18" s="30" t="inlineStr">
        <is>
          <t>Near 52W High Breakout</t>
        </is>
      </c>
      <c r="S18" s="30" t="inlineStr">
        <is>
          <t>Nifty 50</t>
        </is>
      </c>
      <c r="T18" s="31" t="n">
        <v>-4.09</v>
      </c>
      <c r="U18" s="31" t="n">
        <v>86.52</v>
      </c>
      <c r="V18" s="31" t="n">
        <v>94.47</v>
      </c>
      <c r="W18" s="31" t="n">
        <v>32.19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B2C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22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MAYURUNIQ</t>
        </is>
      </c>
      <c r="D19" s="30" t="inlineStr">
        <is>
          <t>Mayur Uniquoters Ltd</t>
        </is>
      </c>
      <c r="E19" s="30" t="inlineStr">
        <is>
          <t>consumer discretionary</t>
        </is>
      </c>
      <c r="F19" s="30" t="inlineStr">
        <is>
          <t>Plastics - Plastic &amp; Plastic Products</t>
        </is>
      </c>
      <c r="G19" s="30" t="inlineStr">
        <is>
          <t>smallcap</t>
        </is>
      </c>
      <c r="H19" s="31" t="n">
        <v>3592.44</v>
      </c>
      <c r="I19" s="31" t="n">
        <v>826.75</v>
      </c>
      <c r="J19" s="31" t="n">
        <v>0.34</v>
      </c>
      <c r="K19" s="31" t="n">
        <v>0</v>
      </c>
      <c r="L19" s="30" t="n">
        <v>77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79.48</v>
      </c>
      <c r="P19" s="31" t="n">
        <v>40.58</v>
      </c>
      <c r="Q19" s="31" t="n">
        <v>648.83</v>
      </c>
      <c r="R19" s="30" t="inlineStr">
        <is>
          <t>Near 52W High Breakout</t>
        </is>
      </c>
      <c r="S19" s="30" t="inlineStr">
        <is>
          <t>Nifty 50</t>
        </is>
      </c>
      <c r="T19" s="31" t="n">
        <v>-4.09</v>
      </c>
      <c r="U19" s="31" t="n">
        <v>50.81</v>
      </c>
      <c r="V19" s="31" t="n">
        <v>57.23</v>
      </c>
      <c r="W19" s="31" t="n">
        <v>23.59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18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SKMEGGPROD</t>
        </is>
      </c>
      <c r="D20" s="30" t="inlineStr">
        <is>
          <t>SKM Egg Products Export (India) Ltd</t>
        </is>
      </c>
      <c r="E20" s="30" t="inlineStr">
        <is>
          <t>fmcg</t>
        </is>
      </c>
      <c r="F20" s="30" t="inlineStr">
        <is>
          <t>FMCG - Animal/Polutry</t>
        </is>
      </c>
      <c r="G20" s="30" t="inlineStr">
        <is>
          <t>smallcap</t>
        </is>
      </c>
      <c r="H20" s="31" t="n">
        <v>1286.54</v>
      </c>
      <c r="I20" s="31" t="n">
        <v>244.31</v>
      </c>
      <c r="J20" s="31" t="n">
        <v>0.21</v>
      </c>
      <c r="K20" s="31" t="n">
        <v>0</v>
      </c>
      <c r="L20" s="30" t="n">
        <v>86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69.81999999999999</v>
      </c>
      <c r="P20" s="31" t="n">
        <v>22.1</v>
      </c>
      <c r="Q20" s="31" t="n">
        <v>171.78</v>
      </c>
      <c r="R20" s="30" t="inlineStr">
        <is>
          <t>Near 52W High Breakout</t>
        </is>
      </c>
      <c r="S20" s="30" t="inlineStr">
        <is>
          <t>Nifty FMCG</t>
        </is>
      </c>
      <c r="T20" s="31" t="n">
        <v>-9.289999999999999</v>
      </c>
      <c r="U20" s="31" t="n">
        <v>93.93000000000001</v>
      </c>
      <c r="V20" s="31" t="n">
        <v>113.79</v>
      </c>
      <c r="W20" s="31" t="n">
        <v>29.48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Less than 50%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24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GVPIL</t>
        </is>
      </c>
      <c r="D21" s="30" t="inlineStr">
        <is>
          <t>GE Power India Ltd</t>
        </is>
      </c>
      <c r="E21" s="30" t="inlineStr">
        <is>
          <t>realty</t>
        </is>
      </c>
      <c r="F21" s="30" t="inlineStr">
        <is>
          <t>Infra - General</t>
        </is>
      </c>
      <c r="G21" s="30" t="inlineStr">
        <is>
          <t>midcap</t>
        </is>
      </c>
      <c r="H21" s="31" t="n">
        <v>7093.84</v>
      </c>
      <c r="I21" s="31" t="n">
        <v>1055.2</v>
      </c>
      <c r="J21" s="31" t="n">
        <v>2.97</v>
      </c>
      <c r="K21" s="31" t="n">
        <v>0</v>
      </c>
      <c r="L21" s="30" t="n">
        <v>97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90.59999999999999</v>
      </c>
      <c r="P21" s="31" t="n">
        <v>58.79</v>
      </c>
      <c r="Q21" s="31" t="n">
        <v>821.83</v>
      </c>
      <c r="R21" s="30" t="inlineStr">
        <is>
          <t>Near 52W High Breakout</t>
        </is>
      </c>
      <c r="S21" s="30" t="inlineStr">
        <is>
          <t>Nifty Realty</t>
        </is>
      </c>
      <c r="T21" s="31" t="n">
        <v>-19.64</v>
      </c>
      <c r="U21" s="31" t="n">
        <v>247.28</v>
      </c>
      <c r="V21" s="31" t="n">
        <v>332.13</v>
      </c>
      <c r="W21" s="31" t="n">
        <v>67.31999999999999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Duopoly That Cooperate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Shallow Cyclical (2 to 3 Years Growth)</t>
        </is>
      </c>
      <c r="AG21" s="30">
        <f>IF(AF21="Structural (10 Years Consistency)",10,IF(AF21="Shallow Cyclical (2 to 3 years growth)",5,0))</f>
        <v/>
      </c>
      <c r="AH21" s="30" t="inlineStr">
        <is>
          <t>Yes due to Product Mix change or Operating Leverage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Fully Annuity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only for next 1 to 2 years</t>
        </is>
      </c>
      <c r="AW21" s="30">
        <f>IF(AV21="Yes for more than 2 years",10,IF(AV21="Yes only for next 1 to 2 years",5,0))</f>
        <v/>
      </c>
      <c r="AX21" s="30" t="inlineStr">
        <is>
          <t>Above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Yes</t>
        </is>
      </c>
      <c r="BS21" s="30">
        <f>IF(BR21="NO",5,0)</f>
        <v/>
      </c>
      <c r="BT21" s="30" t="inlineStr">
        <is>
          <t>Above 2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Between 0.7 to 1.2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21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3" t="inlineStr">
        <is>
          <t>ADFFOODS</t>
        </is>
      </c>
      <c r="D22" s="33" t="inlineStr">
        <is>
          <t>ADF Foods Ltd</t>
        </is>
      </c>
      <c r="E22" s="30" t="inlineStr">
        <is>
          <t>fmcg</t>
        </is>
      </c>
      <c r="F22" s="30" t="inlineStr">
        <is>
          <t>FMCG - Contract Mfg</t>
        </is>
      </c>
      <c r="G22" s="30" t="inlineStr">
        <is>
          <t>smallcap</t>
        </is>
      </c>
      <c r="H22" s="31" t="n">
        <v>3310.19</v>
      </c>
      <c r="I22" s="31" t="n">
        <v>301.3</v>
      </c>
      <c r="J22" s="31" t="n">
        <v>0.02</v>
      </c>
      <c r="K22" s="31" t="n">
        <v>0</v>
      </c>
      <c r="L22" s="30" t="n">
        <v>73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67.61</v>
      </c>
      <c r="P22" s="31" t="n">
        <v>31.28</v>
      </c>
      <c r="Q22" s="31" t="n">
        <v>219.12</v>
      </c>
      <c r="R22" s="30" t="inlineStr">
        <is>
          <t>Near 52W High Breakout</t>
        </is>
      </c>
      <c r="S22" s="30" t="inlineStr">
        <is>
          <t>Nifty FMCG</t>
        </is>
      </c>
      <c r="T22" s="31" t="n">
        <v>-9.289999999999999</v>
      </c>
      <c r="U22" s="31" t="n">
        <v>11.05</v>
      </c>
      <c r="V22" s="31" t="n">
        <v>22.42</v>
      </c>
      <c r="W22" s="31" t="n">
        <v>20.92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B2C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Less than 50%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18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AEGISLOG</t>
        </is>
      </c>
      <c r="D23" s="30" t="inlineStr">
        <is>
          <t>Aegis Logistics Ltd</t>
        </is>
      </c>
      <c r="E23" s="30" t="inlineStr">
        <is>
          <t>services</t>
        </is>
      </c>
      <c r="F23" s="30" t="inlineStr">
        <is>
          <t>Logistics</t>
        </is>
      </c>
      <c r="G23" s="30" t="inlineStr">
        <is>
          <t>largecap</t>
        </is>
      </c>
      <c r="H23" s="31" t="n">
        <v>35343.95</v>
      </c>
      <c r="I23" s="31" t="n">
        <v>1006.95</v>
      </c>
      <c r="J23" s="31" t="n">
        <v>2.16</v>
      </c>
      <c r="K23" s="31" t="n">
        <v>0</v>
      </c>
      <c r="L23" s="30" t="n">
        <v>74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75.48</v>
      </c>
      <c r="P23" s="31" t="n">
        <v>23.33</v>
      </c>
      <c r="Q23" s="31" t="n">
        <v>782.49</v>
      </c>
      <c r="R23" s="30" t="inlineStr">
        <is>
          <t>Near 52W High Breakout</t>
        </is>
      </c>
      <c r="S23" s="30" t="inlineStr">
        <is>
          <t>Nifty 50</t>
        </is>
      </c>
      <c r="T23" s="31" t="n">
        <v>-4.09</v>
      </c>
      <c r="U23" s="31" t="n">
        <v>29.23</v>
      </c>
      <c r="V23" s="31" t="n">
        <v>34.74</v>
      </c>
      <c r="W23" s="31" t="n">
        <v>21.38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29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BHAGYANGR</t>
        </is>
      </c>
      <c r="D24" s="30" t="inlineStr">
        <is>
          <t>Bhagyanagar India Ltd</t>
        </is>
      </c>
      <c r="E24" s="30" t="inlineStr">
        <is>
          <t>power &amp; utilities</t>
        </is>
      </c>
      <c r="F24" s="30" t="inlineStr">
        <is>
          <t>Recycling</t>
        </is>
      </c>
      <c r="G24" s="30" t="inlineStr">
        <is>
          <t>smallcap</t>
        </is>
      </c>
      <c r="H24" s="31" t="n">
        <v>1150.22</v>
      </c>
      <c r="I24" s="31" t="n">
        <v>359.5</v>
      </c>
      <c r="J24" s="31" t="n">
        <v>4.99</v>
      </c>
      <c r="K24" s="31" t="n">
        <v>0</v>
      </c>
      <c r="L24" s="30" t="n">
        <v>98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80.20999999999999</v>
      </c>
      <c r="P24" s="31" t="n">
        <v>60.03</v>
      </c>
      <c r="Q24" s="31" t="n">
        <v>257.99</v>
      </c>
      <c r="R24" s="30" t="inlineStr">
        <is>
          <t>Near 52W High Breakout</t>
        </is>
      </c>
      <c r="S24" s="30" t="inlineStr">
        <is>
          <t>Nifty IT</t>
        </is>
      </c>
      <c r="T24" s="31" t="n">
        <v>-26.11</v>
      </c>
      <c r="U24" s="31" t="n">
        <v>358.14</v>
      </c>
      <c r="V24" s="31" t="n">
        <v>520.05</v>
      </c>
      <c r="W24" s="31" t="n">
        <v>72.90000000000001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Between 0.7 to 1.2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23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3" t="inlineStr">
        <is>
          <t>KRISHNADEF</t>
        </is>
      </c>
      <c r="D25" s="33" t="inlineStr">
        <is>
          <t>Krishna Defence &amp; Allied Industries Ltd</t>
        </is>
      </c>
      <c r="E25" s="30" t="inlineStr">
        <is>
          <t>Industrials</t>
        </is>
      </c>
      <c r="F25" s="30" t="inlineStr">
        <is>
          <t>Shipping - Proxy</t>
        </is>
      </c>
      <c r="G25" s="30" t="inlineStr">
        <is>
          <t>smallcap</t>
        </is>
      </c>
      <c r="H25" s="31" t="n">
        <v>1950.3</v>
      </c>
      <c r="I25" s="31" t="n">
        <v>1306</v>
      </c>
      <c r="J25" s="31" t="n">
        <v>6.39</v>
      </c>
      <c r="K25" s="31" t="n">
        <v>0</v>
      </c>
      <c r="L25" s="30" t="n">
        <v>68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68.58</v>
      </c>
      <c r="P25" s="31" t="n">
        <v>39.77</v>
      </c>
      <c r="Q25" s="31" t="n">
        <v>869.48</v>
      </c>
      <c r="R25" s="30" t="inlineStr">
        <is>
          <t>Near 52W High Breakout</t>
        </is>
      </c>
      <c r="S25" s="30" t="inlineStr">
        <is>
          <t>Nifty 50</t>
        </is>
      </c>
      <c r="T25" s="31" t="n">
        <v>-4.09</v>
      </c>
      <c r="U25" s="31" t="n">
        <v>44.46</v>
      </c>
      <c r="V25" s="31" t="n">
        <v>50.62</v>
      </c>
      <c r="W25" s="31" t="n">
        <v>18.73</v>
      </c>
      <c r="X25" s="30" t="inlineStr">
        <is>
          <t>Cyclical in an Upturn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Above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19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KPL</t>
        </is>
      </c>
      <c r="D26" s="30" t="inlineStr">
        <is>
          <t>Kwality Pharmaceuticals Ltd</t>
        </is>
      </c>
      <c r="E26" s="30" t="inlineStr">
        <is>
          <t>Healthcare</t>
        </is>
      </c>
      <c r="F26" s="30" t="inlineStr">
        <is>
          <t>Pharma - Formulators</t>
        </is>
      </c>
      <c r="G26" s="30" t="inlineStr">
        <is>
          <t>smallcap</t>
        </is>
      </c>
      <c r="H26" s="31" t="n">
        <v>2443.59</v>
      </c>
      <c r="I26" s="31" t="n">
        <v>2355</v>
      </c>
      <c r="J26" s="31" t="n">
        <v>-3.01</v>
      </c>
      <c r="K26" s="31" t="n">
        <v>0</v>
      </c>
      <c r="L26" s="30" t="n">
        <v>88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73.18000000000001</v>
      </c>
      <c r="P26" s="31" t="n">
        <v>52.94</v>
      </c>
      <c r="Q26" s="31" t="n">
        <v>1821.45</v>
      </c>
      <c r="R26" s="30" t="inlineStr">
        <is>
          <t>Earnings / Momentum Support</t>
        </is>
      </c>
      <c r="S26" s="30" t="inlineStr">
        <is>
          <t>Nifty Pharma</t>
        </is>
      </c>
      <c r="T26" s="31" t="n">
        <v>11.72</v>
      </c>
      <c r="U26" s="31" t="n">
        <v>128.75</v>
      </c>
      <c r="V26" s="31" t="n">
        <v>104.75</v>
      </c>
      <c r="W26" s="31" t="n">
        <v>31.78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No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Less than 50%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26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SPARC</t>
        </is>
      </c>
      <c r="D27" s="30" t="inlineStr">
        <is>
          <t>Sun Pharma Advanced Research Company Ltd</t>
        </is>
      </c>
      <c r="E27" s="30" t="inlineStr">
        <is>
          <t>healthcare</t>
        </is>
      </c>
      <c r="F27" s="30" t="inlineStr">
        <is>
          <t>Pharma - Others</t>
        </is>
      </c>
      <c r="G27" s="30" t="inlineStr">
        <is>
          <t>midcap</t>
        </is>
      </c>
      <c r="H27" s="31" t="n">
        <v>7775.86</v>
      </c>
      <c r="I27" s="31" t="n">
        <v>239.61</v>
      </c>
      <c r="J27" s="31" t="n">
        <v>0.5</v>
      </c>
      <c r="K27" s="31" t="n">
        <v>0</v>
      </c>
      <c r="L27" s="30" t="n">
        <v>91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79.02</v>
      </c>
      <c r="P27" s="31" t="n">
        <v>50.02</v>
      </c>
      <c r="Q27" s="31" t="n">
        <v>171.7</v>
      </c>
      <c r="R27" s="30" t="inlineStr">
        <is>
          <t>Near 52W High Breakout</t>
        </is>
      </c>
      <c r="S27" s="30" t="inlineStr">
        <is>
          <t>Nifty Pharma</t>
        </is>
      </c>
      <c r="T27" s="31" t="n">
        <v>11.72</v>
      </c>
      <c r="U27" s="31" t="n">
        <v>52.94</v>
      </c>
      <c r="V27" s="31" t="n">
        <v>36.89</v>
      </c>
      <c r="W27" s="31" t="n">
        <v>37.46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Negative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22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SHILPAMED</t>
        </is>
      </c>
      <c r="D28" s="30" t="inlineStr">
        <is>
          <t>Shilpa Medicare Ltd</t>
        </is>
      </c>
      <c r="E28" s="30" t="inlineStr">
        <is>
          <t>healthcare</t>
        </is>
      </c>
      <c r="F28" s="30" t="inlineStr">
        <is>
          <t>Pharma - API &amp; CRAMS</t>
        </is>
      </c>
      <c r="G28" s="30" t="inlineStr">
        <is>
          <t>midcap</t>
        </is>
      </c>
      <c r="H28" s="31" t="n">
        <v>11195.1</v>
      </c>
      <c r="I28" s="31" t="n">
        <v>572.4</v>
      </c>
      <c r="J28" s="31" t="n">
        <v>3.61</v>
      </c>
      <c r="K28" s="31" t="n">
        <v>0</v>
      </c>
      <c r="L28" s="30" t="n">
        <v>80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81.59</v>
      </c>
      <c r="P28" s="31" t="n">
        <v>49.64</v>
      </c>
      <c r="Q28" s="31" t="n">
        <v>446.91</v>
      </c>
      <c r="R28" s="30" t="inlineStr">
        <is>
          <t>Near 52W High Breakout</t>
        </is>
      </c>
      <c r="S28" s="30" t="inlineStr">
        <is>
          <t>Nifty Pharma</t>
        </is>
      </c>
      <c r="T28" s="31" t="n">
        <v>11.72</v>
      </c>
      <c r="U28" s="31" t="n">
        <v>30.18</v>
      </c>
      <c r="V28" s="31" t="n">
        <v>16.52</v>
      </c>
      <c r="W28" s="31" t="n">
        <v>25.24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18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JAYBARMARU</t>
        </is>
      </c>
      <c r="D29" s="30" t="inlineStr">
        <is>
          <t>Jay Bharat Maruti Ltd</t>
        </is>
      </c>
      <c r="E29" s="30" t="inlineStr">
        <is>
          <t>auto</t>
        </is>
      </c>
      <c r="F29" s="30" t="inlineStr">
        <is>
          <t>Auto Ancillaries - Diversified</t>
        </is>
      </c>
      <c r="G29" s="30" t="inlineStr">
        <is>
          <t>smallcap</t>
        </is>
      </c>
      <c r="H29" s="31" t="n">
        <v>1781.47</v>
      </c>
      <c r="I29" s="31" t="n">
        <v>164.57</v>
      </c>
      <c r="J29" s="31" t="n">
        <v>-1.85</v>
      </c>
      <c r="K29" s="31" t="n">
        <v>0</v>
      </c>
      <c r="L29" s="30" t="n">
        <v>93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74.84</v>
      </c>
      <c r="P29" s="31" t="n">
        <v>20.71</v>
      </c>
      <c r="Q29" s="31" t="n">
        <v>121.87</v>
      </c>
      <c r="R29" s="30" t="inlineStr">
        <is>
          <t>Near 52W High Breakout</t>
        </is>
      </c>
      <c r="S29" s="30" t="inlineStr">
        <is>
          <t>Nifty Auto</t>
        </is>
      </c>
      <c r="T29" s="31" t="n">
        <v>12.86</v>
      </c>
      <c r="U29" s="31" t="n">
        <v>115.52</v>
      </c>
      <c r="V29" s="31" t="n">
        <v>90.95999999999999</v>
      </c>
      <c r="W29" s="31" t="n">
        <v>39.95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Between 0.7 to 1.2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25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SIGMAADV</t>
        </is>
      </c>
      <c r="D30" s="30" t="inlineStr">
        <is>
          <t>Sigma Advanced System Ltd</t>
        </is>
      </c>
      <c r="E30" s="30" t="inlineStr">
        <is>
          <t>aerospace &amp; defence</t>
        </is>
      </c>
      <c r="F30" s="30" t="inlineStr">
        <is>
          <t>Aerospace &amp; Defence - Equipments</t>
        </is>
      </c>
      <c r="G30" s="30" t="inlineStr">
        <is>
          <t>midcap</t>
        </is>
      </c>
      <c r="H30" s="31" t="n">
        <v>8393.42</v>
      </c>
      <c r="I30" s="31" t="n">
        <v>476.25</v>
      </c>
      <c r="J30" s="31" t="n">
        <v>0.24</v>
      </c>
      <c r="K30" s="31" t="n">
        <v>0</v>
      </c>
      <c r="L30" s="30" t="n">
        <v>99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85.2</v>
      </c>
      <c r="P30" s="31" t="n">
        <v>43.45</v>
      </c>
      <c r="Q30" s="31" t="n">
        <v>357.89</v>
      </c>
      <c r="R30" s="30" t="inlineStr">
        <is>
          <t>Near 52W High Breakout</t>
        </is>
      </c>
      <c r="S30" s="30" t="inlineStr">
        <is>
          <t>Nifty 50</t>
        </is>
      </c>
      <c r="T30" s="31" t="n">
        <v>-4.09</v>
      </c>
      <c r="U30" s="31" t="n">
        <v>457.47</v>
      </c>
      <c r="V30" s="31" t="n">
        <v>481.24</v>
      </c>
      <c r="W30" s="31" t="n">
        <v>89.16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Above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Negative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Between 0.7 to 1.2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25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UNIPARTS</t>
        </is>
      </c>
      <c r="D31" s="30" t="inlineStr">
        <is>
          <t>Uniparts India Ltd</t>
        </is>
      </c>
      <c r="E31" s="30" t="inlineStr">
        <is>
          <t>industrials</t>
        </is>
      </c>
      <c r="F31" s="30" t="inlineStr">
        <is>
          <t>Castings, Forgings &amp; Fastners</t>
        </is>
      </c>
      <c r="G31" s="30" t="inlineStr">
        <is>
          <t>smallcap</t>
        </is>
      </c>
      <c r="H31" s="31" t="n">
        <v>3015.11</v>
      </c>
      <c r="I31" s="31" t="n">
        <v>667.9</v>
      </c>
      <c r="J31" s="31" t="n">
        <v>-0.36</v>
      </c>
      <c r="K31" s="31" t="n">
        <v>0</v>
      </c>
      <c r="L31" s="30" t="n">
        <v>79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74.54000000000001</v>
      </c>
      <c r="P31" s="31" t="n">
        <v>37.9</v>
      </c>
      <c r="Q31" s="31" t="n">
        <v>524.83</v>
      </c>
      <c r="R31" s="30" t="inlineStr">
        <is>
          <t>Near 52W High Breakout</t>
        </is>
      </c>
      <c r="S31" s="30" t="inlineStr">
        <is>
          <t>Nifty 50</t>
        </is>
      </c>
      <c r="T31" s="31" t="n">
        <v>-4.09</v>
      </c>
      <c r="U31" s="31" t="n">
        <v>93.97</v>
      </c>
      <c r="V31" s="31" t="n">
        <v>102.24</v>
      </c>
      <c r="W31" s="31" t="n">
        <v>24.84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24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PARAS</t>
        </is>
      </c>
      <c r="D32" s="30" t="inlineStr">
        <is>
          <t>Paras Defence and Space Technologies Ltd</t>
        </is>
      </c>
      <c r="E32" s="30" t="inlineStr">
        <is>
          <t>aerospace &amp; defence</t>
        </is>
      </c>
      <c r="F32" s="30" t="inlineStr">
        <is>
          <t>Aerospace &amp; Defence - Equipments</t>
        </is>
      </c>
      <c r="G32" s="30" t="inlineStr">
        <is>
          <t>midcap</t>
        </is>
      </c>
      <c r="H32" s="31" t="n">
        <v>10360.71</v>
      </c>
      <c r="I32" s="31" t="n">
        <v>1285.65</v>
      </c>
      <c r="J32" s="31" t="n">
        <v>18.02</v>
      </c>
      <c r="K32" s="31" t="n">
        <v>0</v>
      </c>
      <c r="L32" s="30" t="n">
        <v>91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78.62</v>
      </c>
      <c r="P32" s="31" t="n">
        <v>41.17</v>
      </c>
      <c r="Q32" s="31" t="n">
        <v>967.22</v>
      </c>
      <c r="R32" s="30" t="inlineStr">
        <is>
          <t>Volume Spike &amp; Near 52W High Breakout</t>
        </is>
      </c>
      <c r="S32" s="30" t="inlineStr">
        <is>
          <t>Nifty 50</t>
        </is>
      </c>
      <c r="T32" s="31" t="n">
        <v>-4.09</v>
      </c>
      <c r="U32" s="31" t="n">
        <v>55.56</v>
      </c>
      <c r="V32" s="31" t="n">
        <v>62.19</v>
      </c>
      <c r="W32" s="31" t="n">
        <v>36.81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Between 1.5 to 2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23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AVALON</t>
        </is>
      </c>
      <c r="D33" s="30" t="inlineStr">
        <is>
          <t>Avalon Technologies Ltd</t>
        </is>
      </c>
      <c r="E33" s="30" t="inlineStr">
        <is>
          <t>consumer discretionary</t>
        </is>
      </c>
      <c r="F33" s="30" t="inlineStr">
        <is>
          <t>Consumer Electronics - EMS</t>
        </is>
      </c>
      <c r="G33" s="30" t="inlineStr">
        <is>
          <t>midcap</t>
        </is>
      </c>
      <c r="H33" s="31" t="n">
        <v>11630.41</v>
      </c>
      <c r="I33" s="31" t="n">
        <v>1741.4</v>
      </c>
      <c r="J33" s="31" t="n">
        <v>0.18</v>
      </c>
      <c r="K33" s="31" t="n">
        <v>0</v>
      </c>
      <c r="L33" s="30" t="n">
        <v>90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77.56999999999999</v>
      </c>
      <c r="P33" s="31" t="n">
        <v>37.54</v>
      </c>
      <c r="Q33" s="31" t="n">
        <v>1292.45</v>
      </c>
      <c r="R33" s="30" t="inlineStr">
        <is>
          <t>Near 52W High Breakout</t>
        </is>
      </c>
      <c r="S33" s="30" t="inlineStr">
        <is>
          <t>Nifty 50</t>
        </is>
      </c>
      <c r="T33" s="31" t="n">
        <v>-4.09</v>
      </c>
      <c r="U33" s="31" t="n">
        <v>108.41</v>
      </c>
      <c r="V33" s="31" t="n">
        <v>117.3</v>
      </c>
      <c r="W33" s="31" t="n">
        <v>36.21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Less than 50%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22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SEKURITIND</t>
        </is>
      </c>
      <c r="D34" s="30" t="inlineStr">
        <is>
          <t>Saint-Gobain Sekurit India Ltd</t>
        </is>
      </c>
      <c r="E34" s="30" t="inlineStr">
        <is>
          <t>Consumer Cyclical</t>
        </is>
      </c>
      <c r="F34" s="30" t="inlineStr">
        <is>
          <t>Glass &amp; Glass Products</t>
        </is>
      </c>
      <c r="G34" s="30" t="inlineStr">
        <is>
          <t>smallcap</t>
        </is>
      </c>
      <c r="H34" s="31" t="n">
        <v>1143.83</v>
      </c>
      <c r="I34" s="31" t="n">
        <v>125.55</v>
      </c>
      <c r="J34" s="31" t="n">
        <v>-0.52</v>
      </c>
      <c r="K34" s="31" t="n">
        <v>0</v>
      </c>
      <c r="L34" s="30" t="n">
        <v>44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65.58</v>
      </c>
      <c r="P34" s="31" t="n">
        <v>31.48</v>
      </c>
      <c r="Q34" s="31" t="n">
        <v>106.85</v>
      </c>
      <c r="R34" s="30" t="inlineStr">
        <is>
          <t>Earnings / Momentum Support</t>
        </is>
      </c>
      <c r="S34" s="30" t="inlineStr">
        <is>
          <t>Nifty Auto</t>
        </is>
      </c>
      <c r="T34" s="31" t="n">
        <v>12.86</v>
      </c>
      <c r="U34" s="31" t="n">
        <v>17.93</v>
      </c>
      <c r="V34" s="31" t="n">
        <v>4.49</v>
      </c>
      <c r="W34" s="31" t="n">
        <v>11.38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B2C</t>
        </is>
      </c>
      <c r="AO34" s="30">
        <f>IF(AN34="B2C",10,IF(AN34="B2B",5,0))</f>
        <v/>
      </c>
      <c r="AP34" s="30" t="inlineStr">
        <is>
          <t>No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21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PRECWIRE</t>
        </is>
      </c>
      <c r="D35" s="30" t="inlineStr">
        <is>
          <t>Precision Wires India Ltd</t>
        </is>
      </c>
      <c r="E35" s="30" t="inlineStr">
        <is>
          <t>metals &amp; mining</t>
        </is>
      </c>
      <c r="F35" s="30" t="inlineStr">
        <is>
          <t>Copper Wires</t>
        </is>
      </c>
      <c r="G35" s="30" t="inlineStr">
        <is>
          <t>midcap</t>
        </is>
      </c>
      <c r="H35" s="31" t="n">
        <v>7840.63</v>
      </c>
      <c r="I35" s="31" t="n">
        <v>428.9</v>
      </c>
      <c r="J35" s="31" t="n">
        <v>1.33</v>
      </c>
      <c r="K35" s="31" t="n">
        <v>0</v>
      </c>
      <c r="L35" s="30" t="n">
        <v>85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67.58</v>
      </c>
      <c r="P35" s="31" t="n">
        <v>67.02</v>
      </c>
      <c r="Q35" s="31" t="n">
        <v>309.79</v>
      </c>
      <c r="R35" s="30" t="inlineStr">
        <is>
          <t>Near 52W High Breakout</t>
        </is>
      </c>
      <c r="S35" s="30" t="inlineStr">
        <is>
          <t>Nifty Metal</t>
        </is>
      </c>
      <c r="T35" s="31" t="n">
        <v>42.38</v>
      </c>
      <c r="U35" s="31" t="n">
        <v>143.82</v>
      </c>
      <c r="V35" s="31" t="n">
        <v>71.25</v>
      </c>
      <c r="W35" s="31" t="n">
        <v>29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Cyclical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Volatile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21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SYRMA</t>
        </is>
      </c>
      <c r="D36" s="30" t="inlineStr">
        <is>
          <t>Syrma SGS Technology Ltd</t>
        </is>
      </c>
      <c r="E36" s="30" t="inlineStr">
        <is>
          <t>consumer discretionary</t>
        </is>
      </c>
      <c r="F36" s="30" t="inlineStr">
        <is>
          <t>Consumer Electronics - EMS</t>
        </is>
      </c>
      <c r="G36" s="30" t="inlineStr">
        <is>
          <t>largecap</t>
        </is>
      </c>
      <c r="H36" s="31" t="n">
        <v>25035.18</v>
      </c>
      <c r="I36" s="31" t="n">
        <v>1298.3</v>
      </c>
      <c r="J36" s="31" t="n">
        <v>-0.08</v>
      </c>
      <c r="K36" s="31" t="n">
        <v>0</v>
      </c>
      <c r="L36" s="30" t="n">
        <v>92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75.56999999999999</v>
      </c>
      <c r="P36" s="31" t="n">
        <v>37.59</v>
      </c>
      <c r="Q36" s="31" t="n">
        <v>1016.5</v>
      </c>
      <c r="R36" s="30" t="inlineStr">
        <is>
          <t>Near 52W High Breakout</t>
        </is>
      </c>
      <c r="S36" s="30" t="inlineStr">
        <is>
          <t>Nifty 50</t>
        </is>
      </c>
      <c r="T36" s="31" t="n">
        <v>-4.09</v>
      </c>
      <c r="U36" s="31" t="n">
        <v>156.73</v>
      </c>
      <c r="V36" s="31" t="n">
        <v>167.67</v>
      </c>
      <c r="W36" s="31" t="n">
        <v>38.07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Between 1.5 to 2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21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CEIGALL</t>
        </is>
      </c>
      <c r="D37" s="30" t="inlineStr">
        <is>
          <t>Ceigall India Ltd</t>
        </is>
      </c>
      <c r="E37" s="30" t="inlineStr">
        <is>
          <t>realty</t>
        </is>
      </c>
      <c r="F37" s="30" t="inlineStr">
        <is>
          <t>Construction - Civil/Turnkey</t>
        </is>
      </c>
      <c r="G37" s="30" t="inlineStr">
        <is>
          <t>midcap</t>
        </is>
      </c>
      <c r="H37" s="31" t="n">
        <v>6489.13</v>
      </c>
      <c r="I37" s="31" t="n">
        <v>372.5</v>
      </c>
      <c r="J37" s="31" t="n">
        <v>0.58</v>
      </c>
      <c r="K37" s="31" t="n">
        <v>0</v>
      </c>
      <c r="L37" s="30" t="n">
        <v>64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70.81</v>
      </c>
      <c r="P37" s="31" t="n">
        <v>45.92</v>
      </c>
      <c r="Q37" s="31" t="n">
        <v>296.68</v>
      </c>
      <c r="R37" s="30" t="inlineStr">
        <is>
          <t>Near 52W High Breakout</t>
        </is>
      </c>
      <c r="S37" s="30" t="inlineStr">
        <is>
          <t>Nifty Realty</t>
        </is>
      </c>
      <c r="T37" s="31" t="n">
        <v>-19.64</v>
      </c>
      <c r="U37" s="31" t="n">
        <v>52.75</v>
      </c>
      <c r="V37" s="31" t="n">
        <v>90.08</v>
      </c>
      <c r="W37" s="31" t="n">
        <v>17.57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Negative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SIS</t>
        </is>
      </c>
      <c r="D38" s="30" t="inlineStr">
        <is>
          <t>SIS Ltd</t>
        </is>
      </c>
      <c r="E38" s="30" t="inlineStr">
        <is>
          <t>miscellaneous</t>
        </is>
      </c>
      <c r="F38" s="30" t="inlineStr">
        <is>
          <t>Facility Management</t>
        </is>
      </c>
      <c r="G38" s="30" t="inlineStr">
        <is>
          <t>midcap</t>
        </is>
      </c>
      <c r="H38" s="31" t="n">
        <v>6025.06</v>
      </c>
      <c r="I38" s="31" t="n">
        <v>426.4</v>
      </c>
      <c r="J38" s="31" t="n">
        <v>0.71</v>
      </c>
      <c r="K38" s="31" t="n">
        <v>0</v>
      </c>
      <c r="L38" s="30" t="n">
        <v>63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76.94</v>
      </c>
      <c r="P38" s="31" t="n">
        <v>41.22</v>
      </c>
      <c r="Q38" s="31" t="n">
        <v>340.97</v>
      </c>
      <c r="R38" s="30" t="inlineStr">
        <is>
          <t>Near 52W High Breakout</t>
        </is>
      </c>
      <c r="S38" s="30" t="inlineStr">
        <is>
          <t>Nifty 50</t>
        </is>
      </c>
      <c r="T38" s="31" t="n">
        <v>-4.09</v>
      </c>
      <c r="U38" s="31" t="n">
        <v>18.34</v>
      </c>
      <c r="V38" s="31" t="n">
        <v>23.39</v>
      </c>
      <c r="W38" s="31" t="n">
        <v>17.17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Between 0.7 to 1.2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19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RATEGAIN</t>
        </is>
      </c>
      <c r="D39" s="30" t="inlineStr">
        <is>
          <t>Rategain Travel Technologies Ltd</t>
        </is>
      </c>
      <c r="E39" s="30" t="inlineStr">
        <is>
          <t>i.t</t>
        </is>
      </c>
      <c r="F39" s="30" t="inlineStr">
        <is>
          <t>IT Product Companies</t>
        </is>
      </c>
      <c r="G39" s="30" t="inlineStr">
        <is>
          <t>midcap</t>
        </is>
      </c>
      <c r="H39" s="31" t="n">
        <v>10471.82</v>
      </c>
      <c r="I39" s="31" t="n">
        <v>886.2</v>
      </c>
      <c r="J39" s="31" t="n">
        <v>4.96</v>
      </c>
      <c r="K39" s="31" t="n">
        <v>0</v>
      </c>
      <c r="L39" s="30" t="n">
        <v>92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78.59999999999999</v>
      </c>
      <c r="P39" s="31" t="n">
        <v>26.79</v>
      </c>
      <c r="Q39" s="31" t="n">
        <v>693.17</v>
      </c>
      <c r="R39" s="30" t="inlineStr">
        <is>
          <t>Near 52W High Breakout</t>
        </is>
      </c>
      <c r="S39" s="30" t="inlineStr">
        <is>
          <t>Nifty IT</t>
        </is>
      </c>
      <c r="T39" s="31" t="n">
        <v>-26.11</v>
      </c>
      <c r="U39" s="31" t="n">
        <v>104.69</v>
      </c>
      <c r="V39" s="31" t="n">
        <v>177.03</v>
      </c>
      <c r="W39" s="31" t="n">
        <v>38.34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Between 1.5 to 2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18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KMCSHIL</t>
        </is>
      </c>
      <c r="D40" s="30" t="inlineStr">
        <is>
          <t>KMC Speciality Hospitals (India) Ltd</t>
        </is>
      </c>
      <c r="E40" s="30" t="inlineStr">
        <is>
          <t>Healthcare</t>
        </is>
      </c>
      <c r="F40" s="30" t="inlineStr">
        <is>
          <t>Hospitals</t>
        </is>
      </c>
      <c r="G40" s="30" t="inlineStr">
        <is>
          <t>smallcap</t>
        </is>
      </c>
      <c r="H40" s="31" t="n">
        <v>1922.77</v>
      </c>
      <c r="I40" s="31" t="n">
        <v>117.9</v>
      </c>
      <c r="J40" s="31" t="n">
        <v>0.9</v>
      </c>
      <c r="K40" s="31" t="n">
        <v>0</v>
      </c>
      <c r="L40" s="30" t="n">
        <v>75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82.38</v>
      </c>
      <c r="P40" s="31" t="n">
        <v>54.88</v>
      </c>
      <c r="Q40" s="31" t="n">
        <v>93.89</v>
      </c>
      <c r="R40" s="30" t="inlineStr">
        <is>
          <t>Near 52W High Breakout</t>
        </is>
      </c>
      <c r="S40" s="30" t="inlineStr">
        <is>
          <t>Nifty Pharma</t>
        </is>
      </c>
      <c r="T40" s="31" t="n">
        <v>11.72</v>
      </c>
      <c r="U40" s="31" t="n">
        <v>79.19</v>
      </c>
      <c r="V40" s="31" t="n">
        <v>60.38</v>
      </c>
      <c r="W40" s="31" t="n">
        <v>22.55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Above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24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SENORES</t>
        </is>
      </c>
      <c r="D41" s="30" t="inlineStr">
        <is>
          <t>Senores Pharmaceuticals Ltd</t>
        </is>
      </c>
      <c r="E41" s="30" t="inlineStr">
        <is>
          <t>healthcare</t>
        </is>
      </c>
      <c r="F41" s="30" t="inlineStr">
        <is>
          <t>Pharma - API</t>
        </is>
      </c>
      <c r="G41" s="30" t="inlineStr">
        <is>
          <t>midcap</t>
        </is>
      </c>
      <c r="H41" s="31" t="n">
        <v>5847.88</v>
      </c>
      <c r="I41" s="31" t="n">
        <v>1269.8</v>
      </c>
      <c r="J41" s="31" t="n">
        <v>1</v>
      </c>
      <c r="K41" s="31" t="n">
        <v>0</v>
      </c>
      <c r="L41" s="30" t="n">
        <v>90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75.25</v>
      </c>
      <c r="P41" s="31" t="n">
        <v>44.65</v>
      </c>
      <c r="Q41" s="31" t="n">
        <v>1000.22</v>
      </c>
      <c r="R41" s="30" t="inlineStr">
        <is>
          <t>Near 52W High Breakout</t>
        </is>
      </c>
      <c r="S41" s="30" t="inlineStr">
        <is>
          <t>Nifty Pharma</t>
        </is>
      </c>
      <c r="T41" s="31" t="n">
        <v>11.72</v>
      </c>
      <c r="U41" s="31" t="n">
        <v>144.12</v>
      </c>
      <c r="V41" s="31" t="n">
        <v>118.51</v>
      </c>
      <c r="W41" s="31" t="n">
        <v>36.25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Less than 50%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23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CAPLIPOINT</t>
        </is>
      </c>
      <c r="D42" s="30" t="inlineStr">
        <is>
          <t>Caplin Point Laboratories Ltd</t>
        </is>
      </c>
      <c r="E42" s="30" t="inlineStr">
        <is>
          <t>healthcare</t>
        </is>
      </c>
      <c r="F42" s="30" t="inlineStr">
        <is>
          <t>Pharma - Formulators</t>
        </is>
      </c>
      <c r="G42" s="30" t="inlineStr">
        <is>
          <t>midcap</t>
        </is>
      </c>
      <c r="H42" s="31" t="n">
        <v>17747.97</v>
      </c>
      <c r="I42" s="31" t="n">
        <v>2334.9</v>
      </c>
      <c r="J42" s="31" t="n">
        <v>-1.8</v>
      </c>
      <c r="K42" s="31" t="n">
        <v>0</v>
      </c>
      <c r="L42" s="30" t="n">
        <v>56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71.25</v>
      </c>
      <c r="P42" s="31" t="n">
        <v>25.58</v>
      </c>
      <c r="Q42" s="31" t="n">
        <v>1981.13</v>
      </c>
      <c r="R42" s="30" t="inlineStr">
        <is>
          <t>Near 52W High Breakout</t>
        </is>
      </c>
      <c r="S42" s="30" t="inlineStr">
        <is>
          <t>Nifty Pharma</t>
        </is>
      </c>
      <c r="T42" s="31" t="n">
        <v>11.72</v>
      </c>
      <c r="U42" s="31" t="n">
        <v>14.52</v>
      </c>
      <c r="V42" s="31" t="n">
        <v>2.51</v>
      </c>
      <c r="W42" s="31" t="n">
        <v>14.37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Between 12 to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Less than 1.5</t>
        </is>
      </c>
      <c r="BU42" s="30">
        <f>IF(BT42="Above 2",0,IF(BT42="Between 1.5 to 2",5,IF(BT42="Less than 1.5",10,0)))</f>
        <v/>
      </c>
      <c r="BV42" s="30" t="inlineStr">
        <is>
          <t>Between 50% to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20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3" t="inlineStr">
        <is>
          <t>ONEGLOBAL</t>
        </is>
      </c>
      <c r="D43" s="33" t="inlineStr">
        <is>
          <t>One Global Service Provider Ltd</t>
        </is>
      </c>
      <c r="E43" s="30" t="inlineStr">
        <is>
          <t>Healthcare</t>
        </is>
      </c>
      <c r="F43" s="30" t="inlineStr">
        <is>
          <t>Diagnostics</t>
        </is>
      </c>
      <c r="G43" s="30" t="inlineStr">
        <is>
          <t>smallcap</t>
        </is>
      </c>
      <c r="H43" s="31" t="n">
        <v>1427.42</v>
      </c>
      <c r="I43" s="31" t="n">
        <v>730.4</v>
      </c>
      <c r="J43" s="31" t="n">
        <v>5</v>
      </c>
      <c r="K43" s="31" t="n">
        <v>0</v>
      </c>
      <c r="L43" s="30" t="n">
        <v>92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63.56</v>
      </c>
      <c r="P43" s="31" t="n">
        <v>11.17</v>
      </c>
      <c r="Q43" s="31" t="n">
        <v>451.72</v>
      </c>
      <c r="R43" s="30" t="inlineStr">
        <is>
          <t>Near 52W High Breakout</t>
        </is>
      </c>
      <c r="S43" s="30" t="inlineStr">
        <is>
          <t>Nifty Pharma</t>
        </is>
      </c>
      <c r="T43" s="31" t="n">
        <v>11.72</v>
      </c>
      <c r="U43" s="31" t="n">
        <v>210.54</v>
      </c>
      <c r="V43" s="31" t="n">
        <v>177.96</v>
      </c>
      <c r="W43" s="31" t="n">
        <v>39.94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Yes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0 to 20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Less than 50%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19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2" t="inlineStr">
        <is>
          <t>INNOVACAP</t>
        </is>
      </c>
      <c r="D44" s="32" t="inlineStr">
        <is>
          <t>Innova Captab Ltd</t>
        </is>
      </c>
      <c r="E44" s="30" t="inlineStr">
        <is>
          <t>healthcare</t>
        </is>
      </c>
      <c r="F44" s="30" t="inlineStr">
        <is>
          <t>Pharma - API</t>
        </is>
      </c>
      <c r="G44" s="30" t="inlineStr">
        <is>
          <t>midcap</t>
        </is>
      </c>
      <c r="H44" s="31" t="n">
        <v>5349.96</v>
      </c>
      <c r="I44" s="31" t="n">
        <v>934.9</v>
      </c>
      <c r="J44" s="31" t="n">
        <v>-3.04</v>
      </c>
      <c r="K44" s="31" t="n">
        <v>0</v>
      </c>
      <c r="L44" s="30" t="n">
        <v>42</v>
      </c>
      <c r="M44" s="30" t="inlineStr">
        <is>
          <t>Underperforming</t>
        </is>
      </c>
      <c r="N44" s="31">
        <f>IF(M44="Underperforming",-5,IF(L44&gt;=95,15,IF(L44&gt;=90,10,IF(L44&gt;=80,5,0))))</f>
        <v/>
      </c>
      <c r="O44" s="31" t="n">
        <v>70.06</v>
      </c>
      <c r="P44" s="31" t="n">
        <v>31.94</v>
      </c>
      <c r="Q44" s="31" t="n">
        <v>739.66</v>
      </c>
      <c r="R44" s="30" t="inlineStr">
        <is>
          <t>Near 52W High Breakout</t>
        </is>
      </c>
      <c r="S44" s="30" t="inlineStr">
        <is>
          <t>Nifty Pharma</t>
        </is>
      </c>
      <c r="T44" s="31" t="n">
        <v>11.72</v>
      </c>
      <c r="U44" s="31" t="n">
        <v>10.63</v>
      </c>
      <c r="V44" s="31" t="n">
        <v>-0.98</v>
      </c>
      <c r="W44" s="31" t="n">
        <v>11.13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Yes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Annuity, Lower One Time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Between 50% to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19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MMTC</t>
        </is>
      </c>
      <c r="D45" s="30" t="inlineStr">
        <is>
          <t>MMTC Ltd</t>
        </is>
      </c>
      <c r="E45" s="30" t="inlineStr">
        <is>
          <t>services</t>
        </is>
      </c>
      <c r="F45" s="30" t="inlineStr">
        <is>
          <t>Trading</t>
        </is>
      </c>
      <c r="G45" s="30" t="inlineStr">
        <is>
          <t>midcap</t>
        </is>
      </c>
      <c r="H45" s="31" t="n">
        <v>11404.5</v>
      </c>
      <c r="I45" s="31" t="n">
        <v>76.03</v>
      </c>
      <c r="J45" s="31" t="n">
        <v>0.38</v>
      </c>
      <c r="K45" s="31" t="n">
        <v>0</v>
      </c>
      <c r="L45" s="30" t="n">
        <v>32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63.96</v>
      </c>
      <c r="P45" s="31" t="n">
        <v>15.8</v>
      </c>
      <c r="Q45" s="31" t="n">
        <v>55.69</v>
      </c>
      <c r="R45" s="30" t="inlineStr">
        <is>
          <t>Volume Spike &amp; Near 52W High Breakout</t>
        </is>
      </c>
      <c r="S45" s="30" t="inlineStr">
        <is>
          <t>Nifty 50</t>
        </is>
      </c>
      <c r="T45" s="31" t="n">
        <v>-4.09</v>
      </c>
      <c r="U45" s="31" t="n">
        <v>12.84</v>
      </c>
      <c r="V45" s="31" t="n">
        <v>17.65</v>
      </c>
      <c r="W45" s="31" t="n">
        <v>8.789999999999999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0 to 20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Less than 1.5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26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SKIPPER</t>
        </is>
      </c>
      <c r="D46" s="30" t="inlineStr">
        <is>
          <t>Skipper Ltd</t>
        </is>
      </c>
      <c r="E46" s="30" t="inlineStr">
        <is>
          <t>industrials</t>
        </is>
      </c>
      <c r="F46" s="30" t="inlineStr">
        <is>
          <t>Electrical Equipments/HVDC</t>
        </is>
      </c>
      <c r="G46" s="30" t="inlineStr">
        <is>
          <t>midcap</t>
        </is>
      </c>
      <c r="H46" s="31" t="n">
        <v>6200.25</v>
      </c>
      <c r="I46" s="31" t="n">
        <v>549</v>
      </c>
      <c r="J46" s="31" t="n">
        <v>-0.9399999999999999</v>
      </c>
      <c r="K46" s="31" t="n">
        <v>0</v>
      </c>
      <c r="L46" s="30" t="n">
        <v>63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68.44</v>
      </c>
      <c r="P46" s="31" t="n">
        <v>33.2</v>
      </c>
      <c r="Q46" s="31" t="n">
        <v>420.51</v>
      </c>
      <c r="R46" s="30" t="inlineStr">
        <is>
          <t>Near 52W High Breakout</t>
        </is>
      </c>
      <c r="S46" s="30" t="inlineStr">
        <is>
          <t>Nifty 50</t>
        </is>
      </c>
      <c r="T46" s="31" t="n">
        <v>-4.09</v>
      </c>
      <c r="U46" s="31" t="n">
        <v>13.82</v>
      </c>
      <c r="V46" s="31" t="n">
        <v>18.67</v>
      </c>
      <c r="W46" s="31" t="n">
        <v>17.27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Close to 52 week high or retracement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Less than 1.5</t>
        </is>
      </c>
      <c r="BU46" s="30">
        <f>IF(BT46="Above 2",0,IF(BT46="Between 1.5 to 2",5,IF(BT46="Less than 1.5",10,0)))</f>
        <v/>
      </c>
      <c r="BV46" s="30" t="inlineStr">
        <is>
          <t>Less than 50%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20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3" t="inlineStr">
        <is>
          <t>STLTECH</t>
        </is>
      </c>
      <c r="D47" s="33" t="inlineStr">
        <is>
          <t>Sterlite Technologies Ltd</t>
        </is>
      </c>
      <c r="E47" s="30" t="inlineStr">
        <is>
          <t>industrials</t>
        </is>
      </c>
      <c r="F47" s="30" t="inlineStr">
        <is>
          <t>Cables - Telecom</t>
        </is>
      </c>
      <c r="G47" s="30" t="inlineStr">
        <is>
          <t>largecap</t>
        </is>
      </c>
      <c r="H47" s="31" t="n">
        <v>30100.42</v>
      </c>
      <c r="I47" s="31" t="n">
        <v>616.6</v>
      </c>
      <c r="J47" s="31" t="n">
        <v>-1.3</v>
      </c>
      <c r="K47" s="31" t="n">
        <v>0</v>
      </c>
      <c r="L47" s="30" t="n">
        <v>99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88.79000000000001</v>
      </c>
      <c r="P47" s="31" t="n">
        <v>81.70999999999999</v>
      </c>
      <c r="Q47" s="31" t="n">
        <v>475.12</v>
      </c>
      <c r="R47" s="30" t="inlineStr">
        <is>
          <t>Near 52W High Breakout</t>
        </is>
      </c>
      <c r="S47" s="30" t="inlineStr">
        <is>
          <t>Nifty Infra</t>
        </is>
      </c>
      <c r="T47" s="31" t="n">
        <v>3.72</v>
      </c>
      <c r="U47" s="31" t="n">
        <v>481.97</v>
      </c>
      <c r="V47" s="31" t="n">
        <v>461.11</v>
      </c>
      <c r="W47" s="31" t="n">
        <v>108.1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Oligopoly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Yes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Above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Between 0.7 to 1.2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18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KIRLPNU</t>
        </is>
      </c>
      <c r="D48" s="33" t="inlineStr">
        <is>
          <t>Kirloskar Pneumatic Company Ltd</t>
        </is>
      </c>
      <c r="E48" s="30" t="inlineStr">
        <is>
          <t>industrials</t>
        </is>
      </c>
      <c r="F48" s="30" t="inlineStr">
        <is>
          <t>Compressors</t>
        </is>
      </c>
      <c r="G48" s="30" t="inlineStr">
        <is>
          <t>midcap</t>
        </is>
      </c>
      <c r="H48" s="31" t="n">
        <v>11902.94</v>
      </c>
      <c r="I48" s="31" t="n">
        <v>1832.4</v>
      </c>
      <c r="J48" s="31" t="n">
        <v>11.31</v>
      </c>
      <c r="K48" s="31" t="n">
        <v>0</v>
      </c>
      <c r="L48" s="30" t="n">
        <v>80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82.16</v>
      </c>
      <c r="P48" s="31" t="n">
        <v>39.68</v>
      </c>
      <c r="Q48" s="31" t="n">
        <v>1454.74</v>
      </c>
      <c r="R48" s="30" t="inlineStr">
        <is>
          <t>Near 52W High Breakout</t>
        </is>
      </c>
      <c r="S48" s="30" t="inlineStr">
        <is>
          <t>Nifty 50</t>
        </is>
      </c>
      <c r="T48" s="31" t="n">
        <v>-4.09</v>
      </c>
      <c r="U48" s="31" t="n">
        <v>37.29</v>
      </c>
      <c r="V48" s="31" t="n">
        <v>43.15</v>
      </c>
      <c r="W48" s="31" t="n">
        <v>25.37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Between 50% to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18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0" t="inlineStr">
        <is>
          <t>NRBBEARING</t>
        </is>
      </c>
      <c r="D49" s="30" t="inlineStr">
        <is>
          <t>NRB Bearings Ltd</t>
        </is>
      </c>
      <c r="E49" s="30" t="inlineStr">
        <is>
          <t>industrials</t>
        </is>
      </c>
      <c r="F49" s="30" t="inlineStr">
        <is>
          <t>Bearings</t>
        </is>
      </c>
      <c r="G49" s="30" t="inlineStr">
        <is>
          <t>smallcap</t>
        </is>
      </c>
      <c r="H49" s="31" t="n">
        <v>4076.56</v>
      </c>
      <c r="I49" s="31" t="n">
        <v>420.6</v>
      </c>
      <c r="J49" s="31" t="n">
        <v>-1.23</v>
      </c>
      <c r="K49" s="31" t="n">
        <v>0</v>
      </c>
      <c r="L49" s="30" t="n">
        <v>82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77.08</v>
      </c>
      <c r="P49" s="31" t="n">
        <v>33.01</v>
      </c>
      <c r="Q49" s="31" t="n">
        <v>332.18</v>
      </c>
      <c r="R49" s="30" t="inlineStr">
        <is>
          <t>Near 52W High Breakout</t>
        </is>
      </c>
      <c r="S49" s="30" t="inlineStr">
        <is>
          <t>Nifty 50</t>
        </is>
      </c>
      <c r="T49" s="31" t="n">
        <v>-4.09</v>
      </c>
      <c r="U49" s="31" t="n">
        <v>51.14</v>
      </c>
      <c r="V49" s="31" t="n">
        <v>57.58</v>
      </c>
      <c r="W49" s="31" t="n">
        <v>27.11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Above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Above 2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18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APOLLO</t>
        </is>
      </c>
      <c r="D50" s="30" t="inlineStr">
        <is>
          <t>Apollo Micro Systems Ltd</t>
        </is>
      </c>
      <c r="E50" s="30" t="inlineStr">
        <is>
          <t>aerospace &amp; defence</t>
        </is>
      </c>
      <c r="F50" s="30" t="inlineStr">
        <is>
          <t>Aerospace &amp; Defence - Equipments</t>
        </is>
      </c>
      <c r="G50" s="30" t="inlineStr">
        <is>
          <t>midcap</t>
        </is>
      </c>
      <c r="H50" s="31" t="n">
        <v>15825.31</v>
      </c>
      <c r="I50" s="31" t="n">
        <v>438.75</v>
      </c>
      <c r="J50" s="31" t="n">
        <v>0.76</v>
      </c>
      <c r="K50" s="31" t="n">
        <v>0</v>
      </c>
      <c r="L50" s="30" t="n">
        <v>96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74.51000000000001</v>
      </c>
      <c r="P50" s="31" t="n">
        <v>37.26</v>
      </c>
      <c r="Q50" s="31" t="n">
        <v>317.17</v>
      </c>
      <c r="R50" s="30" t="inlineStr">
        <is>
          <t>Near 52W High Breakout</t>
        </is>
      </c>
      <c r="S50" s="30" t="inlineStr">
        <is>
          <t>Nifty 50</t>
        </is>
      </c>
      <c r="T50" s="31" t="n">
        <v>-4.09</v>
      </c>
      <c r="U50" s="31" t="n">
        <v>125.71</v>
      </c>
      <c r="V50" s="31" t="n">
        <v>135.33</v>
      </c>
      <c r="W50" s="31" t="n">
        <v>54.27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Oligopoly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Cyclical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B2C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Fully One Time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Yes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Between 1.5 to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26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RPEL</t>
        </is>
      </c>
      <c r="D51" s="30" t="inlineStr">
        <is>
          <t>Raghav Productivity Enhancers Ltd</t>
        </is>
      </c>
      <c r="E51" s="30" t="inlineStr">
        <is>
          <t>building materials</t>
        </is>
      </c>
      <c r="F51" s="30" t="inlineStr">
        <is>
          <t>Steel Products</t>
        </is>
      </c>
      <c r="G51" s="30" t="inlineStr">
        <is>
          <t>midcap</t>
        </is>
      </c>
      <c r="H51" s="31" t="n">
        <v>5533.59</v>
      </c>
      <c r="I51" s="31" t="n">
        <v>1205</v>
      </c>
      <c r="J51" s="31" t="n">
        <v>0.1</v>
      </c>
      <c r="K51" s="31" t="n">
        <v>0</v>
      </c>
      <c r="L51" s="30" t="n">
        <v>90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77.65000000000001</v>
      </c>
      <c r="P51" s="31" t="n">
        <v>32.05</v>
      </c>
      <c r="Q51" s="31" t="n">
        <v>937.6</v>
      </c>
      <c r="R51" s="30" t="inlineStr">
        <is>
          <t>Near 52W High Breakout</t>
        </is>
      </c>
      <c r="S51" s="30" t="inlineStr">
        <is>
          <t>Nifty Infra</t>
        </is>
      </c>
      <c r="T51" s="31" t="n">
        <v>3.72</v>
      </c>
      <c r="U51" s="31" t="n">
        <v>71.89</v>
      </c>
      <c r="V51" s="31" t="n">
        <v>65.73</v>
      </c>
      <c r="W51" s="31" t="n">
        <v>35.54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Less than 50%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23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HFCL</t>
        </is>
      </c>
      <c r="D52" s="30" t="inlineStr">
        <is>
          <t>HFCL Ltd</t>
        </is>
      </c>
      <c r="E52" s="30" t="inlineStr">
        <is>
          <t>telecom</t>
        </is>
      </c>
      <c r="F52" s="30" t="inlineStr">
        <is>
          <t>Telecom Services</t>
        </is>
      </c>
      <c r="G52" s="30" t="inlineStr">
        <is>
          <t>largecap</t>
        </is>
      </c>
      <c r="H52" s="31" t="n">
        <v>29101.34</v>
      </c>
      <c r="I52" s="31" t="n">
        <v>190.13</v>
      </c>
      <c r="J52" s="31" t="n">
        <v>0.61</v>
      </c>
      <c r="K52" s="31" t="n">
        <v>0</v>
      </c>
      <c r="L52" s="30" t="n">
        <v>97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82.36</v>
      </c>
      <c r="P52" s="31" t="n">
        <v>51.62</v>
      </c>
      <c r="Q52" s="31" t="n">
        <v>142.47</v>
      </c>
      <c r="R52" s="30" t="inlineStr">
        <is>
          <t>Near 52W High Breakout</t>
        </is>
      </c>
      <c r="S52" s="30" t="inlineStr">
        <is>
          <t>Nifty Infra</t>
        </is>
      </c>
      <c r="T52" s="31" t="n">
        <v>3.72</v>
      </c>
      <c r="U52" s="31" t="n">
        <v>132.99</v>
      </c>
      <c r="V52" s="31" t="n">
        <v>124.64</v>
      </c>
      <c r="W52" s="31" t="n">
        <v>64.58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Oligopoly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Negative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21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2" t="inlineStr">
        <is>
          <t>SFL</t>
        </is>
      </c>
      <c r="D53" s="32" t="inlineStr">
        <is>
          <t>Sheela Foam Ltd</t>
        </is>
      </c>
      <c r="E53" s="30" t="inlineStr">
        <is>
          <t>consumer discretionary</t>
        </is>
      </c>
      <c r="F53" s="30" t="inlineStr">
        <is>
          <t>Mattress</t>
        </is>
      </c>
      <c r="G53" s="30" t="inlineStr">
        <is>
          <t>midcap</t>
        </is>
      </c>
      <c r="H53" s="31" t="n">
        <v>7750.39</v>
      </c>
      <c r="I53" s="31" t="n">
        <v>709.75</v>
      </c>
      <c r="J53" s="31" t="n">
        <v>0.9</v>
      </c>
      <c r="K53" s="31" t="n">
        <v>0</v>
      </c>
      <c r="L53" s="30" t="n">
        <v>29</v>
      </c>
      <c r="M53" s="30" t="inlineStr">
        <is>
          <t>Underperforming</t>
        </is>
      </c>
      <c r="N53" s="31">
        <f>IF(M53="Underperforming",-5,IF(L53&gt;=95,15,IF(L53&gt;=90,10,IF(L53&gt;=80,5,0))))</f>
        <v/>
      </c>
      <c r="O53" s="31" t="n">
        <v>66.59999999999999</v>
      </c>
      <c r="P53" s="31" t="n">
        <v>21.06</v>
      </c>
      <c r="Q53" s="31" t="n">
        <v>548.33</v>
      </c>
      <c r="R53" s="30" t="inlineStr">
        <is>
          <t>Near 52W High Breakout</t>
        </is>
      </c>
      <c r="S53" s="30" t="inlineStr">
        <is>
          <t>Nifty 50</t>
        </is>
      </c>
      <c r="T53" s="31" t="n">
        <v>-4.09</v>
      </c>
      <c r="U53" s="31" t="n">
        <v>-4.35</v>
      </c>
      <c r="V53" s="31" t="n">
        <v>-0.27</v>
      </c>
      <c r="W53" s="31" t="n">
        <v>8.210000000000001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Above 2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20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0" t="inlineStr">
        <is>
          <t>VADILALIND</t>
        </is>
      </c>
      <c r="D54" s="30" t="inlineStr">
        <is>
          <t>Vadilal Industries Ltd</t>
        </is>
      </c>
      <c r="E54" s="30" t="inlineStr">
        <is>
          <t>fmcg</t>
        </is>
      </c>
      <c r="F54" s="30" t="inlineStr">
        <is>
          <t>FMCG - Dairy Products</t>
        </is>
      </c>
      <c r="G54" s="30" t="inlineStr">
        <is>
          <t>smallcap</t>
        </is>
      </c>
      <c r="H54" s="31" t="n">
        <v>4434.1</v>
      </c>
      <c r="I54" s="31" t="n">
        <v>6168.9</v>
      </c>
      <c r="J54" s="31" t="n">
        <v>-0.15</v>
      </c>
      <c r="K54" s="31" t="n">
        <v>0</v>
      </c>
      <c r="L54" s="30" t="n">
        <v>41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67.77</v>
      </c>
      <c r="P54" s="31" t="n">
        <v>15.37</v>
      </c>
      <c r="Q54" s="31" t="n">
        <v>4759.31</v>
      </c>
      <c r="R54" s="30" t="inlineStr">
        <is>
          <t>Near 52W High Breakout</t>
        </is>
      </c>
      <c r="S54" s="30" t="inlineStr">
        <is>
          <t>Nifty FMCG</t>
        </is>
      </c>
      <c r="T54" s="31" t="n">
        <v>-9.289999999999999</v>
      </c>
      <c r="U54" s="31" t="n">
        <v>11.85</v>
      </c>
      <c r="V54" s="31" t="n">
        <v>23.31</v>
      </c>
      <c r="W54" s="31" t="n">
        <v>10.75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B2C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Annuity, Lower One Time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0 to 20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Between 50% to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30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ORCHPHARMA</t>
        </is>
      </c>
      <c r="D55" s="33" t="inlineStr">
        <is>
          <t>Orchid Pharma Ltd</t>
        </is>
      </c>
      <c r="E55" s="30" t="inlineStr">
        <is>
          <t>healthcare</t>
        </is>
      </c>
      <c r="F55" s="30" t="inlineStr">
        <is>
          <t>Pharma - API</t>
        </is>
      </c>
      <c r="G55" s="30" t="inlineStr">
        <is>
          <t>midcap</t>
        </is>
      </c>
      <c r="H55" s="31" t="n">
        <v>5258.81</v>
      </c>
      <c r="I55" s="31" t="n">
        <v>1036.85</v>
      </c>
      <c r="J55" s="31" t="n">
        <v>-1.08</v>
      </c>
      <c r="K55" s="31" t="n">
        <v>0</v>
      </c>
      <c r="L55" s="30" t="n">
        <v>89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77</v>
      </c>
      <c r="P55" s="31" t="n">
        <v>36.27</v>
      </c>
      <c r="Q55" s="31" t="n">
        <v>793.7</v>
      </c>
      <c r="R55" s="30" t="inlineStr">
        <is>
          <t>Volume Spike &amp; Near 52W High Breakout</t>
        </is>
      </c>
      <c r="S55" s="30" t="inlineStr">
        <is>
          <t>Nifty Pharma</t>
        </is>
      </c>
      <c r="T55" s="31" t="n">
        <v>11.72</v>
      </c>
      <c r="U55" s="31" t="n">
        <v>50.31</v>
      </c>
      <c r="V55" s="31" t="n">
        <v>34.54</v>
      </c>
      <c r="W55" s="31" t="n">
        <v>34.24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Yes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Annuity, Lower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19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3" t="inlineStr">
        <is>
          <t>EBGNG</t>
        </is>
      </c>
      <c r="D56" s="33" t="inlineStr">
        <is>
          <t>GNG Electronics Ltd</t>
        </is>
      </c>
      <c r="E56" s="30" t="inlineStr">
        <is>
          <t>Technology</t>
        </is>
      </c>
      <c r="F56" s="30" t="inlineStr">
        <is>
          <t>New age - Platform - E-Retail</t>
        </is>
      </c>
      <c r="G56" s="30" t="inlineStr">
        <is>
          <t>midcap</t>
        </is>
      </c>
      <c r="H56" s="31" t="n">
        <v>5145.34</v>
      </c>
      <c r="I56" s="31" t="n">
        <v>451.3</v>
      </c>
      <c r="J56" s="31" t="n">
        <v>-0.07000000000000001</v>
      </c>
      <c r="K56" s="31" t="n">
        <v>0</v>
      </c>
      <c r="L56" s="30" t="n">
        <v>45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63.73</v>
      </c>
      <c r="P56" s="31" t="n">
        <v>22.29</v>
      </c>
      <c r="Q56" s="31" t="n">
        <v>319.53</v>
      </c>
      <c r="R56" s="30" t="inlineStr">
        <is>
          <t>Near 52W High Breakout</t>
        </is>
      </c>
      <c r="S56" s="30" t="inlineStr">
        <is>
          <t>Nifty 50</t>
        </is>
      </c>
      <c r="T56" s="31" t="n">
        <v>-1.95</v>
      </c>
      <c r="U56" s="31" t="n">
        <v>44.42</v>
      </c>
      <c r="V56" s="31" t="n">
        <v>47.29</v>
      </c>
      <c r="W56" s="31" t="n">
        <v>11.85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B2C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Negative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18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MINDACORP</t>
        </is>
      </c>
      <c r="D57" s="30" t="inlineStr">
        <is>
          <t>Minda Corporation Ltd</t>
        </is>
      </c>
      <c r="E57" s="30" t="inlineStr">
        <is>
          <t>auto</t>
        </is>
      </c>
      <c r="F57" s="30" t="inlineStr">
        <is>
          <t>Auto Ancillaries - Diversified</t>
        </is>
      </c>
      <c r="G57" s="30" t="inlineStr">
        <is>
          <t>midcap</t>
        </is>
      </c>
      <c r="H57" s="31" t="n">
        <v>15396.72</v>
      </c>
      <c r="I57" s="31" t="n">
        <v>644</v>
      </c>
      <c r="J57" s="31" t="n">
        <v>-1.99</v>
      </c>
      <c r="K57" s="31" t="n">
        <v>0</v>
      </c>
      <c r="L57" s="30" t="n">
        <v>45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65.06</v>
      </c>
      <c r="P57" s="31" t="n">
        <v>19.66</v>
      </c>
      <c r="Q57" s="31" t="n">
        <v>514.11</v>
      </c>
      <c r="R57" s="30" t="inlineStr">
        <is>
          <t>Near 52W High Breakout</t>
        </is>
      </c>
      <c r="S57" s="30" t="inlineStr">
        <is>
          <t>Nifty Auto</t>
        </is>
      </c>
      <c r="T57" s="31" t="n">
        <v>12.86</v>
      </c>
      <c r="U57" s="31" t="n">
        <v>27.86</v>
      </c>
      <c r="V57" s="31" t="n">
        <v>13.29</v>
      </c>
      <c r="W57" s="31" t="n">
        <v>11.64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0 to 20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24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ADVAIT</t>
        </is>
      </c>
      <c r="D58" s="30" t="inlineStr">
        <is>
          <t>Advait Energy Transitions Limited</t>
        </is>
      </c>
      <c r="E58" s="30" t="inlineStr">
        <is>
          <t>Industrials</t>
        </is>
      </c>
      <c r="F58" s="30" t="inlineStr">
        <is>
          <t>EPC</t>
        </is>
      </c>
      <c r="G58" s="30" t="inlineStr">
        <is>
          <t>smallcap</t>
        </is>
      </c>
      <c r="H58" s="31" t="n">
        <v>2637.32</v>
      </c>
      <c r="I58" s="31" t="n">
        <v>2410.05</v>
      </c>
      <c r="J58" s="31" t="n">
        <v>-1.1</v>
      </c>
      <c r="K58" s="31" t="n">
        <v>0</v>
      </c>
      <c r="L58" s="30" t="n">
        <v>61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72.26000000000001</v>
      </c>
      <c r="P58" s="31" t="n">
        <v>30.76</v>
      </c>
      <c r="Q58" s="31" t="n">
        <v>1746.16</v>
      </c>
      <c r="R58" s="30" t="inlineStr">
        <is>
          <t>Near 52W High Breakout</t>
        </is>
      </c>
      <c r="S58" s="30" t="inlineStr">
        <is>
          <t>Nifty 50</t>
        </is>
      </c>
      <c r="T58" s="31" t="n">
        <v>-4.09</v>
      </c>
      <c r="U58" s="31" t="n">
        <v>27.67</v>
      </c>
      <c r="V58" s="31" t="n">
        <v>33.12</v>
      </c>
      <c r="W58" s="31" t="n">
        <v>16.32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Negative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21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KERNEX</t>
        </is>
      </c>
      <c r="D59" s="30" t="inlineStr">
        <is>
          <t>Kernex Microsystems (India) Ltd</t>
        </is>
      </c>
      <c r="E59" s="30" t="inlineStr">
        <is>
          <t>consumer discretionary</t>
        </is>
      </c>
      <c r="F59" s="30" t="inlineStr">
        <is>
          <t>Railways - Kavach/Springs</t>
        </is>
      </c>
      <c r="G59" s="30" t="inlineStr">
        <is>
          <t>smallcap</t>
        </is>
      </c>
      <c r="H59" s="31" t="n">
        <v>3534.39</v>
      </c>
      <c r="I59" s="31" t="n">
        <v>2103.5</v>
      </c>
      <c r="J59" s="31" t="n">
        <v>2.36</v>
      </c>
      <c r="K59" s="31" t="n">
        <v>0</v>
      </c>
      <c r="L59" s="30" t="n">
        <v>94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75.19</v>
      </c>
      <c r="P59" s="31" t="n">
        <v>34.4</v>
      </c>
      <c r="Q59" s="31" t="n">
        <v>1579.97</v>
      </c>
      <c r="R59" s="30" t="inlineStr">
        <is>
          <t>Near 52W High Breakout</t>
        </is>
      </c>
      <c r="S59" s="30" t="inlineStr">
        <is>
          <t>Nifty 50</t>
        </is>
      </c>
      <c r="T59" s="31" t="n">
        <v>-4.09</v>
      </c>
      <c r="U59" s="31" t="n">
        <v>75.56</v>
      </c>
      <c r="V59" s="31" t="n">
        <v>83.04000000000001</v>
      </c>
      <c r="W59" s="31" t="n">
        <v>43.41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Negative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21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CRAFTSMAN</t>
        </is>
      </c>
      <c r="D60" s="30" t="inlineStr">
        <is>
          <t>Craftsman Automation Ltd</t>
        </is>
      </c>
      <c r="E60" s="30" t="inlineStr">
        <is>
          <t>auto</t>
        </is>
      </c>
      <c r="F60" s="30" t="inlineStr">
        <is>
          <t>Auto &amp; Auto Ancl - CV</t>
        </is>
      </c>
      <c r="G60" s="30" t="inlineStr">
        <is>
          <t>largecap</t>
        </is>
      </c>
      <c r="H60" s="31" t="n">
        <v>22659.23</v>
      </c>
      <c r="I60" s="31" t="n">
        <v>9498.5</v>
      </c>
      <c r="J60" s="31" t="n">
        <v>1.85</v>
      </c>
      <c r="K60" s="31" t="n">
        <v>0</v>
      </c>
      <c r="L60" s="30" t="n">
        <v>74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68.83</v>
      </c>
      <c r="P60" s="31" t="n">
        <v>36.96</v>
      </c>
      <c r="Q60" s="31" t="n">
        <v>7467.27</v>
      </c>
      <c r="R60" s="30" t="inlineStr">
        <is>
          <t>Near 52W High Breakout</t>
        </is>
      </c>
      <c r="S60" s="30" t="inlineStr">
        <is>
          <t>Nifty Auto</t>
        </is>
      </c>
      <c r="T60" s="31" t="n">
        <v>12.86</v>
      </c>
      <c r="U60" s="31" t="n">
        <v>84.23</v>
      </c>
      <c r="V60" s="31" t="n">
        <v>63.24</v>
      </c>
      <c r="W60" s="31" t="n">
        <v>21.67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Less than 1.5</t>
        </is>
      </c>
      <c r="BU60" s="30">
        <f>IF(BT60="Above 2",0,IF(BT60="Between 1.5 to 2",5,IF(BT60="Less than 1.5",10,0)))</f>
        <v/>
      </c>
      <c r="BV60" s="30" t="inlineStr">
        <is>
          <t>Less than 50% and Borrowings are increasing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Between 0.7 to 1.2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21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3" t="inlineStr">
        <is>
          <t>PREMEXPLN</t>
        </is>
      </c>
      <c r="D61" s="33" t="inlineStr">
        <is>
          <t>Premier Explosives Ltd</t>
        </is>
      </c>
      <c r="E61" s="30" t="inlineStr">
        <is>
          <t>aerospace &amp; defence</t>
        </is>
      </c>
      <c r="F61" s="30" t="inlineStr">
        <is>
          <t>Industrial Explosives</t>
        </is>
      </c>
      <c r="G61" s="30" t="inlineStr">
        <is>
          <t>smallcap</t>
        </is>
      </c>
      <c r="H61" s="31" t="n">
        <v>4117.84</v>
      </c>
      <c r="I61" s="31" t="n">
        <v>765.95</v>
      </c>
      <c r="J61" s="31" t="n">
        <v>3.82</v>
      </c>
      <c r="K61" s="31" t="n">
        <v>0</v>
      </c>
      <c r="L61" s="30" t="n">
        <v>79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72.67</v>
      </c>
      <c r="P61" s="31" t="n">
        <v>21.66</v>
      </c>
      <c r="Q61" s="31" t="n">
        <v>549.36</v>
      </c>
      <c r="R61" s="30" t="inlineStr">
        <is>
          <t>Near 52W High Breakout</t>
        </is>
      </c>
      <c r="S61" s="30" t="inlineStr">
        <is>
          <t>Nifty 50</t>
        </is>
      </c>
      <c r="T61" s="31" t="n">
        <v>-4.09</v>
      </c>
      <c r="U61" s="31" t="n">
        <v>29.32</v>
      </c>
      <c r="V61" s="31" t="n">
        <v>34.83</v>
      </c>
      <c r="W61" s="31" t="n">
        <v>24.58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Negative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20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PSPPROJECT</t>
        </is>
      </c>
      <c r="D62" s="30" t="inlineStr">
        <is>
          <t>PSP Projects Ltd</t>
        </is>
      </c>
      <c r="E62" s="30" t="inlineStr">
        <is>
          <t>realty</t>
        </is>
      </c>
      <c r="F62" s="30" t="inlineStr">
        <is>
          <t>Construction &amp; Contracting</t>
        </is>
      </c>
      <c r="G62" s="30" t="inlineStr">
        <is>
          <t>smallcap</t>
        </is>
      </c>
      <c r="H62" s="31" t="n">
        <v>3597.29</v>
      </c>
      <c r="I62" s="31" t="n">
        <v>907.45</v>
      </c>
      <c r="J62" s="31" t="n">
        <v>-0.04</v>
      </c>
      <c r="K62" s="31" t="n">
        <v>0</v>
      </c>
      <c r="L62" s="30" t="n">
        <v>55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62.38</v>
      </c>
      <c r="P62" s="31" t="n">
        <v>23.51</v>
      </c>
      <c r="Q62" s="31" t="n">
        <v>680.92</v>
      </c>
      <c r="R62" s="30" t="inlineStr">
        <is>
          <t>Earnings / Momentum Support</t>
        </is>
      </c>
      <c r="S62" s="30" t="inlineStr">
        <is>
          <t>Nifty Realty</t>
        </is>
      </c>
      <c r="T62" s="31" t="n">
        <v>-19.64</v>
      </c>
      <c r="U62" s="31" t="n">
        <v>23.6</v>
      </c>
      <c r="V62" s="31" t="n">
        <v>53.8</v>
      </c>
      <c r="W62" s="31" t="n">
        <v>14.19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No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Above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19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DIFFNKG</t>
        </is>
      </c>
      <c r="D63" s="30" t="inlineStr">
        <is>
          <t>Diffusion Engineers Ltd</t>
        </is>
      </c>
      <c r="E63" s="30" t="inlineStr">
        <is>
          <t>industrials</t>
        </is>
      </c>
      <c r="F63" s="30" t="inlineStr">
        <is>
          <t>Welding Equipments</t>
        </is>
      </c>
      <c r="G63" s="30" t="inlineStr">
        <is>
          <t>smallcap</t>
        </is>
      </c>
      <c r="H63" s="31" t="n">
        <v>1436.61</v>
      </c>
      <c r="I63" s="31" t="n">
        <v>383.85</v>
      </c>
      <c r="J63" s="31" t="n">
        <v>3.02</v>
      </c>
      <c r="K63" s="31" t="n">
        <v>0</v>
      </c>
      <c r="L63" s="30" t="n">
        <v>67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68.75</v>
      </c>
      <c r="P63" s="31" t="n">
        <v>16.24</v>
      </c>
      <c r="Q63" s="31" t="n">
        <v>287.35</v>
      </c>
      <c r="R63" s="30" t="inlineStr">
        <is>
          <t>Near 52W High Breakout</t>
        </is>
      </c>
      <c r="S63" s="30" t="inlineStr">
        <is>
          <t>Nifty Infra</t>
        </is>
      </c>
      <c r="T63" s="31" t="n">
        <v>3.72</v>
      </c>
      <c r="U63" s="31" t="n">
        <v>26.6</v>
      </c>
      <c r="V63" s="31" t="n">
        <v>22.06</v>
      </c>
      <c r="W63" s="31" t="n">
        <v>18.46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0 to 20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No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Less than 50%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19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3" t="inlineStr">
        <is>
          <t>MOBAVENUE</t>
        </is>
      </c>
      <c r="D64" s="33" t="inlineStr">
        <is>
          <t>Mobavenue AI Tech Ltd</t>
        </is>
      </c>
      <c r="E64" s="30" t="inlineStr">
        <is>
          <t>Consumer Defensive</t>
        </is>
      </c>
      <c r="F64" s="30" t="inlineStr">
        <is>
          <t>Computer Education</t>
        </is>
      </c>
      <c r="G64" s="30" t="inlineStr">
        <is>
          <t>smallcap</t>
        </is>
      </c>
      <c r="H64" s="31" t="n">
        <v>2384.25</v>
      </c>
      <c r="I64" s="31" t="n">
        <v>308.45</v>
      </c>
      <c r="J64" s="31" t="n">
        <v>1.98</v>
      </c>
      <c r="K64" s="31" t="n">
        <v>0</v>
      </c>
      <c r="L64" s="30" t="n">
        <v>77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68.59</v>
      </c>
      <c r="P64" s="31" t="n">
        <v>18.01</v>
      </c>
      <c r="Q64" s="31" t="n">
        <v>231.18</v>
      </c>
      <c r="R64" s="30" t="inlineStr">
        <is>
          <t>Near 52W High Breakout</t>
        </is>
      </c>
      <c r="S64" s="30" t="inlineStr">
        <is>
          <t>Nifty 50</t>
        </is>
      </c>
      <c r="T64" s="31" t="n">
        <v>-4.09</v>
      </c>
      <c r="U64" s="31" t="n">
        <v>120.51</v>
      </c>
      <c r="V64" s="31" t="n">
        <v>129.91</v>
      </c>
      <c r="W64" s="31" t="n">
        <v>23.58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0 to 20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19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3" t="inlineStr">
        <is>
          <t>KMEW</t>
        </is>
      </c>
      <c r="D65" s="33" t="inlineStr">
        <is>
          <t>Knowledge Marine &amp; Engineering Works Ltd</t>
        </is>
      </c>
      <c r="E65" s="30" t="inlineStr">
        <is>
          <t>transportation</t>
        </is>
      </c>
      <c r="F65" s="30" t="inlineStr">
        <is>
          <t>Shipping</t>
        </is>
      </c>
      <c r="G65" s="30" t="inlineStr">
        <is>
          <t>midcap</t>
        </is>
      </c>
      <c r="H65" s="31" t="n">
        <v>5035.49</v>
      </c>
      <c r="I65" s="31" t="n">
        <v>2060</v>
      </c>
      <c r="J65" s="31" t="n">
        <v>3.61</v>
      </c>
      <c r="K65" s="31" t="n">
        <v>0</v>
      </c>
      <c r="L65" s="30" t="n">
        <v>85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62.8</v>
      </c>
      <c r="P65" s="31" t="n">
        <v>32.99</v>
      </c>
      <c r="Q65" s="31" t="n">
        <v>1458.66</v>
      </c>
      <c r="R65" s="30" t="inlineStr">
        <is>
          <t>Near 52W High Breakout</t>
        </is>
      </c>
      <c r="S65" s="30" t="inlineStr">
        <is>
          <t>Nifty 50</t>
        </is>
      </c>
      <c r="T65" s="31" t="n">
        <v>-4.09</v>
      </c>
      <c r="U65" s="31" t="n">
        <v>146.78</v>
      </c>
      <c r="V65" s="31" t="n">
        <v>157.3</v>
      </c>
      <c r="W65" s="31" t="n">
        <v>28.52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Negative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19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3" t="inlineStr">
        <is>
          <t>WABAG</t>
        </is>
      </c>
      <c r="D66" s="33" t="inlineStr">
        <is>
          <t>Va Tech Wabag Ltd</t>
        </is>
      </c>
      <c r="E66" s="30" t="inlineStr">
        <is>
          <t>realty</t>
        </is>
      </c>
      <c r="F66" s="30" t="inlineStr">
        <is>
          <t>Water Treatment</t>
        </is>
      </c>
      <c r="G66" s="30" t="inlineStr">
        <is>
          <t>midcap</t>
        </is>
      </c>
      <c r="H66" s="31" t="n">
        <v>11008.06</v>
      </c>
      <c r="I66" s="31" t="n">
        <v>1766.5</v>
      </c>
      <c r="J66" s="31" t="n">
        <v>0.7</v>
      </c>
      <c r="K66" s="31" t="n">
        <v>0</v>
      </c>
      <c r="L66" s="30" t="n">
        <v>54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71.8</v>
      </c>
      <c r="P66" s="31" t="n">
        <v>15.27</v>
      </c>
      <c r="Q66" s="31" t="n">
        <v>1408.04</v>
      </c>
      <c r="R66" s="30" t="inlineStr">
        <is>
          <t>Volume Spike &amp; Near 52W High Breakout</t>
        </is>
      </c>
      <c r="S66" s="30" t="inlineStr">
        <is>
          <t>Nifty Realty</t>
        </is>
      </c>
      <c r="T66" s="31" t="n">
        <v>-19.64</v>
      </c>
      <c r="U66" s="31" t="n">
        <v>20.14</v>
      </c>
      <c r="V66" s="31" t="n">
        <v>49.5</v>
      </c>
      <c r="W66" s="31" t="n">
        <v>14.07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0 to 20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Less than 50%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19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AEROFLEX</t>
        </is>
      </c>
      <c r="D67" s="30" t="inlineStr">
        <is>
          <t>Aeroflex Industries Ltd</t>
        </is>
      </c>
      <c r="E67" s="30" t="inlineStr">
        <is>
          <t>metals &amp; mining</t>
        </is>
      </c>
      <c r="F67" s="30" t="inlineStr">
        <is>
          <t>Stainless Steel</t>
        </is>
      </c>
      <c r="G67" s="30" t="inlineStr">
        <is>
          <t>midcap</t>
        </is>
      </c>
      <c r="H67" s="31" t="n">
        <v>6760.78</v>
      </c>
      <c r="I67" s="31" t="n">
        <v>510.9</v>
      </c>
      <c r="J67" s="31" t="n">
        <v>8.31</v>
      </c>
      <c r="K67" s="31" t="n">
        <v>0</v>
      </c>
      <c r="L67" s="30" t="n">
        <v>95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77.59999999999999</v>
      </c>
      <c r="P67" s="31" t="n">
        <v>61.09</v>
      </c>
      <c r="Q67" s="31" t="n">
        <v>368.36</v>
      </c>
      <c r="R67" s="30" t="inlineStr">
        <is>
          <t>Near 52W High Breakout</t>
        </is>
      </c>
      <c r="S67" s="30" t="inlineStr">
        <is>
          <t>Nifty Metal</t>
        </is>
      </c>
      <c r="T67" s="31" t="n">
        <v>42.38</v>
      </c>
      <c r="U67" s="31" t="n">
        <v>150.23</v>
      </c>
      <c r="V67" s="31" t="n">
        <v>75.75</v>
      </c>
      <c r="W67" s="31" t="n">
        <v>50.57</v>
      </c>
      <c r="X67" s="30" t="inlineStr">
        <is>
          <t>Cyclical in an Upturn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Cyclical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Volatile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Yes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19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3" t="inlineStr">
        <is>
          <t>SASKEN</t>
        </is>
      </c>
      <c r="D68" s="33" t="inlineStr">
        <is>
          <t>Sasken Technologies Ltd</t>
        </is>
      </c>
      <c r="E68" s="30" t="inlineStr">
        <is>
          <t>i.t</t>
        </is>
      </c>
      <c r="F68" s="30" t="inlineStr">
        <is>
          <t>IT - Software</t>
        </is>
      </c>
      <c r="G68" s="30" t="inlineStr">
        <is>
          <t>smallcap</t>
        </is>
      </c>
      <c r="H68" s="31" t="n">
        <v>3655.69</v>
      </c>
      <c r="I68" s="31" t="n">
        <v>2407.2</v>
      </c>
      <c r="J68" s="31" t="n">
        <v>10</v>
      </c>
      <c r="K68" s="31" t="n">
        <v>0</v>
      </c>
      <c r="L68" s="30" t="n">
        <v>92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76.47</v>
      </c>
      <c r="P68" s="31" t="n">
        <v>34.11</v>
      </c>
      <c r="Q68" s="31" t="n">
        <v>1773.44</v>
      </c>
      <c r="R68" s="30" t="inlineStr">
        <is>
          <t>Near 52W High Breakout</t>
        </is>
      </c>
      <c r="S68" s="30" t="inlineStr">
        <is>
          <t>Nifty IT</t>
        </is>
      </c>
      <c r="T68" s="31" t="n">
        <v>-26.11</v>
      </c>
      <c r="U68" s="31" t="n">
        <v>75.51000000000001</v>
      </c>
      <c r="V68" s="31" t="n">
        <v>137.54</v>
      </c>
      <c r="W68" s="31" t="n">
        <v>39.44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19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FCL</t>
        </is>
      </c>
      <c r="D69" s="30" t="inlineStr">
        <is>
          <t>Fineotex Chemical Ltd</t>
        </is>
      </c>
      <c r="E69" s="30" t="inlineStr">
        <is>
          <t>chemicals</t>
        </is>
      </c>
      <c r="F69" s="30" t="inlineStr">
        <is>
          <t>Speciality Chemicals</t>
        </is>
      </c>
      <c r="G69" s="30" t="inlineStr">
        <is>
          <t>midcap</t>
        </is>
      </c>
      <c r="H69" s="31" t="n">
        <v>5220.46</v>
      </c>
      <c r="I69" s="31" t="n">
        <v>44.83</v>
      </c>
      <c r="J69" s="31" t="n">
        <v>3.53</v>
      </c>
      <c r="K69" s="31" t="n">
        <v>0</v>
      </c>
      <c r="L69" s="30" t="n">
        <v>91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77.34</v>
      </c>
      <c r="P69" s="31" t="n">
        <v>34.11</v>
      </c>
      <c r="Q69" s="31" t="n">
        <v>33.24</v>
      </c>
      <c r="R69" s="30" t="inlineStr">
        <is>
          <t>Near 52W High Breakout</t>
        </is>
      </c>
      <c r="S69" s="30" t="inlineStr">
        <is>
          <t>Nifty 50</t>
        </is>
      </c>
      <c r="T69" s="31" t="n">
        <v>-4.09</v>
      </c>
      <c r="U69" s="31" t="n">
        <v>62.22</v>
      </c>
      <c r="V69" s="31" t="n">
        <v>69.13</v>
      </c>
      <c r="W69" s="31" t="n">
        <v>37.95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Negative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20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SUNSHIEL</t>
        </is>
      </c>
      <c r="D70" s="30" t="inlineStr">
        <is>
          <t>Sunshield Chemicals Ltd</t>
        </is>
      </c>
      <c r="E70" s="30" t="inlineStr">
        <is>
          <t>Basic Materials</t>
        </is>
      </c>
      <c r="F70" s="30" t="inlineStr">
        <is>
          <t>Speciality Chemicals</t>
        </is>
      </c>
      <c r="G70" s="30" t="inlineStr">
        <is>
          <t>smallcap</t>
        </is>
      </c>
      <c r="H70" s="31" t="n">
        <v>1088.8</v>
      </c>
      <c r="I70" s="31" t="n">
        <v>1238</v>
      </c>
      <c r="J70" s="31" t="n">
        <v>-1.28</v>
      </c>
      <c r="K70" s="31" t="n">
        <v>0</v>
      </c>
      <c r="L70" s="30" t="n">
        <v>76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74.81</v>
      </c>
      <c r="P70" s="31" t="n">
        <v>26.73</v>
      </c>
      <c r="Q70" s="31" t="n">
        <v>890.76</v>
      </c>
      <c r="R70" s="30" t="inlineStr">
        <is>
          <t>Near 52W High Breakout</t>
        </is>
      </c>
      <c r="S70" s="30" t="inlineStr">
        <is>
          <t>Nifty 50</t>
        </is>
      </c>
      <c r="T70" s="31" t="n">
        <v>-4.09</v>
      </c>
      <c r="U70" s="31" t="n">
        <v>58.66</v>
      </c>
      <c r="V70" s="31" t="n">
        <v>65.43000000000001</v>
      </c>
      <c r="W70" s="31" t="n">
        <v>23.45</v>
      </c>
      <c r="X70" s="30" t="inlineStr">
        <is>
          <t>Cyclical in an Upturn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Cyclical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Volatile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20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PREMIERENE</t>
        </is>
      </c>
      <c r="D71" s="30" t="inlineStr">
        <is>
          <t>Premier Energies Ltd</t>
        </is>
      </c>
      <c r="E71" s="30" t="inlineStr">
        <is>
          <t>services</t>
        </is>
      </c>
      <c r="F71" s="30" t="inlineStr">
        <is>
          <t>Capital Goods - Solar</t>
        </is>
      </c>
      <c r="G71" s="30" t="inlineStr">
        <is>
          <t>largecap</t>
        </is>
      </c>
      <c r="H71" s="31" t="n">
        <v>47928.2</v>
      </c>
      <c r="I71" s="31" t="n">
        <v>1055.8</v>
      </c>
      <c r="J71" s="31" t="n">
        <v>0.05</v>
      </c>
      <c r="K71" s="31" t="n">
        <v>0</v>
      </c>
      <c r="L71" s="30" t="n">
        <v>19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61.25</v>
      </c>
      <c r="P71" s="31" t="n">
        <v>17.37</v>
      </c>
      <c r="Q71" s="31" t="n">
        <v>853.8</v>
      </c>
      <c r="R71" s="30" t="inlineStr">
        <is>
          <t>Near 52W High Breakout</t>
        </is>
      </c>
      <c r="S71" s="30" t="inlineStr">
        <is>
          <t>Nifty 50</t>
        </is>
      </c>
      <c r="T71" s="31" t="n">
        <v>-4.09</v>
      </c>
      <c r="U71" s="31" t="n">
        <v>2.82</v>
      </c>
      <c r="V71" s="31" t="n">
        <v>7.2</v>
      </c>
      <c r="W71" s="31" t="n">
        <v>5.71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Between 50% to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Between 0.7 to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18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SOTL</t>
        </is>
      </c>
      <c r="D72" s="30" t="inlineStr">
        <is>
          <t>Savita Oil Technologies Ltd</t>
        </is>
      </c>
      <c r="E72" s="30" t="inlineStr">
        <is>
          <t>energy</t>
        </is>
      </c>
      <c r="F72" s="30" t="inlineStr">
        <is>
          <t>Petrochem - Others</t>
        </is>
      </c>
      <c r="G72" s="30" t="inlineStr">
        <is>
          <t>smallcap</t>
        </is>
      </c>
      <c r="H72" s="31" t="n">
        <v>4186.98</v>
      </c>
      <c r="I72" s="31" t="n">
        <v>610.7</v>
      </c>
      <c r="J72" s="31" t="n">
        <v>0.82</v>
      </c>
      <c r="K72" s="31" t="n">
        <v>0</v>
      </c>
      <c r="L72" s="30" t="n">
        <v>84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78.01000000000001</v>
      </c>
      <c r="P72" s="31" t="n">
        <v>31.45</v>
      </c>
      <c r="Q72" s="31" t="n">
        <v>469.4</v>
      </c>
      <c r="R72" s="30" t="inlineStr">
        <is>
          <t>Near 52W High Breakout</t>
        </is>
      </c>
      <c r="S72" s="30" t="inlineStr">
        <is>
          <t>Nifty Energy</t>
        </is>
      </c>
      <c r="T72" s="31" t="n">
        <v>13.03</v>
      </c>
      <c r="U72" s="31" t="n">
        <v>48.83</v>
      </c>
      <c r="V72" s="31" t="n">
        <v>31.68</v>
      </c>
      <c r="W72" s="31" t="n">
        <v>27.84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Oligopoly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Yes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Cyclical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Volatile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25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GALAPREC</t>
        </is>
      </c>
      <c r="D73" s="30" t="inlineStr">
        <is>
          <t>Gala Precision Engineering Ltd</t>
        </is>
      </c>
      <c r="E73" s="30" t="inlineStr">
        <is>
          <t>industrials</t>
        </is>
      </c>
      <c r="F73" s="30" t="inlineStr">
        <is>
          <t>Castings, Forgings &amp; Fastners</t>
        </is>
      </c>
      <c r="G73" s="30" t="inlineStr">
        <is>
          <t>smallcap</t>
        </is>
      </c>
      <c r="H73" s="31" t="n">
        <v>1323.39</v>
      </c>
      <c r="I73" s="31" t="n">
        <v>1034.1</v>
      </c>
      <c r="J73" s="31" t="n">
        <v>-0.93</v>
      </c>
      <c r="K73" s="31" t="n">
        <v>0</v>
      </c>
      <c r="L73" s="30" t="n">
        <v>48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72.95</v>
      </c>
      <c r="P73" s="31" t="n">
        <v>23.71</v>
      </c>
      <c r="Q73" s="31" t="n">
        <v>790.78</v>
      </c>
      <c r="R73" s="30" t="inlineStr">
        <is>
          <t>Volume Spike &amp; Near 52W High Breakout</t>
        </is>
      </c>
      <c r="S73" s="30" t="inlineStr">
        <is>
          <t>Nifty Infra</t>
        </is>
      </c>
      <c r="T73" s="31" t="n">
        <v>3.72</v>
      </c>
      <c r="U73" s="31" t="n">
        <v>18.91</v>
      </c>
      <c r="V73" s="31" t="n">
        <v>14.65</v>
      </c>
      <c r="W73" s="31" t="n">
        <v>12.28</v>
      </c>
      <c r="X73" s="30" t="inlineStr">
        <is>
          <t>Cyclical in an Upturn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Less than 12%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Less than 50%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22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3" t="inlineStr">
        <is>
          <t>SETL</t>
        </is>
      </c>
      <c r="D74" s="33" t="inlineStr">
        <is>
          <t>Standard Engineering Technology Ltd</t>
        </is>
      </c>
      <c r="E74" s="30" t="inlineStr">
        <is>
          <t>industrials</t>
        </is>
      </c>
      <c r="F74" s="30" t="inlineStr">
        <is>
          <t>Engineering - Heavy - Glass - lined Equipment</t>
        </is>
      </c>
      <c r="G74" s="30" t="inlineStr">
        <is>
          <t>smallcap</t>
        </is>
      </c>
      <c r="H74" s="31" t="n">
        <v>3460.18</v>
      </c>
      <c r="I74" s="31" t="n">
        <v>173.45</v>
      </c>
      <c r="J74" s="31" t="n">
        <v>0.85</v>
      </c>
      <c r="K74" s="31" t="n">
        <v>0</v>
      </c>
      <c r="L74" s="30" t="n">
        <v>51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67.31999999999999</v>
      </c>
      <c r="P74" s="31" t="n">
        <v>14.82</v>
      </c>
      <c r="Q74" s="31" t="n">
        <v>130.56</v>
      </c>
      <c r="R74" s="30" t="inlineStr">
        <is>
          <t>Volume Spike / Accumulation</t>
        </is>
      </c>
      <c r="S74" s="30" t="inlineStr">
        <is>
          <t>Nifty 50</t>
        </is>
      </c>
      <c r="T74" s="31" t="n">
        <v>-4.09</v>
      </c>
      <c r="U74" s="31" t="n">
        <v>2.3</v>
      </c>
      <c r="V74" s="31" t="n">
        <v>6.66</v>
      </c>
      <c r="W74" s="31" t="n">
        <v>13.34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0 to 20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21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2" t="inlineStr">
        <is>
          <t>BMW</t>
        </is>
      </c>
      <c r="D75" s="32" t="inlineStr">
        <is>
          <t>BMW Industries Ltd</t>
        </is>
      </c>
      <c r="E75" s="30" t="inlineStr">
        <is>
          <t>Basic Materials</t>
        </is>
      </c>
      <c r="F75" s="30" t="inlineStr">
        <is>
          <t>Steel Products</t>
        </is>
      </c>
      <c r="G75" s="30" t="inlineStr">
        <is>
          <t>smallcap</t>
        </is>
      </c>
      <c r="H75" s="31" t="n">
        <v>1389.91</v>
      </c>
      <c r="I75" s="31" t="n">
        <v>61.75</v>
      </c>
      <c r="J75" s="31" t="n">
        <v>-1.91</v>
      </c>
      <c r="K75" s="31" t="n">
        <v>0</v>
      </c>
      <c r="L75" s="30" t="n">
        <v>86</v>
      </c>
      <c r="M75" s="30" t="inlineStr">
        <is>
          <t>Underperforming</t>
        </is>
      </c>
      <c r="N75" s="31">
        <f>IF(M75="Underperforming",-5,IF(L75&gt;=95,15,IF(L75&gt;=90,10,IF(L75&gt;=80,5,0))))</f>
        <v/>
      </c>
      <c r="O75" s="31" t="n">
        <v>73.76000000000001</v>
      </c>
      <c r="P75" s="31" t="n">
        <v>37.01</v>
      </c>
      <c r="Q75" s="31" t="n">
        <v>45.47</v>
      </c>
      <c r="R75" s="30" t="inlineStr">
        <is>
          <t>Near 52W High Breakout</t>
        </is>
      </c>
      <c r="S75" s="30" t="inlineStr">
        <is>
          <t>Nifty Metal</t>
        </is>
      </c>
      <c r="T75" s="31" t="n">
        <v>42.38</v>
      </c>
      <c r="U75" s="31" t="n">
        <v>20.97</v>
      </c>
      <c r="V75" s="31" t="n">
        <v>-15.04</v>
      </c>
      <c r="W75" s="31" t="n">
        <v>29.49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Cyclical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Volatile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Less than 1.5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21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SKYGOLD</t>
        </is>
      </c>
      <c r="D76" s="30" t="inlineStr">
        <is>
          <t>Sky Gold &amp; Diamonds Ltd</t>
        </is>
      </c>
      <c r="E76" s="30" t="inlineStr">
        <is>
          <t>consumer discretionary</t>
        </is>
      </c>
      <c r="F76" s="30" t="inlineStr">
        <is>
          <t>Diamond, Gems &amp; Jewellery</t>
        </is>
      </c>
      <c r="G76" s="30" t="inlineStr">
        <is>
          <t>midcap</t>
        </is>
      </c>
      <c r="H76" s="31" t="n">
        <v>8105.32</v>
      </c>
      <c r="I76" s="31" t="n">
        <v>523.35</v>
      </c>
      <c r="J76" s="31" t="n">
        <v>-1.25</v>
      </c>
      <c r="K76" s="31" t="n">
        <v>0</v>
      </c>
      <c r="L76" s="30" t="n">
        <v>75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65.09999999999999</v>
      </c>
      <c r="P76" s="31" t="n">
        <v>38.86</v>
      </c>
      <c r="Q76" s="31" t="n">
        <v>389.91</v>
      </c>
      <c r="R76" s="30" t="inlineStr">
        <is>
          <t>Near 52W High Breakout</t>
        </is>
      </c>
      <c r="S76" s="30" t="inlineStr">
        <is>
          <t>Nifty 50</t>
        </is>
      </c>
      <c r="T76" s="31" t="n">
        <v>-4.09</v>
      </c>
      <c r="U76" s="31" t="n">
        <v>64.55</v>
      </c>
      <c r="V76" s="31" t="n">
        <v>71.56</v>
      </c>
      <c r="W76" s="31" t="n">
        <v>22.32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Negative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Between 0.7 to 1.2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20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3" t="inlineStr">
        <is>
          <t>AFCOM</t>
        </is>
      </c>
      <c r="D77" s="33" t="inlineStr">
        <is>
          <t>Afcom Holdings Ltd</t>
        </is>
      </c>
      <c r="E77" s="30" t="inlineStr">
        <is>
          <t>Industrials</t>
        </is>
      </c>
      <c r="F77" s="30" t="inlineStr">
        <is>
          <t>Air Transport Service</t>
        </is>
      </c>
      <c r="G77" s="30" t="inlineStr">
        <is>
          <t>smallcap</t>
        </is>
      </c>
      <c r="H77" s="31" t="n">
        <v>3271.64</v>
      </c>
      <c r="I77" s="31" t="n">
        <v>1140</v>
      </c>
      <c r="J77" s="31" t="n">
        <v>1.98</v>
      </c>
      <c r="K77" s="31" t="n">
        <v>0</v>
      </c>
      <c r="L77" s="30" t="n">
        <v>69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66.88</v>
      </c>
      <c r="P77" s="31" t="n">
        <v>19.97</v>
      </c>
      <c r="Q77" s="31" t="n">
        <v>815.7</v>
      </c>
      <c r="R77" s="30" t="inlineStr">
        <is>
          <t>Near 52W High Breakout</t>
        </is>
      </c>
      <c r="S77" s="30" t="inlineStr">
        <is>
          <t>Nifty 50</t>
        </is>
      </c>
      <c r="T77" s="31" t="n">
        <v>-4.09</v>
      </c>
      <c r="U77" s="31" t="n">
        <v>35.75</v>
      </c>
      <c r="V77" s="31" t="n">
        <v>41.53</v>
      </c>
      <c r="W77" s="31" t="n">
        <v>19.52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0 to 20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Less than 50%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Between 0.7 to 1.2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20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3" t="inlineStr">
        <is>
          <t>LLOYDSENGG</t>
        </is>
      </c>
      <c r="D78" s="33" t="inlineStr">
        <is>
          <t>Lloyds Engineering Works Ltd</t>
        </is>
      </c>
      <c r="E78" s="30" t="inlineStr">
        <is>
          <t>industrials</t>
        </is>
      </c>
      <c r="F78" s="30" t="inlineStr">
        <is>
          <t>Capital Goods - Electrical Equipment</t>
        </is>
      </c>
      <c r="G78" s="30" t="inlineStr">
        <is>
          <t>midcap</t>
        </is>
      </c>
      <c r="H78" s="31" t="n">
        <v>12812.67</v>
      </c>
      <c r="I78" s="31" t="n">
        <v>87.69</v>
      </c>
      <c r="J78" s="31" t="n">
        <v>9.69</v>
      </c>
      <c r="K78" s="31" t="n">
        <v>0</v>
      </c>
      <c r="L78" s="30" t="n">
        <v>92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76.08</v>
      </c>
      <c r="P78" s="31" t="n">
        <v>30.38</v>
      </c>
      <c r="Q78" s="31" t="n">
        <v>66.2</v>
      </c>
      <c r="R78" s="30" t="inlineStr">
        <is>
          <t>Volume Spike &amp; Near 52W High Breakout</t>
        </is>
      </c>
      <c r="S78" s="30" t="inlineStr">
        <is>
          <t>Nifty 50</t>
        </is>
      </c>
      <c r="T78" s="31" t="n">
        <v>-4.09</v>
      </c>
      <c r="U78" s="31" t="n">
        <v>53.6</v>
      </c>
      <c r="V78" s="31" t="n">
        <v>60.15</v>
      </c>
      <c r="W78" s="31" t="n">
        <v>39.58</v>
      </c>
      <c r="X78" s="30" t="inlineStr">
        <is>
          <t>Cyclical in an Upturn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Negative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19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YASHO</t>
        </is>
      </c>
      <c r="D79" s="30" t="inlineStr">
        <is>
          <t>Yasho Industries Ltd</t>
        </is>
      </c>
      <c r="E79" s="30" t="inlineStr">
        <is>
          <t>chemicals</t>
        </is>
      </c>
      <c r="F79" s="30" t="inlineStr">
        <is>
          <t>Speciality Chemicals</t>
        </is>
      </c>
      <c r="G79" s="30" t="inlineStr">
        <is>
          <t>smallcap</t>
        </is>
      </c>
      <c r="H79" s="31" t="n">
        <v>3345.96</v>
      </c>
      <c r="I79" s="31" t="n">
        <v>2775.1</v>
      </c>
      <c r="J79" s="31" t="n">
        <v>1.88</v>
      </c>
      <c r="K79" s="31" t="n">
        <v>0</v>
      </c>
      <c r="L79" s="30" t="n">
        <v>88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79.12</v>
      </c>
      <c r="P79" s="31" t="n">
        <v>26.77</v>
      </c>
      <c r="Q79" s="31" t="n">
        <v>2146.3</v>
      </c>
      <c r="R79" s="30" t="inlineStr">
        <is>
          <t>Near 52W High Breakout</t>
        </is>
      </c>
      <c r="S79" s="30" t="inlineStr">
        <is>
          <t>Nifty 50</t>
        </is>
      </c>
      <c r="T79" s="31" t="n">
        <v>-4.09</v>
      </c>
      <c r="U79" s="31" t="n">
        <v>43.3</v>
      </c>
      <c r="V79" s="31" t="n">
        <v>49.41</v>
      </c>
      <c r="W79" s="31" t="n">
        <v>32.7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More than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19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JNKINDIA</t>
        </is>
      </c>
      <c r="D80" s="30" t="inlineStr">
        <is>
          <t>JNK India Ltd</t>
        </is>
      </c>
      <c r="E80" s="30" t="inlineStr">
        <is>
          <t>realty</t>
        </is>
      </c>
      <c r="F80" s="30" t="inlineStr">
        <is>
          <t>Capital Goods - Engineering Heavy</t>
        </is>
      </c>
      <c r="G80" s="30" t="inlineStr">
        <is>
          <t>smallcap</t>
        </is>
      </c>
      <c r="H80" s="31" t="n">
        <v>2636.55</v>
      </c>
      <c r="I80" s="31" t="n">
        <v>471.2</v>
      </c>
      <c r="J80" s="31" t="n">
        <v>-4.3</v>
      </c>
      <c r="K80" s="31" t="n">
        <v>0</v>
      </c>
      <c r="L80" s="30" t="n">
        <v>88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70.5</v>
      </c>
      <c r="P80" s="31" t="n">
        <v>32.47</v>
      </c>
      <c r="Q80" s="31" t="n">
        <v>354.92</v>
      </c>
      <c r="R80" s="30" t="inlineStr">
        <is>
          <t>Earnings / Momentum Support</t>
        </is>
      </c>
      <c r="S80" s="30" t="inlineStr">
        <is>
          <t>Nifty Realty</t>
        </is>
      </c>
      <c r="T80" s="31" t="n">
        <v>-19.64</v>
      </c>
      <c r="U80" s="31" t="n">
        <v>30.93</v>
      </c>
      <c r="V80" s="31" t="n">
        <v>62.92</v>
      </c>
      <c r="W80" s="31" t="n">
        <v>32.27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Negative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31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TBZ</t>
        </is>
      </c>
      <c r="D81" s="30" t="inlineStr">
        <is>
          <t>Tribhovandas Bhimji Zaveri Ltd</t>
        </is>
      </c>
      <c r="E81" s="30" t="inlineStr">
        <is>
          <t>consumer discretionary</t>
        </is>
      </c>
      <c r="F81" s="30" t="inlineStr">
        <is>
          <t>Diamond, Gems &amp; Jewellery</t>
        </is>
      </c>
      <c r="G81" s="30" t="inlineStr">
        <is>
          <t>smallcap</t>
        </is>
      </c>
      <c r="H81" s="31" t="n">
        <v>1297.24</v>
      </c>
      <c r="I81" s="31" t="n">
        <v>194.4</v>
      </c>
      <c r="J81" s="31" t="n">
        <v>-0.74</v>
      </c>
      <c r="K81" s="31" t="n">
        <v>0</v>
      </c>
      <c r="L81" s="30" t="n">
        <v>53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65.26000000000001</v>
      </c>
      <c r="P81" s="31" t="n">
        <v>15.54</v>
      </c>
      <c r="Q81" s="31" t="n">
        <v>143.14</v>
      </c>
      <c r="R81" s="30" t="inlineStr">
        <is>
          <t>Near 52W High Breakout</t>
        </is>
      </c>
      <c r="S81" s="30" t="inlineStr">
        <is>
          <t>Nifty 50</t>
        </is>
      </c>
      <c r="T81" s="31" t="n">
        <v>-4.09</v>
      </c>
      <c r="U81" s="31" t="n">
        <v>5.56</v>
      </c>
      <c r="V81" s="31" t="n">
        <v>10.06</v>
      </c>
      <c r="W81" s="31" t="n">
        <v>13.83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0 to 20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Less than 1.5</t>
        </is>
      </c>
      <c r="BU81" s="30">
        <f>IF(BT81="Above 2",0,IF(BT81="Between 1.5 to 2",5,IF(BT81="Less than 1.5",10,0)))</f>
        <v/>
      </c>
      <c r="BV81" s="30" t="inlineStr">
        <is>
          <t>Less than 50% and Borrowings are increasing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Between 0.7 to 1.2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23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ACUTAAS</t>
        </is>
      </c>
      <c r="D82" s="30" t="inlineStr">
        <is>
          <t>Acutaas Chemicals Ltd</t>
        </is>
      </c>
      <c r="E82" s="30" t="inlineStr">
        <is>
          <t>Basic Materials</t>
        </is>
      </c>
      <c r="F82" s="30" t="inlineStr">
        <is>
          <t>Pharma - API &amp; CRAMS</t>
        </is>
      </c>
      <c r="G82" s="30" t="inlineStr">
        <is>
          <t>largecap</t>
        </is>
      </c>
      <c r="H82" s="31" t="n">
        <v>24560.52</v>
      </c>
      <c r="I82" s="31" t="n">
        <v>2999.9</v>
      </c>
      <c r="J82" s="31" t="n">
        <v>0.11</v>
      </c>
      <c r="K82" s="31" t="n">
        <v>0</v>
      </c>
      <c r="L82" s="30" t="n">
        <v>83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66.22</v>
      </c>
      <c r="P82" s="31" t="n">
        <v>65.34999999999999</v>
      </c>
      <c r="Q82" s="31" t="n">
        <v>2566.78</v>
      </c>
      <c r="R82" s="30" t="inlineStr">
        <is>
          <t>Earnings / Momentum Support</t>
        </is>
      </c>
      <c r="S82" s="30" t="inlineStr">
        <is>
          <t>Nifty 50</t>
        </is>
      </c>
      <c r="T82" s="31" t="n">
        <v>-4.09</v>
      </c>
      <c r="U82" s="31" t="n">
        <v>165.23</v>
      </c>
      <c r="V82" s="31" t="n">
        <v>176.54</v>
      </c>
      <c r="W82" s="31" t="n">
        <v>27.51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Yes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Cyclical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Volatile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Between 50% to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22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3" t="inlineStr">
        <is>
          <t>HCC</t>
        </is>
      </c>
      <c r="D83" s="33" t="inlineStr">
        <is>
          <t>Hindustan Construction Company Ltd</t>
        </is>
      </c>
      <c r="E83" s="30" t="inlineStr">
        <is>
          <t>Industrials</t>
        </is>
      </c>
      <c r="F83" s="30" t="inlineStr">
        <is>
          <t>Infra - Construction &amp; Contracting</t>
        </is>
      </c>
      <c r="G83" s="30" t="inlineStr">
        <is>
          <t>midcap</t>
        </is>
      </c>
      <c r="H83" s="31" t="n">
        <v>7035.89</v>
      </c>
      <c r="I83" s="31" t="n">
        <v>26.86</v>
      </c>
      <c r="J83" s="31" t="n">
        <v>5.37</v>
      </c>
      <c r="K83" s="31" t="n">
        <v>0</v>
      </c>
      <c r="L83" s="30" t="n">
        <v>66</v>
      </c>
      <c r="M83" s="30" t="inlineStr">
        <is>
          <t>Underperforming</t>
        </is>
      </c>
      <c r="N83" s="31">
        <f>IF(M83="Underperforming",-5,IF(L83&gt;=95,15,IF(L83&gt;=90,10,IF(L83&gt;=80,5,0))))</f>
        <v/>
      </c>
      <c r="O83" s="31" t="n">
        <v>64.87</v>
      </c>
      <c r="P83" s="31" t="n">
        <v>25.48</v>
      </c>
      <c r="Q83" s="31" t="n">
        <v>19.5</v>
      </c>
      <c r="R83" s="30" t="inlineStr">
        <is>
          <t>Earnings / Momentum Support</t>
        </is>
      </c>
      <c r="S83" s="30" t="inlineStr">
        <is>
          <t>Nifty Infra</t>
        </is>
      </c>
      <c r="T83" s="31" t="n">
        <v>3.72</v>
      </c>
      <c r="U83" s="31" t="n">
        <v>-11.29</v>
      </c>
      <c r="V83" s="31" t="n">
        <v>-14.47</v>
      </c>
      <c r="W83" s="31" t="n">
        <v>18.16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No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Less than 12%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20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0" t="inlineStr">
        <is>
          <t>DIACABS</t>
        </is>
      </c>
      <c r="D84" s="30" t="inlineStr">
        <is>
          <t>Diamond Power Infrastructure Ltd</t>
        </is>
      </c>
      <c r="E84" s="30" t="inlineStr">
        <is>
          <t>industrials</t>
        </is>
      </c>
      <c r="F84" s="30" t="inlineStr">
        <is>
          <t>Cables - Power</t>
        </is>
      </c>
      <c r="G84" s="30" t="inlineStr">
        <is>
          <t>midcap</t>
        </is>
      </c>
      <c r="H84" s="31" t="n">
        <v>10777.09</v>
      </c>
      <c r="I84" s="31" t="n">
        <v>204.51</v>
      </c>
      <c r="J84" s="31" t="n">
        <v>-1.01</v>
      </c>
      <c r="K84" s="31" t="n">
        <v>0</v>
      </c>
      <c r="L84" s="30" t="n">
        <v>87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75.87</v>
      </c>
      <c r="P84" s="31" t="n">
        <v>35.79</v>
      </c>
      <c r="Q84" s="31" t="n">
        <v>151.83</v>
      </c>
      <c r="R84" s="30" t="inlineStr">
        <is>
          <t>Near 52W High Breakout</t>
        </is>
      </c>
      <c r="S84" s="30" t="inlineStr">
        <is>
          <t>Nifty Energy</t>
        </is>
      </c>
      <c r="T84" s="31" t="n">
        <v>13.03</v>
      </c>
      <c r="U84" s="31" t="n">
        <v>97.14</v>
      </c>
      <c r="V84" s="31" t="n">
        <v>74.41</v>
      </c>
      <c r="W84" s="31" t="n">
        <v>31.01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Above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Negative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20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2" t="inlineStr">
        <is>
          <t>AEROENTER</t>
        </is>
      </c>
      <c r="D85" s="32" t="inlineStr">
        <is>
          <t>Aeroflex Enterprises Ltd</t>
        </is>
      </c>
      <c r="E85" s="30" t="inlineStr">
        <is>
          <t>metals &amp; mining</t>
        </is>
      </c>
      <c r="F85" s="30" t="inlineStr">
        <is>
          <t>Miscellaneous</t>
        </is>
      </c>
      <c r="G85" s="30" t="inlineStr">
        <is>
          <t>smallcap</t>
        </is>
      </c>
      <c r="H85" s="31" t="n">
        <v>1307.83</v>
      </c>
      <c r="I85" s="31" t="n">
        <v>115.65</v>
      </c>
      <c r="J85" s="31" t="n">
        <v>7.42</v>
      </c>
      <c r="K85" s="31" t="n">
        <v>0</v>
      </c>
      <c r="L85" s="30" t="n">
        <v>66</v>
      </c>
      <c r="M85" s="30" t="inlineStr">
        <is>
          <t>Underperforming</t>
        </is>
      </c>
      <c r="N85" s="31">
        <f>IF(M85="Underperforming",-5,IF(L85&gt;=95,15,IF(L85&gt;=90,10,IF(L85&gt;=80,5,0))))</f>
        <v/>
      </c>
      <c r="O85" s="31" t="n">
        <v>68.02</v>
      </c>
      <c r="P85" s="31" t="n">
        <v>34.94</v>
      </c>
      <c r="Q85" s="31" t="n">
        <v>85.28</v>
      </c>
      <c r="R85" s="30" t="inlineStr">
        <is>
          <t>Near 52W High Breakout</t>
        </is>
      </c>
      <c r="S85" s="30" t="inlineStr">
        <is>
          <t>Nifty Metal</t>
        </is>
      </c>
      <c r="T85" s="31" t="n">
        <v>42.38</v>
      </c>
      <c r="U85" s="31" t="n">
        <v>17.75</v>
      </c>
      <c r="V85" s="31" t="n">
        <v>-17.3</v>
      </c>
      <c r="W85" s="31" t="n">
        <v>18.1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Cyclical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Less than 50%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20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WHEELS</t>
        </is>
      </c>
      <c r="D86" s="30" t="inlineStr">
        <is>
          <t>Wheels India Ltd</t>
        </is>
      </c>
      <c r="E86" s="30" t="inlineStr">
        <is>
          <t>auto</t>
        </is>
      </c>
      <c r="F86" s="30" t="inlineStr">
        <is>
          <t>Auto Ancillaries - Wheels</t>
        </is>
      </c>
      <c r="G86" s="30" t="inlineStr">
        <is>
          <t>smallcap</t>
        </is>
      </c>
      <c r="H86" s="31" t="n">
        <v>3803.49</v>
      </c>
      <c r="I86" s="31" t="n">
        <v>1556.7</v>
      </c>
      <c r="J86" s="31" t="n">
        <v>-2.57</v>
      </c>
      <c r="K86" s="31" t="n">
        <v>0</v>
      </c>
      <c r="L86" s="30" t="n">
        <v>83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68.27</v>
      </c>
      <c r="P86" s="31" t="n">
        <v>53.69</v>
      </c>
      <c r="Q86" s="31" t="n">
        <v>1273.4</v>
      </c>
      <c r="R86" s="30" t="inlineStr">
        <is>
          <t>Earnings / Momentum Support</t>
        </is>
      </c>
      <c r="S86" s="30" t="inlineStr">
        <is>
          <t>Nifty Auto</t>
        </is>
      </c>
      <c r="T86" s="31" t="n">
        <v>12.86</v>
      </c>
      <c r="U86" s="31" t="n">
        <v>108.04</v>
      </c>
      <c r="V86" s="31" t="n">
        <v>84.33</v>
      </c>
      <c r="W86" s="31" t="n">
        <v>27.43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Above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Less than 12%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21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VINCOFE</t>
        </is>
      </c>
      <c r="D87" s="30" t="inlineStr">
        <is>
          <t>Vintage Coffee &amp; Beverages Ltd</t>
        </is>
      </c>
      <c r="E87" s="30" t="inlineStr">
        <is>
          <t>consumer discretionary</t>
        </is>
      </c>
      <c r="F87" s="30" t="inlineStr">
        <is>
          <t>FMCG - Coffee</t>
        </is>
      </c>
      <c r="G87" s="30" t="inlineStr">
        <is>
          <t>smallcap</t>
        </is>
      </c>
      <c r="H87" s="31" t="n">
        <v>2254.53</v>
      </c>
      <c r="I87" s="31" t="n">
        <v>154.75</v>
      </c>
      <c r="J87" s="31" t="n">
        <v>-0.16</v>
      </c>
      <c r="K87" s="31" t="n">
        <v>0</v>
      </c>
      <c r="L87" s="30" t="n">
        <v>37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56.99</v>
      </c>
      <c r="P87" s="31" t="n">
        <v>13.94</v>
      </c>
      <c r="Q87" s="31" t="n">
        <v>118.95</v>
      </c>
      <c r="R87" s="30" t="inlineStr">
        <is>
          <t>Earnings / Momentum Support</t>
        </is>
      </c>
      <c r="S87" s="30" t="inlineStr">
        <is>
          <t>Nifty 50</t>
        </is>
      </c>
      <c r="T87" s="31" t="n">
        <v>-4.09</v>
      </c>
      <c r="U87" s="31" t="n">
        <v>28.85</v>
      </c>
      <c r="V87" s="31" t="n">
        <v>34.34</v>
      </c>
      <c r="W87" s="31" t="n">
        <v>9.57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Headwind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B2C</t>
        </is>
      </c>
      <c r="AO87" s="30">
        <f>IF(AN87="B2C",10,IF(AN87="B2B",5,0))</f>
        <v/>
      </c>
      <c r="AP87" s="30" t="inlineStr">
        <is>
          <t>No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0 to 20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Between 12 to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Between 1.5 to 2</t>
        </is>
      </c>
      <c r="BU87" s="30">
        <f>IF(BT87="Above 2",0,IF(BT87="Between 1.5 to 2",5,IF(BT87="Less than 1.5",10,0)))</f>
        <v/>
      </c>
      <c r="BV87" s="30" t="inlineStr">
        <is>
          <t>Less than 50%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21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3" t="inlineStr">
        <is>
          <t>RAMCOSYS</t>
        </is>
      </c>
      <c r="D88" s="33" t="inlineStr">
        <is>
          <t>Ramco Systems Ltd</t>
        </is>
      </c>
      <c r="E88" s="30" t="inlineStr">
        <is>
          <t>i.t</t>
        </is>
      </c>
      <c r="F88" s="30" t="inlineStr">
        <is>
          <t>IT Product Companies</t>
        </is>
      </c>
      <c r="G88" s="30" t="inlineStr">
        <is>
          <t>smallcap</t>
        </is>
      </c>
      <c r="H88" s="31" t="n">
        <v>2143.41</v>
      </c>
      <c r="I88" s="31" t="n">
        <v>570.3</v>
      </c>
      <c r="J88" s="31" t="n">
        <v>-0.11</v>
      </c>
      <c r="K88" s="31" t="n">
        <v>0</v>
      </c>
      <c r="L88" s="30" t="n">
        <v>73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61.94</v>
      </c>
      <c r="P88" s="31" t="n">
        <v>17.02</v>
      </c>
      <c r="Q88" s="31" t="n">
        <v>393.06</v>
      </c>
      <c r="R88" s="30" t="inlineStr">
        <is>
          <t>Earnings / Momentum Support</t>
        </is>
      </c>
      <c r="S88" s="30" t="inlineStr">
        <is>
          <t>Nifty IT</t>
        </is>
      </c>
      <c r="T88" s="31" t="n">
        <v>-26.11</v>
      </c>
      <c r="U88" s="31" t="n">
        <v>48.38</v>
      </c>
      <c r="V88" s="31" t="n">
        <v>100.82</v>
      </c>
      <c r="W88" s="31" t="n">
        <v>20.99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Headwind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18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2" t="inlineStr">
        <is>
          <t>PANAMAPET</t>
        </is>
      </c>
      <c r="D89" s="32" t="inlineStr">
        <is>
          <t>Panama Petrochem Ltd</t>
        </is>
      </c>
      <c r="E89" s="30" t="inlineStr">
        <is>
          <t>energy</t>
        </is>
      </c>
      <c r="F89" s="30" t="inlineStr">
        <is>
          <t>Speciality Chemicals</t>
        </is>
      </c>
      <c r="G89" s="30" t="inlineStr">
        <is>
          <t>smallcap</t>
        </is>
      </c>
      <c r="H89" s="31" t="n">
        <v>2263.07</v>
      </c>
      <c r="I89" s="31" t="n">
        <v>374.1</v>
      </c>
      <c r="J89" s="31" t="n">
        <v>-2.73</v>
      </c>
      <c r="K89" s="31" t="n">
        <v>0</v>
      </c>
      <c r="L89" s="30" t="n">
        <v>43</v>
      </c>
      <c r="M89" s="30" t="inlineStr">
        <is>
          <t>Underperforming</t>
        </is>
      </c>
      <c r="N89" s="31">
        <f>IF(M89="Underperforming",-5,IF(L89&gt;=95,15,IF(L89&gt;=90,10,IF(L89&gt;=80,5,0))))</f>
        <v/>
      </c>
      <c r="O89" s="31" t="n">
        <v>69.26000000000001</v>
      </c>
      <c r="P89" s="31" t="n">
        <v>22.79</v>
      </c>
      <c r="Q89" s="31" t="n">
        <v>281.63</v>
      </c>
      <c r="R89" s="30" t="inlineStr">
        <is>
          <t>Near 52W High Breakout</t>
        </is>
      </c>
      <c r="S89" s="30" t="inlineStr">
        <is>
          <t>Nifty Energy</t>
        </is>
      </c>
      <c r="T89" s="31" t="n">
        <v>13.03</v>
      </c>
      <c r="U89" s="31" t="n">
        <v>4.26</v>
      </c>
      <c r="V89" s="31" t="n">
        <v>-7.76</v>
      </c>
      <c r="W89" s="31" t="n">
        <v>11.16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Oligopoly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Less than 1.5</t>
        </is>
      </c>
      <c r="BU89" s="30">
        <f>IF(BT89="Above 2",0,IF(BT89="Between 1.5 to 2",5,IF(BT89="Less than 1.5",10,0)))</f>
        <v/>
      </c>
      <c r="BV89" s="30" t="inlineStr">
        <is>
          <t>Negative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24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MSTCLTD</t>
        </is>
      </c>
      <c r="D90" s="30" t="inlineStr">
        <is>
          <t>MSTC Ltd</t>
        </is>
      </c>
      <c r="E90" s="30" t="inlineStr">
        <is>
          <t>i.t</t>
        </is>
      </c>
      <c r="F90" s="30" t="inlineStr">
        <is>
          <t>E-Commerce - Platform - Utility</t>
        </is>
      </c>
      <c r="G90" s="30" t="inlineStr">
        <is>
          <t>smallcap</t>
        </is>
      </c>
      <c r="H90" s="31" t="n">
        <v>4842.11</v>
      </c>
      <c r="I90" s="31" t="n">
        <v>687.8</v>
      </c>
      <c r="J90" s="31" t="n">
        <v>-2.96</v>
      </c>
      <c r="K90" s="31" t="n">
        <v>0</v>
      </c>
      <c r="L90" s="30" t="n">
        <v>76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75.11</v>
      </c>
      <c r="P90" s="31" t="n">
        <v>20.4</v>
      </c>
      <c r="Q90" s="31" t="n">
        <v>530.91</v>
      </c>
      <c r="R90" s="30" t="inlineStr">
        <is>
          <t>Volume Spike &amp; Near 52W High Breakout</t>
        </is>
      </c>
      <c r="S90" s="30" t="inlineStr">
        <is>
          <t>Nifty IT</t>
        </is>
      </c>
      <c r="T90" s="31" t="n">
        <v>-26.11</v>
      </c>
      <c r="U90" s="31" t="n">
        <v>39.04</v>
      </c>
      <c r="V90" s="31" t="n">
        <v>88.18000000000001</v>
      </c>
      <c r="W90" s="31" t="n">
        <v>22.94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Oligopoly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Above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Less than 12%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Negative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20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3" t="inlineStr">
        <is>
          <t>LLOYDSENT</t>
        </is>
      </c>
      <c r="D91" s="33" t="inlineStr">
        <is>
          <t>Lloyds Enterprises Ltd</t>
        </is>
      </c>
      <c r="E91" s="30" t="inlineStr">
        <is>
          <t>Basic Materials</t>
        </is>
      </c>
      <c r="F91" s="30" t="inlineStr">
        <is>
          <t>Trading</t>
        </is>
      </c>
      <c r="G91" s="30" t="inlineStr">
        <is>
          <t>midcap</t>
        </is>
      </c>
      <c r="H91" s="31" t="n">
        <v>11363.02</v>
      </c>
      <c r="I91" s="31" t="n">
        <v>75.59999999999999</v>
      </c>
      <c r="J91" s="31" t="n">
        <v>6.63</v>
      </c>
      <c r="K91" s="31" t="n">
        <v>0</v>
      </c>
      <c r="L91" s="30" t="n">
        <v>70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62.45</v>
      </c>
      <c r="P91" s="31" t="n">
        <v>26.35</v>
      </c>
      <c r="Q91" s="31" t="n">
        <v>54.69</v>
      </c>
      <c r="R91" s="30" t="inlineStr">
        <is>
          <t>Volume Spike / Accumulation</t>
        </is>
      </c>
      <c r="S91" s="30" t="inlineStr">
        <is>
          <t>Nifty Metal</t>
        </is>
      </c>
      <c r="T91" s="31" t="n">
        <v>42.38</v>
      </c>
      <c r="U91" s="31" t="n">
        <v>7.84</v>
      </c>
      <c r="V91" s="31" t="n">
        <v>-24.26</v>
      </c>
      <c r="W91" s="31" t="n">
        <v>19.7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Close to 52 week high or retracement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Negative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18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2" t="inlineStr">
        <is>
          <t>LLOYDSME</t>
        </is>
      </c>
      <c r="D92" s="32" t="inlineStr">
        <is>
          <t>Lloyds Metals &amp; Energy Ltd</t>
        </is>
      </c>
      <c r="E92" s="30" t="inlineStr">
        <is>
          <t>Basic Materials</t>
        </is>
      </c>
      <c r="F92" s="30" t="inlineStr">
        <is>
          <t>Mining/Minerals - Iron Ore</t>
        </is>
      </c>
      <c r="G92" s="30" t="inlineStr">
        <is>
          <t>largecap</t>
        </is>
      </c>
      <c r="H92" s="31" t="n">
        <v>98729.39</v>
      </c>
      <c r="I92" s="31" t="n">
        <v>1754.3</v>
      </c>
      <c r="J92" s="31" t="n">
        <v>-0.61</v>
      </c>
      <c r="K92" s="31" t="n">
        <v>0</v>
      </c>
      <c r="L92" s="30" t="n">
        <v>51</v>
      </c>
      <c r="M92" s="30" t="inlineStr">
        <is>
          <t>Underperforming</t>
        </is>
      </c>
      <c r="N92" s="31">
        <f>IF(M92="Underperforming",-5,IF(L92&gt;=95,15,IF(L92&gt;=90,10,IF(L92&gt;=80,5,0))))</f>
        <v/>
      </c>
      <c r="O92" s="31" t="n">
        <v>68.2</v>
      </c>
      <c r="P92" s="31" t="n">
        <v>40.59</v>
      </c>
      <c r="Q92" s="31" t="n">
        <v>1461.15</v>
      </c>
      <c r="R92" s="30" t="inlineStr">
        <is>
          <t>Near 52W High Breakout</t>
        </is>
      </c>
      <c r="S92" s="30" t="inlineStr">
        <is>
          <t>Nifty Metal</t>
        </is>
      </c>
      <c r="T92" s="31" t="n">
        <v>42.38</v>
      </c>
      <c r="U92" s="31" t="n">
        <v>19.58</v>
      </c>
      <c r="V92" s="31" t="n">
        <v>-16.01</v>
      </c>
      <c r="W92" s="31" t="n">
        <v>13.2</v>
      </c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Cyclical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Less than 50% and Borrowings are increasing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More than 1.2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18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0" t="inlineStr">
        <is>
          <t>ROBU</t>
        </is>
      </c>
      <c r="D93" s="30" t="inlineStr">
        <is>
          <t>Macfos Ltd</t>
        </is>
      </c>
      <c r="E93" s="30" t="inlineStr">
        <is>
          <t>Technology</t>
        </is>
      </c>
      <c r="F93" s="30" t="inlineStr">
        <is>
          <t>E-Commerce - Platform - Utility</t>
        </is>
      </c>
      <c r="G93" s="30" t="inlineStr">
        <is>
          <t>smallcap</t>
        </is>
      </c>
      <c r="H93" s="31" t="n">
        <v>1180.87</v>
      </c>
      <c r="I93" s="31" t="n">
        <v>1140</v>
      </c>
      <c r="J93" s="31" t="n">
        <v>0.64</v>
      </c>
      <c r="K93" s="31" t="n">
        <v>0</v>
      </c>
      <c r="L93" s="30" t="n">
        <v>68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68.69</v>
      </c>
      <c r="P93" s="31" t="n">
        <v>67.70999999999999</v>
      </c>
      <c r="Q93" s="31" t="n">
        <v>894.74</v>
      </c>
      <c r="R93" s="30" t="inlineStr">
        <is>
          <t>Earnings / Momentum Support</t>
        </is>
      </c>
      <c r="S93" s="30" t="inlineStr">
        <is>
          <t>Nifty 50</t>
        </is>
      </c>
      <c r="T93" s="31" t="n">
        <v>-4.09</v>
      </c>
      <c r="U93" s="31" t="n">
        <v>66.09999999999999</v>
      </c>
      <c r="V93" s="31" t="n">
        <v>73.18000000000001</v>
      </c>
      <c r="W93" s="31" t="n">
        <v>18.8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Oligopoly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Negative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18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2" t="inlineStr">
        <is>
          <t>SILVERTUC</t>
        </is>
      </c>
      <c r="D94" s="32" t="inlineStr">
        <is>
          <t>Silver Touch Technologies Ltd</t>
        </is>
      </c>
      <c r="E94" s="30" t="inlineStr">
        <is>
          <t>i.t</t>
        </is>
      </c>
      <c r="F94" s="30" t="inlineStr">
        <is>
          <t>IT - Software</t>
        </is>
      </c>
      <c r="G94" s="30" t="inlineStr">
        <is>
          <t>smallcap</t>
        </is>
      </c>
      <c r="H94" s="31" t="n">
        <v>2477.23</v>
      </c>
      <c r="I94" s="31" t="n">
        <v>195.35</v>
      </c>
      <c r="J94" s="31" t="n">
        <v>-1.38</v>
      </c>
      <c r="K94" s="31" t="n">
        <v>0</v>
      </c>
      <c r="L94" s="30" t="n">
        <v>33</v>
      </c>
      <c r="M94" s="30" t="inlineStr">
        <is>
          <t>Underperforming</t>
        </is>
      </c>
      <c r="N94" s="31">
        <f>IF(M94="Underperforming",-5,IF(L94&gt;=95,15,IF(L94&gt;=90,10,IF(L94&gt;=80,5,0))))</f>
        <v/>
      </c>
      <c r="O94" s="31" t="n">
        <v>41.11</v>
      </c>
      <c r="P94" s="31" t="n">
        <v>39.89</v>
      </c>
      <c r="Q94" s="31" t="n">
        <v>81.84</v>
      </c>
      <c r="R94" s="30" t="inlineStr">
        <is>
          <t>Earnings / Momentum Support</t>
        </is>
      </c>
      <c r="S94" s="30" t="inlineStr">
        <is>
          <t>Nifty IT</t>
        </is>
      </c>
      <c r="T94" s="31" t="n">
        <v>-26.11</v>
      </c>
      <c r="U94" s="31" t="n">
        <v>-74.45999999999999</v>
      </c>
      <c r="V94" s="31" t="n">
        <v>-65.44</v>
      </c>
      <c r="W94" s="31" t="n">
        <v>8.82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Headwind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No</t>
        </is>
      </c>
      <c r="AQ94" s="30">
        <f>IF(AP94="Yes",10,0)</f>
        <v/>
      </c>
      <c r="AR94" s="30" t="inlineStr">
        <is>
          <t>Higher Annuity, Lower One Time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Below 45</t>
        </is>
      </c>
      <c r="BA94" s="30">
        <f>IF(AZ94="Between 50 to 75",10,IF(AZ94="Above 75",0,0))</f>
        <v/>
      </c>
      <c r="BB94" s="30" t="inlineStr">
        <is>
          <t>Stage 4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Between 1.5 to 2</t>
        </is>
      </c>
      <c r="BU94" s="30">
        <f>IF(BT94="Above 2",0,IF(BT94="Between 1.5 to 2",5,IF(BT94="Less than 1.5",10,0)))</f>
        <v/>
      </c>
      <c r="BV94" s="30" t="inlineStr">
        <is>
          <t>Less than 50%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  <c r="CF94" s="30" t="inlineStr">
        <is>
          <t>18</t>
        </is>
      </c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3" t="inlineStr">
        <is>
          <t>V2RETAIL</t>
        </is>
      </c>
      <c r="D95" s="33" t="inlineStr">
        <is>
          <t>V2 Retail Ltd</t>
        </is>
      </c>
      <c r="E95" s="30" t="inlineStr">
        <is>
          <t>Consumer Cyclical</t>
        </is>
      </c>
      <c r="F95" s="30" t="inlineStr">
        <is>
          <t>Textiles - Readymade Apparel</t>
        </is>
      </c>
      <c r="G95" s="30" t="inlineStr">
        <is>
          <t>midcap</t>
        </is>
      </c>
      <c r="H95" s="31" t="n">
        <v>8375.360000000001</v>
      </c>
      <c r="I95" s="31" t="n">
        <v>229.69</v>
      </c>
      <c r="J95" s="31" t="n">
        <v>0</v>
      </c>
      <c r="K95" s="31" t="n">
        <v>0</v>
      </c>
      <c r="L95" s="30" t="n">
        <v>36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56.65</v>
      </c>
      <c r="P95" s="31" t="n">
        <v>31.4</v>
      </c>
      <c r="Q95" s="31" t="n">
        <v>182.06</v>
      </c>
      <c r="R95" s="30" t="inlineStr">
        <is>
          <t>Earnings / Momentum Support</t>
        </is>
      </c>
      <c r="S95" s="30" t="inlineStr">
        <is>
          <t>Nifty 50</t>
        </is>
      </c>
      <c r="T95" s="31" t="n">
        <v>-4.09</v>
      </c>
      <c r="U95" s="31" t="n">
        <v>25.04</v>
      </c>
      <c r="V95" s="31" t="n">
        <v>30.37</v>
      </c>
      <c r="W95" s="31" t="n">
        <v>9.41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Headwind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B2C</t>
        </is>
      </c>
      <c r="AO95" s="30">
        <f>IF(AN95="B2C",10,IF(AN95="B2B",5,0))</f>
        <v/>
      </c>
      <c r="AP95" s="30" t="inlineStr">
        <is>
          <t>No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Negative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Negative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Between 0.7 to 1.2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  <c r="CF95" s="30" t="inlineStr">
        <is>
          <t>19</t>
        </is>
      </c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AKUMS</t>
        </is>
      </c>
      <c r="B101" s="36" t="inlineStr">
        <is>
          <t>AKUMS</t>
        </is>
      </c>
      <c r="C101" s="36" t="inlineStr">
        <is>
          <t>Healthcare</t>
        </is>
      </c>
      <c r="D101" s="37" t="inlineStr">
        <is>
          <t>2026-06-16</t>
        </is>
      </c>
    </row>
    <row r="102">
      <c r="A102" s="35" t="inlineStr">
        <is>
          <t>ATHERENERG</t>
        </is>
      </c>
      <c r="B102" s="36" t="inlineStr">
        <is>
          <t>ATHERENERG</t>
        </is>
      </c>
      <c r="C102" s="36" t="inlineStr">
        <is>
          <t>unknown</t>
        </is>
      </c>
      <c r="D102" s="37" t="inlineStr">
        <is>
          <t>2026-06-16</t>
        </is>
      </c>
    </row>
    <row r="103">
      <c r="A103" s="35" t="inlineStr">
        <is>
          <t>BSE</t>
        </is>
      </c>
      <c r="B103" s="36" t="inlineStr">
        <is>
          <t>BSE</t>
        </is>
      </c>
      <c r="C103" s="36" t="inlineStr">
        <is>
          <t>unknown</t>
        </is>
      </c>
      <c r="D103" s="37" t="inlineStr">
        <is>
          <t>2026-06-17</t>
        </is>
      </c>
    </row>
    <row r="104">
      <c r="A104" s="35" t="inlineStr">
        <is>
          <t>CEMPRO</t>
        </is>
      </c>
      <c r="B104" s="36" t="inlineStr">
        <is>
          <t>Cemindia Projects Limited</t>
        </is>
      </c>
      <c r="C104" s="36" t="inlineStr">
        <is>
          <t>Industrials</t>
        </is>
      </c>
      <c r="D104" s="37" t="inlineStr">
        <is>
          <t>2026-06-16</t>
        </is>
      </c>
    </row>
    <row r="105">
      <c r="A105" s="35" t="inlineStr">
        <is>
          <t>CHENNPETRO</t>
        </is>
      </c>
      <c r="B105" s="36" t="inlineStr">
        <is>
          <t>Chennai Petroleum Corporation Limited</t>
        </is>
      </c>
      <c r="C105" s="36" t="inlineStr">
        <is>
          <t>Energy</t>
        </is>
      </c>
      <c r="D105" s="37" t="inlineStr">
        <is>
          <t>2026-06-16</t>
        </is>
      </c>
    </row>
    <row r="106">
      <c r="A106" s="35" t="inlineStr">
        <is>
          <t>COCKERILL</t>
        </is>
      </c>
      <c r="B106" s="36" t="inlineStr">
        <is>
          <t>COCKERILL</t>
        </is>
      </c>
      <c r="C106" s="36" t="inlineStr">
        <is>
          <t>unknown</t>
        </is>
      </c>
      <c r="D106" s="37" t="inlineStr">
        <is>
          <t>2026-06-17</t>
        </is>
      </c>
    </row>
    <row r="107">
      <c r="A107" s="35" t="inlineStr">
        <is>
          <t>DIVGIITTS</t>
        </is>
      </c>
      <c r="B107" s="36" t="inlineStr">
        <is>
          <t>Divgi TorqTransfer Systems Limited</t>
        </is>
      </c>
      <c r="C107" s="36" t="inlineStr">
        <is>
          <t>Consumer Cyclical</t>
        </is>
      </c>
      <c r="D107" s="37" t="inlineStr">
        <is>
          <t>2026-06-17</t>
        </is>
      </c>
    </row>
    <row r="108">
      <c r="A108" s="35" t="inlineStr">
        <is>
          <t>FIEMIND</t>
        </is>
      </c>
      <c r="B108" s="36" t="inlineStr">
        <is>
          <t>FIEMIND</t>
        </is>
      </c>
      <c r="C108" s="36" t="inlineStr">
        <is>
          <t>unknown</t>
        </is>
      </c>
      <c r="D108" s="37" t="inlineStr">
        <is>
          <t>2026-06-17</t>
        </is>
      </c>
    </row>
    <row r="109">
      <c r="A109" s="35" t="inlineStr">
        <is>
          <t>HARSHA</t>
        </is>
      </c>
      <c r="B109" s="36" t="inlineStr">
        <is>
          <t>Harsha Engineers International Limited</t>
        </is>
      </c>
      <c r="C109" s="36" t="inlineStr">
        <is>
          <t>Industrials</t>
        </is>
      </c>
      <c r="D109" s="37" t="inlineStr">
        <is>
          <t>2026-06-17</t>
        </is>
      </c>
    </row>
    <row r="110">
      <c r="A110" s="35" t="inlineStr">
        <is>
          <t>INDNIPPON</t>
        </is>
      </c>
      <c r="B110" s="36" t="inlineStr">
        <is>
          <t>India Nippon Electricals Limited</t>
        </is>
      </c>
      <c r="C110" s="36" t="inlineStr">
        <is>
          <t>Consumer Cyclical</t>
        </is>
      </c>
      <c r="D110" s="37" t="inlineStr">
        <is>
          <t>2026-06-16</t>
        </is>
      </c>
    </row>
    <row r="111">
      <c r="A111" s="35" t="inlineStr">
        <is>
          <t>INDOBORAX</t>
        </is>
      </c>
      <c r="B111" s="36" t="inlineStr">
        <is>
          <t>Indo Borax &amp; Chemicals Limited</t>
        </is>
      </c>
      <c r="C111" s="36" t="inlineStr">
        <is>
          <t>Basic Materials</t>
        </is>
      </c>
      <c r="D111" s="37" t="inlineStr">
        <is>
          <t>2026-06-17</t>
        </is>
      </c>
    </row>
    <row r="112">
      <c r="A112" s="35" t="inlineStr">
        <is>
          <t>IOLCP</t>
        </is>
      </c>
      <c r="B112" s="36" t="inlineStr">
        <is>
          <t>IOLCP</t>
        </is>
      </c>
      <c r="C112" s="36" t="inlineStr">
        <is>
          <t>unknown</t>
        </is>
      </c>
      <c r="D112" s="37" t="inlineStr">
        <is>
          <t>2026-06-16</t>
        </is>
      </c>
    </row>
    <row r="113">
      <c r="A113" s="35" t="inlineStr">
        <is>
          <t>IZMO</t>
        </is>
      </c>
      <c r="B113" s="36" t="inlineStr">
        <is>
          <t>IZMO</t>
        </is>
      </c>
      <c r="C113" s="36" t="inlineStr">
        <is>
          <t>unknown</t>
        </is>
      </c>
      <c r="D113" s="37" t="inlineStr">
        <is>
          <t>2026-06-17</t>
        </is>
      </c>
    </row>
    <row r="114">
      <c r="A114" s="35" t="inlineStr">
        <is>
          <t>NIBE</t>
        </is>
      </c>
      <c r="B114" s="36" t="inlineStr">
        <is>
          <t>Nibe Limited</t>
        </is>
      </c>
      <c r="C114" s="36" t="inlineStr">
        <is>
          <t>Industrials</t>
        </is>
      </c>
      <c r="D114" s="37" t="inlineStr">
        <is>
          <t>2026-06-17</t>
        </is>
      </c>
    </row>
    <row r="115">
      <c r="A115" s="35" t="inlineStr">
        <is>
          <t>OBSCP</t>
        </is>
      </c>
      <c r="B115" s="36" t="inlineStr">
        <is>
          <t>OBSCP</t>
        </is>
      </c>
      <c r="C115" s="36" t="inlineStr">
        <is>
          <t>unknown</t>
        </is>
      </c>
      <c r="D115" s="37" t="inlineStr">
        <is>
          <t>2026-06-17</t>
        </is>
      </c>
    </row>
    <row r="116">
      <c r="A116" s="35" t="inlineStr">
        <is>
          <t>POWERINDIA</t>
        </is>
      </c>
      <c r="B116" s="36" t="inlineStr">
        <is>
          <t>Hitachi Energy India Limited</t>
        </is>
      </c>
      <c r="C116" s="36" t="inlineStr">
        <is>
          <t>Industrials</t>
        </is>
      </c>
      <c r="D116" s="37" t="inlineStr">
        <is>
          <t>2026-06-16</t>
        </is>
      </c>
    </row>
    <row r="117">
      <c r="A117" s="35" t="inlineStr">
        <is>
          <t>PTCIL</t>
        </is>
      </c>
      <c r="B117" s="36" t="inlineStr">
        <is>
          <t>PTCIL</t>
        </is>
      </c>
      <c r="C117" s="36" t="inlineStr">
        <is>
          <t>unknown</t>
        </is>
      </c>
      <c r="D117" s="37" t="inlineStr">
        <is>
          <t>2026-06-16</t>
        </is>
      </c>
    </row>
    <row r="118">
      <c r="A118" s="35" t="inlineStr">
        <is>
          <t>RAIN</t>
        </is>
      </c>
      <c r="B118" s="36" t="inlineStr">
        <is>
          <t>Rain Industries Limited</t>
        </is>
      </c>
      <c r="C118" s="36" t="inlineStr">
        <is>
          <t>Basic Materials</t>
        </is>
      </c>
      <c r="D118" s="37" t="inlineStr">
        <is>
          <t>2026-06-16</t>
        </is>
      </c>
    </row>
    <row r="119">
      <c r="A119" s="35" t="inlineStr">
        <is>
          <t>RHETAN</t>
        </is>
      </c>
      <c r="B119" s="36" t="inlineStr">
        <is>
          <t>RHETAN</t>
        </is>
      </c>
      <c r="C119" s="36" t="inlineStr">
        <is>
          <t>unknown</t>
        </is>
      </c>
      <c r="D119" s="37" t="inlineStr">
        <is>
          <t>2026-06-17</t>
        </is>
      </c>
    </row>
    <row r="120">
      <c r="A120" s="35" t="inlineStr">
        <is>
          <t>RRKABEL</t>
        </is>
      </c>
      <c r="B120" s="36" t="inlineStr">
        <is>
          <t>R R Kabel Limited</t>
        </is>
      </c>
      <c r="C120" s="36" t="inlineStr">
        <is>
          <t>Industrials</t>
        </is>
      </c>
      <c r="D120" s="37" t="inlineStr">
        <is>
          <t>2026-06-16</t>
        </is>
      </c>
    </row>
    <row r="121">
      <c r="A121" s="35" t="inlineStr">
        <is>
          <t>SANDHAR</t>
        </is>
      </c>
      <c r="B121" s="36" t="inlineStr">
        <is>
          <t>Sandhar Technologies Limited</t>
        </is>
      </c>
      <c r="C121" s="36" t="inlineStr">
        <is>
          <t>Consumer Cyclical</t>
        </is>
      </c>
      <c r="D121" s="37" t="inlineStr">
        <is>
          <t>2026-06-17</t>
        </is>
      </c>
    </row>
    <row r="122">
      <c r="A122" s="35" t="inlineStr">
        <is>
          <t>SANSERA</t>
        </is>
      </c>
      <c r="B122" s="36" t="inlineStr">
        <is>
          <t>Sansera Engineering Limited</t>
        </is>
      </c>
      <c r="C122" s="36" t="inlineStr">
        <is>
          <t>Consumer Cyclical</t>
        </is>
      </c>
      <c r="D122" s="37" t="inlineStr">
        <is>
          <t>2026-06-16</t>
        </is>
      </c>
    </row>
    <row r="123">
      <c r="A123" s="35" t="inlineStr">
        <is>
          <t>SEAMECLTD</t>
        </is>
      </c>
      <c r="B123" s="36" t="inlineStr">
        <is>
          <t>SEAMECLTD</t>
        </is>
      </c>
      <c r="C123" s="36" t="inlineStr">
        <is>
          <t>unknown</t>
        </is>
      </c>
      <c r="D123" s="37" t="inlineStr">
        <is>
          <t>2026-06-17</t>
        </is>
      </c>
    </row>
    <row r="124">
      <c r="A124" s="35" t="inlineStr">
        <is>
          <t>SGFIN</t>
        </is>
      </c>
      <c r="B124" s="36" t="inlineStr">
        <is>
          <t>SGFIN</t>
        </is>
      </c>
      <c r="C124" s="36" t="inlineStr">
        <is>
          <t>unknown</t>
        </is>
      </c>
      <c r="D124" s="37" t="inlineStr">
        <is>
          <t>2026-06-16</t>
        </is>
      </c>
    </row>
    <row r="125">
      <c r="A125" s="35" t="inlineStr">
        <is>
          <t>SPECTRUM</t>
        </is>
      </c>
      <c r="B125" s="36" t="inlineStr">
        <is>
          <t>SPECTRUM</t>
        </is>
      </c>
      <c r="C125" s="36" t="inlineStr">
        <is>
          <t>Industrials</t>
        </is>
      </c>
      <c r="D125" s="37" t="inlineStr">
        <is>
          <t>2026-06-17</t>
        </is>
      </c>
    </row>
    <row r="126">
      <c r="A126" s="35" t="inlineStr">
        <is>
          <t>SUPRIYA</t>
        </is>
      </c>
      <c r="B126" s="36" t="inlineStr">
        <is>
          <t>Supriya Lifescience Limited</t>
        </is>
      </c>
      <c r="C126" s="36" t="inlineStr">
        <is>
          <t>Healthcare</t>
        </is>
      </c>
      <c r="D126" s="37" t="inlineStr">
        <is>
          <t>2026-06-17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SATIN</t>
        </is>
      </c>
      <c r="D2" s="30" t="inlineStr">
        <is>
          <t>Satin Creditcare Network Ltd</t>
        </is>
      </c>
      <c r="E2" s="30" t="inlineStr">
        <is>
          <t>financials</t>
        </is>
      </c>
      <c r="F2" s="30" t="inlineStr">
        <is>
          <t>Finance &amp; Investments - Microfinance</t>
        </is>
      </c>
      <c r="G2" s="30" t="inlineStr">
        <is>
          <t>smallcap</t>
        </is>
      </c>
      <c r="H2" s="31" t="n">
        <v>2602.59</v>
      </c>
      <c r="I2" s="31" t="n">
        <v>235.59</v>
      </c>
      <c r="J2" s="31" t="n">
        <v>1.82</v>
      </c>
      <c r="K2" s="31" t="n">
        <v>0</v>
      </c>
      <c r="L2" s="30" t="n">
        <v>78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70.7</v>
      </c>
      <c r="P2" s="31" t="n">
        <v>45.82</v>
      </c>
      <c r="Q2" s="31" t="n">
        <v>187.8</v>
      </c>
      <c r="R2" s="30" t="inlineStr">
        <is>
          <t>Near 52W High Breakout</t>
        </is>
      </c>
      <c r="S2" s="30" t="inlineStr">
        <is>
          <t>Nifty Bank</t>
        </is>
      </c>
      <c r="T2" s="31" t="n">
        <v>2.37</v>
      </c>
      <c r="U2" s="31" t="n">
        <v>55.38</v>
      </c>
      <c r="V2" s="31" t="n">
        <v>51.79</v>
      </c>
      <c r="W2" s="31" t="n">
        <v>24.09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Above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22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MAHABANK</t>
        </is>
      </c>
      <c r="D3" s="30" t="inlineStr">
        <is>
          <t>Bank of Maharashtra</t>
        </is>
      </c>
      <c r="E3" s="30" t="inlineStr">
        <is>
          <t>bank</t>
        </is>
      </c>
      <c r="F3" s="30" t="inlineStr">
        <is>
          <t>Banks - PSU</t>
        </is>
      </c>
      <c r="G3" s="30" t="inlineStr">
        <is>
          <t>largecap</t>
        </is>
      </c>
      <c r="H3" s="31" t="n">
        <v>69331.67999999999</v>
      </c>
      <c r="I3" s="31" t="n">
        <v>90.14</v>
      </c>
      <c r="J3" s="31" t="n">
        <v>2.21</v>
      </c>
      <c r="K3" s="31" t="n">
        <v>0</v>
      </c>
      <c r="L3" s="30" t="n">
        <v>72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73.23999999999999</v>
      </c>
      <c r="P3" s="31" t="n">
        <v>43.77</v>
      </c>
      <c r="Q3" s="31" t="n">
        <v>73.84999999999999</v>
      </c>
      <c r="R3" s="30" t="inlineStr">
        <is>
          <t>Near 52W High Breakout</t>
        </is>
      </c>
      <c r="S3" s="30" t="inlineStr">
        <is>
          <t>Nifty Bank</t>
        </is>
      </c>
      <c r="T3" s="31" t="n">
        <v>2.37</v>
      </c>
      <c r="U3" s="31" t="n">
        <v>72.45999999999999</v>
      </c>
      <c r="V3" s="31" t="n">
        <v>68.47</v>
      </c>
      <c r="W3" s="31" t="n">
        <v>20.37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Above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20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PAISALO</t>
        </is>
      </c>
      <c r="D4" s="30" t="inlineStr">
        <is>
          <t>Paisalo Digital Ltd</t>
        </is>
      </c>
      <c r="E4" s="30" t="inlineStr">
        <is>
          <t>financials</t>
        </is>
      </c>
      <c r="F4" s="30" t="inlineStr">
        <is>
          <t>Finance - Capital Markets - Brokers</t>
        </is>
      </c>
      <c r="G4" s="30" t="inlineStr">
        <is>
          <t>midcap</t>
        </is>
      </c>
      <c r="H4" s="31" t="n">
        <v>5297.96</v>
      </c>
      <c r="I4" s="31" t="n">
        <v>58.25</v>
      </c>
      <c r="J4" s="31" t="n">
        <v>-1.95</v>
      </c>
      <c r="K4" s="31" t="n">
        <v>0</v>
      </c>
      <c r="L4" s="30" t="n">
        <v>87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74.7</v>
      </c>
      <c r="P4" s="31" t="n">
        <v>35.42</v>
      </c>
      <c r="Q4" s="31" t="n">
        <v>46.84</v>
      </c>
      <c r="R4" s="30" t="inlineStr">
        <is>
          <t>Near 52W High Breakout</t>
        </is>
      </c>
      <c r="S4" s="30" t="inlineStr">
        <is>
          <t>Nifty Bank</t>
        </is>
      </c>
      <c r="T4" s="31" t="n">
        <v>2.37</v>
      </c>
      <c r="U4" s="31" t="n">
        <v>93.95</v>
      </c>
      <c r="V4" s="31" t="n">
        <v>89.47</v>
      </c>
      <c r="W4" s="31" t="n">
        <v>30.36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Close to 52 week high or retracement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20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CGCL</t>
        </is>
      </c>
      <c r="D5" s="30" t="inlineStr">
        <is>
          <t>Capri Global Capital Ltd</t>
        </is>
      </c>
      <c r="E5" s="30" t="inlineStr">
        <is>
          <t>financials</t>
        </is>
      </c>
      <c r="F5" s="30" t="inlineStr">
        <is>
          <t>Finance &amp; Investments - Gold Loan</t>
        </is>
      </c>
      <c r="G5" s="30" t="inlineStr">
        <is>
          <t>largecap</t>
        </is>
      </c>
      <c r="H5" s="31" t="n">
        <v>20905.68</v>
      </c>
      <c r="I5" s="31" t="n">
        <v>217.28</v>
      </c>
      <c r="J5" s="31" t="n">
        <v>-0.28</v>
      </c>
      <c r="K5" s="31" t="n">
        <v>0</v>
      </c>
      <c r="L5" s="30" t="n">
        <v>45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69.16</v>
      </c>
      <c r="P5" s="31" t="n">
        <v>19.33</v>
      </c>
      <c r="Q5" s="31" t="n">
        <v>176.72</v>
      </c>
      <c r="R5" s="30" t="inlineStr">
        <is>
          <t>Near 52W High Breakout</t>
        </is>
      </c>
      <c r="S5" s="30" t="inlineStr">
        <is>
          <t>Nifty Bank</t>
        </is>
      </c>
      <c r="T5" s="31" t="n">
        <v>2.37</v>
      </c>
      <c r="U5" s="31" t="n">
        <v>29.83</v>
      </c>
      <c r="V5" s="31" t="n">
        <v>26.82</v>
      </c>
      <c r="W5" s="31" t="n">
        <v>11.66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0 to 20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24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ANGELONE</t>
        </is>
      </c>
      <c r="D6" s="30" t="inlineStr">
        <is>
          <t>Angel One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largecap</t>
        </is>
      </c>
      <c r="H6" s="31" t="n">
        <v>31848.49</v>
      </c>
      <c r="I6" s="31" t="n">
        <v>348.7</v>
      </c>
      <c r="J6" s="31" t="n">
        <v>0.13</v>
      </c>
      <c r="K6" s="31" t="n">
        <v>0</v>
      </c>
      <c r="L6" s="30" t="n">
        <v>64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66.53</v>
      </c>
      <c r="P6" s="31" t="n">
        <v>25.64</v>
      </c>
      <c r="Q6" s="31" t="n">
        <v>271.15</v>
      </c>
      <c r="R6" s="30" t="inlineStr">
        <is>
          <t>Near 52W High Breakout</t>
        </is>
      </c>
      <c r="S6" s="30" t="inlineStr">
        <is>
          <t>Nifty Bank</t>
        </is>
      </c>
      <c r="T6" s="31" t="n">
        <v>2.37</v>
      </c>
      <c r="U6" s="31" t="n">
        <v>25.31</v>
      </c>
      <c r="V6" s="31" t="n">
        <v>22.41</v>
      </c>
      <c r="W6" s="31" t="n">
        <v>17.52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above 5x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Blue sky scenario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19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NAM-INDIA</t>
        </is>
      </c>
      <c r="D7" s="30" t="inlineStr">
        <is>
          <t>Nippon Life India Asset Management Ltd</t>
        </is>
      </c>
      <c r="E7" s="30" t="inlineStr">
        <is>
          <t>financials</t>
        </is>
      </c>
      <c r="F7" s="30" t="inlineStr">
        <is>
          <t>Finance - AMC</t>
        </is>
      </c>
      <c r="G7" s="30" t="inlineStr">
        <is>
          <t>largecap</t>
        </is>
      </c>
      <c r="H7" s="31" t="n">
        <v>73696.07000000001</v>
      </c>
      <c r="I7" s="31" t="n">
        <v>1153.7</v>
      </c>
      <c r="J7" s="31" t="n">
        <v>0.99</v>
      </c>
      <c r="K7" s="31" t="n">
        <v>0</v>
      </c>
      <c r="L7" s="30" t="n">
        <v>65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69.27</v>
      </c>
      <c r="P7" s="31" t="n">
        <v>29.85</v>
      </c>
      <c r="Q7" s="31" t="n">
        <v>914.88</v>
      </c>
      <c r="R7" s="30" t="inlineStr">
        <is>
          <t>Near 52W High Breakout</t>
        </is>
      </c>
      <c r="S7" s="30" t="inlineStr">
        <is>
          <t>Nifty Bank</t>
        </is>
      </c>
      <c r="T7" s="31" t="n">
        <v>2.37</v>
      </c>
      <c r="U7" s="31" t="n">
        <v>55.41</v>
      </c>
      <c r="V7" s="31" t="n">
        <v>51.82</v>
      </c>
      <c r="W7" s="31" t="n">
        <v>17.66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above 5x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18</t>
        </is>
      </c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  <row r="13">
      <c r="A13" s="35" t="inlineStr">
        <is>
          <t>MONARCH</t>
        </is>
      </c>
      <c r="B13" s="36" t="inlineStr">
        <is>
          <t>Monarch Networth Capital Limited</t>
        </is>
      </c>
      <c r="C13" s="36" t="inlineStr">
        <is>
          <t>Financial Services</t>
        </is>
      </c>
      <c r="D13" s="37" t="inlineStr">
        <is>
          <t>2026-06-17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2026-06-17T14:06:51Z</dcterms:created>
  <dcterms:modified xmlns:dcterms="http://purl.org/dc/terms/" xmlns:xsi="http://www.w3.org/2001/XMLSchema-instance" xsi:type="dcterms:W3CDTF">2026-06-17T14:07:36Z</dcterms:modified>
</cp:coreProperties>
</file>